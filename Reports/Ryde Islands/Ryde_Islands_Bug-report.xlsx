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Report" sheetId="1" r:id="rId5"/>
    <sheet state="visible" name="Fahad" sheetId="2" r:id="rId6"/>
    <sheet state="hidden" name="Tahsin" sheetId="3" r:id="rId7"/>
    <sheet state="visible" name="Summary Report" sheetId="4" r:id="rId8"/>
  </sheets>
  <definedNames/>
  <calcPr/>
</workbook>
</file>

<file path=xl/sharedStrings.xml><?xml version="1.0" encoding="utf-8"?>
<sst xmlns="http://schemas.openxmlformats.org/spreadsheetml/2006/main" count="1574" uniqueCount="280">
  <si>
    <t xml:space="preserve">Tester : </t>
  </si>
  <si>
    <t>Mohammed Fahad Faisal</t>
  </si>
  <si>
    <t>Severity</t>
  </si>
  <si>
    <t>Issues</t>
  </si>
  <si>
    <t>Project Name:</t>
  </si>
  <si>
    <t>High</t>
  </si>
  <si>
    <t>Project URL:</t>
  </si>
  <si>
    <t>Medium</t>
  </si>
  <si>
    <t>Developer:</t>
  </si>
  <si>
    <t>Low</t>
  </si>
  <si>
    <t xml:space="preserve">OS: </t>
  </si>
  <si>
    <t>Environment</t>
  </si>
  <si>
    <t>Total Test Cases:</t>
  </si>
  <si>
    <t>Place solve if the issue resolves 
I
V</t>
  </si>
  <si>
    <t>Mention which Stack solved the issue 
I
V</t>
  </si>
  <si>
    <t>Test Case Solved :</t>
  </si>
  <si>
    <t>Test Case ID</t>
  </si>
  <si>
    <t>Module</t>
  </si>
  <si>
    <t>Sub Module</t>
  </si>
  <si>
    <t>Test Case Description</t>
  </si>
  <si>
    <t>Preconditions</t>
  </si>
  <si>
    <t>Test Steps</t>
  </si>
  <si>
    <t>Test Data</t>
  </si>
  <si>
    <t>Expected Result</t>
  </si>
  <si>
    <t>Actual Result</t>
  </si>
  <si>
    <t>Status</t>
  </si>
  <si>
    <t>Screen Shots</t>
  </si>
  <si>
    <t>Suggestion</t>
  </si>
  <si>
    <t>Tester</t>
  </si>
  <si>
    <t>Feedback</t>
  </si>
  <si>
    <t>Stack</t>
  </si>
  <si>
    <t>Comment</t>
  </si>
  <si>
    <t>BR-002</t>
  </si>
  <si>
    <t>BR-003</t>
  </si>
  <si>
    <t>BR-004</t>
  </si>
  <si>
    <t>BR-005</t>
  </si>
  <si>
    <t>BR-006</t>
  </si>
  <si>
    <t>BR-007</t>
  </si>
  <si>
    <t>BR-008</t>
  </si>
  <si>
    <t>BR-009</t>
  </si>
  <si>
    <t>BR-010</t>
  </si>
  <si>
    <t>BR-011</t>
  </si>
  <si>
    <t>BR-012</t>
  </si>
  <si>
    <t>BR-013</t>
  </si>
  <si>
    <t>BR-014</t>
  </si>
  <si>
    <t>BR-015</t>
  </si>
  <si>
    <t>BR-016</t>
  </si>
  <si>
    <t>BR-017</t>
  </si>
  <si>
    <t>BR-018</t>
  </si>
  <si>
    <t>BR-019</t>
  </si>
  <si>
    <t>BR-020</t>
  </si>
  <si>
    <t>BR-021</t>
  </si>
  <si>
    <t>BR-022</t>
  </si>
  <si>
    <t>BR-023</t>
  </si>
  <si>
    <t>BR-024</t>
  </si>
  <si>
    <t>BR-025</t>
  </si>
  <si>
    <t>BR-026</t>
  </si>
  <si>
    <t>BR-027</t>
  </si>
  <si>
    <t>BR-028</t>
  </si>
  <si>
    <t>BR-029</t>
  </si>
  <si>
    <t>BR-030</t>
  </si>
  <si>
    <t>BR-031</t>
  </si>
  <si>
    <t>BR-032</t>
  </si>
  <si>
    <t>BR-033</t>
  </si>
  <si>
    <t>BR-034</t>
  </si>
  <si>
    <t>BR-035</t>
  </si>
  <si>
    <t>BR-036</t>
  </si>
  <si>
    <t>BR-037</t>
  </si>
  <si>
    <t>BR-038</t>
  </si>
  <si>
    <t>BR-039</t>
  </si>
  <si>
    <t>BR-040</t>
  </si>
  <si>
    <t/>
  </si>
  <si>
    <t>Email</t>
  </si>
  <si>
    <t>user@gmail.com</t>
  </si>
  <si>
    <t>driver@gmail.com</t>
  </si>
  <si>
    <t>Ryde Islands</t>
  </si>
  <si>
    <t>Pass</t>
  </si>
  <si>
    <t>user*user*</t>
  </si>
  <si>
    <t>driver*driver*</t>
  </si>
  <si>
    <t>AI Thunder</t>
  </si>
  <si>
    <t>Windows 11 Pro 
Version:24H2 
OS build:26100.4946</t>
  </si>
  <si>
    <t>Environment:</t>
  </si>
  <si>
    <t>realme C63
model : RMX3939
Android Version : 15
Dimention : 
(6.59 x 3.02 x 0.30)in</t>
  </si>
  <si>
    <t>Test ID</t>
  </si>
  <si>
    <t>BR_001</t>
  </si>
  <si>
    <t>Sign-up</t>
  </si>
  <si>
    <t>Failed to create account</t>
  </si>
  <si>
    <t>User need to install the app in their android device</t>
  </si>
  <si>
    <t>1. Open app
2. Click on sign-up</t>
  </si>
  <si>
    <t>N/A</t>
  </si>
  <si>
    <t>Users should be able to sign up without encountering any problems.</t>
  </si>
  <si>
    <t>Failed to signup</t>
  </si>
  <si>
    <t>Fail</t>
  </si>
  <si>
    <t>001.png</t>
  </si>
  <si>
    <t>BR_002</t>
  </si>
  <si>
    <t>002.png</t>
  </si>
  <si>
    <t>BR_003</t>
  </si>
  <si>
    <t>OTP</t>
  </si>
  <si>
    <t>Failed to receive OTP in the entered email.</t>
  </si>
  <si>
    <t>User Credential</t>
  </si>
  <si>
    <t>The user should get an OTP for email verification.</t>
  </si>
  <si>
    <t>Did not receive the OTP in the registered email address.</t>
  </si>
  <si>
    <t>003.png</t>
  </si>
  <si>
    <t>BR_004</t>
  </si>
  <si>
    <t>The "Remember Me" button isn’t working.</t>
  </si>
  <si>
    <t>Remember button should be functional</t>
  </si>
  <si>
    <t>Not working button. Unable to click</t>
  </si>
  <si>
    <t>004.png</t>
  </si>
  <si>
    <t>BR_005</t>
  </si>
  <si>
    <t>Forget Password</t>
  </si>
  <si>
    <t>Wrong error in wrong place</t>
  </si>
  <si>
    <t>1. Open app
2. Click on sign-in
3. Click on Forget Password</t>
  </si>
  <si>
    <t>Error should be displayed in right place</t>
  </si>
  <si>
    <t>wrong error in wrong place</t>
  </si>
  <si>
    <t>005.png</t>
  </si>
  <si>
    <t>BR_006</t>
  </si>
  <si>
    <t>The app name in the OTP is incorrect.</t>
  </si>
  <si>
    <t>1. Open app
2. Click on sign-in
3. Click on Forget Password
4. Open mail</t>
  </si>
  <si>
    <t>The app name in the OTP should be correct.</t>
  </si>
  <si>
    <t>The mail title shows the wrong app name.</t>
  </si>
  <si>
    <t>006.png</t>
  </si>
  <si>
    <t>BR_007</t>
  </si>
  <si>
    <t>support mail is not aligned with app name</t>
  </si>
  <si>
    <t>The support email should match the app name.</t>
  </si>
  <si>
    <t>Noticed difference of app name and support mail</t>
  </si>
  <si>
    <t>007.png</t>
  </si>
  <si>
    <t>BR_008</t>
  </si>
  <si>
    <t>The OTP code in the email body is missing.</t>
  </si>
  <si>
    <t xml:space="preserve">Email body should contain User name , OTP code, time and date </t>
  </si>
  <si>
    <t>Blank email body has been noticed</t>
  </si>
  <si>
    <t>008.png</t>
  </si>
  <si>
    <t>BR_009</t>
  </si>
  <si>
    <t>Vehicle Information</t>
  </si>
  <si>
    <t>Design Alignment issue</t>
  </si>
  <si>
    <t>1. Open app
2. Sign-in using valid credential
3. Select driver role</t>
  </si>
  <si>
    <t>Driver Credentials</t>
  </si>
  <si>
    <t>Alignment and design should be as same as figma</t>
  </si>
  <si>
    <t>Different design has been noticed</t>
  </si>
  <si>
    <t>009.png</t>
  </si>
  <si>
    <t>BR_010</t>
  </si>
  <si>
    <t>Different UI has been noticed</t>
  </si>
  <si>
    <t>010.png</t>
  </si>
  <si>
    <t>BR_011</t>
  </si>
  <si>
    <t>The error toast still shows up even after all input fields are filled.</t>
  </si>
  <si>
    <t>Error should only be visible when it's required</t>
  </si>
  <si>
    <t>The error keeps appearing even when it’s not needed.</t>
  </si>
  <si>
    <t>011.png</t>
  </si>
  <si>
    <t>BR_012</t>
  </si>
  <si>
    <t>Submission failed after loading time</t>
  </si>
  <si>
    <t>Vehicle information submission should be completed smoothly and without any problems.</t>
  </si>
  <si>
    <t>The submission failed after loading for 2 minutes.</t>
  </si>
  <si>
    <t>012.png</t>
  </si>
  <si>
    <t>BR_013</t>
  </si>
  <si>
    <t>Sign-in page error display in sign-up page</t>
  </si>
  <si>
    <t>1. Open app
2. Sign-in using valid credential
3. Select user role</t>
  </si>
  <si>
    <t>An error message for a specific page should only appear on that page.</t>
  </si>
  <si>
    <t>An error from another page is appearing on a different page.</t>
  </si>
  <si>
    <t>013.png</t>
  </si>
  <si>
    <t>BR_014</t>
  </si>
  <si>
    <t>Flow broken</t>
  </si>
  <si>
    <t>The driver should be able to register without experiencing any timeout issues.</t>
  </si>
  <si>
    <t xml:space="preserve">Failed to register driver </t>
  </si>
  <si>
    <t>014.png</t>
  </si>
  <si>
    <t>BR_015</t>
  </si>
  <si>
    <t>Landing screen</t>
  </si>
  <si>
    <t>Home</t>
  </si>
  <si>
    <t>The UI was implemented in a different way.</t>
  </si>
  <si>
    <t>The design and alignments should be as accurate as in Figma.</t>
  </si>
  <si>
    <t>Noticed a different design implementation in the app.</t>
  </si>
  <si>
    <t>015.png</t>
  </si>
  <si>
    <t>BR_016</t>
  </si>
  <si>
    <t>Figma set as 3D but implemented as 2D</t>
  </si>
  <si>
    <t>016.png</t>
  </si>
  <si>
    <t>BR_017</t>
  </si>
  <si>
    <t>The app has a top-notch blend in its design, but within the app itself, it doesn’t quite blend in.</t>
  </si>
  <si>
    <t>017.png</t>
  </si>
  <si>
    <t>BR_018</t>
  </si>
  <si>
    <t>The UI and implementation are different.</t>
  </si>
  <si>
    <t>018.png</t>
  </si>
  <si>
    <t>BR_019</t>
  </si>
  <si>
    <t>Quick Booking</t>
  </si>
  <si>
    <t>Feature missing in app</t>
  </si>
  <si>
    <t>Features and functionalities should be implemented correctly.</t>
  </si>
  <si>
    <t>Missing feature noticed</t>
  </si>
  <si>
    <t>019.png</t>
  </si>
  <si>
    <t>BR_020</t>
  </si>
  <si>
    <t>Missing option to set location on the map</t>
  </si>
  <si>
    <t>020.png</t>
  </si>
  <si>
    <t>BR_021</t>
  </si>
  <si>
    <t>The map on the top bar is missing in the app.</t>
  </si>
  <si>
    <t>021.png</t>
  </si>
  <si>
    <t>BR_022</t>
  </si>
  <si>
    <t>The multi-stop feature hasn’t been added to the app yet.</t>
  </si>
  <si>
    <t>022.png</t>
  </si>
  <si>
    <t>BR_023</t>
  </si>
  <si>
    <t>The app doesn’t have a feature to set pickup and drop-off times.</t>
  </si>
  <si>
    <t>023.png</t>
  </si>
  <si>
    <t>BR_024</t>
  </si>
  <si>
    <t>User profile icon set as default</t>
  </si>
  <si>
    <t>024.png</t>
  </si>
  <si>
    <t>BR_025</t>
  </si>
  <si>
    <t>View current location feature missing in app</t>
  </si>
  <si>
    <t>The map should include a show current location feature because it’s a basic necessity.</t>
  </si>
  <si>
    <t>Current location view is missing in app</t>
  </si>
  <si>
    <t>025.png</t>
  </si>
  <si>
    <t>BR_026</t>
  </si>
  <si>
    <t>Car list displayed at the pickup spot</t>
  </si>
  <si>
    <t>026.png</t>
  </si>
  <si>
    <t>BR_027</t>
  </si>
  <si>
    <t>Age verification missing. Driver must be 18 or more years old</t>
  </si>
  <si>
    <t>Driver age verification feature missing in app</t>
  </si>
  <si>
    <t>No filter add in driver age field. It's required to be 18 or more years old to be driver</t>
  </si>
  <si>
    <t>027.png</t>
  </si>
  <si>
    <t>BR_028</t>
  </si>
  <si>
    <t>The profile name doesn’t update automatically.</t>
  </si>
  <si>
    <t>The profile should automatically update after switching roles.</t>
  </si>
  <si>
    <t>The profile does not update dynamically.</t>
  </si>
  <si>
    <t>028.mp4</t>
  </si>
  <si>
    <t>BR_029</t>
  </si>
  <si>
    <t>Clicking on the profile doesn’t navigate the user to the profile screen.</t>
  </si>
  <si>
    <t>029.png</t>
  </si>
  <si>
    <t>BR_030</t>
  </si>
  <si>
    <t>Not functional</t>
  </si>
  <si>
    <t>030.png</t>
  </si>
  <si>
    <t>BR_031</t>
  </si>
  <si>
    <t>Account</t>
  </si>
  <si>
    <t>Different from UI</t>
  </si>
  <si>
    <t>1. Open app
2. Sign-in using valid credential
3. Select driver role
4. Click on Account</t>
  </si>
  <si>
    <t>031.png</t>
  </si>
  <si>
    <t>BR_032</t>
  </si>
  <si>
    <t>Flow broken. Unable to add wallet card in app</t>
  </si>
  <si>
    <t>The flow should be accurate according to the Figma design.</t>
  </si>
  <si>
    <t>The app is missing a feature that allows adding a wallet card to the driver profile.</t>
  </si>
  <si>
    <t>032.png</t>
  </si>
  <si>
    <t>BR_033</t>
  </si>
  <si>
    <t>Missing email input field in app</t>
  </si>
  <si>
    <t>The input field should be positioned precisely as shown in the Figma design.</t>
  </si>
  <si>
    <t>Missing input field in app</t>
  </si>
  <si>
    <t>033.png</t>
  </si>
  <si>
    <t>BR_034</t>
  </si>
  <si>
    <t>Missing update password field in app</t>
  </si>
  <si>
    <t>034.png</t>
  </si>
  <si>
    <t>BR_035</t>
  </si>
  <si>
    <t>Button is not functional</t>
  </si>
  <si>
    <t>035.png</t>
  </si>
  <si>
    <t>BR_036</t>
  </si>
  <si>
    <t xml:space="preserve">Missing privacy and data </t>
  </si>
  <si>
    <t>Page data should be positioned perfectly.</t>
  </si>
  <si>
    <t xml:space="preserve">Missing content on privacy and data </t>
  </si>
  <si>
    <t>036.png</t>
  </si>
  <si>
    <t>BR_037</t>
  </si>
  <si>
    <t>About us page missing in app</t>
  </si>
  <si>
    <t>The feature and page should be positioned in the ideal spot.</t>
  </si>
  <si>
    <t>Page missing also option missing in account</t>
  </si>
  <si>
    <t>037.png</t>
  </si>
  <si>
    <t>BR_038</t>
  </si>
  <si>
    <t>Vehicle update missing from account</t>
  </si>
  <si>
    <t>038.png</t>
  </si>
  <si>
    <t>BR_039</t>
  </si>
  <si>
    <t>Users UI set as Drivers UI</t>
  </si>
  <si>
    <t>The UI should be designed to adapt to different user roles.</t>
  </si>
  <si>
    <t>Users UI is integrated in drivers UI</t>
  </si>
  <si>
    <t>039.png</t>
  </si>
  <si>
    <t>BR_040</t>
  </si>
  <si>
    <t>History</t>
  </si>
  <si>
    <t>1. Open app
2. Sign-in using valid credential
3. Select user role
4. Click on History</t>
  </si>
  <si>
    <t>040.png</t>
  </si>
  <si>
    <t>BR_041</t>
  </si>
  <si>
    <t>BR_042</t>
  </si>
  <si>
    <t>BR_043</t>
  </si>
  <si>
    <t>BR_044</t>
  </si>
  <si>
    <t>BR_045</t>
  </si>
  <si>
    <t>BR_046</t>
  </si>
  <si>
    <t>BR_047</t>
  </si>
  <si>
    <t>BR_048</t>
  </si>
  <si>
    <t>BR_049</t>
  </si>
  <si>
    <t>BR_050</t>
  </si>
  <si>
    <t>Bug Count</t>
  </si>
  <si>
    <t>Bug Rate %</t>
  </si>
  <si>
    <t>Bug Severity</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</si>
</sst>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color theme="1"/>
      <name val="Arial"/>
    </font>
    <font>
      <b/>
      <sz val="12.0"/>
      <color theme="1"/>
      <name val="Calibri"/>
    </font>
    <font>
      <sz val="11.0"/>
      <color theme="1"/>
      <name val="Calibri"/>
    </font>
    <font>
      <b/>
      <sz val="12.0"/>
      <color theme="1"/>
      <name val="Arial"/>
    </font>
    <font>
      <b/>
      <color rgb="FF000000"/>
      <name val="Arial"/>
      <scheme val="minor"/>
    </font>
    <font>
      <b/>
      <color theme="1"/>
      <name val="Arial"/>
    </font>
    <font>
      <color theme="1"/>
      <name val="Arial"/>
      <scheme val="minor"/>
    </font>
    <font>
      <b/>
      <sz val="11.0"/>
      <color theme="1"/>
      <name val="Calibri"/>
    </font>
    <font>
      <color theme="1"/>
      <name val="Times New Roman"/>
    </font>
    <font>
      <b/>
      <sz val="15.0"/>
      <color theme="1"/>
      <name val="Calibri"/>
    </font>
    <font>
      <sz val="15.0"/>
      <color theme="1"/>
      <name val="Arial"/>
      <scheme val="minor"/>
    </font>
    <font>
      <u/>
      <color theme="1"/>
      <name val="Arial"/>
      <scheme val="minor"/>
    </font>
    <font>
      <u/>
      <color theme="1"/>
      <name val="Arial"/>
      <scheme val="minor"/>
    </font>
    <font>
      <b/>
      <sz val="12.0"/>
      <color theme="1"/>
      <name val="Merriweather"/>
    </font>
    <font>
      <sz val="12.0"/>
      <color theme="1"/>
      <name val="Merriweather"/>
    </font>
    <font>
      <color theme="1"/>
      <name val="Merriweather"/>
    </font>
    <font>
      <color rgb="FF1E2624"/>
      <name val="Merriweather"/>
    </font>
    <font>
      <b/>
      <sz val="13.0"/>
      <color theme="1"/>
      <name val="Merriweather"/>
    </font>
    <font>
      <sz val="13.0"/>
      <color theme="1"/>
      <name val="Merriweather"/>
    </font>
    <font>
      <u/>
      <sz val="12.0"/>
      <color theme="1"/>
      <name val="Merriweather"/>
    </font>
    <font>
      <u/>
      <sz val="12.0"/>
      <color rgb="FF1155CC"/>
      <name val="Merriweather"/>
    </font>
    <font>
      <u/>
      <sz val="12.0"/>
      <color theme="1"/>
      <name val="Merriweather"/>
    </font>
    <font>
      <u/>
      <sz val="12.0"/>
      <color theme="1"/>
      <name val="Merriweather"/>
    </font>
    <font>
      <u/>
      <sz val="12.0"/>
      <color rgb="FF1155CC"/>
      <name val="Merriweather"/>
    </font>
    <font>
      <u/>
      <color rgb="FF1155CC"/>
      <name val="Arial"/>
    </font>
    <font>
      <b/>
      <sz val="16.0"/>
      <color theme="1"/>
      <name val="Calibri"/>
    </font>
    <font>
      <sz val="12.0"/>
      <color theme="1"/>
      <name val="Calibri"/>
    </font>
    <font>
      <u/>
      <sz val="12.0"/>
      <color rgb="FF1155CC"/>
      <name val="Calibri"/>
    </font>
    <font>
      <b/>
      <sz val="13.0"/>
      <color theme="1"/>
      <name val="Times New Roman"/>
    </font>
  </fonts>
  <fills count="10">
    <fill>
      <patternFill patternType="none"/>
    </fill>
    <fill>
      <patternFill patternType="lightGray"/>
    </fill>
    <fill>
      <patternFill patternType="solid">
        <fgColor rgb="FFFF0000"/>
        <bgColor rgb="FFFF0000"/>
      </patternFill>
    </fill>
    <fill>
      <patternFill patternType="solid">
        <fgColor rgb="FFFFFF00"/>
        <bgColor rgb="FFFFFF00"/>
      </patternFill>
    </fill>
    <fill>
      <patternFill patternType="solid">
        <fgColor rgb="FF38761D"/>
        <bgColor rgb="FF38761D"/>
      </patternFill>
    </fill>
    <fill>
      <patternFill patternType="solid">
        <fgColor rgb="FFFFD966"/>
        <bgColor rgb="FFFFD966"/>
      </patternFill>
    </fill>
    <fill>
      <patternFill patternType="solid">
        <fgColor rgb="FFF1C232"/>
        <bgColor rgb="FFF1C232"/>
      </patternFill>
    </fill>
    <fill>
      <patternFill patternType="solid">
        <fgColor rgb="FFFFFFFF"/>
        <bgColor rgb="FFFFFFFF"/>
      </patternFill>
    </fill>
    <fill>
      <patternFill patternType="solid">
        <fgColor rgb="FF00FF00"/>
        <bgColor rgb="FF00FF00"/>
      </patternFill>
    </fill>
    <fill>
      <patternFill patternType="solid">
        <fgColor rgb="FF00FFFF"/>
        <bgColor rgb="FF00FFFF"/>
      </patternFill>
    </fill>
  </fills>
  <borders count="7">
    <border/>
    <border>
      <left style="thin">
        <color rgb="FF000000"/>
      </left>
      <right style="thin">
        <color rgb="FF000000"/>
      </right>
      <top style="thin">
        <color rgb="FF000000"/>
      </top>
      <bottom style="thin">
        <color rgb="FF000000"/>
      </bottom>
    </border>
    <border>
      <left style="thick">
        <color rgb="FF000000"/>
      </left>
      <right style="thick">
        <color rgb="FF000000"/>
      </right>
      <top style="thick">
        <color rgb="FF000000"/>
      </top>
      <bottom style="thick">
        <color rgb="FF000000"/>
      </bottom>
    </border>
    <border>
      <right style="thin">
        <color rgb="FF000000"/>
      </righ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horizontal="right"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shrinkToFit="0" wrapText="1"/>
    </xf>
    <xf borderId="0" fillId="0" fontId="5"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1" fillId="2" fontId="6" numFmtId="0" xfId="0" applyAlignment="1" applyBorder="1" applyFill="1" applyFont="1">
      <alignment horizontal="center" shrinkToFit="0" vertical="center" wrapText="1"/>
    </xf>
    <xf borderId="1" fillId="0" fontId="6" numFmtId="0" xfId="0" applyAlignment="1" applyBorder="1" applyFont="1">
      <alignment horizontal="center" shrinkToFit="0" vertical="center" wrapText="1"/>
    </xf>
    <xf borderId="1" fillId="0" fontId="7" numFmtId="0" xfId="0" applyAlignment="1" applyBorder="1" applyFont="1">
      <alignment horizontal="center" readingOrder="0"/>
    </xf>
    <xf borderId="1" fillId="3" fontId="6" numFmtId="0" xfId="0" applyAlignment="1" applyBorder="1" applyFill="1" applyFont="1">
      <alignment horizontal="center" shrinkToFit="0" vertical="center" wrapText="1"/>
    </xf>
    <xf borderId="1" fillId="0" fontId="1" numFmtId="0" xfId="0" applyAlignment="1" applyBorder="1" applyFont="1">
      <alignment horizontal="center" readingOrder="0" shrinkToFit="0" vertical="center" wrapText="1"/>
    </xf>
    <xf borderId="1" fillId="4" fontId="6" numFmtId="0" xfId="0" applyAlignment="1" applyBorder="1" applyFill="1" applyFont="1">
      <alignment horizontal="center" shrinkToFit="0" vertical="center" wrapText="1"/>
    </xf>
    <xf borderId="1" fillId="0" fontId="1" numFmtId="0" xfId="0" applyBorder="1" applyFont="1"/>
    <xf borderId="0" fillId="0" fontId="6" numFmtId="0" xfId="0" applyFont="1"/>
    <xf borderId="1" fillId="0" fontId="8" numFmtId="0" xfId="0" applyAlignment="1" applyBorder="1" applyFont="1">
      <alignment horizontal="center" shrinkToFit="0" wrapText="1"/>
    </xf>
    <xf borderId="1" fillId="0" fontId="6" numFmtId="0" xfId="0" applyAlignment="1" applyBorder="1" applyFont="1">
      <alignment horizontal="center" shrinkToFit="0" wrapText="1"/>
    </xf>
    <xf borderId="0" fillId="5" fontId="9" numFmtId="0" xfId="0" applyAlignment="1" applyFill="1" applyFont="1">
      <alignment horizontal="center" shrinkToFit="0" wrapText="1"/>
    </xf>
    <xf borderId="0" fillId="6" fontId="9" numFmtId="0" xfId="0" applyAlignment="1" applyFill="1" applyFont="1">
      <alignment horizontal="center" shrinkToFit="0" wrapText="1"/>
    </xf>
    <xf borderId="2" fillId="6" fontId="10" numFmtId="0" xfId="0" applyAlignment="1" applyBorder="1" applyFont="1">
      <alignment horizontal="center" shrinkToFit="0" vertical="center" wrapText="1"/>
    </xf>
    <xf borderId="2" fillId="6" fontId="10" numFmtId="0" xfId="0" applyAlignment="1" applyBorder="1" applyFont="1">
      <alignment horizontal="center" readingOrder="0" shrinkToFit="0" vertical="center" wrapText="1"/>
    </xf>
    <xf borderId="0" fillId="0" fontId="11" numFmtId="0" xfId="0" applyAlignment="1" applyFont="1">
      <alignment horizontal="center" shrinkToFit="0" vertical="center" wrapText="1"/>
    </xf>
    <xf borderId="3" fillId="0" fontId="7" numFmtId="0" xfId="0" applyAlignment="1" applyBorder="1" applyFont="1">
      <alignment horizontal="center" readingOrder="0" shrinkToFit="0" vertical="center" wrapText="1"/>
    </xf>
    <xf borderId="4" fillId="0" fontId="7" numFmtId="0" xfId="0" applyAlignment="1" applyBorder="1" applyFont="1">
      <alignment horizontal="center" shrinkToFit="0" vertical="center" wrapText="1"/>
    </xf>
    <xf borderId="4" fillId="0" fontId="12" numFmtId="0" xfId="0" applyAlignment="1" applyBorder="1" applyFont="1">
      <alignment horizontal="center" shrinkToFit="0" vertical="center" wrapText="1"/>
    </xf>
    <xf borderId="4" fillId="0" fontId="7" numFmtId="0" xfId="0" applyAlignment="1" applyBorder="1" applyFont="1">
      <alignment horizontal="center" readingOrder="0" shrinkToFit="0" vertical="center" wrapText="1"/>
    </xf>
    <xf borderId="0" fillId="0" fontId="7" numFmtId="0" xfId="0" applyAlignment="1" applyFont="1">
      <alignment horizontal="center" shrinkToFit="0" vertical="center" wrapText="1"/>
    </xf>
    <xf borderId="1" fillId="0" fontId="7" numFmtId="0" xfId="0" applyAlignment="1" applyBorder="1" applyFont="1">
      <alignment horizontal="center" readingOrder="0" shrinkToFit="0" vertical="center" wrapText="1"/>
    </xf>
    <xf borderId="1" fillId="0" fontId="7" numFmtId="0" xfId="0" applyAlignment="1" applyBorder="1" applyFont="1">
      <alignment horizontal="center" shrinkToFit="0" vertical="center" wrapText="1"/>
    </xf>
    <xf borderId="1" fillId="0" fontId="13" numFmtId="0" xfId="0" applyAlignment="1" applyBorder="1" applyFont="1">
      <alignment horizontal="center" shrinkToFit="0" vertical="center" wrapText="1"/>
    </xf>
    <xf borderId="0" fillId="0" fontId="7" numFmtId="0" xfId="0" applyAlignment="1" applyFont="1">
      <alignment horizontal="center" readingOrder="0" shrinkToFit="0" vertical="center" wrapText="1"/>
    </xf>
    <xf borderId="0" fillId="0" fontId="7" numFmtId="0" xfId="0" applyFont="1"/>
    <xf borderId="1" fillId="0" fontId="14" numFmtId="0" xfId="0" applyAlignment="1" applyBorder="1" applyFont="1">
      <alignment horizontal="right" shrinkToFit="0" vertical="center" wrapText="1"/>
    </xf>
    <xf borderId="1" fillId="0" fontId="15" numFmtId="0" xfId="0" applyAlignment="1" applyBorder="1" applyFont="1">
      <alignment horizontal="center" readingOrder="0" vertical="center"/>
    </xf>
    <xf borderId="0" fillId="0" fontId="16" numFmtId="0" xfId="0" applyFont="1"/>
    <xf borderId="1" fillId="0" fontId="16" numFmtId="0" xfId="0" applyAlignment="1" applyBorder="1" applyFont="1">
      <alignment horizontal="right" readingOrder="0"/>
    </xf>
    <xf borderId="1" fillId="0" fontId="16" numFmtId="0" xfId="0" applyAlignment="1" applyBorder="1" applyFont="1">
      <alignment horizontal="center" readingOrder="0" vertical="center"/>
    </xf>
    <xf borderId="1" fillId="0" fontId="16" numFmtId="0" xfId="0" applyAlignment="1" applyBorder="1" applyFont="1">
      <alignment horizontal="center" readingOrder="0" vertical="center"/>
    </xf>
    <xf borderId="1" fillId="7" fontId="17" numFmtId="0" xfId="0" applyAlignment="1" applyBorder="1" applyFill="1" applyFont="1">
      <alignment horizontal="center" readingOrder="0" vertical="center"/>
    </xf>
    <xf borderId="1" fillId="0" fontId="14" numFmtId="0" xfId="0" applyAlignment="1" applyBorder="1" applyFont="1">
      <alignment horizontal="right" readingOrder="0" vertical="center"/>
    </xf>
    <xf borderId="2" fillId="8" fontId="18" numFmtId="0" xfId="0" applyAlignment="1" applyBorder="1" applyFill="1" applyFont="1">
      <alignment horizontal="center" shrinkToFit="0" vertical="center" wrapText="1"/>
    </xf>
    <xf borderId="0" fillId="0" fontId="19" numFmtId="0" xfId="0" applyAlignment="1" applyFont="1">
      <alignment vertical="center"/>
    </xf>
    <xf borderId="4" fillId="0" fontId="15" numFmtId="0" xfId="0" applyAlignment="1" applyBorder="1" applyFont="1">
      <alignment horizontal="center" readingOrder="0" shrinkToFit="0" vertical="center" wrapText="1"/>
    </xf>
    <xf borderId="1" fillId="0" fontId="15" numFmtId="0" xfId="0" applyAlignment="1" applyBorder="1" applyFont="1">
      <alignment horizontal="center" readingOrder="0" shrinkToFit="0" vertical="center" wrapText="1"/>
    </xf>
    <xf borderId="4" fillId="0" fontId="15" numFmtId="0" xfId="0" applyAlignment="1" applyBorder="1" applyFont="1">
      <alignment horizontal="left" readingOrder="0" shrinkToFit="0" vertical="center" wrapText="1"/>
    </xf>
    <xf borderId="5" fillId="0" fontId="20" numFmtId="0" xfId="0" applyAlignment="1" applyBorder="1" applyFont="1">
      <alignment horizontal="center" readingOrder="0" shrinkToFit="0" vertical="center" wrapText="1"/>
    </xf>
    <xf borderId="0" fillId="0" fontId="15" numFmtId="0" xfId="0" applyAlignment="1" applyFont="1">
      <alignment horizontal="center" shrinkToFit="0" vertical="center" wrapText="1"/>
    </xf>
    <xf borderId="0" fillId="0" fontId="15" numFmtId="0" xfId="0" applyAlignment="1" applyFont="1">
      <alignment horizontal="left" shrinkToFit="0" vertical="center" wrapText="1"/>
    </xf>
    <xf borderId="0" fillId="0" fontId="15" numFmtId="0" xfId="0" applyAlignment="1" applyFont="1">
      <alignment horizontal="center" readingOrder="0" shrinkToFit="0" vertical="center" wrapText="1"/>
    </xf>
    <xf borderId="1" fillId="0" fontId="15" numFmtId="0" xfId="0" applyAlignment="1" applyBorder="1" applyFont="1">
      <alignment horizontal="left" readingOrder="0" shrinkToFit="0" vertical="center" wrapText="1"/>
    </xf>
    <xf borderId="1" fillId="0" fontId="21" numFmtId="0" xfId="0" applyAlignment="1" applyBorder="1" applyFont="1">
      <alignment horizontal="center" readingOrder="0" shrinkToFit="0" vertical="center" wrapText="1"/>
    </xf>
    <xf borderId="1" fillId="0" fontId="22" numFmtId="0" xfId="0" applyAlignment="1" applyBorder="1" applyFont="1">
      <alignment horizontal="center" readingOrder="0" shrinkToFit="0" vertical="center" wrapText="1"/>
    </xf>
    <xf borderId="1" fillId="0" fontId="15" numFmtId="0" xfId="0" applyAlignment="1" applyBorder="1" applyFont="1">
      <alignment horizontal="center" shrinkToFit="0" vertical="center" wrapText="1"/>
    </xf>
    <xf borderId="1" fillId="0" fontId="15" numFmtId="0" xfId="0" applyAlignment="1" applyBorder="1" applyFont="1">
      <alignment horizontal="center" readingOrder="0" shrinkToFit="0" vertical="center" wrapText="1"/>
    </xf>
    <xf borderId="1" fillId="0" fontId="15" numFmtId="0" xfId="0" applyAlignment="1" applyBorder="1" applyFont="1">
      <alignment horizontal="left" readingOrder="0" shrinkToFit="0" vertical="center" wrapText="1"/>
    </xf>
    <xf borderId="1" fillId="0" fontId="23" numFmtId="0" xfId="0" applyAlignment="1" applyBorder="1" applyFont="1">
      <alignment horizontal="center" readingOrder="0" shrinkToFit="0" vertical="center" wrapText="1"/>
    </xf>
    <xf borderId="0" fillId="0" fontId="15" numFmtId="0" xfId="0" applyFont="1"/>
    <xf borderId="1" fillId="0" fontId="24" numFmtId="0" xfId="0" applyAlignment="1" applyBorder="1" applyFont="1">
      <alignment horizontal="center" shrinkToFit="0" vertical="center" wrapText="1"/>
    </xf>
    <xf borderId="0" fillId="0" fontId="1" numFmtId="0" xfId="0" applyAlignment="1" applyFont="1">
      <alignment vertical="bottom"/>
    </xf>
    <xf borderId="1" fillId="0" fontId="2" numFmtId="0" xfId="0" applyAlignment="1" applyBorder="1" applyFont="1">
      <alignment horizontal="right" shrinkToFit="0" vertical="bottom" wrapText="1"/>
    </xf>
    <xf borderId="1" fillId="0" fontId="10" numFmtId="0" xfId="0" applyAlignment="1" applyBorder="1" applyFont="1">
      <alignment horizontal="center" vertical="bottom"/>
    </xf>
    <xf borderId="1" fillId="0" fontId="1" numFmtId="0" xfId="0" applyAlignment="1" applyBorder="1" applyFont="1">
      <alignment horizontal="center" readingOrder="0" vertical="bottom"/>
    </xf>
    <xf borderId="1" fillId="0" fontId="1" numFmtId="0" xfId="0" applyAlignment="1" applyBorder="1" applyFont="1">
      <alignment horizontal="center" shrinkToFit="0" wrapText="1"/>
    </xf>
    <xf borderId="1" fillId="0" fontId="1" numFmtId="0" xfId="0" applyAlignment="1" applyBorder="1" applyFont="1">
      <alignment horizontal="center"/>
    </xf>
    <xf borderId="1" fillId="0" fontId="25" numFmtId="0" xfId="0" applyAlignment="1" applyBorder="1" applyFont="1">
      <alignment horizontal="center" readingOrder="0" shrinkToFit="0" vertical="bottom" wrapText="1"/>
    </xf>
    <xf borderId="1" fillId="0" fontId="1" numFmtId="0" xfId="0" applyAlignment="1" applyBorder="1" applyFont="1">
      <alignment vertical="bottom"/>
    </xf>
    <xf borderId="1" fillId="0" fontId="2" numFmtId="0" xfId="0" applyAlignment="1" applyBorder="1" applyFont="1">
      <alignment horizontal="right" vertical="bottom"/>
    </xf>
    <xf borderId="1" fillId="0" fontId="8" numFmtId="0" xfId="0" applyAlignment="1" applyBorder="1" applyFont="1">
      <alignment horizontal="right" vertical="bottom"/>
    </xf>
    <xf borderId="1" fillId="0" fontId="1" numFmtId="0" xfId="0" applyAlignment="1" applyBorder="1" applyFont="1">
      <alignment horizontal="center" vertical="bottom"/>
    </xf>
    <xf borderId="1" fillId="9" fontId="26" numFmtId="0" xfId="0" applyAlignment="1" applyBorder="1" applyFill="1" applyFont="1">
      <alignment horizontal="center" shrinkToFit="0" vertical="center" wrapText="1"/>
    </xf>
    <xf borderId="1" fillId="0" fontId="27" numFmtId="0" xfId="0" applyAlignment="1" applyBorder="1" applyFont="1">
      <alignment horizontal="left" readingOrder="0" shrinkToFit="0" vertical="center" wrapText="1"/>
    </xf>
    <xf borderId="1" fillId="0" fontId="28" numFmtId="0" xfId="0" applyAlignment="1" applyBorder="1" applyFont="1">
      <alignment horizontal="left" readingOrder="0" shrinkToFit="0" vertical="center" wrapText="1"/>
    </xf>
    <xf borderId="1" fillId="0" fontId="1" numFmtId="0" xfId="0" applyAlignment="1" applyBorder="1" applyFont="1">
      <alignment horizontal="left" vertical="center"/>
    </xf>
    <xf borderId="1" fillId="0" fontId="1" numFmtId="0" xfId="0" applyAlignment="1" applyBorder="1" applyFont="1">
      <alignment horizontal="left" vertical="center"/>
    </xf>
    <xf borderId="1" fillId="0" fontId="1" numFmtId="0" xfId="0" applyAlignment="1" applyBorder="1" applyFont="1">
      <alignment horizontal="left" readingOrder="0" vertical="center"/>
    </xf>
    <xf borderId="1" fillId="0" fontId="27" numFmtId="0" xfId="0" applyAlignment="1" applyBorder="1" applyFont="1">
      <alignment horizontal="left" shrinkToFit="0" vertical="center" wrapText="1"/>
    </xf>
    <xf borderId="6" fillId="0" fontId="27" numFmtId="0" xfId="0" applyAlignment="1" applyBorder="1" applyFont="1">
      <alignment horizontal="left" readingOrder="0" shrinkToFit="0" vertical="center" wrapText="1"/>
    </xf>
    <xf borderId="1" fillId="0" fontId="27" numFmtId="0" xfId="0" applyAlignment="1" applyBorder="1" applyFont="1">
      <alignment horizontal="left" readingOrder="0" shrinkToFit="0" vertical="center" wrapText="1"/>
    </xf>
    <xf borderId="0" fillId="0" fontId="27" numFmtId="0" xfId="0" applyAlignment="1" applyFont="1">
      <alignment horizontal="left" readingOrder="0" shrinkToFit="0" vertical="center" wrapText="1"/>
    </xf>
    <xf borderId="0" fillId="0" fontId="27" numFmtId="0" xfId="0" applyAlignment="1" applyFont="1">
      <alignment horizontal="left" readingOrder="0" shrinkToFit="0" vertical="center" wrapText="1"/>
    </xf>
    <xf borderId="0" fillId="0" fontId="27" numFmtId="0" xfId="0" applyAlignment="1" applyFont="1">
      <alignment horizontal="left" shrinkToFit="0" vertical="center" wrapText="1"/>
    </xf>
    <xf borderId="0" fillId="0" fontId="27" numFmtId="0" xfId="0" applyAlignment="1" applyFont="1">
      <alignment readingOrder="0" shrinkToFit="0" vertical="center" wrapText="1"/>
    </xf>
    <xf borderId="1" fillId="0" fontId="27" numFmtId="0" xfId="0" applyAlignment="1" applyBorder="1" applyFont="1">
      <alignment readingOrder="0" shrinkToFit="0" vertical="center" wrapText="1"/>
    </xf>
    <xf borderId="1" fillId="0" fontId="27" numFmtId="0" xfId="0" applyAlignment="1" applyBorder="1" applyFont="1">
      <alignment readingOrder="0" shrinkToFit="0" vertical="center" wrapText="1"/>
    </xf>
    <xf borderId="6" fillId="0" fontId="27" numFmtId="0" xfId="0" applyAlignment="1" applyBorder="1" applyFont="1">
      <alignment readingOrder="0" shrinkToFit="0" vertical="center" wrapText="1"/>
    </xf>
    <xf borderId="0" fillId="0" fontId="27" numFmtId="0" xfId="0" applyAlignment="1" applyFont="1">
      <alignment readingOrder="0" shrinkToFit="0" vertical="center" wrapText="1"/>
    </xf>
    <xf borderId="0" fillId="0" fontId="27" numFmtId="0" xfId="0" applyAlignment="1" applyFont="1">
      <alignment shrinkToFit="0" vertical="center" wrapText="1"/>
    </xf>
    <xf borderId="2" fillId="9" fontId="29" numFmtId="0" xfId="0" applyAlignment="1" applyBorder="1" applyFont="1">
      <alignment horizontal="center" shrinkToFit="0" vertical="center" wrapText="1"/>
    </xf>
    <xf borderId="2" fillId="9" fontId="29" numFmtId="0" xfId="0" applyAlignment="1" applyBorder="1" applyFont="1">
      <alignment horizontal="center" readingOrder="0" shrinkToFit="0" vertical="center" wrapText="1"/>
    </xf>
    <xf borderId="2" fillId="9" fontId="29" numFmtId="0" xfId="0" applyAlignment="1" applyBorder="1" applyFont="1">
      <alignment horizontal="center" shrinkToFit="0" vertical="center" wrapText="1"/>
    </xf>
    <xf borderId="0" fillId="0" fontId="1" numFmtId="0" xfId="0" applyAlignment="1" applyFont="1">
      <alignment horizontal="center" shrinkToFit="0" vertical="center" wrapText="1"/>
    </xf>
    <xf borderId="4" fillId="0" fontId="1" numFmtId="0" xfId="0" applyAlignment="1" applyBorder="1" applyFont="1">
      <alignment horizontal="center" shrinkToFit="0" vertical="center" wrapText="1"/>
    </xf>
    <xf borderId="4"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doughnutChart>
        <c:varyColors val="1"/>
        <c:ser>
          <c:idx val="0"/>
          <c:order val="0"/>
          <c:dPt>
            <c:idx val="0"/>
            <c:spPr>
              <a:solidFill>
                <a:srgbClr val="FF0000"/>
              </a:solidFill>
            </c:spPr>
          </c:dPt>
          <c:dPt>
            <c:idx val="1"/>
            <c:spPr>
              <a:solidFill>
                <a:srgbClr val="FFFF00"/>
              </a:solidFill>
            </c:spPr>
          </c:dPt>
          <c:dPt>
            <c:idx val="2"/>
            <c:spPr>
              <a:solidFill>
                <a:srgbClr val="6AA84F"/>
              </a:solidFill>
            </c:spPr>
          </c:dPt>
          <c:dLbls>
            <c:showLegendKey val="0"/>
            <c:showVal val="1"/>
            <c:showCatName val="0"/>
            <c:showSerName val="0"/>
            <c:showPercent val="0"/>
            <c:showBubbleSize val="0"/>
            <c:showLeaderLines val="1"/>
          </c:dLbls>
          <c:cat>
            <c:strRef>
              <c:f>'Main Report'!$D$3:$D$5</c:f>
            </c:strRef>
          </c:cat>
          <c:val>
            <c:numRef>
              <c:f>'Main Report'!$E$3:$E$5</c:f>
              <c:numCache/>
            </c:numRef>
          </c:val>
        </c:ser>
        <c:dLbls>
          <c:showLegendKey val="0"/>
          <c:showVal val="0"/>
          <c:showCatName val="0"/>
          <c:showSerName val="0"/>
          <c:showPercent val="0"/>
          <c:showBubbleSize val="0"/>
        </c:dLbls>
        <c:holeSize val="25"/>
      </c:doughnutChart>
    </c:plotArea>
    <c:legend>
      <c:legendPos val="r"/>
      <c:overlay val="0"/>
      <c:txPr>
        <a:bodyPr/>
        <a:lstStyle/>
        <a:p>
          <a:pPr lvl="0">
            <a:defRPr b="0">
              <a:solidFill>
                <a:srgbClr val="000000"/>
              </a:solidFill>
              <a:latin typeface="Arial black"/>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9525</xdr:rowOff>
    </xdr:from>
    <xdr:ext cx="3095625" cy="1962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y5JZRqyElRzwmSENbyIoaby4ABXNMvkd/view?usp=sharing" TargetMode="External"/><Relationship Id="rId20" Type="http://schemas.openxmlformats.org/officeDocument/2006/relationships/hyperlink" Target="https://drive.google.com/file/d/1n2fPCLa8owBuzDXqGPjy7JN_qE2TLR5c/view?usp=sharing" TargetMode="External"/><Relationship Id="rId41" Type="http://schemas.openxmlformats.org/officeDocument/2006/relationships/drawing" Target="../drawings/drawing1.xml"/><Relationship Id="rId22" Type="http://schemas.openxmlformats.org/officeDocument/2006/relationships/hyperlink" Target="https://drive.google.com/file/d/1jH3ad-JIzzA_-6W9YmDli1zXTGtLujcc/view?usp=sharing" TargetMode="External"/><Relationship Id="rId21" Type="http://schemas.openxmlformats.org/officeDocument/2006/relationships/hyperlink" Target="https://drive.google.com/file/d/1EUy0_Jd-nkErfkh19kZV3TYxFTYo13cz/view?usp=sharing" TargetMode="External"/><Relationship Id="rId24" Type="http://schemas.openxmlformats.org/officeDocument/2006/relationships/hyperlink" Target="https://drive.google.com/file/d/1w9UkVnWZScCw0KE87UoFHYlJMb3q9Pyc/view?usp=sharing" TargetMode="External"/><Relationship Id="rId23" Type="http://schemas.openxmlformats.org/officeDocument/2006/relationships/hyperlink" Target="https://drive.google.com/file/d/1lWiy9VbX9IH4gDrxmff6yzkIZIhQo5na/view?usp=sharing" TargetMode="External"/><Relationship Id="rId1" Type="http://schemas.openxmlformats.org/officeDocument/2006/relationships/hyperlink" Target="https://drive.google.com/file/d/1dp8YIPw0f02b3yD4hg0imP13InLfISix/view?usp=sharing" TargetMode="External"/><Relationship Id="rId2" Type="http://schemas.openxmlformats.org/officeDocument/2006/relationships/hyperlink" Target="https://drive.google.com/file/d/1mYymnTexagBjkoaU8O4gO5T7vyLl4DyQ/view?usp=sharing" TargetMode="External"/><Relationship Id="rId3" Type="http://schemas.openxmlformats.org/officeDocument/2006/relationships/hyperlink" Target="https://drive.google.com/file/d/13RqLh2MQkAriQj2Dkl4BLDSzGE5LCshO/view?usp=sharing" TargetMode="External"/><Relationship Id="rId4" Type="http://schemas.openxmlformats.org/officeDocument/2006/relationships/hyperlink" Target="https://drive.google.com/file/d/1UPsBCCMc_T2P7wuVzMX_cdxg4O8SvKNq/view?usp=sharing" TargetMode="External"/><Relationship Id="rId9" Type="http://schemas.openxmlformats.org/officeDocument/2006/relationships/hyperlink" Target="https://drive.google.com/file/d/1vwqzma-PdbejGSH9GyeKoCyttOldLfOE/view?usp=drive_link" TargetMode="External"/><Relationship Id="rId26" Type="http://schemas.openxmlformats.org/officeDocument/2006/relationships/hyperlink" Target="https://drive.google.com/file/d/1UVzO8mA6g_DXdzj4M28SUqc2WzczaElO/view?usp=sharing" TargetMode="External"/><Relationship Id="rId25" Type="http://schemas.openxmlformats.org/officeDocument/2006/relationships/hyperlink" Target="https://drive.google.com/file/d/1jxGjt9Jci3o105CD2spqI_FsOMK-t4vU/view?usp=sharing" TargetMode="External"/><Relationship Id="rId28" Type="http://schemas.openxmlformats.org/officeDocument/2006/relationships/hyperlink" Target="https://drive.google.com/file/d/1myQ9LjR8wKBRGnN1a1vlc5p9JfD-ZAWV/view?usp=drive_link" TargetMode="External"/><Relationship Id="rId27" Type="http://schemas.openxmlformats.org/officeDocument/2006/relationships/hyperlink" Target="https://drive.google.com/file/d/1QCro8YlRT4I_lpeGPLTTMsdUJ3xI5_g8/view?usp=drive_link" TargetMode="External"/><Relationship Id="rId5" Type="http://schemas.openxmlformats.org/officeDocument/2006/relationships/hyperlink" Target="https://drive.google.com/file/d/1NguFw_xTtq6PVZ2HbxjZS2OE3JFYV_xi/view?usp=sharing" TargetMode="External"/><Relationship Id="rId6" Type="http://schemas.openxmlformats.org/officeDocument/2006/relationships/hyperlink" Target="https://drive.google.com/file/d/1GDJEzh5czEnmX23gTxZ8EJo1Eu2_KoCy/view?usp=sharing" TargetMode="External"/><Relationship Id="rId29" Type="http://schemas.openxmlformats.org/officeDocument/2006/relationships/hyperlink" Target="https://drive.google.com/file/d/1X_sDax3Fw5CoHgaUnUtHv-Br_PMhLN4L/view?usp=drive_link" TargetMode="External"/><Relationship Id="rId7" Type="http://schemas.openxmlformats.org/officeDocument/2006/relationships/hyperlink" Target="https://drive.google.com/file/d/1sCR7Tu3quCFoYlVceOKWBbK2d0ja4Pmv/view?usp=sharing" TargetMode="External"/><Relationship Id="rId8" Type="http://schemas.openxmlformats.org/officeDocument/2006/relationships/hyperlink" Target="https://drive.google.com/file/d/1cP4nGHGrVxH4gXgstCKFEDderx5LOdm3/view?usp=sharing" TargetMode="External"/><Relationship Id="rId31" Type="http://schemas.openxmlformats.org/officeDocument/2006/relationships/hyperlink" Target="https://drive.google.com/file/d/1GD_sADSA7BmihsaIWc1eOq7CMKBCl6mh/view?usp=sharing" TargetMode="External"/><Relationship Id="rId30" Type="http://schemas.openxmlformats.org/officeDocument/2006/relationships/hyperlink" Target="https://drive.google.com/file/d/13qVO5QBUaehq2stExNPLrcBCPhYsrpyl/view?usp=drive_link" TargetMode="External"/><Relationship Id="rId11" Type="http://schemas.openxmlformats.org/officeDocument/2006/relationships/hyperlink" Target="https://drive.google.com/file/d/1_gUylf7um483_JMe4IK7XSmFuxa03x8t/view?usp=sharing" TargetMode="External"/><Relationship Id="rId33" Type="http://schemas.openxmlformats.org/officeDocument/2006/relationships/hyperlink" Target="https://drive.google.com/file/d/1FjgR4m5z-Y5X4kdmSfSEhB2MXQJcfRFa/view?usp=sharing" TargetMode="External"/><Relationship Id="rId10" Type="http://schemas.openxmlformats.org/officeDocument/2006/relationships/hyperlink" Target="https://drive.google.com/file/d/1werYvDGp-oAMmLc_NX4WfxbjsNu2T0FF/view?usp=sharing" TargetMode="External"/><Relationship Id="rId32" Type="http://schemas.openxmlformats.org/officeDocument/2006/relationships/hyperlink" Target="https://drive.google.com/file/d/1yQj-kclEpRsPlLVdI7EX3A00mFcqhbto/view?usp=drive_link" TargetMode="External"/><Relationship Id="rId13" Type="http://schemas.openxmlformats.org/officeDocument/2006/relationships/hyperlink" Target="https://drive.google.com/file/d/17M8P4Owi5fRCIzGhqI34jEIXrSqH0TFO/view?usp=drive_link" TargetMode="External"/><Relationship Id="rId35" Type="http://schemas.openxmlformats.org/officeDocument/2006/relationships/hyperlink" Target="https://drive.google.com/file/d/1_PF5oW7zDp1QmOKbREuV_edx-dYBkALg/view?usp=sharing" TargetMode="External"/><Relationship Id="rId12" Type="http://schemas.openxmlformats.org/officeDocument/2006/relationships/hyperlink" Target="https://drive.google.com/file/d/1HGsWW9n_89waIHhNkLVXjLEPUfF9-VIO/view?usp=sharing" TargetMode="External"/><Relationship Id="rId34" Type="http://schemas.openxmlformats.org/officeDocument/2006/relationships/hyperlink" Target="https://drive.google.com/file/d/1eBPQe8ZgFovxV31gDm8eF2r2dYAEaAxW/view?usp=sharing" TargetMode="External"/><Relationship Id="rId15" Type="http://schemas.openxmlformats.org/officeDocument/2006/relationships/hyperlink" Target="https://drive.google.com/file/d/1JsarU95YRblJSypPizrKjWunU4dl9jEw/view?usp=sharing" TargetMode="External"/><Relationship Id="rId37" Type="http://schemas.openxmlformats.org/officeDocument/2006/relationships/hyperlink" Target="https://drive.google.com/file/d/1sOlxSdzUI90NBfAtisb5Sssxpzh4Mueq/view?usp=sharing" TargetMode="External"/><Relationship Id="rId14" Type="http://schemas.openxmlformats.org/officeDocument/2006/relationships/hyperlink" Target="https://drive.google.com/file/d/1g_9YICC-Eof2k7qnJ-XOj3VqFJ4i8wXb/view?usp=drive_link" TargetMode="External"/><Relationship Id="rId36" Type="http://schemas.openxmlformats.org/officeDocument/2006/relationships/hyperlink" Target="https://drive.google.com/file/d/1IdziJ4rzNyxClBoht3nL6MmL0jwRcG5Y/view?usp=sharing" TargetMode="External"/><Relationship Id="rId17" Type="http://schemas.openxmlformats.org/officeDocument/2006/relationships/hyperlink" Target="https://drive.google.com/file/d/1UgqIB4QBE3Js89rXlr79fy9wASH2ObX6/view?usp=drive_link" TargetMode="External"/><Relationship Id="rId39" Type="http://schemas.openxmlformats.org/officeDocument/2006/relationships/hyperlink" Target="https://drive.google.com/file/d/1DdydWrTYkTwrzIu-WWnmztF311sjZdTj/view?usp=drive_link" TargetMode="External"/><Relationship Id="rId16" Type="http://schemas.openxmlformats.org/officeDocument/2006/relationships/hyperlink" Target="https://drive.google.com/file/d/11NBVRx0AUvgCaGLoMNE0tAooaKbxL055/view?usp=sharing" TargetMode="External"/><Relationship Id="rId38" Type="http://schemas.openxmlformats.org/officeDocument/2006/relationships/hyperlink" Target="https://drive.google.com/file/d/1k-fqKe69ncvjNR3-W5KH_oDq53VLtkEG/view?usp=sharing" TargetMode="External"/><Relationship Id="rId19" Type="http://schemas.openxmlformats.org/officeDocument/2006/relationships/hyperlink" Target="https://drive.google.com/file/d/1u5XgdTi8kjrA3Pp7RGA-xSdssqPxZfZz/view?usp=drive_link" TargetMode="External"/><Relationship Id="rId18" Type="http://schemas.openxmlformats.org/officeDocument/2006/relationships/hyperlink" Target="https://drive.google.com/file/d/1ItRnC_w6abMRKl0-MvjqPBMQ6H9-ZXDJ/view?usp=sharin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werYvDGp-oAMmLc_NX4WfxbjsNu2T0FF/view?usp=sharing" TargetMode="External"/><Relationship Id="rId20" Type="http://schemas.openxmlformats.org/officeDocument/2006/relationships/hyperlink" Target="https://drive.google.com/file/d/1HGsWW9n_89waIHhNkLVXjLEPUfF9-VIO/view?usp=sharing" TargetMode="External"/><Relationship Id="rId41" Type="http://schemas.openxmlformats.org/officeDocument/2006/relationships/drawing" Target="../drawings/drawing2.xml"/><Relationship Id="rId22" Type="http://schemas.openxmlformats.org/officeDocument/2006/relationships/hyperlink" Target="https://drive.google.com/file/d/1g_9YICC-Eof2k7qnJ-XOj3VqFJ4i8wXb/view?usp=drive_link" TargetMode="External"/><Relationship Id="rId21" Type="http://schemas.openxmlformats.org/officeDocument/2006/relationships/hyperlink" Target="https://drive.google.com/file/d/17M8P4Owi5fRCIzGhqI34jEIXrSqH0TFO/view?usp=drive_link" TargetMode="External"/><Relationship Id="rId24" Type="http://schemas.openxmlformats.org/officeDocument/2006/relationships/hyperlink" Target="https://drive.google.com/file/d/11NBVRx0AUvgCaGLoMNE0tAooaKbxL055/view?usp=sharing" TargetMode="External"/><Relationship Id="rId23" Type="http://schemas.openxmlformats.org/officeDocument/2006/relationships/hyperlink" Target="https://drive.google.com/file/d/1JsarU95YRblJSypPizrKjWunU4dl9jEw/view?usp=sharing" TargetMode="External"/><Relationship Id="rId1" Type="http://schemas.openxmlformats.org/officeDocument/2006/relationships/hyperlink" Target="https://drive.google.com/file/d/1GD_sADSA7BmihsaIWc1eOq7CMKBCl6mh/view?usp=sharing" TargetMode="External"/><Relationship Id="rId2" Type="http://schemas.openxmlformats.org/officeDocument/2006/relationships/hyperlink" Target="https://drive.google.com/file/d/1yQj-kclEpRsPlLVdI7EX3A00mFcqhbto/view?usp=drive_link" TargetMode="External"/><Relationship Id="rId3" Type="http://schemas.openxmlformats.org/officeDocument/2006/relationships/hyperlink" Target="https://drive.google.com/file/d/1QCro8YlRT4I_lpeGPLTTMsdUJ3xI5_g8/view?usp=drive_link" TargetMode="External"/><Relationship Id="rId4" Type="http://schemas.openxmlformats.org/officeDocument/2006/relationships/hyperlink" Target="https://drive.google.com/file/d/1FjgR4m5z-Y5X4kdmSfSEhB2MXQJcfRFa/view?usp=sharing" TargetMode="External"/><Relationship Id="rId9" Type="http://schemas.openxmlformats.org/officeDocument/2006/relationships/hyperlink" Target="https://drive.google.com/file/d/1_PF5oW7zDp1QmOKbREuV_edx-dYBkALg/view?usp=sharing" TargetMode="External"/><Relationship Id="rId26" Type="http://schemas.openxmlformats.org/officeDocument/2006/relationships/hyperlink" Target="https://drive.google.com/file/d/1ItRnC_w6abMRKl0-MvjqPBMQ6H9-ZXDJ/view?usp=sharing" TargetMode="External"/><Relationship Id="rId25" Type="http://schemas.openxmlformats.org/officeDocument/2006/relationships/hyperlink" Target="https://drive.google.com/file/d/1UgqIB4QBE3Js89rXlr79fy9wASH2ObX6/view?usp=drive_link" TargetMode="External"/><Relationship Id="rId28" Type="http://schemas.openxmlformats.org/officeDocument/2006/relationships/hyperlink" Target="https://drive.google.com/file/d/1lWiy9VbX9IH4gDrxmff6yzkIZIhQo5na/view?usp=sharing" TargetMode="External"/><Relationship Id="rId27" Type="http://schemas.openxmlformats.org/officeDocument/2006/relationships/hyperlink" Target="https://drive.google.com/file/d/1y5JZRqyElRzwmSENbyIoaby4ABXNMvkd/view?usp=sharing" TargetMode="External"/><Relationship Id="rId5" Type="http://schemas.openxmlformats.org/officeDocument/2006/relationships/hyperlink" Target="https://drive.google.com/file/d/1vwqzma-PdbejGSH9GyeKoCyttOldLfOE/view?usp=drive_link" TargetMode="External"/><Relationship Id="rId6" Type="http://schemas.openxmlformats.org/officeDocument/2006/relationships/hyperlink" Target="https://drive.google.com/file/d/1myQ9LjR8wKBRGnN1a1vlc5p9JfD-ZAWV/view?usp=drive_link" TargetMode="External"/><Relationship Id="rId29" Type="http://schemas.openxmlformats.org/officeDocument/2006/relationships/hyperlink" Target="https://drive.google.com/file/d/1w9UkVnWZScCw0KE87UoFHYlJMb3q9Pyc/view?usp=sharing" TargetMode="External"/><Relationship Id="rId7" Type="http://schemas.openxmlformats.org/officeDocument/2006/relationships/hyperlink" Target="https://drive.google.com/file/d/1X_sDax3Fw5CoHgaUnUtHv-Br_PMhLN4L/view?usp=drive_link" TargetMode="External"/><Relationship Id="rId8" Type="http://schemas.openxmlformats.org/officeDocument/2006/relationships/hyperlink" Target="https://drive.google.com/file/d/13qVO5QBUaehq2stExNPLrcBCPhYsrpyl/view?usp=drive_link" TargetMode="External"/><Relationship Id="rId31" Type="http://schemas.openxmlformats.org/officeDocument/2006/relationships/hyperlink" Target="https://drive.google.com/file/d/1dp8YIPw0f02b3yD4hg0imP13InLfISix/view?usp=sharing" TargetMode="External"/><Relationship Id="rId30" Type="http://schemas.openxmlformats.org/officeDocument/2006/relationships/hyperlink" Target="https://drive.google.com/file/d/1jxGjt9Jci3o105CD2spqI_FsOMK-t4vU/view?usp=sharing" TargetMode="External"/><Relationship Id="rId11" Type="http://schemas.openxmlformats.org/officeDocument/2006/relationships/hyperlink" Target="https://drive.google.com/file/d/1sOlxSdzUI90NBfAtisb5Sssxpzh4Mueq/view?usp=sharing" TargetMode="External"/><Relationship Id="rId33" Type="http://schemas.openxmlformats.org/officeDocument/2006/relationships/hyperlink" Target="https://drive.google.com/file/d/13RqLh2MQkAriQj2Dkl4BLDSzGE5LCshO/view?usp=sharing" TargetMode="External"/><Relationship Id="rId10" Type="http://schemas.openxmlformats.org/officeDocument/2006/relationships/hyperlink" Target="https://drive.google.com/file/d/1IdziJ4rzNyxClBoht3nL6MmL0jwRcG5Y/view?usp=sharing" TargetMode="External"/><Relationship Id="rId32" Type="http://schemas.openxmlformats.org/officeDocument/2006/relationships/hyperlink" Target="https://drive.google.com/file/d/1mYymnTexagBjkoaU8O4gO5T7vyLl4DyQ/view?usp=sharing" TargetMode="External"/><Relationship Id="rId13" Type="http://schemas.openxmlformats.org/officeDocument/2006/relationships/hyperlink" Target="https://drive.google.com/file/d/1eBPQe8ZgFovxV31gDm8eF2r2dYAEaAxW/view?usp=sharing" TargetMode="External"/><Relationship Id="rId35" Type="http://schemas.openxmlformats.org/officeDocument/2006/relationships/hyperlink" Target="https://drive.google.com/file/d/1NguFw_xTtq6PVZ2HbxjZS2OE3JFYV_xi/view?usp=sharing" TargetMode="External"/><Relationship Id="rId12" Type="http://schemas.openxmlformats.org/officeDocument/2006/relationships/hyperlink" Target="https://drive.google.com/file/d/1k-fqKe69ncvjNR3-W5KH_oDq53VLtkEG/view?usp=sharing" TargetMode="External"/><Relationship Id="rId34" Type="http://schemas.openxmlformats.org/officeDocument/2006/relationships/hyperlink" Target="https://drive.google.com/file/d/1UPsBCCMc_T2P7wuVzMX_cdxg4O8SvKNq/view?usp=sharing" TargetMode="External"/><Relationship Id="rId15" Type="http://schemas.openxmlformats.org/officeDocument/2006/relationships/hyperlink" Target="https://drive.google.com/file/d/1u5XgdTi8kjrA3Pp7RGA-xSdssqPxZfZz/view?usp=drive_link" TargetMode="External"/><Relationship Id="rId37" Type="http://schemas.openxmlformats.org/officeDocument/2006/relationships/hyperlink" Target="https://drive.google.com/file/d/1sCR7Tu3quCFoYlVceOKWBbK2d0ja4Pmv/view?usp=sharing" TargetMode="External"/><Relationship Id="rId14" Type="http://schemas.openxmlformats.org/officeDocument/2006/relationships/hyperlink" Target="https://drive.google.com/file/d/1DdydWrTYkTwrzIu-WWnmztF311sjZdTj/view?usp=drive_link" TargetMode="External"/><Relationship Id="rId36" Type="http://schemas.openxmlformats.org/officeDocument/2006/relationships/hyperlink" Target="https://drive.google.com/file/d/1GDJEzh5czEnmX23gTxZ8EJo1Eu2_KoCy/view?usp=sharing" TargetMode="External"/><Relationship Id="rId17" Type="http://schemas.openxmlformats.org/officeDocument/2006/relationships/hyperlink" Target="https://drive.google.com/file/d/1EUy0_Jd-nkErfkh19kZV3TYxFTYo13cz/view?usp=sharing" TargetMode="External"/><Relationship Id="rId39" Type="http://schemas.openxmlformats.org/officeDocument/2006/relationships/hyperlink" Target="https://drive.google.com/file/d/1UVzO8mA6g_DXdzj4M28SUqc2WzczaElO/view?usp=sharing" TargetMode="External"/><Relationship Id="rId16" Type="http://schemas.openxmlformats.org/officeDocument/2006/relationships/hyperlink" Target="https://drive.google.com/file/d/1n2fPCLa8owBuzDXqGPjy7JN_qE2TLR5c/view?usp=sharing" TargetMode="External"/><Relationship Id="rId38" Type="http://schemas.openxmlformats.org/officeDocument/2006/relationships/hyperlink" Target="https://drive.google.com/file/d/1cP4nGHGrVxH4gXgstCKFEDderx5LOdm3/view?usp=sharing" TargetMode="External"/><Relationship Id="rId19" Type="http://schemas.openxmlformats.org/officeDocument/2006/relationships/hyperlink" Target="https://drive.google.com/file/d/1_gUylf7um483_JMe4IK7XSmFuxa03x8t/view?usp=sharing" TargetMode="External"/><Relationship Id="rId18" Type="http://schemas.openxmlformats.org/officeDocument/2006/relationships/hyperlink" Target="https://drive.google.com/file/d/1jH3ad-JIzzA_-6W9YmDli1zXTGtLujcc/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 customWidth="1" min="2" max="2" width="20.25"/>
    <col customWidth="1" min="3" max="3" width="14.38"/>
    <col customWidth="1" min="4" max="4" width="24.5"/>
    <col customWidth="1" min="5" max="5" width="17.13"/>
    <col customWidth="1" min="6" max="6" width="20.0"/>
    <col customWidth="1" min="8" max="8" width="19.88"/>
    <col customWidth="1" min="9" max="9" width="16.25"/>
    <col customWidth="1" min="10" max="10" width="14.13"/>
    <col customWidth="1" min="12" max="12" width="16.13"/>
    <col customWidth="1" min="13" max="13" width="18.75"/>
    <col customWidth="1" min="14" max="15" width="15.25"/>
    <col customWidth="1" min="16" max="17" width="17.25"/>
  </cols>
  <sheetData>
    <row r="1">
      <c r="A1" s="1"/>
      <c r="B1" s="1"/>
      <c r="C1" s="1"/>
      <c r="D1" s="1"/>
      <c r="E1" s="1"/>
      <c r="F1" s="1"/>
      <c r="G1" s="1"/>
      <c r="H1" s="1"/>
      <c r="I1" s="1"/>
      <c r="J1" s="1"/>
      <c r="K1" s="1"/>
      <c r="L1" s="1"/>
      <c r="M1" s="1"/>
      <c r="N1" s="1"/>
      <c r="O1" s="1"/>
    </row>
    <row r="2">
      <c r="A2" s="2" t="s">
        <v>0</v>
      </c>
      <c r="B2" s="3" t="s">
        <v>1</v>
      </c>
      <c r="C2" s="1"/>
      <c r="D2" s="4" t="s">
        <v>2</v>
      </c>
      <c r="E2" s="4" t="s">
        <v>3</v>
      </c>
      <c r="F2" s="1"/>
      <c r="G2" s="1"/>
      <c r="H2" s="5"/>
      <c r="I2" s="5"/>
      <c r="J2" s="5"/>
      <c r="K2" s="5"/>
      <c r="L2" s="5"/>
      <c r="M2" s="5"/>
      <c r="N2" s="1"/>
      <c r="O2" s="1"/>
    </row>
    <row r="3">
      <c r="A3" s="2" t="s">
        <v>4</v>
      </c>
      <c r="B3" s="6"/>
      <c r="C3" s="1"/>
      <c r="D3" s="7" t="s">
        <v>5</v>
      </c>
      <c r="E3" s="8">
        <f>COUNTIF(Tahsin!K14:K1005, "High") + COUNTIF(Fahad!K8:K1004, "High")</f>
        <v>22</v>
      </c>
      <c r="F3" s="1"/>
      <c r="G3" s="1"/>
      <c r="H3" s="1"/>
      <c r="I3" s="1"/>
      <c r="J3" s="1"/>
      <c r="K3" s="1"/>
      <c r="L3" s="1"/>
      <c r="M3" s="1"/>
      <c r="N3" s="1"/>
      <c r="O3" s="1"/>
    </row>
    <row r="4">
      <c r="A4" s="2" t="s">
        <v>6</v>
      </c>
      <c r="B4" s="9"/>
      <c r="C4" s="1"/>
      <c r="D4" s="10" t="s">
        <v>7</v>
      </c>
      <c r="E4" s="8">
        <f>COUNTIF(Tahsin!K14:K1006, "Medium") + COUNTIF(Fahad!K8:K1005, "Medium")</f>
        <v>17</v>
      </c>
      <c r="F4" s="1"/>
      <c r="G4" s="1"/>
      <c r="H4" s="1"/>
      <c r="I4" s="1"/>
      <c r="J4" s="1"/>
      <c r="K4" s="1"/>
      <c r="L4" s="1"/>
      <c r="M4" s="1"/>
      <c r="N4" s="1"/>
      <c r="O4" s="1"/>
    </row>
    <row r="5">
      <c r="A5" s="2" t="s">
        <v>8</v>
      </c>
      <c r="B5" s="11"/>
      <c r="C5" s="1"/>
      <c r="D5" s="12" t="s">
        <v>9</v>
      </c>
      <c r="E5" s="8">
        <f>COUNTIF(Fahad!K8:K1006, "Low") + COUNTIF(Tahsin!K14:K1009, "Low")</f>
        <v>1</v>
      </c>
      <c r="F5" s="1"/>
      <c r="G5" s="1"/>
      <c r="H5" s="1"/>
      <c r="I5" s="1"/>
      <c r="J5" s="1"/>
      <c r="K5" s="1"/>
      <c r="L5" s="1"/>
      <c r="M5" s="1"/>
      <c r="N5" s="1"/>
      <c r="O5" s="1"/>
    </row>
    <row r="6">
      <c r="A6" s="2" t="s">
        <v>10</v>
      </c>
      <c r="B6" s="13"/>
      <c r="C6" s="1"/>
      <c r="D6" s="14"/>
      <c r="E6" s="14"/>
      <c r="F6" s="1"/>
      <c r="G6" s="1"/>
      <c r="H6" s="1"/>
      <c r="I6" s="1"/>
      <c r="J6" s="1"/>
      <c r="K6" s="1"/>
      <c r="L6" s="1"/>
      <c r="M6" s="1"/>
      <c r="N6" s="1"/>
      <c r="O6" s="1"/>
    </row>
    <row r="7">
      <c r="A7" s="2" t="s">
        <v>11</v>
      </c>
      <c r="B7" s="13"/>
      <c r="C7" s="1"/>
      <c r="D7" s="15" t="s">
        <v>12</v>
      </c>
      <c r="E7" s="16">
        <f>SUM(E3:E5)</f>
        <v>40</v>
      </c>
      <c r="F7" s="1"/>
      <c r="G7" s="1"/>
      <c r="H7" s="1"/>
      <c r="I7" s="1"/>
      <c r="J7" s="1"/>
      <c r="K7" s="1"/>
      <c r="L7" s="1"/>
      <c r="M7" s="1"/>
      <c r="N7" s="1"/>
      <c r="O7" s="17" t="s">
        <v>13</v>
      </c>
      <c r="P7" s="18" t="s">
        <v>14</v>
      </c>
    </row>
    <row r="8">
      <c r="A8" s="1"/>
      <c r="B8" s="1"/>
      <c r="C8" s="1"/>
      <c r="D8" s="15" t="s">
        <v>15</v>
      </c>
      <c r="E8" s="16">
        <f>COUNTIF(O11:O1003, "Solved")</f>
        <v>0</v>
      </c>
      <c r="F8" s="1"/>
      <c r="G8" s="1"/>
      <c r="H8" s="1"/>
      <c r="I8" s="1"/>
      <c r="J8" s="1"/>
      <c r="K8" s="1"/>
      <c r="L8" s="1"/>
      <c r="M8" s="1"/>
      <c r="N8" s="1"/>
    </row>
    <row r="9">
      <c r="A9" s="1"/>
      <c r="B9" s="1"/>
      <c r="C9" s="1"/>
      <c r="D9" s="1"/>
      <c r="E9" s="1"/>
      <c r="F9" s="1"/>
      <c r="G9" s="1"/>
      <c r="H9" s="1"/>
      <c r="I9" s="1"/>
      <c r="J9" s="1"/>
      <c r="K9" s="1"/>
      <c r="L9" s="1"/>
      <c r="M9" s="1"/>
      <c r="N9" s="1"/>
    </row>
    <row r="10">
      <c r="A10" s="19" t="s">
        <v>16</v>
      </c>
      <c r="B10" s="19" t="s">
        <v>17</v>
      </c>
      <c r="C10" s="19" t="s">
        <v>18</v>
      </c>
      <c r="D10" s="19" t="s">
        <v>19</v>
      </c>
      <c r="E10" s="19" t="s">
        <v>20</v>
      </c>
      <c r="F10" s="19" t="s">
        <v>21</v>
      </c>
      <c r="G10" s="19" t="s">
        <v>22</v>
      </c>
      <c r="H10" s="19" t="s">
        <v>23</v>
      </c>
      <c r="I10" s="19" t="s">
        <v>24</v>
      </c>
      <c r="J10" s="19" t="s">
        <v>25</v>
      </c>
      <c r="K10" s="19" t="s">
        <v>2</v>
      </c>
      <c r="L10" s="19" t="s">
        <v>26</v>
      </c>
      <c r="M10" s="19" t="s">
        <v>27</v>
      </c>
      <c r="N10" s="20" t="s">
        <v>28</v>
      </c>
      <c r="O10" s="20" t="s">
        <v>29</v>
      </c>
      <c r="P10" s="20" t="s">
        <v>30</v>
      </c>
      <c r="Q10" s="20" t="s">
        <v>31</v>
      </c>
      <c r="R10" s="21"/>
      <c r="S10" s="21"/>
      <c r="T10" s="21"/>
      <c r="U10" s="21"/>
      <c r="V10" s="21"/>
      <c r="W10" s="21"/>
      <c r="X10" s="21"/>
      <c r="Y10" s="21"/>
      <c r="Z10" s="21"/>
      <c r="AA10" s="21"/>
    </row>
    <row r="11">
      <c r="A11" s="22" t="str">
        <f t="array" ref="A11:A999">IF((LEN(B11:B1000)+LEN(C11:C1000))&gt;0, "BR-" &amp; TEXT(ROW(B11:B1000)-ROW(B11)+1,"000"), "")
</f>
        <v>BR-001</v>
      </c>
      <c r="B11" s="23" t="str">
        <f>IFERROR(__xludf.DUMMYFUNCTION("QUERY(
  {
    ARRAYFORMULA({TRIM(Fahad!B8:B999), Fahad!C8:M999, IF(LEN(Fahad!B8:B999), ""Fahad"", """")});
    ARRAYFORMULA({TRIM(Tahsin!B15:B999), Tahsin!C15:M999, IF(LEN(Tahsin!B15:B999), ""Tahsin"", """")})
  },
  ""SELECT * WHERE Col1 IS NOT NULL ORD"&amp;"ER BY Col1 ASC, Col2 ASC"",
  0
)
"),"Account")</f>
        <v>Account</v>
      </c>
      <c r="C11" s="23" t="str">
        <f>IFERROR(__xludf.DUMMYFUNCTION("""COMPUTED_VALUE"""),"Account")</f>
        <v>Account</v>
      </c>
      <c r="D11" s="23" t="str">
        <f>IFERROR(__xludf.DUMMYFUNCTION("""COMPUTED_VALUE"""),"Different from UI")</f>
        <v>Different from UI</v>
      </c>
      <c r="E11" s="23" t="str">
        <f>IFERROR(__xludf.DUMMYFUNCTION("""COMPUTED_VALUE"""),"User need to install the app in their android device")</f>
        <v>User need to install the app in their android device</v>
      </c>
      <c r="F11" s="23" t="str">
        <f>IFERROR(__xludf.DUMMYFUNCTION("""COMPUTED_VALUE"""),"1. Open app
2. Sign-in using valid credential
3. Select driver role
4. Click on Account")</f>
        <v>1. Open app
2. Sign-in using valid credential
3. Select driver role
4. Click on Account</v>
      </c>
      <c r="G11" s="23" t="str">
        <f>IFERROR(__xludf.DUMMYFUNCTION("""COMPUTED_VALUE"""),"Driver Credentials")</f>
        <v>Driver Credentials</v>
      </c>
      <c r="H11" s="23" t="str">
        <f>IFERROR(__xludf.DUMMYFUNCTION("""COMPUTED_VALUE"""),"The design and alignments should be as accurate as in Figma.")</f>
        <v>The design and alignments should be as accurate as in Figma.</v>
      </c>
      <c r="I11" s="23" t="str">
        <f>IFERROR(__xludf.DUMMYFUNCTION("""COMPUTED_VALUE"""),"Noticed a different design implementation in the app.")</f>
        <v>Noticed a different design implementation in the app.</v>
      </c>
      <c r="J11" s="23" t="str">
        <f>IFERROR(__xludf.DUMMYFUNCTION("""COMPUTED_VALUE"""),"Fail")</f>
        <v>Fail</v>
      </c>
      <c r="K11" s="23" t="str">
        <f>IFERROR(__xludf.DUMMYFUNCTION("""COMPUTED_VALUE"""),"Medium")</f>
        <v>Medium</v>
      </c>
      <c r="L11" s="24" t="str">
        <f>IFERROR(__xludf.DUMMYFUNCTION("""COMPUTED_VALUE"""),"031.png")</f>
        <v>031.png</v>
      </c>
      <c r="M11" s="23"/>
      <c r="N11" s="25" t="str">
        <f>IFERROR(__xludf.DUMMYFUNCTION("""COMPUTED_VALUE"""),"Fahad")</f>
        <v>Fahad</v>
      </c>
      <c r="O11" s="25"/>
      <c r="P11" s="25"/>
      <c r="Q11" s="25"/>
      <c r="R11" s="26"/>
      <c r="S11" s="26"/>
      <c r="T11" s="26"/>
      <c r="U11" s="26"/>
      <c r="V11" s="26"/>
      <c r="W11" s="26"/>
      <c r="X11" s="26"/>
      <c r="Y11" s="26"/>
      <c r="Z11" s="26"/>
      <c r="AA11" s="26"/>
    </row>
    <row r="12">
      <c r="A12" s="27" t="s">
        <v>32</v>
      </c>
      <c r="B12" s="28" t="str">
        <f>IFERROR(__xludf.DUMMYFUNCTION("""COMPUTED_VALUE"""),"Account")</f>
        <v>Account</v>
      </c>
      <c r="C12" s="28" t="str">
        <f>IFERROR(__xludf.DUMMYFUNCTION("""COMPUTED_VALUE"""),"Account")</f>
        <v>Account</v>
      </c>
      <c r="D12" s="28" t="str">
        <f>IFERROR(__xludf.DUMMYFUNCTION("""COMPUTED_VALUE"""),"Flow broken. Unable to add wallet card in app")</f>
        <v>Flow broken. Unable to add wallet card in app</v>
      </c>
      <c r="E12" s="28" t="str">
        <f>IFERROR(__xludf.DUMMYFUNCTION("""COMPUTED_VALUE"""),"User need to install the app in their android device")</f>
        <v>User need to install the app in their android device</v>
      </c>
      <c r="F12" s="28" t="str">
        <f>IFERROR(__xludf.DUMMYFUNCTION("""COMPUTED_VALUE"""),"1. Open app
2. Sign-in using valid credential
3. Select driver role
4. Click on Account")</f>
        <v>1. Open app
2. Sign-in using valid credential
3. Select driver role
4. Click on Account</v>
      </c>
      <c r="G12" s="28" t="str">
        <f>IFERROR(__xludf.DUMMYFUNCTION("""COMPUTED_VALUE"""),"Driver Credentials")</f>
        <v>Driver Credentials</v>
      </c>
      <c r="H12" s="28" t="str">
        <f>IFERROR(__xludf.DUMMYFUNCTION("""COMPUTED_VALUE"""),"The flow should be accurate according to the Figma design.")</f>
        <v>The flow should be accurate according to the Figma design.</v>
      </c>
      <c r="I12" s="28" t="str">
        <f>IFERROR(__xludf.DUMMYFUNCTION("""COMPUTED_VALUE"""),"The app is missing a feature that allows adding a wallet card to the driver profile.")</f>
        <v>The app is missing a feature that allows adding a wallet card to the driver profile.</v>
      </c>
      <c r="J12" s="28" t="str">
        <f>IFERROR(__xludf.DUMMYFUNCTION("""COMPUTED_VALUE"""),"Fail")</f>
        <v>Fail</v>
      </c>
      <c r="K12" s="28" t="str">
        <f>IFERROR(__xludf.DUMMYFUNCTION("""COMPUTED_VALUE"""),"High")</f>
        <v>High</v>
      </c>
      <c r="L12" s="29" t="str">
        <f>IFERROR(__xludf.DUMMYFUNCTION("""COMPUTED_VALUE"""),"032.png")</f>
        <v>032.png</v>
      </c>
      <c r="M12" s="28"/>
      <c r="N12" s="28" t="str">
        <f>IFERROR(__xludf.DUMMYFUNCTION("""COMPUTED_VALUE"""),"Fahad")</f>
        <v>Fahad</v>
      </c>
      <c r="O12" s="27"/>
      <c r="P12" s="28"/>
      <c r="Q12" s="28"/>
      <c r="R12" s="26"/>
      <c r="S12" s="26"/>
      <c r="T12" s="26"/>
      <c r="U12" s="26"/>
      <c r="V12" s="26"/>
      <c r="W12" s="26"/>
      <c r="X12" s="26"/>
      <c r="Y12" s="26"/>
      <c r="Z12" s="26"/>
      <c r="AA12" s="26"/>
    </row>
    <row r="13">
      <c r="A13" s="27" t="s">
        <v>33</v>
      </c>
      <c r="B13" s="28" t="str">
        <f>IFERROR(__xludf.DUMMYFUNCTION("""COMPUTED_VALUE"""),"Account")</f>
        <v>Account</v>
      </c>
      <c r="C13" s="28" t="str">
        <f>IFERROR(__xludf.DUMMYFUNCTION("""COMPUTED_VALUE"""),"Account")</f>
        <v>Account</v>
      </c>
      <c r="D13" s="28" t="str">
        <f>IFERROR(__xludf.DUMMYFUNCTION("""COMPUTED_VALUE"""),"Missing email input field in app")</f>
        <v>Missing email input field in app</v>
      </c>
      <c r="E13" s="28" t="str">
        <f>IFERROR(__xludf.DUMMYFUNCTION("""COMPUTED_VALUE"""),"User need to install the app in their android device")</f>
        <v>User need to install the app in their android device</v>
      </c>
      <c r="F13" s="28" t="str">
        <f>IFERROR(__xludf.DUMMYFUNCTION("""COMPUTED_VALUE"""),"1. Open app
2. Sign-in using valid credential
3. Select driver role
4. Click on Account")</f>
        <v>1. Open app
2. Sign-in using valid credential
3. Select driver role
4. Click on Account</v>
      </c>
      <c r="G13" s="28" t="str">
        <f>IFERROR(__xludf.DUMMYFUNCTION("""COMPUTED_VALUE"""),"Driver Credentials")</f>
        <v>Driver Credentials</v>
      </c>
      <c r="H13" s="28" t="str">
        <f>IFERROR(__xludf.DUMMYFUNCTION("""COMPUTED_VALUE"""),"The input field should be positioned precisely as shown in the Figma design.")</f>
        <v>The input field should be positioned precisely as shown in the Figma design.</v>
      </c>
      <c r="I13" s="28" t="str">
        <f>IFERROR(__xludf.DUMMYFUNCTION("""COMPUTED_VALUE"""),"Missing input field in app")</f>
        <v>Missing input field in app</v>
      </c>
      <c r="J13" s="28" t="str">
        <f>IFERROR(__xludf.DUMMYFUNCTION("""COMPUTED_VALUE"""),"Fail")</f>
        <v>Fail</v>
      </c>
      <c r="K13" s="28" t="str">
        <f>IFERROR(__xludf.DUMMYFUNCTION("""COMPUTED_VALUE"""),"High")</f>
        <v>High</v>
      </c>
      <c r="L13" s="29" t="str">
        <f>IFERROR(__xludf.DUMMYFUNCTION("""COMPUTED_VALUE"""),"033.png")</f>
        <v>033.png</v>
      </c>
      <c r="M13" s="28"/>
      <c r="N13" s="28" t="str">
        <f>IFERROR(__xludf.DUMMYFUNCTION("""COMPUTED_VALUE"""),"Fahad")</f>
        <v>Fahad</v>
      </c>
      <c r="O13" s="28"/>
      <c r="P13" s="28"/>
      <c r="Q13" s="28"/>
      <c r="R13" s="26"/>
      <c r="S13" s="26"/>
      <c r="T13" s="26"/>
      <c r="U13" s="26"/>
      <c r="V13" s="26"/>
      <c r="W13" s="26"/>
      <c r="X13" s="26"/>
      <c r="Y13" s="26"/>
      <c r="Z13" s="26"/>
      <c r="AA13" s="26"/>
    </row>
    <row r="14">
      <c r="A14" s="27" t="s">
        <v>34</v>
      </c>
      <c r="B14" s="28" t="str">
        <f>IFERROR(__xludf.DUMMYFUNCTION("""COMPUTED_VALUE"""),"Account")</f>
        <v>Account</v>
      </c>
      <c r="C14" s="28" t="str">
        <f>IFERROR(__xludf.DUMMYFUNCTION("""COMPUTED_VALUE"""),"Account")</f>
        <v>Account</v>
      </c>
      <c r="D14" s="28" t="str">
        <f>IFERROR(__xludf.DUMMYFUNCTION("""COMPUTED_VALUE"""),"Missing update password field in app")</f>
        <v>Missing update password field in app</v>
      </c>
      <c r="E14" s="28" t="str">
        <f>IFERROR(__xludf.DUMMYFUNCTION("""COMPUTED_VALUE"""),"User need to install the app in their android device")</f>
        <v>User need to install the app in their android device</v>
      </c>
      <c r="F14" s="28" t="str">
        <f>IFERROR(__xludf.DUMMYFUNCTION("""COMPUTED_VALUE"""),"1. Open app
2. Sign-in using valid credential
3. Select driver role
4. Click on Account")</f>
        <v>1. Open app
2. Sign-in using valid credential
3. Select driver role
4. Click on Account</v>
      </c>
      <c r="G14" s="28" t="str">
        <f>IFERROR(__xludf.DUMMYFUNCTION("""COMPUTED_VALUE"""),"Driver Credentials")</f>
        <v>Driver Credentials</v>
      </c>
      <c r="H14" s="28" t="str">
        <f>IFERROR(__xludf.DUMMYFUNCTION("""COMPUTED_VALUE"""),"Features and functionalities should be implemented correctly.")</f>
        <v>Features and functionalities should be implemented correctly.</v>
      </c>
      <c r="I14" s="28" t="str">
        <f>IFERROR(__xludf.DUMMYFUNCTION("""COMPUTED_VALUE"""),"Missing feature noticed")</f>
        <v>Missing feature noticed</v>
      </c>
      <c r="J14" s="28" t="str">
        <f>IFERROR(__xludf.DUMMYFUNCTION("""COMPUTED_VALUE"""),"Fail")</f>
        <v>Fail</v>
      </c>
      <c r="K14" s="28" t="str">
        <f>IFERROR(__xludf.DUMMYFUNCTION("""COMPUTED_VALUE"""),"High")</f>
        <v>High</v>
      </c>
      <c r="L14" s="29" t="str">
        <f>IFERROR(__xludf.DUMMYFUNCTION("""COMPUTED_VALUE"""),"034.png")</f>
        <v>034.png</v>
      </c>
      <c r="M14" s="28"/>
      <c r="N14" s="28" t="str">
        <f>IFERROR(__xludf.DUMMYFUNCTION("""COMPUTED_VALUE"""),"Fahad")</f>
        <v>Fahad</v>
      </c>
      <c r="O14" s="28"/>
      <c r="P14" s="28"/>
      <c r="Q14" s="28"/>
      <c r="R14" s="26"/>
      <c r="S14" s="26"/>
      <c r="T14" s="26"/>
      <c r="U14" s="26"/>
      <c r="V14" s="26"/>
      <c r="W14" s="26"/>
      <c r="X14" s="26"/>
      <c r="Y14" s="26"/>
      <c r="Z14" s="26"/>
      <c r="AA14" s="26"/>
    </row>
    <row r="15">
      <c r="A15" s="27" t="s">
        <v>35</v>
      </c>
      <c r="B15" s="28" t="str">
        <f>IFERROR(__xludf.DUMMYFUNCTION("""COMPUTED_VALUE"""),"Account")</f>
        <v>Account</v>
      </c>
      <c r="C15" s="28" t="str">
        <f>IFERROR(__xludf.DUMMYFUNCTION("""COMPUTED_VALUE"""),"Account")</f>
        <v>Account</v>
      </c>
      <c r="D15" s="28" t="str">
        <f>IFERROR(__xludf.DUMMYFUNCTION("""COMPUTED_VALUE"""),"Button is not functional")</f>
        <v>Button is not functional</v>
      </c>
      <c r="E15" s="28" t="str">
        <f>IFERROR(__xludf.DUMMYFUNCTION("""COMPUTED_VALUE"""),"User need to install the app in their android device")</f>
        <v>User need to install the app in their android device</v>
      </c>
      <c r="F15" s="28" t="str">
        <f>IFERROR(__xludf.DUMMYFUNCTION("""COMPUTED_VALUE"""),"1. Open app
2. Sign-in using valid credential
3. Select driver role
4. Click on Account")</f>
        <v>1. Open app
2. Sign-in using valid credential
3. Select driver role
4. Click on Account</v>
      </c>
      <c r="G15" s="28" t="str">
        <f>IFERROR(__xludf.DUMMYFUNCTION("""COMPUTED_VALUE"""),"Driver Credentials")</f>
        <v>Driver Credentials</v>
      </c>
      <c r="H15" s="28" t="str">
        <f>IFERROR(__xludf.DUMMYFUNCTION("""COMPUTED_VALUE"""),"Features and functionalities should be implemented correctly.")</f>
        <v>Features and functionalities should be implemented correctly.</v>
      </c>
      <c r="I15" s="28" t="str">
        <f>IFERROR(__xludf.DUMMYFUNCTION("""COMPUTED_VALUE"""),"Missing feature noticed")</f>
        <v>Missing feature noticed</v>
      </c>
      <c r="J15" s="28" t="str">
        <f>IFERROR(__xludf.DUMMYFUNCTION("""COMPUTED_VALUE"""),"Fail")</f>
        <v>Fail</v>
      </c>
      <c r="K15" s="28" t="str">
        <f>IFERROR(__xludf.DUMMYFUNCTION("""COMPUTED_VALUE"""),"High")</f>
        <v>High</v>
      </c>
      <c r="L15" s="29" t="str">
        <f>IFERROR(__xludf.DUMMYFUNCTION("""COMPUTED_VALUE"""),"035.png")</f>
        <v>035.png</v>
      </c>
      <c r="M15" s="28"/>
      <c r="N15" s="28" t="str">
        <f>IFERROR(__xludf.DUMMYFUNCTION("""COMPUTED_VALUE"""),"Fahad")</f>
        <v>Fahad</v>
      </c>
      <c r="O15" s="28"/>
      <c r="P15" s="28"/>
      <c r="Q15" s="28"/>
      <c r="R15" s="26"/>
      <c r="S15" s="26"/>
      <c r="T15" s="26"/>
      <c r="U15" s="26"/>
      <c r="V15" s="26"/>
      <c r="W15" s="26"/>
      <c r="X15" s="26"/>
      <c r="Y15" s="26"/>
      <c r="Z15" s="26"/>
      <c r="AA15" s="26"/>
    </row>
    <row r="16">
      <c r="A16" s="27" t="s">
        <v>36</v>
      </c>
      <c r="B16" s="28" t="str">
        <f>IFERROR(__xludf.DUMMYFUNCTION("""COMPUTED_VALUE"""),"Account")</f>
        <v>Account</v>
      </c>
      <c r="C16" s="28" t="str">
        <f>IFERROR(__xludf.DUMMYFUNCTION("""COMPUTED_VALUE"""),"Account")</f>
        <v>Account</v>
      </c>
      <c r="D16" s="28" t="str">
        <f>IFERROR(__xludf.DUMMYFUNCTION("""COMPUTED_VALUE"""),"Missing privacy and data ")</f>
        <v>Missing privacy and data </v>
      </c>
      <c r="E16" s="28" t="str">
        <f>IFERROR(__xludf.DUMMYFUNCTION("""COMPUTED_VALUE"""),"User need to install the app in their android device")</f>
        <v>User need to install the app in their android device</v>
      </c>
      <c r="F16" s="28" t="str">
        <f>IFERROR(__xludf.DUMMYFUNCTION("""COMPUTED_VALUE"""),"1. Open app
2. Sign-in using valid credential
3. Select driver role
4. Click on Account")</f>
        <v>1. Open app
2. Sign-in using valid credential
3. Select driver role
4. Click on Account</v>
      </c>
      <c r="G16" s="28" t="str">
        <f>IFERROR(__xludf.DUMMYFUNCTION("""COMPUTED_VALUE"""),"Driver Credentials")</f>
        <v>Driver Credentials</v>
      </c>
      <c r="H16" s="28" t="str">
        <f>IFERROR(__xludf.DUMMYFUNCTION("""COMPUTED_VALUE"""),"Page data should be positioned perfectly.")</f>
        <v>Page data should be positioned perfectly.</v>
      </c>
      <c r="I16" s="28" t="str">
        <f>IFERROR(__xludf.DUMMYFUNCTION("""COMPUTED_VALUE"""),"Missing content on privacy and data ")</f>
        <v>Missing content on privacy and data </v>
      </c>
      <c r="J16" s="28" t="str">
        <f>IFERROR(__xludf.DUMMYFUNCTION("""COMPUTED_VALUE"""),"Fail")</f>
        <v>Fail</v>
      </c>
      <c r="K16" s="28" t="str">
        <f>IFERROR(__xludf.DUMMYFUNCTION("""COMPUTED_VALUE"""),"Low")</f>
        <v>Low</v>
      </c>
      <c r="L16" s="29" t="str">
        <f>IFERROR(__xludf.DUMMYFUNCTION("""COMPUTED_VALUE"""),"036.png")</f>
        <v>036.png</v>
      </c>
      <c r="M16" s="28"/>
      <c r="N16" s="28" t="str">
        <f>IFERROR(__xludf.DUMMYFUNCTION("""COMPUTED_VALUE"""),"Fahad")</f>
        <v>Fahad</v>
      </c>
      <c r="O16" s="28"/>
      <c r="P16" s="28"/>
      <c r="Q16" s="28"/>
      <c r="R16" s="26"/>
      <c r="S16" s="26"/>
      <c r="T16" s="26"/>
      <c r="U16" s="26"/>
      <c r="V16" s="26"/>
      <c r="W16" s="26"/>
      <c r="X16" s="26"/>
      <c r="Y16" s="26"/>
      <c r="Z16" s="26"/>
      <c r="AA16" s="26"/>
    </row>
    <row r="17">
      <c r="A17" s="27" t="s">
        <v>37</v>
      </c>
      <c r="B17" s="28" t="str">
        <f>IFERROR(__xludf.DUMMYFUNCTION("""COMPUTED_VALUE"""),"Account")</f>
        <v>Account</v>
      </c>
      <c r="C17" s="28" t="str">
        <f>IFERROR(__xludf.DUMMYFUNCTION("""COMPUTED_VALUE"""),"Account")</f>
        <v>Account</v>
      </c>
      <c r="D17" s="28" t="str">
        <f>IFERROR(__xludf.DUMMYFUNCTION("""COMPUTED_VALUE"""),"About us page missing in app")</f>
        <v>About us page missing in app</v>
      </c>
      <c r="E17" s="28" t="str">
        <f>IFERROR(__xludf.DUMMYFUNCTION("""COMPUTED_VALUE"""),"User need to install the app in their android device")</f>
        <v>User need to install the app in their android device</v>
      </c>
      <c r="F17" s="28" t="str">
        <f>IFERROR(__xludf.DUMMYFUNCTION("""COMPUTED_VALUE"""),"1. Open app
2. Sign-in using valid credential
3. Select driver role
4. Click on Account")</f>
        <v>1. Open app
2. Sign-in using valid credential
3. Select driver role
4. Click on Account</v>
      </c>
      <c r="G17" s="28" t="str">
        <f>IFERROR(__xludf.DUMMYFUNCTION("""COMPUTED_VALUE"""),"Driver Credentials")</f>
        <v>Driver Credentials</v>
      </c>
      <c r="H17" s="28" t="str">
        <f>IFERROR(__xludf.DUMMYFUNCTION("""COMPUTED_VALUE"""),"The feature and page should be positioned in the ideal spot.")</f>
        <v>The feature and page should be positioned in the ideal spot.</v>
      </c>
      <c r="I17" s="28" t="str">
        <f>IFERROR(__xludf.DUMMYFUNCTION("""COMPUTED_VALUE"""),"Page missing also option missing in account")</f>
        <v>Page missing also option missing in account</v>
      </c>
      <c r="J17" s="28" t="str">
        <f>IFERROR(__xludf.DUMMYFUNCTION("""COMPUTED_VALUE"""),"Fail")</f>
        <v>Fail</v>
      </c>
      <c r="K17" s="28" t="str">
        <f>IFERROR(__xludf.DUMMYFUNCTION("""COMPUTED_VALUE"""),"High")</f>
        <v>High</v>
      </c>
      <c r="L17" s="29" t="str">
        <f>IFERROR(__xludf.DUMMYFUNCTION("""COMPUTED_VALUE"""),"037.png")</f>
        <v>037.png</v>
      </c>
      <c r="M17" s="28"/>
      <c r="N17" s="28" t="str">
        <f>IFERROR(__xludf.DUMMYFUNCTION("""COMPUTED_VALUE"""),"Fahad")</f>
        <v>Fahad</v>
      </c>
      <c r="O17" s="28"/>
      <c r="P17" s="28"/>
      <c r="Q17" s="28"/>
      <c r="R17" s="26"/>
      <c r="S17" s="26"/>
      <c r="T17" s="26"/>
      <c r="U17" s="26"/>
      <c r="V17" s="26"/>
      <c r="W17" s="26"/>
      <c r="X17" s="26"/>
      <c r="Y17" s="26"/>
      <c r="Z17" s="26"/>
      <c r="AA17" s="26"/>
    </row>
    <row r="18">
      <c r="A18" s="27" t="s">
        <v>38</v>
      </c>
      <c r="B18" s="28" t="str">
        <f>IFERROR(__xludf.DUMMYFUNCTION("""COMPUTED_VALUE"""),"Account")</f>
        <v>Account</v>
      </c>
      <c r="C18" s="28" t="str">
        <f>IFERROR(__xludf.DUMMYFUNCTION("""COMPUTED_VALUE"""),"Account")</f>
        <v>Account</v>
      </c>
      <c r="D18" s="28" t="str">
        <f>IFERROR(__xludf.DUMMYFUNCTION("""COMPUTED_VALUE"""),"Vehicle update missing from account")</f>
        <v>Vehicle update missing from account</v>
      </c>
      <c r="E18" s="28" t="str">
        <f>IFERROR(__xludf.DUMMYFUNCTION("""COMPUTED_VALUE"""),"User need to install the app in their android device")</f>
        <v>User need to install the app in their android device</v>
      </c>
      <c r="F18" s="28" t="str">
        <f>IFERROR(__xludf.DUMMYFUNCTION("""COMPUTED_VALUE"""),"1. Open app
2. Sign-in using valid credential
3. Select driver role
4. Click on Account")</f>
        <v>1. Open app
2. Sign-in using valid credential
3. Select driver role
4. Click on Account</v>
      </c>
      <c r="G18" s="28" t="str">
        <f>IFERROR(__xludf.DUMMYFUNCTION("""COMPUTED_VALUE"""),"Driver Credentials")</f>
        <v>Driver Credentials</v>
      </c>
      <c r="H18" s="28" t="str">
        <f>IFERROR(__xludf.DUMMYFUNCTION("""COMPUTED_VALUE"""),"The feature and page should be positioned in the ideal spot.")</f>
        <v>The feature and page should be positioned in the ideal spot.</v>
      </c>
      <c r="I18" s="28" t="str">
        <f>IFERROR(__xludf.DUMMYFUNCTION("""COMPUTED_VALUE"""),"Page missing also option missing in account")</f>
        <v>Page missing also option missing in account</v>
      </c>
      <c r="J18" s="28" t="str">
        <f>IFERROR(__xludf.DUMMYFUNCTION("""COMPUTED_VALUE"""),"Fail")</f>
        <v>Fail</v>
      </c>
      <c r="K18" s="28" t="str">
        <f>IFERROR(__xludf.DUMMYFUNCTION("""COMPUTED_VALUE"""),"High")</f>
        <v>High</v>
      </c>
      <c r="L18" s="29" t="str">
        <f>IFERROR(__xludf.DUMMYFUNCTION("""COMPUTED_VALUE"""),"038.png")</f>
        <v>038.png</v>
      </c>
      <c r="M18" s="28"/>
      <c r="N18" s="28" t="str">
        <f>IFERROR(__xludf.DUMMYFUNCTION("""COMPUTED_VALUE"""),"Fahad")</f>
        <v>Fahad</v>
      </c>
      <c r="O18" s="28"/>
      <c r="P18" s="28"/>
      <c r="Q18" s="28"/>
      <c r="R18" s="26"/>
      <c r="S18" s="26"/>
      <c r="T18" s="26"/>
      <c r="U18" s="26"/>
      <c r="V18" s="26"/>
      <c r="W18" s="26"/>
      <c r="X18" s="26"/>
      <c r="Y18" s="26"/>
      <c r="Z18" s="26"/>
      <c r="AA18" s="26"/>
    </row>
    <row r="19">
      <c r="A19" s="27" t="s">
        <v>39</v>
      </c>
      <c r="B19" s="28" t="str">
        <f>IFERROR(__xludf.DUMMYFUNCTION("""COMPUTED_VALUE"""),"Forget Password")</f>
        <v>Forget Password</v>
      </c>
      <c r="C19" s="28" t="str">
        <f>IFERROR(__xludf.DUMMYFUNCTION("""COMPUTED_VALUE"""),"Forget Password")</f>
        <v>Forget Password</v>
      </c>
      <c r="D19" s="28" t="str">
        <f>IFERROR(__xludf.DUMMYFUNCTION("""COMPUTED_VALUE"""),"Wrong error in wrong place")</f>
        <v>Wrong error in wrong place</v>
      </c>
      <c r="E19" s="28" t="str">
        <f>IFERROR(__xludf.DUMMYFUNCTION("""COMPUTED_VALUE"""),"User need to install the app in their android device")</f>
        <v>User need to install the app in their android device</v>
      </c>
      <c r="F19" s="28" t="str">
        <f>IFERROR(__xludf.DUMMYFUNCTION("""COMPUTED_VALUE"""),"1. Open app
2. Click on sign-in
3. Click on Forget Password")</f>
        <v>1. Open app
2. Click on sign-in
3. Click on Forget Password</v>
      </c>
      <c r="G19" s="28" t="str">
        <f>IFERROR(__xludf.DUMMYFUNCTION("""COMPUTED_VALUE"""),"User Credential")</f>
        <v>User Credential</v>
      </c>
      <c r="H19" s="28" t="str">
        <f>IFERROR(__xludf.DUMMYFUNCTION("""COMPUTED_VALUE"""),"Error should be displayed in right place")</f>
        <v>Error should be displayed in right place</v>
      </c>
      <c r="I19" s="28" t="str">
        <f>IFERROR(__xludf.DUMMYFUNCTION("""COMPUTED_VALUE"""),"wrong error in wrong place")</f>
        <v>wrong error in wrong place</v>
      </c>
      <c r="J19" s="28" t="str">
        <f>IFERROR(__xludf.DUMMYFUNCTION("""COMPUTED_VALUE"""),"Fail")</f>
        <v>Fail</v>
      </c>
      <c r="K19" s="28" t="str">
        <f>IFERROR(__xludf.DUMMYFUNCTION("""COMPUTED_VALUE"""),"Medium")</f>
        <v>Medium</v>
      </c>
      <c r="L19" s="29" t="str">
        <f>IFERROR(__xludf.DUMMYFUNCTION("""COMPUTED_VALUE"""),"005.png")</f>
        <v>005.png</v>
      </c>
      <c r="M19" s="28"/>
      <c r="N19" s="28" t="str">
        <f>IFERROR(__xludf.DUMMYFUNCTION("""COMPUTED_VALUE"""),"Fahad")</f>
        <v>Fahad</v>
      </c>
      <c r="O19" s="28"/>
      <c r="P19" s="28"/>
      <c r="Q19" s="28"/>
      <c r="R19" s="26"/>
      <c r="S19" s="26"/>
      <c r="T19" s="26"/>
      <c r="U19" s="26"/>
      <c r="V19" s="26"/>
      <c r="W19" s="26"/>
      <c r="X19" s="26"/>
      <c r="Y19" s="26"/>
      <c r="Z19" s="26"/>
      <c r="AA19" s="26"/>
    </row>
    <row r="20">
      <c r="A20" s="27" t="s">
        <v>40</v>
      </c>
      <c r="B20" s="28" t="str">
        <f>IFERROR(__xludf.DUMMYFUNCTION("""COMPUTED_VALUE"""),"History")</f>
        <v>History</v>
      </c>
      <c r="C20" s="28" t="str">
        <f>IFERROR(__xludf.DUMMYFUNCTION("""COMPUTED_VALUE"""),"History")</f>
        <v>History</v>
      </c>
      <c r="D20" s="28" t="str">
        <f>IFERROR(__xludf.DUMMYFUNCTION("""COMPUTED_VALUE"""),"Different from UI")</f>
        <v>Different from UI</v>
      </c>
      <c r="E20" s="28" t="str">
        <f>IFERROR(__xludf.DUMMYFUNCTION("""COMPUTED_VALUE"""),"User need to install the app in their android device")</f>
        <v>User need to install the app in their android device</v>
      </c>
      <c r="F20" s="28" t="str">
        <f>IFERROR(__xludf.DUMMYFUNCTION("""COMPUTED_VALUE"""),"1. Open app
2. Sign-in using valid credential
3. Select user role
4. Click on History")</f>
        <v>1. Open app
2. Sign-in using valid credential
3. Select user role
4. Click on History</v>
      </c>
      <c r="G20" s="28" t="str">
        <f>IFERROR(__xludf.DUMMYFUNCTION("""COMPUTED_VALUE"""),"User Credential")</f>
        <v>User Credential</v>
      </c>
      <c r="H20" s="28" t="str">
        <f>IFERROR(__xludf.DUMMYFUNCTION("""COMPUTED_VALUE"""),"The design and alignments should be as accurate as in Figma.")</f>
        <v>The design and alignments should be as accurate as in Figma.</v>
      </c>
      <c r="I20" s="28" t="str">
        <f>IFERROR(__xludf.DUMMYFUNCTION("""COMPUTED_VALUE"""),"Noticed a different design implementation in the app.")</f>
        <v>Noticed a different design implementation in the app.</v>
      </c>
      <c r="J20" s="28" t="str">
        <f>IFERROR(__xludf.DUMMYFUNCTION("""COMPUTED_VALUE"""),"Fail")</f>
        <v>Fail</v>
      </c>
      <c r="K20" s="28" t="str">
        <f>IFERROR(__xludf.DUMMYFUNCTION("""COMPUTED_VALUE"""),"Medium")</f>
        <v>Medium</v>
      </c>
      <c r="L20" s="29" t="str">
        <f>IFERROR(__xludf.DUMMYFUNCTION("""COMPUTED_VALUE"""),"040.png")</f>
        <v>040.png</v>
      </c>
      <c r="M20" s="28"/>
      <c r="N20" s="28" t="str">
        <f>IFERROR(__xludf.DUMMYFUNCTION("""COMPUTED_VALUE"""),"Fahad")</f>
        <v>Fahad</v>
      </c>
      <c r="O20" s="28"/>
      <c r="P20" s="28"/>
      <c r="Q20" s="28"/>
      <c r="R20" s="26"/>
      <c r="S20" s="26"/>
      <c r="T20" s="26"/>
      <c r="U20" s="26"/>
      <c r="V20" s="26"/>
      <c r="W20" s="26"/>
      <c r="X20" s="26"/>
      <c r="Y20" s="26"/>
      <c r="Z20" s="26"/>
      <c r="AA20" s="26"/>
    </row>
    <row r="21">
      <c r="A21" s="27" t="s">
        <v>41</v>
      </c>
      <c r="B21" s="28" t="str">
        <f>IFERROR(__xludf.DUMMYFUNCTION("""COMPUTED_VALUE"""),"Home")</f>
        <v>Home</v>
      </c>
      <c r="C21" s="28" t="str">
        <f>IFERROR(__xludf.DUMMYFUNCTION("""COMPUTED_VALUE"""),"Quick Booking")</f>
        <v>Quick Booking</v>
      </c>
      <c r="D21" s="28" t="str">
        <f>IFERROR(__xludf.DUMMYFUNCTION("""COMPUTED_VALUE"""),"Feature missing in app")</f>
        <v>Feature missing in app</v>
      </c>
      <c r="E21" s="28" t="str">
        <f>IFERROR(__xludf.DUMMYFUNCTION("""COMPUTED_VALUE"""),"User need to install the app in their android device")</f>
        <v>User need to install the app in their android device</v>
      </c>
      <c r="F21" s="28" t="str">
        <f>IFERROR(__xludf.DUMMYFUNCTION("""COMPUTED_VALUE"""),"1. Open app
2. Sign-in using valid credential
3. Select user role")</f>
        <v>1. Open app
2. Sign-in using valid credential
3. Select user role</v>
      </c>
      <c r="G21" s="28" t="str">
        <f>IFERROR(__xludf.DUMMYFUNCTION("""COMPUTED_VALUE"""),"User Credential")</f>
        <v>User Credential</v>
      </c>
      <c r="H21" s="28" t="str">
        <f>IFERROR(__xludf.DUMMYFUNCTION("""COMPUTED_VALUE"""),"Features and functionalities should be implemented correctly.")</f>
        <v>Features and functionalities should be implemented correctly.</v>
      </c>
      <c r="I21" s="28" t="str">
        <f>IFERROR(__xludf.DUMMYFUNCTION("""COMPUTED_VALUE"""),"Missing feature noticed")</f>
        <v>Missing feature noticed</v>
      </c>
      <c r="J21" s="28" t="str">
        <f>IFERROR(__xludf.DUMMYFUNCTION("""COMPUTED_VALUE"""),"Fail")</f>
        <v>Fail</v>
      </c>
      <c r="K21" s="28" t="str">
        <f>IFERROR(__xludf.DUMMYFUNCTION("""COMPUTED_VALUE"""),"High")</f>
        <v>High</v>
      </c>
      <c r="L21" s="29" t="str">
        <f>IFERROR(__xludf.DUMMYFUNCTION("""COMPUTED_VALUE"""),"019.png")</f>
        <v>019.png</v>
      </c>
      <c r="M21" s="28"/>
      <c r="N21" s="28" t="str">
        <f>IFERROR(__xludf.DUMMYFUNCTION("""COMPUTED_VALUE"""),"Fahad")</f>
        <v>Fahad</v>
      </c>
      <c r="O21" s="28"/>
      <c r="P21" s="28"/>
      <c r="Q21" s="28"/>
      <c r="R21" s="26"/>
      <c r="S21" s="26"/>
      <c r="T21" s="26"/>
      <c r="U21" s="26"/>
      <c r="V21" s="26"/>
      <c r="W21" s="26"/>
      <c r="X21" s="26"/>
      <c r="Y21" s="26"/>
      <c r="Z21" s="26"/>
      <c r="AA21" s="26"/>
    </row>
    <row r="22">
      <c r="A22" s="27" t="s">
        <v>42</v>
      </c>
      <c r="B22" s="28" t="str">
        <f>IFERROR(__xludf.DUMMYFUNCTION("""COMPUTED_VALUE"""),"Home")</f>
        <v>Home</v>
      </c>
      <c r="C22" s="28" t="str">
        <f>IFERROR(__xludf.DUMMYFUNCTION("""COMPUTED_VALUE"""),"Quick Booking")</f>
        <v>Quick Booking</v>
      </c>
      <c r="D22" s="28" t="str">
        <f>IFERROR(__xludf.DUMMYFUNCTION("""COMPUTED_VALUE"""),"Missing option to set location on the map")</f>
        <v>Missing option to set location on the map</v>
      </c>
      <c r="E22" s="28" t="str">
        <f>IFERROR(__xludf.DUMMYFUNCTION("""COMPUTED_VALUE"""),"User need to install the app in their android device")</f>
        <v>User need to install the app in their android device</v>
      </c>
      <c r="F22" s="28" t="str">
        <f>IFERROR(__xludf.DUMMYFUNCTION("""COMPUTED_VALUE"""),"1. Open app
2. Sign-in using valid credential
3. Select user role")</f>
        <v>1. Open app
2. Sign-in using valid credential
3. Select user role</v>
      </c>
      <c r="G22" s="28" t="str">
        <f>IFERROR(__xludf.DUMMYFUNCTION("""COMPUTED_VALUE"""),"User Credential")</f>
        <v>User Credential</v>
      </c>
      <c r="H22" s="28" t="str">
        <f>IFERROR(__xludf.DUMMYFUNCTION("""COMPUTED_VALUE"""),"Features and functionalities should be implemented correctly.")</f>
        <v>Features and functionalities should be implemented correctly.</v>
      </c>
      <c r="I22" s="28" t="str">
        <f>IFERROR(__xludf.DUMMYFUNCTION("""COMPUTED_VALUE"""),"Missing feature noticed")</f>
        <v>Missing feature noticed</v>
      </c>
      <c r="J22" s="28" t="str">
        <f>IFERROR(__xludf.DUMMYFUNCTION("""COMPUTED_VALUE"""),"Fail")</f>
        <v>Fail</v>
      </c>
      <c r="K22" s="28" t="str">
        <f>IFERROR(__xludf.DUMMYFUNCTION("""COMPUTED_VALUE"""),"High")</f>
        <v>High</v>
      </c>
      <c r="L22" s="29" t="str">
        <f>IFERROR(__xludf.DUMMYFUNCTION("""COMPUTED_VALUE"""),"020.png")</f>
        <v>020.png</v>
      </c>
      <c r="M22" s="28"/>
      <c r="N22" s="28" t="str">
        <f>IFERROR(__xludf.DUMMYFUNCTION("""COMPUTED_VALUE"""),"Fahad")</f>
        <v>Fahad</v>
      </c>
      <c r="O22" s="28"/>
      <c r="P22" s="28"/>
      <c r="Q22" s="28"/>
      <c r="R22" s="26"/>
      <c r="S22" s="26"/>
      <c r="T22" s="26"/>
      <c r="U22" s="26"/>
      <c r="V22" s="26"/>
      <c r="W22" s="26"/>
      <c r="X22" s="26"/>
      <c r="Y22" s="26"/>
      <c r="Z22" s="26"/>
      <c r="AA22" s="26"/>
    </row>
    <row r="23">
      <c r="A23" s="27" t="s">
        <v>43</v>
      </c>
      <c r="B23" s="28" t="str">
        <f>IFERROR(__xludf.DUMMYFUNCTION("""COMPUTED_VALUE"""),"Home")</f>
        <v>Home</v>
      </c>
      <c r="C23" s="28" t="str">
        <f>IFERROR(__xludf.DUMMYFUNCTION("""COMPUTED_VALUE"""),"Quick Booking")</f>
        <v>Quick Booking</v>
      </c>
      <c r="D23" s="28" t="str">
        <f>IFERROR(__xludf.DUMMYFUNCTION("""COMPUTED_VALUE"""),"The map on the top bar is missing in the app.")</f>
        <v>The map on the top bar is missing in the app.</v>
      </c>
      <c r="E23" s="28" t="str">
        <f>IFERROR(__xludf.DUMMYFUNCTION("""COMPUTED_VALUE"""),"User need to install the app in their android device")</f>
        <v>User need to install the app in their android device</v>
      </c>
      <c r="F23" s="28" t="str">
        <f>IFERROR(__xludf.DUMMYFUNCTION("""COMPUTED_VALUE"""),"1. Open app
2. Sign-in using valid credential
3. Select user role")</f>
        <v>1. Open app
2. Sign-in using valid credential
3. Select user role</v>
      </c>
      <c r="G23" s="28" t="str">
        <f>IFERROR(__xludf.DUMMYFUNCTION("""COMPUTED_VALUE"""),"User Credential")</f>
        <v>User Credential</v>
      </c>
      <c r="H23" s="28" t="str">
        <f>IFERROR(__xludf.DUMMYFUNCTION("""COMPUTED_VALUE"""),"The design and alignments should be as accurate as in Figma.")</f>
        <v>The design and alignments should be as accurate as in Figma.</v>
      </c>
      <c r="I23" s="28" t="str">
        <f>IFERROR(__xludf.DUMMYFUNCTION("""COMPUTED_VALUE"""),"Noticed a different design implementation in the app.")</f>
        <v>Noticed a different design implementation in the app.</v>
      </c>
      <c r="J23" s="28" t="str">
        <f>IFERROR(__xludf.DUMMYFUNCTION("""COMPUTED_VALUE"""),"Fail")</f>
        <v>Fail</v>
      </c>
      <c r="K23" s="28" t="str">
        <f>IFERROR(__xludf.DUMMYFUNCTION("""COMPUTED_VALUE"""),"Medium")</f>
        <v>Medium</v>
      </c>
      <c r="L23" s="29" t="str">
        <f>IFERROR(__xludf.DUMMYFUNCTION("""COMPUTED_VALUE"""),"021.png")</f>
        <v>021.png</v>
      </c>
      <c r="M23" s="28"/>
      <c r="N23" s="28" t="str">
        <f>IFERROR(__xludf.DUMMYFUNCTION("""COMPUTED_VALUE"""),"Fahad")</f>
        <v>Fahad</v>
      </c>
      <c r="O23" s="28"/>
      <c r="P23" s="28"/>
      <c r="Q23" s="28"/>
      <c r="R23" s="26"/>
      <c r="S23" s="26"/>
      <c r="T23" s="26"/>
      <c r="U23" s="26"/>
      <c r="V23" s="26"/>
      <c r="W23" s="26"/>
      <c r="X23" s="26"/>
      <c r="Y23" s="26"/>
      <c r="Z23" s="26"/>
      <c r="AA23" s="26"/>
    </row>
    <row r="24">
      <c r="A24" s="27" t="s">
        <v>44</v>
      </c>
      <c r="B24" s="28" t="str">
        <f>IFERROR(__xludf.DUMMYFUNCTION("""COMPUTED_VALUE"""),"Home")</f>
        <v>Home</v>
      </c>
      <c r="C24" s="28" t="str">
        <f>IFERROR(__xludf.DUMMYFUNCTION("""COMPUTED_VALUE"""),"Quick Booking")</f>
        <v>Quick Booking</v>
      </c>
      <c r="D24" s="28" t="str">
        <f>IFERROR(__xludf.DUMMYFUNCTION("""COMPUTED_VALUE"""),"The multi-stop feature hasn’t been added to the app yet.")</f>
        <v>The multi-stop feature hasn’t been added to the app yet.</v>
      </c>
      <c r="E24" s="28" t="str">
        <f>IFERROR(__xludf.DUMMYFUNCTION("""COMPUTED_VALUE"""),"User need to install the app in their android device")</f>
        <v>User need to install the app in their android device</v>
      </c>
      <c r="F24" s="28" t="str">
        <f>IFERROR(__xludf.DUMMYFUNCTION("""COMPUTED_VALUE"""),"1. Open app
2. Sign-in using valid credential
3. Select user role")</f>
        <v>1. Open app
2. Sign-in using valid credential
3. Select user role</v>
      </c>
      <c r="G24" s="28" t="str">
        <f>IFERROR(__xludf.DUMMYFUNCTION("""COMPUTED_VALUE"""),"User Credential")</f>
        <v>User Credential</v>
      </c>
      <c r="H24" s="28" t="str">
        <f>IFERROR(__xludf.DUMMYFUNCTION("""COMPUTED_VALUE"""),"Features and functionalities should be implemented correctly.")</f>
        <v>Features and functionalities should be implemented correctly.</v>
      </c>
      <c r="I24" s="28" t="str">
        <f>IFERROR(__xludf.DUMMYFUNCTION("""COMPUTED_VALUE"""),"Missing feature noticed")</f>
        <v>Missing feature noticed</v>
      </c>
      <c r="J24" s="28" t="str">
        <f>IFERROR(__xludf.DUMMYFUNCTION("""COMPUTED_VALUE"""),"Fail")</f>
        <v>Fail</v>
      </c>
      <c r="K24" s="28" t="str">
        <f>IFERROR(__xludf.DUMMYFUNCTION("""COMPUTED_VALUE"""),"High")</f>
        <v>High</v>
      </c>
      <c r="L24" s="29" t="str">
        <f>IFERROR(__xludf.DUMMYFUNCTION("""COMPUTED_VALUE"""),"022.png")</f>
        <v>022.png</v>
      </c>
      <c r="M24" s="28"/>
      <c r="N24" s="28" t="str">
        <f>IFERROR(__xludf.DUMMYFUNCTION("""COMPUTED_VALUE"""),"Fahad")</f>
        <v>Fahad</v>
      </c>
      <c r="O24" s="28"/>
      <c r="P24" s="28"/>
      <c r="Q24" s="28"/>
      <c r="R24" s="26"/>
      <c r="S24" s="26"/>
      <c r="T24" s="26"/>
      <c r="U24" s="26"/>
      <c r="V24" s="26"/>
      <c r="W24" s="26"/>
      <c r="X24" s="26"/>
      <c r="Y24" s="26"/>
      <c r="Z24" s="26"/>
      <c r="AA24" s="26"/>
    </row>
    <row r="25">
      <c r="A25" s="27" t="s">
        <v>45</v>
      </c>
      <c r="B25" s="28" t="str">
        <f>IFERROR(__xludf.DUMMYFUNCTION("""COMPUTED_VALUE"""),"Home")</f>
        <v>Home</v>
      </c>
      <c r="C25" s="28" t="str">
        <f>IFERROR(__xludf.DUMMYFUNCTION("""COMPUTED_VALUE"""),"Quick Booking")</f>
        <v>Quick Booking</v>
      </c>
      <c r="D25" s="28" t="str">
        <f>IFERROR(__xludf.DUMMYFUNCTION("""COMPUTED_VALUE"""),"The app doesn’t have a feature to set pickup and drop-off times.")</f>
        <v>The app doesn’t have a feature to set pickup and drop-off times.</v>
      </c>
      <c r="E25" s="28" t="str">
        <f>IFERROR(__xludf.DUMMYFUNCTION("""COMPUTED_VALUE"""),"User need to install the app in their android device")</f>
        <v>User need to install the app in their android device</v>
      </c>
      <c r="F25" s="28" t="str">
        <f>IFERROR(__xludf.DUMMYFUNCTION("""COMPUTED_VALUE"""),"1. Open app
2. Sign-in using valid credential
3. Select user role")</f>
        <v>1. Open app
2. Sign-in using valid credential
3. Select user role</v>
      </c>
      <c r="G25" s="28" t="str">
        <f>IFERROR(__xludf.DUMMYFUNCTION("""COMPUTED_VALUE"""),"User Credential")</f>
        <v>User Credential</v>
      </c>
      <c r="H25" s="28" t="str">
        <f>IFERROR(__xludf.DUMMYFUNCTION("""COMPUTED_VALUE"""),"Features and functionalities should be implemented correctly.")</f>
        <v>Features and functionalities should be implemented correctly.</v>
      </c>
      <c r="I25" s="28" t="str">
        <f>IFERROR(__xludf.DUMMYFUNCTION("""COMPUTED_VALUE"""),"Missing feature noticed")</f>
        <v>Missing feature noticed</v>
      </c>
      <c r="J25" s="28" t="str">
        <f>IFERROR(__xludf.DUMMYFUNCTION("""COMPUTED_VALUE"""),"Fail")</f>
        <v>Fail</v>
      </c>
      <c r="K25" s="28" t="str">
        <f>IFERROR(__xludf.DUMMYFUNCTION("""COMPUTED_VALUE"""),"High")</f>
        <v>High</v>
      </c>
      <c r="L25" s="29" t="str">
        <f>IFERROR(__xludf.DUMMYFUNCTION("""COMPUTED_VALUE"""),"023.png")</f>
        <v>023.png</v>
      </c>
      <c r="M25" s="28"/>
      <c r="N25" s="28" t="str">
        <f>IFERROR(__xludf.DUMMYFUNCTION("""COMPUTED_VALUE"""),"Fahad")</f>
        <v>Fahad</v>
      </c>
      <c r="O25" s="28"/>
      <c r="P25" s="28"/>
      <c r="Q25" s="28"/>
      <c r="R25" s="26"/>
      <c r="S25" s="26"/>
      <c r="T25" s="26"/>
      <c r="U25" s="26"/>
      <c r="V25" s="26"/>
      <c r="W25" s="26"/>
      <c r="X25" s="26"/>
      <c r="Y25" s="26"/>
      <c r="Z25" s="26"/>
      <c r="AA25" s="26"/>
    </row>
    <row r="26">
      <c r="A26" s="27" t="s">
        <v>46</v>
      </c>
      <c r="B26" s="28" t="str">
        <f>IFERROR(__xludf.DUMMYFUNCTION("""COMPUTED_VALUE"""),"Home")</f>
        <v>Home</v>
      </c>
      <c r="C26" s="28" t="str">
        <f>IFERROR(__xludf.DUMMYFUNCTION("""COMPUTED_VALUE"""),"Quick Booking")</f>
        <v>Quick Booking</v>
      </c>
      <c r="D26" s="28" t="str">
        <f>IFERROR(__xludf.DUMMYFUNCTION("""COMPUTED_VALUE"""),"User profile icon set as default")</f>
        <v>User profile icon set as default</v>
      </c>
      <c r="E26" s="28" t="str">
        <f>IFERROR(__xludf.DUMMYFUNCTION("""COMPUTED_VALUE"""),"User need to install the app in their android device")</f>
        <v>User need to install the app in their android device</v>
      </c>
      <c r="F26" s="28" t="str">
        <f>IFERROR(__xludf.DUMMYFUNCTION("""COMPUTED_VALUE"""),"1. Open app
2. Sign-in using valid credential
3. Select user role")</f>
        <v>1. Open app
2. Sign-in using valid credential
3. Select user role</v>
      </c>
      <c r="G26" s="28" t="str">
        <f>IFERROR(__xludf.DUMMYFUNCTION("""COMPUTED_VALUE"""),"User Credential")</f>
        <v>User Credential</v>
      </c>
      <c r="H26" s="28" t="str">
        <f>IFERROR(__xludf.DUMMYFUNCTION("""COMPUTED_VALUE"""),"Features and functionalities should be implemented correctly.")</f>
        <v>Features and functionalities should be implemented correctly.</v>
      </c>
      <c r="I26" s="28" t="str">
        <f>IFERROR(__xludf.DUMMYFUNCTION("""COMPUTED_VALUE"""),"Missing feature noticed")</f>
        <v>Missing feature noticed</v>
      </c>
      <c r="J26" s="28" t="str">
        <f>IFERROR(__xludf.DUMMYFUNCTION("""COMPUTED_VALUE"""),"Fail")</f>
        <v>Fail</v>
      </c>
      <c r="K26" s="28" t="str">
        <f>IFERROR(__xludf.DUMMYFUNCTION("""COMPUTED_VALUE"""),"Medium")</f>
        <v>Medium</v>
      </c>
      <c r="L26" s="29" t="str">
        <f>IFERROR(__xludf.DUMMYFUNCTION("""COMPUTED_VALUE"""),"024.png")</f>
        <v>024.png</v>
      </c>
      <c r="M26" s="28"/>
      <c r="N26" s="28" t="str">
        <f>IFERROR(__xludf.DUMMYFUNCTION("""COMPUTED_VALUE"""),"Fahad")</f>
        <v>Fahad</v>
      </c>
      <c r="O26" s="28"/>
      <c r="P26" s="28"/>
      <c r="Q26" s="28"/>
      <c r="R26" s="26"/>
      <c r="S26" s="26"/>
      <c r="T26" s="26"/>
      <c r="U26" s="26"/>
      <c r="V26" s="26"/>
      <c r="W26" s="26"/>
      <c r="X26" s="26"/>
      <c r="Y26" s="26"/>
      <c r="Z26" s="26"/>
      <c r="AA26" s="26"/>
    </row>
    <row r="27">
      <c r="A27" s="27" t="s">
        <v>47</v>
      </c>
      <c r="B27" s="28" t="str">
        <f>IFERROR(__xludf.DUMMYFUNCTION("""COMPUTED_VALUE"""),"Home")</f>
        <v>Home</v>
      </c>
      <c r="C27" s="28" t="str">
        <f>IFERROR(__xludf.DUMMYFUNCTION("""COMPUTED_VALUE"""),"Quick Booking")</f>
        <v>Quick Booking</v>
      </c>
      <c r="D27" s="28" t="str">
        <f>IFERROR(__xludf.DUMMYFUNCTION("""COMPUTED_VALUE"""),"View current location feature missing in app")</f>
        <v>View current location feature missing in app</v>
      </c>
      <c r="E27" s="28" t="str">
        <f>IFERROR(__xludf.DUMMYFUNCTION("""COMPUTED_VALUE"""),"User need to install the app in their android device")</f>
        <v>User need to install the app in their android device</v>
      </c>
      <c r="F27" s="28" t="str">
        <f>IFERROR(__xludf.DUMMYFUNCTION("""COMPUTED_VALUE"""),"1. Open app
2. Sign-in using valid credential
3. Select user role")</f>
        <v>1. Open app
2. Sign-in using valid credential
3. Select user role</v>
      </c>
      <c r="G27" s="28" t="str">
        <f>IFERROR(__xludf.DUMMYFUNCTION("""COMPUTED_VALUE"""),"User Credential")</f>
        <v>User Credential</v>
      </c>
      <c r="H27" s="28" t="str">
        <f>IFERROR(__xludf.DUMMYFUNCTION("""COMPUTED_VALUE"""),"The map should include a show current location feature because it’s a basic necessity.")</f>
        <v>The map should include a show current location feature because it’s a basic necessity.</v>
      </c>
      <c r="I27" s="28" t="str">
        <f>IFERROR(__xludf.DUMMYFUNCTION("""COMPUTED_VALUE"""),"Current location view is missing in app")</f>
        <v>Current location view is missing in app</v>
      </c>
      <c r="J27" s="28" t="str">
        <f>IFERROR(__xludf.DUMMYFUNCTION("""COMPUTED_VALUE"""),"Fail")</f>
        <v>Fail</v>
      </c>
      <c r="K27" s="28" t="str">
        <f>IFERROR(__xludf.DUMMYFUNCTION("""COMPUTED_VALUE"""),"High")</f>
        <v>High</v>
      </c>
      <c r="L27" s="29" t="str">
        <f>IFERROR(__xludf.DUMMYFUNCTION("""COMPUTED_VALUE"""),"025.png")</f>
        <v>025.png</v>
      </c>
      <c r="M27" s="28"/>
      <c r="N27" s="28" t="str">
        <f>IFERROR(__xludf.DUMMYFUNCTION("""COMPUTED_VALUE"""),"Fahad")</f>
        <v>Fahad</v>
      </c>
      <c r="O27" s="28"/>
      <c r="P27" s="28"/>
      <c r="Q27" s="28"/>
      <c r="R27" s="26"/>
      <c r="S27" s="26"/>
      <c r="T27" s="26"/>
      <c r="U27" s="26"/>
      <c r="V27" s="26"/>
      <c r="W27" s="26"/>
      <c r="X27" s="26"/>
      <c r="Y27" s="26"/>
      <c r="Z27" s="26"/>
      <c r="AA27" s="26"/>
    </row>
    <row r="28">
      <c r="A28" s="27" t="s">
        <v>48</v>
      </c>
      <c r="B28" s="28" t="str">
        <f>IFERROR(__xludf.DUMMYFUNCTION("""COMPUTED_VALUE"""),"Home")</f>
        <v>Home</v>
      </c>
      <c r="C28" s="28" t="str">
        <f>IFERROR(__xludf.DUMMYFUNCTION("""COMPUTED_VALUE"""),"Quick Booking")</f>
        <v>Quick Booking</v>
      </c>
      <c r="D28" s="28" t="str">
        <f>IFERROR(__xludf.DUMMYFUNCTION("""COMPUTED_VALUE"""),"Car list displayed at the pickup spot")</f>
        <v>Car list displayed at the pickup spot</v>
      </c>
      <c r="E28" s="28" t="str">
        <f>IFERROR(__xludf.DUMMYFUNCTION("""COMPUTED_VALUE"""),"User need to install the app in their android device")</f>
        <v>User need to install the app in their android device</v>
      </c>
      <c r="F28" s="28" t="str">
        <f>IFERROR(__xludf.DUMMYFUNCTION("""COMPUTED_VALUE"""),"1. Open app
2. Sign-in using valid credential
3. Select user role")</f>
        <v>1. Open app
2. Sign-in using valid credential
3. Select user role</v>
      </c>
      <c r="G28" s="28" t="str">
        <f>IFERROR(__xludf.DUMMYFUNCTION("""COMPUTED_VALUE"""),"User Credential")</f>
        <v>User Credential</v>
      </c>
      <c r="H28" s="28" t="str">
        <f>IFERROR(__xludf.DUMMYFUNCTION("""COMPUTED_VALUE"""),"Features and functionalities should be implemented correctly.")</f>
        <v>Features and functionalities should be implemented correctly.</v>
      </c>
      <c r="I28" s="28" t="str">
        <f>IFERROR(__xludf.DUMMYFUNCTION("""COMPUTED_VALUE"""),"Missing feature noticed")</f>
        <v>Missing feature noticed</v>
      </c>
      <c r="J28" s="28" t="str">
        <f>IFERROR(__xludf.DUMMYFUNCTION("""COMPUTED_VALUE"""),"Fail")</f>
        <v>Fail</v>
      </c>
      <c r="K28" s="28" t="str">
        <f>IFERROR(__xludf.DUMMYFUNCTION("""COMPUTED_VALUE"""),"High")</f>
        <v>High</v>
      </c>
      <c r="L28" s="29" t="str">
        <f>IFERROR(__xludf.DUMMYFUNCTION("""COMPUTED_VALUE"""),"026.png")</f>
        <v>026.png</v>
      </c>
      <c r="M28" s="28"/>
      <c r="N28" s="28" t="str">
        <f>IFERROR(__xludf.DUMMYFUNCTION("""COMPUTED_VALUE"""),"Fahad")</f>
        <v>Fahad</v>
      </c>
      <c r="O28" s="28"/>
      <c r="P28" s="28"/>
      <c r="Q28" s="28"/>
      <c r="R28" s="26"/>
      <c r="S28" s="26"/>
      <c r="T28" s="26"/>
      <c r="U28" s="26"/>
      <c r="V28" s="26"/>
      <c r="W28" s="26"/>
      <c r="X28" s="26"/>
      <c r="Y28" s="26"/>
      <c r="Z28" s="26"/>
      <c r="AA28" s="26"/>
    </row>
    <row r="29">
      <c r="A29" s="27" t="s">
        <v>49</v>
      </c>
      <c r="B29" s="28" t="str">
        <f>IFERROR(__xludf.DUMMYFUNCTION("""COMPUTED_VALUE"""),"Landing screen")</f>
        <v>Landing screen</v>
      </c>
      <c r="C29" s="28" t="str">
        <f>IFERROR(__xludf.DUMMYFUNCTION("""COMPUTED_VALUE"""),"Home")</f>
        <v>Home</v>
      </c>
      <c r="D29" s="28" t="str">
        <f>IFERROR(__xludf.DUMMYFUNCTION("""COMPUTED_VALUE"""),"The UI was implemented in a different way.")</f>
        <v>The UI was implemented in a different way.</v>
      </c>
      <c r="E29" s="28" t="str">
        <f>IFERROR(__xludf.DUMMYFUNCTION("""COMPUTED_VALUE"""),"User need to install the app in their android device")</f>
        <v>User need to install the app in their android device</v>
      </c>
      <c r="F29" s="28" t="str">
        <f>IFERROR(__xludf.DUMMYFUNCTION("""COMPUTED_VALUE"""),"1. Open app
2. Sign-in using valid credential
3. Select user role")</f>
        <v>1. Open app
2. Sign-in using valid credential
3. Select user role</v>
      </c>
      <c r="G29" s="28" t="str">
        <f>IFERROR(__xludf.DUMMYFUNCTION("""COMPUTED_VALUE"""),"User Credential")</f>
        <v>User Credential</v>
      </c>
      <c r="H29" s="28" t="str">
        <f>IFERROR(__xludf.DUMMYFUNCTION("""COMPUTED_VALUE"""),"The design and alignments should be as accurate as in Figma.")</f>
        <v>The design and alignments should be as accurate as in Figma.</v>
      </c>
      <c r="I29" s="28" t="str">
        <f>IFERROR(__xludf.DUMMYFUNCTION("""COMPUTED_VALUE"""),"Noticed a different design implementation in the app.")</f>
        <v>Noticed a different design implementation in the app.</v>
      </c>
      <c r="J29" s="28" t="str">
        <f>IFERROR(__xludf.DUMMYFUNCTION("""COMPUTED_VALUE"""),"Fail")</f>
        <v>Fail</v>
      </c>
      <c r="K29" s="28" t="str">
        <f>IFERROR(__xludf.DUMMYFUNCTION("""COMPUTED_VALUE"""),"High")</f>
        <v>High</v>
      </c>
      <c r="L29" s="29" t="str">
        <f>IFERROR(__xludf.DUMMYFUNCTION("""COMPUTED_VALUE"""),"015.png")</f>
        <v>015.png</v>
      </c>
      <c r="M29" s="28"/>
      <c r="N29" s="28" t="str">
        <f>IFERROR(__xludf.DUMMYFUNCTION("""COMPUTED_VALUE"""),"Fahad")</f>
        <v>Fahad</v>
      </c>
      <c r="O29" s="28"/>
      <c r="P29" s="28"/>
      <c r="Q29" s="28"/>
      <c r="R29" s="26"/>
      <c r="S29" s="26"/>
      <c r="T29" s="26"/>
      <c r="U29" s="26"/>
      <c r="V29" s="26"/>
      <c r="W29" s="26"/>
      <c r="X29" s="26"/>
      <c r="Y29" s="26"/>
      <c r="Z29" s="26"/>
      <c r="AA29" s="26"/>
    </row>
    <row r="30">
      <c r="A30" s="27" t="s">
        <v>50</v>
      </c>
      <c r="B30" s="28" t="str">
        <f>IFERROR(__xludf.DUMMYFUNCTION("""COMPUTED_VALUE"""),"Landing screen")</f>
        <v>Landing screen</v>
      </c>
      <c r="C30" s="28" t="str">
        <f>IFERROR(__xludf.DUMMYFUNCTION("""COMPUTED_VALUE"""),"Home")</f>
        <v>Home</v>
      </c>
      <c r="D30" s="28" t="str">
        <f>IFERROR(__xludf.DUMMYFUNCTION("""COMPUTED_VALUE"""),"Figma set as 3D but implemented as 2D")</f>
        <v>Figma set as 3D but implemented as 2D</v>
      </c>
      <c r="E30" s="28" t="str">
        <f>IFERROR(__xludf.DUMMYFUNCTION("""COMPUTED_VALUE"""),"User need to install the app in their android device")</f>
        <v>User need to install the app in their android device</v>
      </c>
      <c r="F30" s="28" t="str">
        <f>IFERROR(__xludf.DUMMYFUNCTION("""COMPUTED_VALUE"""),"1. Open app
2. Sign-in using valid credential
3. Select user role")</f>
        <v>1. Open app
2. Sign-in using valid credential
3. Select user role</v>
      </c>
      <c r="G30" s="28" t="str">
        <f>IFERROR(__xludf.DUMMYFUNCTION("""COMPUTED_VALUE"""),"User Credential")</f>
        <v>User Credential</v>
      </c>
      <c r="H30" s="28" t="str">
        <f>IFERROR(__xludf.DUMMYFUNCTION("""COMPUTED_VALUE"""),"The design and alignments should be as accurate as in Figma.")</f>
        <v>The design and alignments should be as accurate as in Figma.</v>
      </c>
      <c r="I30" s="28" t="str">
        <f>IFERROR(__xludf.DUMMYFUNCTION("""COMPUTED_VALUE"""),"Noticed a different design implementation in the app.")</f>
        <v>Noticed a different design implementation in the app.</v>
      </c>
      <c r="J30" s="28" t="str">
        <f>IFERROR(__xludf.DUMMYFUNCTION("""COMPUTED_VALUE"""),"Fail")</f>
        <v>Fail</v>
      </c>
      <c r="K30" s="28" t="str">
        <f>IFERROR(__xludf.DUMMYFUNCTION("""COMPUTED_VALUE"""),"Medium")</f>
        <v>Medium</v>
      </c>
      <c r="L30" s="29" t="str">
        <f>IFERROR(__xludf.DUMMYFUNCTION("""COMPUTED_VALUE"""),"016.png")</f>
        <v>016.png</v>
      </c>
      <c r="M30" s="28"/>
      <c r="N30" s="28" t="str">
        <f>IFERROR(__xludf.DUMMYFUNCTION("""COMPUTED_VALUE"""),"Fahad")</f>
        <v>Fahad</v>
      </c>
      <c r="O30" s="28"/>
      <c r="P30" s="28"/>
      <c r="Q30" s="28"/>
      <c r="R30" s="26"/>
      <c r="S30" s="26"/>
      <c r="T30" s="26"/>
      <c r="U30" s="26"/>
      <c r="V30" s="26"/>
      <c r="W30" s="26"/>
      <c r="X30" s="26"/>
      <c r="Y30" s="26"/>
      <c r="Z30" s="26"/>
      <c r="AA30" s="26"/>
    </row>
    <row r="31">
      <c r="A31" s="27" t="s">
        <v>51</v>
      </c>
      <c r="B31" s="28" t="str">
        <f>IFERROR(__xludf.DUMMYFUNCTION("""COMPUTED_VALUE"""),"Landing screen")</f>
        <v>Landing screen</v>
      </c>
      <c r="C31" s="28" t="str">
        <f>IFERROR(__xludf.DUMMYFUNCTION("""COMPUTED_VALUE"""),"Home")</f>
        <v>Home</v>
      </c>
      <c r="D31" s="28" t="str">
        <f>IFERROR(__xludf.DUMMYFUNCTION("""COMPUTED_VALUE"""),"The app has a top-notch blend in its design, but within the app itself, it doesn’t quite blend in.")</f>
        <v>The app has a top-notch blend in its design, but within the app itself, it doesn’t quite blend in.</v>
      </c>
      <c r="E31" s="28" t="str">
        <f>IFERROR(__xludf.DUMMYFUNCTION("""COMPUTED_VALUE"""),"User need to install the app in their android device")</f>
        <v>User need to install the app in their android device</v>
      </c>
      <c r="F31" s="28" t="str">
        <f>IFERROR(__xludf.DUMMYFUNCTION("""COMPUTED_VALUE"""),"1. Open app
2. Sign-in using valid credential
3. Select user role")</f>
        <v>1. Open app
2. Sign-in using valid credential
3. Select user role</v>
      </c>
      <c r="G31" s="28" t="str">
        <f>IFERROR(__xludf.DUMMYFUNCTION("""COMPUTED_VALUE"""),"User Credential")</f>
        <v>User Credential</v>
      </c>
      <c r="H31" s="28" t="str">
        <f>IFERROR(__xludf.DUMMYFUNCTION("""COMPUTED_VALUE"""),"The design and alignments should be as accurate as in Figma.")</f>
        <v>The design and alignments should be as accurate as in Figma.</v>
      </c>
      <c r="I31" s="28" t="str">
        <f>IFERROR(__xludf.DUMMYFUNCTION("""COMPUTED_VALUE"""),"Noticed a different design implementation in the app.")</f>
        <v>Noticed a different design implementation in the app.</v>
      </c>
      <c r="J31" s="28" t="str">
        <f>IFERROR(__xludf.DUMMYFUNCTION("""COMPUTED_VALUE"""),"Fail")</f>
        <v>Fail</v>
      </c>
      <c r="K31" s="28" t="str">
        <f>IFERROR(__xludf.DUMMYFUNCTION("""COMPUTED_VALUE"""),"Medium")</f>
        <v>Medium</v>
      </c>
      <c r="L31" s="29" t="str">
        <f>IFERROR(__xludf.DUMMYFUNCTION("""COMPUTED_VALUE"""),"017.png")</f>
        <v>017.png</v>
      </c>
      <c r="M31" s="28"/>
      <c r="N31" s="28" t="str">
        <f>IFERROR(__xludf.DUMMYFUNCTION("""COMPUTED_VALUE"""),"Fahad")</f>
        <v>Fahad</v>
      </c>
      <c r="O31" s="28"/>
      <c r="P31" s="28"/>
      <c r="Q31" s="28"/>
      <c r="R31" s="26"/>
      <c r="S31" s="26"/>
      <c r="T31" s="26"/>
      <c r="U31" s="26"/>
      <c r="V31" s="26"/>
      <c r="W31" s="26"/>
      <c r="X31" s="26"/>
      <c r="Y31" s="26"/>
      <c r="Z31" s="26"/>
      <c r="AA31" s="26"/>
    </row>
    <row r="32">
      <c r="A32" s="27" t="s">
        <v>52</v>
      </c>
      <c r="B32" s="28" t="str">
        <f>IFERROR(__xludf.DUMMYFUNCTION("""COMPUTED_VALUE"""),"Landing screen")</f>
        <v>Landing screen</v>
      </c>
      <c r="C32" s="28" t="str">
        <f>IFERROR(__xludf.DUMMYFUNCTION("""COMPUTED_VALUE"""),"Home")</f>
        <v>Home</v>
      </c>
      <c r="D32" s="28" t="str">
        <f>IFERROR(__xludf.DUMMYFUNCTION("""COMPUTED_VALUE"""),"The UI and implementation are different.")</f>
        <v>The UI and implementation are different.</v>
      </c>
      <c r="E32" s="28" t="str">
        <f>IFERROR(__xludf.DUMMYFUNCTION("""COMPUTED_VALUE"""),"User need to install the app in their android device")</f>
        <v>User need to install the app in their android device</v>
      </c>
      <c r="F32" s="28" t="str">
        <f>IFERROR(__xludf.DUMMYFUNCTION("""COMPUTED_VALUE"""),"1. Open app
2. Sign-in using valid credential
3. Select user role")</f>
        <v>1. Open app
2. Sign-in using valid credential
3. Select user role</v>
      </c>
      <c r="G32" s="28" t="str">
        <f>IFERROR(__xludf.DUMMYFUNCTION("""COMPUTED_VALUE"""),"User Credential")</f>
        <v>User Credential</v>
      </c>
      <c r="H32" s="28" t="str">
        <f>IFERROR(__xludf.DUMMYFUNCTION("""COMPUTED_VALUE"""),"The design and alignments should be as accurate as in Figma.")</f>
        <v>The design and alignments should be as accurate as in Figma.</v>
      </c>
      <c r="I32" s="28" t="str">
        <f>IFERROR(__xludf.DUMMYFUNCTION("""COMPUTED_VALUE"""),"Noticed a different design implementation in the app.")</f>
        <v>Noticed a different design implementation in the app.</v>
      </c>
      <c r="J32" s="28" t="str">
        <f>IFERROR(__xludf.DUMMYFUNCTION("""COMPUTED_VALUE"""),"Fail")</f>
        <v>Fail</v>
      </c>
      <c r="K32" s="28" t="str">
        <f>IFERROR(__xludf.DUMMYFUNCTION("""COMPUTED_VALUE"""),"Medium")</f>
        <v>Medium</v>
      </c>
      <c r="L32" s="29" t="str">
        <f>IFERROR(__xludf.DUMMYFUNCTION("""COMPUTED_VALUE"""),"018.png")</f>
        <v>018.png</v>
      </c>
      <c r="M32" s="28"/>
      <c r="N32" s="28" t="str">
        <f>IFERROR(__xludf.DUMMYFUNCTION("""COMPUTED_VALUE"""),"Fahad")</f>
        <v>Fahad</v>
      </c>
      <c r="O32" s="28"/>
      <c r="P32" s="28"/>
      <c r="Q32" s="28"/>
      <c r="R32" s="26"/>
      <c r="S32" s="26"/>
      <c r="T32" s="26"/>
      <c r="U32" s="26"/>
      <c r="V32" s="26"/>
      <c r="W32" s="26"/>
      <c r="X32" s="26"/>
      <c r="Y32" s="26"/>
      <c r="Z32" s="26"/>
      <c r="AA32" s="26"/>
    </row>
    <row r="33">
      <c r="A33" s="27" t="s">
        <v>53</v>
      </c>
      <c r="B33" s="28" t="str">
        <f>IFERROR(__xludf.DUMMYFUNCTION("""COMPUTED_VALUE"""),"Landing screen")</f>
        <v>Landing screen</v>
      </c>
      <c r="C33" s="28" t="str">
        <f>IFERROR(__xludf.DUMMYFUNCTION("""COMPUTED_VALUE"""),"Home")</f>
        <v>Home</v>
      </c>
      <c r="D33" s="28" t="str">
        <f>IFERROR(__xludf.DUMMYFUNCTION("""COMPUTED_VALUE"""),"The profile name doesn’t update automatically.")</f>
        <v>The profile name doesn’t update automatically.</v>
      </c>
      <c r="E33" s="28" t="str">
        <f>IFERROR(__xludf.DUMMYFUNCTION("""COMPUTED_VALUE"""),"User need to install the app in their android device")</f>
        <v>User need to install the app in their android device</v>
      </c>
      <c r="F33" s="28" t="str">
        <f>IFERROR(__xludf.DUMMYFUNCTION("""COMPUTED_VALUE"""),"1. Open app
2. Sign-in using valid credential
3. Select user role")</f>
        <v>1. Open app
2. Sign-in using valid credential
3. Select user role</v>
      </c>
      <c r="G33" s="28" t="str">
        <f>IFERROR(__xludf.DUMMYFUNCTION("""COMPUTED_VALUE"""),"User Credential")</f>
        <v>User Credential</v>
      </c>
      <c r="H33" s="28" t="str">
        <f>IFERROR(__xludf.DUMMYFUNCTION("""COMPUTED_VALUE"""),"The profile should automatically update after switching roles.")</f>
        <v>The profile should automatically update after switching roles.</v>
      </c>
      <c r="I33" s="28" t="str">
        <f>IFERROR(__xludf.DUMMYFUNCTION("""COMPUTED_VALUE"""),"The profile does not update dynamically.")</f>
        <v>The profile does not update dynamically.</v>
      </c>
      <c r="J33" s="28" t="str">
        <f>IFERROR(__xludf.DUMMYFUNCTION("""COMPUTED_VALUE"""),"Fail")</f>
        <v>Fail</v>
      </c>
      <c r="K33" s="28" t="str">
        <f>IFERROR(__xludf.DUMMYFUNCTION("""COMPUTED_VALUE"""),"Medium")</f>
        <v>Medium</v>
      </c>
      <c r="L33" s="29" t="str">
        <f>IFERROR(__xludf.DUMMYFUNCTION("""COMPUTED_VALUE"""),"028.mp4")</f>
        <v>028.mp4</v>
      </c>
      <c r="M33" s="28"/>
      <c r="N33" s="28" t="str">
        <f>IFERROR(__xludf.DUMMYFUNCTION("""COMPUTED_VALUE"""),"Fahad")</f>
        <v>Fahad</v>
      </c>
      <c r="O33" s="28"/>
      <c r="P33" s="28"/>
      <c r="Q33" s="28"/>
      <c r="R33" s="26"/>
      <c r="S33" s="26"/>
      <c r="T33" s="26"/>
      <c r="U33" s="26"/>
      <c r="V33" s="26"/>
      <c r="W33" s="26"/>
      <c r="X33" s="26"/>
      <c r="Y33" s="26"/>
      <c r="Z33" s="26"/>
      <c r="AA33" s="26"/>
    </row>
    <row r="34">
      <c r="A34" s="27" t="s">
        <v>54</v>
      </c>
      <c r="B34" s="28" t="str">
        <f>IFERROR(__xludf.DUMMYFUNCTION("""COMPUTED_VALUE"""),"Landing screen")</f>
        <v>Landing screen</v>
      </c>
      <c r="C34" s="28" t="str">
        <f>IFERROR(__xludf.DUMMYFUNCTION("""COMPUTED_VALUE"""),"Home")</f>
        <v>Home</v>
      </c>
      <c r="D34" s="28" t="str">
        <f>IFERROR(__xludf.DUMMYFUNCTION("""COMPUTED_VALUE"""),"Clicking on the profile doesn’t navigate the user to the profile screen.")</f>
        <v>Clicking on the profile doesn’t navigate the user to the profile screen.</v>
      </c>
      <c r="E34" s="28" t="str">
        <f>IFERROR(__xludf.DUMMYFUNCTION("""COMPUTED_VALUE"""),"User need to install the app in their android device")</f>
        <v>User need to install the app in their android device</v>
      </c>
      <c r="F34" s="28" t="str">
        <f>IFERROR(__xludf.DUMMYFUNCTION("""COMPUTED_VALUE"""),"1. Open app
2. Sign-in using valid credential
3. Select user role")</f>
        <v>1. Open app
2. Sign-in using valid credential
3. Select user role</v>
      </c>
      <c r="G34" s="28" t="str">
        <f>IFERROR(__xludf.DUMMYFUNCTION("""COMPUTED_VALUE"""),"User Credential")</f>
        <v>User Credential</v>
      </c>
      <c r="H34" s="28" t="str">
        <f>IFERROR(__xludf.DUMMYFUNCTION("""COMPUTED_VALUE"""),"Features and functionalities should be implemented correctly.")</f>
        <v>Features and functionalities should be implemented correctly.</v>
      </c>
      <c r="I34" s="28" t="str">
        <f>IFERROR(__xludf.DUMMYFUNCTION("""COMPUTED_VALUE"""),"Missing feature noticed")</f>
        <v>Missing feature noticed</v>
      </c>
      <c r="J34" s="28" t="str">
        <f>IFERROR(__xludf.DUMMYFUNCTION("""COMPUTED_VALUE"""),"Fail")</f>
        <v>Fail</v>
      </c>
      <c r="K34" s="28" t="str">
        <f>IFERROR(__xludf.DUMMYFUNCTION("""COMPUTED_VALUE"""),"High")</f>
        <v>High</v>
      </c>
      <c r="L34" s="29" t="str">
        <f>IFERROR(__xludf.DUMMYFUNCTION("""COMPUTED_VALUE"""),"029.png")</f>
        <v>029.png</v>
      </c>
      <c r="M34" s="28"/>
      <c r="N34" s="28" t="str">
        <f>IFERROR(__xludf.DUMMYFUNCTION("""COMPUTED_VALUE"""),"Fahad")</f>
        <v>Fahad</v>
      </c>
      <c r="O34" s="28"/>
      <c r="P34" s="28"/>
      <c r="Q34" s="28"/>
      <c r="R34" s="26"/>
      <c r="S34" s="26"/>
      <c r="T34" s="26"/>
      <c r="U34" s="26"/>
      <c r="V34" s="26"/>
      <c r="W34" s="26"/>
      <c r="X34" s="26"/>
      <c r="Y34" s="26"/>
      <c r="Z34" s="26"/>
      <c r="AA34" s="26"/>
    </row>
    <row r="35">
      <c r="A35" s="27" t="s">
        <v>55</v>
      </c>
      <c r="B35" s="28" t="str">
        <f>IFERROR(__xludf.DUMMYFUNCTION("""COMPUTED_VALUE"""),"Landing screen")</f>
        <v>Landing screen</v>
      </c>
      <c r="C35" s="28" t="str">
        <f>IFERROR(__xludf.DUMMYFUNCTION("""COMPUTED_VALUE"""),"Home")</f>
        <v>Home</v>
      </c>
      <c r="D35" s="28" t="str">
        <f>IFERROR(__xludf.DUMMYFUNCTION("""COMPUTED_VALUE"""),"Not functional")</f>
        <v>Not functional</v>
      </c>
      <c r="E35" s="28" t="str">
        <f>IFERROR(__xludf.DUMMYFUNCTION("""COMPUTED_VALUE"""),"User need to install the app in their android device")</f>
        <v>User need to install the app in their android device</v>
      </c>
      <c r="F35" s="28" t="str">
        <f>IFERROR(__xludf.DUMMYFUNCTION("""COMPUTED_VALUE"""),"1. Open app
2. Sign-in using valid credential
3. Select user role")</f>
        <v>1. Open app
2. Sign-in using valid credential
3. Select user role</v>
      </c>
      <c r="G35" s="28" t="str">
        <f>IFERROR(__xludf.DUMMYFUNCTION("""COMPUTED_VALUE"""),"User Credential")</f>
        <v>User Credential</v>
      </c>
      <c r="H35" s="28" t="str">
        <f>IFERROR(__xludf.DUMMYFUNCTION("""COMPUTED_VALUE"""),"Features and functionalities should be implemented correctly.")</f>
        <v>Features and functionalities should be implemented correctly.</v>
      </c>
      <c r="I35" s="28" t="str">
        <f>IFERROR(__xludf.DUMMYFUNCTION("""COMPUTED_VALUE"""),"Missing feature noticed")</f>
        <v>Missing feature noticed</v>
      </c>
      <c r="J35" s="28" t="str">
        <f>IFERROR(__xludf.DUMMYFUNCTION("""COMPUTED_VALUE"""),"Fail")</f>
        <v>Fail</v>
      </c>
      <c r="K35" s="28" t="str">
        <f>IFERROR(__xludf.DUMMYFUNCTION("""COMPUTED_VALUE"""),"High")</f>
        <v>High</v>
      </c>
      <c r="L35" s="29" t="str">
        <f>IFERROR(__xludf.DUMMYFUNCTION("""COMPUTED_VALUE"""),"030.png")</f>
        <v>030.png</v>
      </c>
      <c r="M35" s="28"/>
      <c r="N35" s="28" t="str">
        <f>IFERROR(__xludf.DUMMYFUNCTION("""COMPUTED_VALUE"""),"Fahad")</f>
        <v>Fahad</v>
      </c>
      <c r="O35" s="28"/>
      <c r="P35" s="28"/>
      <c r="Q35" s="28"/>
      <c r="R35" s="26"/>
      <c r="S35" s="26"/>
      <c r="T35" s="26"/>
      <c r="U35" s="26"/>
      <c r="V35" s="26"/>
      <c r="W35" s="26"/>
      <c r="X35" s="26"/>
      <c r="Y35" s="26"/>
      <c r="Z35" s="26"/>
      <c r="AA35" s="26"/>
    </row>
    <row r="36">
      <c r="A36" s="27" t="s">
        <v>56</v>
      </c>
      <c r="B36" s="28" t="str">
        <f>IFERROR(__xludf.DUMMYFUNCTION("""COMPUTED_VALUE"""),"Landing screen")</f>
        <v>Landing screen</v>
      </c>
      <c r="C36" s="28" t="str">
        <f>IFERROR(__xludf.DUMMYFUNCTION("""COMPUTED_VALUE"""),"Home")</f>
        <v>Home</v>
      </c>
      <c r="D36" s="28" t="str">
        <f>IFERROR(__xludf.DUMMYFUNCTION("""COMPUTED_VALUE"""),"Users UI set as Drivers UI")</f>
        <v>Users UI set as Drivers UI</v>
      </c>
      <c r="E36" s="28" t="str">
        <f>IFERROR(__xludf.DUMMYFUNCTION("""COMPUTED_VALUE"""),"User need to install the app in their android device")</f>
        <v>User need to install the app in their android device</v>
      </c>
      <c r="F36" s="28" t="str">
        <f>IFERROR(__xludf.DUMMYFUNCTION("""COMPUTED_VALUE"""),"1. Open app
2. Sign-in using valid credential
3. Select driver role")</f>
        <v>1. Open app
2. Sign-in using valid credential
3. Select driver role</v>
      </c>
      <c r="G36" s="28" t="str">
        <f>IFERROR(__xludf.DUMMYFUNCTION("""COMPUTED_VALUE"""),"Driver Credentials")</f>
        <v>Driver Credentials</v>
      </c>
      <c r="H36" s="28" t="str">
        <f>IFERROR(__xludf.DUMMYFUNCTION("""COMPUTED_VALUE"""),"The UI should be designed to adapt to different user roles.")</f>
        <v>The UI should be designed to adapt to different user roles.</v>
      </c>
      <c r="I36" s="28" t="str">
        <f>IFERROR(__xludf.DUMMYFUNCTION("""COMPUTED_VALUE"""),"Users UI is integrated in drivers UI")</f>
        <v>Users UI is integrated in drivers UI</v>
      </c>
      <c r="J36" s="28" t="str">
        <f>IFERROR(__xludf.DUMMYFUNCTION("""COMPUTED_VALUE"""),"Fail")</f>
        <v>Fail</v>
      </c>
      <c r="K36" s="28" t="str">
        <f>IFERROR(__xludf.DUMMYFUNCTION("""COMPUTED_VALUE"""),"Medium")</f>
        <v>Medium</v>
      </c>
      <c r="L36" s="29" t="str">
        <f>IFERROR(__xludf.DUMMYFUNCTION("""COMPUTED_VALUE"""),"039.png")</f>
        <v>039.png</v>
      </c>
      <c r="M36" s="28"/>
      <c r="N36" s="28" t="str">
        <f>IFERROR(__xludf.DUMMYFUNCTION("""COMPUTED_VALUE"""),"Fahad")</f>
        <v>Fahad</v>
      </c>
      <c r="O36" s="28"/>
      <c r="P36" s="28"/>
      <c r="Q36" s="28"/>
      <c r="R36" s="26"/>
      <c r="S36" s="26"/>
      <c r="T36" s="26"/>
      <c r="U36" s="26"/>
      <c r="V36" s="26"/>
      <c r="W36" s="26"/>
      <c r="X36" s="26"/>
      <c r="Y36" s="26"/>
      <c r="Z36" s="26"/>
      <c r="AA36" s="26"/>
    </row>
    <row r="37">
      <c r="A37" s="27" t="s">
        <v>57</v>
      </c>
      <c r="B37" s="28" t="str">
        <f>IFERROR(__xludf.DUMMYFUNCTION("""COMPUTED_VALUE"""),"OTP")</f>
        <v>OTP</v>
      </c>
      <c r="C37" s="28" t="str">
        <f>IFERROR(__xludf.DUMMYFUNCTION("""COMPUTED_VALUE"""),"OTP")</f>
        <v>OTP</v>
      </c>
      <c r="D37" s="28" t="str">
        <f>IFERROR(__xludf.DUMMYFUNCTION("""COMPUTED_VALUE"""),"Failed to receive OTP in the entered email.")</f>
        <v>Failed to receive OTP in the entered email.</v>
      </c>
      <c r="E37" s="28" t="str">
        <f>IFERROR(__xludf.DUMMYFUNCTION("""COMPUTED_VALUE"""),"User need to install the app in their android device")</f>
        <v>User need to install the app in their android device</v>
      </c>
      <c r="F37" s="28" t="str">
        <f>IFERROR(__xludf.DUMMYFUNCTION("""COMPUTED_VALUE"""),"1. Open app
2. Click on sign-up")</f>
        <v>1. Open app
2. Click on sign-up</v>
      </c>
      <c r="G37" s="28" t="str">
        <f>IFERROR(__xludf.DUMMYFUNCTION("""COMPUTED_VALUE"""),"User Credential")</f>
        <v>User Credential</v>
      </c>
      <c r="H37" s="28" t="str">
        <f>IFERROR(__xludf.DUMMYFUNCTION("""COMPUTED_VALUE"""),"The user should get an OTP for email verification.")</f>
        <v>The user should get an OTP for email verification.</v>
      </c>
      <c r="I37" s="28" t="str">
        <f>IFERROR(__xludf.DUMMYFUNCTION("""COMPUTED_VALUE"""),"Did not receive the OTP in the registered email address.")</f>
        <v>Did not receive the OTP in the registered email address.</v>
      </c>
      <c r="J37" s="28" t="str">
        <f>IFERROR(__xludf.DUMMYFUNCTION("""COMPUTED_VALUE"""),"Fail")</f>
        <v>Fail</v>
      </c>
      <c r="K37" s="28" t="str">
        <f>IFERROR(__xludf.DUMMYFUNCTION("""COMPUTED_VALUE"""),"High")</f>
        <v>High</v>
      </c>
      <c r="L37" s="29" t="str">
        <f>IFERROR(__xludf.DUMMYFUNCTION("""COMPUTED_VALUE"""),"003.png")</f>
        <v>003.png</v>
      </c>
      <c r="M37" s="28"/>
      <c r="N37" s="28" t="str">
        <f>IFERROR(__xludf.DUMMYFUNCTION("""COMPUTED_VALUE"""),"Fahad")</f>
        <v>Fahad</v>
      </c>
      <c r="O37" s="28"/>
      <c r="P37" s="28"/>
      <c r="Q37" s="28"/>
      <c r="R37" s="26"/>
      <c r="S37" s="26"/>
      <c r="T37" s="26"/>
      <c r="U37" s="26"/>
      <c r="V37" s="26"/>
      <c r="W37" s="26"/>
      <c r="X37" s="26"/>
      <c r="Y37" s="26"/>
      <c r="Z37" s="26"/>
      <c r="AA37" s="26"/>
    </row>
    <row r="38">
      <c r="A38" s="27" t="s">
        <v>58</v>
      </c>
      <c r="B38" s="28" t="str">
        <f>IFERROR(__xludf.DUMMYFUNCTION("""COMPUTED_VALUE"""),"OTP")</f>
        <v>OTP</v>
      </c>
      <c r="C38" s="28" t="str">
        <f>IFERROR(__xludf.DUMMYFUNCTION("""COMPUTED_VALUE"""),"OTP")</f>
        <v>OTP</v>
      </c>
      <c r="D38" s="28" t="str">
        <f>IFERROR(__xludf.DUMMYFUNCTION("""COMPUTED_VALUE"""),"The app name in the OTP is incorrect.")</f>
        <v>The app name in the OTP is incorrect.</v>
      </c>
      <c r="E38" s="28" t="str">
        <f>IFERROR(__xludf.DUMMYFUNCTION("""COMPUTED_VALUE"""),"User need to install the app in their android device")</f>
        <v>User need to install the app in their android device</v>
      </c>
      <c r="F38" s="28" t="str">
        <f>IFERROR(__xludf.DUMMYFUNCTION("""COMPUTED_VALUE"""),"1. Open app
2. Click on sign-in
3. Click on Forget Password
4. Open mail")</f>
        <v>1. Open app
2. Click on sign-in
3. Click on Forget Password
4. Open mail</v>
      </c>
      <c r="G38" s="28" t="str">
        <f>IFERROR(__xludf.DUMMYFUNCTION("""COMPUTED_VALUE"""),"User Credential")</f>
        <v>User Credential</v>
      </c>
      <c r="H38" s="28" t="str">
        <f>IFERROR(__xludf.DUMMYFUNCTION("""COMPUTED_VALUE"""),"The app name in the OTP should be correct.")</f>
        <v>The app name in the OTP should be correct.</v>
      </c>
      <c r="I38" s="28" t="str">
        <f>IFERROR(__xludf.DUMMYFUNCTION("""COMPUTED_VALUE"""),"The mail title shows the wrong app name.")</f>
        <v>The mail title shows the wrong app name.</v>
      </c>
      <c r="J38" s="28" t="str">
        <f>IFERROR(__xludf.DUMMYFUNCTION("""COMPUTED_VALUE"""),"Fail")</f>
        <v>Fail</v>
      </c>
      <c r="K38" s="28" t="str">
        <f>IFERROR(__xludf.DUMMYFUNCTION("""COMPUTED_VALUE"""),"Medium")</f>
        <v>Medium</v>
      </c>
      <c r="L38" s="29" t="str">
        <f>IFERROR(__xludf.DUMMYFUNCTION("""COMPUTED_VALUE"""),"006.png")</f>
        <v>006.png</v>
      </c>
      <c r="M38" s="28"/>
      <c r="N38" s="28" t="str">
        <f>IFERROR(__xludf.DUMMYFUNCTION("""COMPUTED_VALUE"""),"Fahad")</f>
        <v>Fahad</v>
      </c>
      <c r="O38" s="28"/>
      <c r="P38" s="28"/>
      <c r="Q38" s="28"/>
      <c r="R38" s="26"/>
      <c r="S38" s="26"/>
      <c r="T38" s="26"/>
      <c r="U38" s="26"/>
      <c r="V38" s="26"/>
      <c r="W38" s="26"/>
      <c r="X38" s="26"/>
      <c r="Y38" s="26"/>
      <c r="Z38" s="26"/>
      <c r="AA38" s="26"/>
    </row>
    <row r="39">
      <c r="A39" s="27" t="s">
        <v>59</v>
      </c>
      <c r="B39" s="28" t="str">
        <f>IFERROR(__xludf.DUMMYFUNCTION("""COMPUTED_VALUE"""),"OTP")</f>
        <v>OTP</v>
      </c>
      <c r="C39" s="28" t="str">
        <f>IFERROR(__xludf.DUMMYFUNCTION("""COMPUTED_VALUE"""),"OTP")</f>
        <v>OTP</v>
      </c>
      <c r="D39" s="28" t="str">
        <f>IFERROR(__xludf.DUMMYFUNCTION("""COMPUTED_VALUE"""),"support mail is not aligned with app name")</f>
        <v>support mail is not aligned with app name</v>
      </c>
      <c r="E39" s="28" t="str">
        <f>IFERROR(__xludf.DUMMYFUNCTION("""COMPUTED_VALUE"""),"User need to install the app in their android device")</f>
        <v>User need to install the app in their android device</v>
      </c>
      <c r="F39" s="28" t="str">
        <f>IFERROR(__xludf.DUMMYFUNCTION("""COMPUTED_VALUE"""),"1. Open app
2. Click on sign-in
3. Click on Forget Password
4. Open mail")</f>
        <v>1. Open app
2. Click on sign-in
3. Click on Forget Password
4. Open mail</v>
      </c>
      <c r="G39" s="28" t="str">
        <f>IFERROR(__xludf.DUMMYFUNCTION("""COMPUTED_VALUE"""),"User Credential")</f>
        <v>User Credential</v>
      </c>
      <c r="H39" s="28" t="str">
        <f>IFERROR(__xludf.DUMMYFUNCTION("""COMPUTED_VALUE"""),"The support email should match the app name.")</f>
        <v>The support email should match the app name.</v>
      </c>
      <c r="I39" s="28" t="str">
        <f>IFERROR(__xludf.DUMMYFUNCTION("""COMPUTED_VALUE"""),"Noticed difference of app name and support mail")</f>
        <v>Noticed difference of app name and support mail</v>
      </c>
      <c r="J39" s="28" t="str">
        <f>IFERROR(__xludf.DUMMYFUNCTION("""COMPUTED_VALUE"""),"Fail")</f>
        <v>Fail</v>
      </c>
      <c r="K39" s="28" t="str">
        <f>IFERROR(__xludf.DUMMYFUNCTION("""COMPUTED_VALUE"""),"Medium")</f>
        <v>Medium</v>
      </c>
      <c r="L39" s="29" t="str">
        <f>IFERROR(__xludf.DUMMYFUNCTION("""COMPUTED_VALUE"""),"007.png")</f>
        <v>007.png</v>
      </c>
      <c r="M39" s="28"/>
      <c r="N39" s="28" t="str">
        <f>IFERROR(__xludf.DUMMYFUNCTION("""COMPUTED_VALUE"""),"Fahad")</f>
        <v>Fahad</v>
      </c>
      <c r="O39" s="28"/>
      <c r="P39" s="28"/>
      <c r="Q39" s="28"/>
      <c r="R39" s="26"/>
      <c r="S39" s="26"/>
      <c r="T39" s="26"/>
      <c r="U39" s="26"/>
      <c r="V39" s="26"/>
      <c r="W39" s="26"/>
      <c r="X39" s="26"/>
      <c r="Y39" s="26"/>
      <c r="Z39" s="26"/>
      <c r="AA39" s="26"/>
    </row>
    <row r="40">
      <c r="A40" s="27" t="s">
        <v>60</v>
      </c>
      <c r="B40" s="28" t="str">
        <f>IFERROR(__xludf.DUMMYFUNCTION("""COMPUTED_VALUE"""),"OTP")</f>
        <v>OTP</v>
      </c>
      <c r="C40" s="28" t="str">
        <f>IFERROR(__xludf.DUMMYFUNCTION("""COMPUTED_VALUE"""),"OTP")</f>
        <v>OTP</v>
      </c>
      <c r="D40" s="28" t="str">
        <f>IFERROR(__xludf.DUMMYFUNCTION("""COMPUTED_VALUE"""),"The OTP code in the email body is missing.")</f>
        <v>The OTP code in the email body is missing.</v>
      </c>
      <c r="E40" s="28" t="str">
        <f>IFERROR(__xludf.DUMMYFUNCTION("""COMPUTED_VALUE"""),"User need to install the app in their android device")</f>
        <v>User need to install the app in their android device</v>
      </c>
      <c r="F40" s="28" t="str">
        <f>IFERROR(__xludf.DUMMYFUNCTION("""COMPUTED_VALUE"""),"1. Open app
2. Click on sign-in
3. Click on Forget Password
4. Open mail")</f>
        <v>1. Open app
2. Click on sign-in
3. Click on Forget Password
4. Open mail</v>
      </c>
      <c r="G40" s="28" t="str">
        <f>IFERROR(__xludf.DUMMYFUNCTION("""COMPUTED_VALUE"""),"User Credential")</f>
        <v>User Credential</v>
      </c>
      <c r="H40" s="28" t="str">
        <f>IFERROR(__xludf.DUMMYFUNCTION("""COMPUTED_VALUE"""),"Email body should contain User name , OTP code, time and date ")</f>
        <v>Email body should contain User name , OTP code, time and date </v>
      </c>
      <c r="I40" s="28" t="str">
        <f>IFERROR(__xludf.DUMMYFUNCTION("""COMPUTED_VALUE"""),"Blank email body has been noticed")</f>
        <v>Blank email body has been noticed</v>
      </c>
      <c r="J40" s="28" t="str">
        <f>IFERROR(__xludf.DUMMYFUNCTION("""COMPUTED_VALUE"""),"Fail")</f>
        <v>Fail</v>
      </c>
      <c r="K40" s="28" t="str">
        <f>IFERROR(__xludf.DUMMYFUNCTION("""COMPUTED_VALUE"""),"High")</f>
        <v>High</v>
      </c>
      <c r="L40" s="29" t="str">
        <f>IFERROR(__xludf.DUMMYFUNCTION("""COMPUTED_VALUE"""),"008.png")</f>
        <v>008.png</v>
      </c>
      <c r="M40" s="28"/>
      <c r="N40" s="28" t="str">
        <f>IFERROR(__xludf.DUMMYFUNCTION("""COMPUTED_VALUE"""),"Fahad")</f>
        <v>Fahad</v>
      </c>
      <c r="O40" s="28"/>
      <c r="P40" s="28"/>
      <c r="Q40" s="28"/>
      <c r="R40" s="26"/>
      <c r="S40" s="26"/>
      <c r="T40" s="26"/>
      <c r="U40" s="26"/>
      <c r="V40" s="26"/>
      <c r="W40" s="26"/>
      <c r="X40" s="26"/>
      <c r="Y40" s="26"/>
      <c r="Z40" s="26"/>
      <c r="AA40" s="26"/>
    </row>
    <row r="41">
      <c r="A41" s="27" t="s">
        <v>61</v>
      </c>
      <c r="B41" s="28" t="str">
        <f>IFERROR(__xludf.DUMMYFUNCTION("""COMPUTED_VALUE"""),"Sign-up")</f>
        <v>Sign-up</v>
      </c>
      <c r="C41" s="28" t="str">
        <f>IFERROR(__xludf.DUMMYFUNCTION("""COMPUTED_VALUE"""),"Sign-up")</f>
        <v>Sign-up</v>
      </c>
      <c r="D41" s="28" t="str">
        <f>IFERROR(__xludf.DUMMYFUNCTION("""COMPUTED_VALUE"""),"Failed to create account")</f>
        <v>Failed to create account</v>
      </c>
      <c r="E41" s="28" t="str">
        <f>IFERROR(__xludf.DUMMYFUNCTION("""COMPUTED_VALUE"""),"User need to install the app in their android device")</f>
        <v>User need to install the app in their android device</v>
      </c>
      <c r="F41" s="28" t="str">
        <f>IFERROR(__xludf.DUMMYFUNCTION("""COMPUTED_VALUE"""),"1. Open app
2. Click on sign-up")</f>
        <v>1. Open app
2. Click on sign-up</v>
      </c>
      <c r="G41" s="28" t="str">
        <f>IFERROR(__xludf.DUMMYFUNCTION("""COMPUTED_VALUE"""),"N/A")</f>
        <v>N/A</v>
      </c>
      <c r="H41" s="28" t="str">
        <f>IFERROR(__xludf.DUMMYFUNCTION("""COMPUTED_VALUE"""),"Users should be able to sign up without encountering any problems.")</f>
        <v>Users should be able to sign up without encountering any problems.</v>
      </c>
      <c r="I41" s="28" t="str">
        <f>IFERROR(__xludf.DUMMYFUNCTION("""COMPUTED_VALUE"""),"Failed to signup")</f>
        <v>Failed to signup</v>
      </c>
      <c r="J41" s="28" t="str">
        <f>IFERROR(__xludf.DUMMYFUNCTION("""COMPUTED_VALUE"""),"Fail")</f>
        <v>Fail</v>
      </c>
      <c r="K41" s="28" t="str">
        <f>IFERROR(__xludf.DUMMYFUNCTION("""COMPUTED_VALUE"""),"High")</f>
        <v>High</v>
      </c>
      <c r="L41" s="29" t="str">
        <f>IFERROR(__xludf.DUMMYFUNCTION("""COMPUTED_VALUE"""),"001.png")</f>
        <v>001.png</v>
      </c>
      <c r="M41" s="28"/>
      <c r="N41" s="28" t="str">
        <f>IFERROR(__xludf.DUMMYFUNCTION("""COMPUTED_VALUE"""),"Fahad")</f>
        <v>Fahad</v>
      </c>
      <c r="O41" s="28"/>
      <c r="P41" s="28"/>
      <c r="Q41" s="28"/>
      <c r="R41" s="26"/>
      <c r="S41" s="26"/>
      <c r="T41" s="26"/>
      <c r="U41" s="26"/>
      <c r="V41" s="26"/>
      <c r="W41" s="26"/>
      <c r="X41" s="26"/>
      <c r="Y41" s="26"/>
      <c r="Z41" s="26"/>
      <c r="AA41" s="26"/>
    </row>
    <row r="42">
      <c r="A42" s="27" t="s">
        <v>62</v>
      </c>
      <c r="B42" s="28" t="str">
        <f>IFERROR(__xludf.DUMMYFUNCTION("""COMPUTED_VALUE"""),"Sign-up")</f>
        <v>Sign-up</v>
      </c>
      <c r="C42" s="28" t="str">
        <f>IFERROR(__xludf.DUMMYFUNCTION("""COMPUTED_VALUE"""),"Sign-up")</f>
        <v>Sign-up</v>
      </c>
      <c r="D42" s="28" t="str">
        <f>IFERROR(__xludf.DUMMYFUNCTION("""COMPUTED_VALUE"""),"Failed to create account")</f>
        <v>Failed to create account</v>
      </c>
      <c r="E42" s="28" t="str">
        <f>IFERROR(__xludf.DUMMYFUNCTION("""COMPUTED_VALUE"""),"User need to install the app in their android device")</f>
        <v>User need to install the app in their android device</v>
      </c>
      <c r="F42" s="28" t="str">
        <f>IFERROR(__xludf.DUMMYFUNCTION("""COMPUTED_VALUE"""),"1. Open app
2. Click on sign-up")</f>
        <v>1. Open app
2. Click on sign-up</v>
      </c>
      <c r="G42" s="28" t="str">
        <f>IFERROR(__xludf.DUMMYFUNCTION("""COMPUTED_VALUE"""),"N/A")</f>
        <v>N/A</v>
      </c>
      <c r="H42" s="28" t="str">
        <f>IFERROR(__xludf.DUMMYFUNCTION("""COMPUTED_VALUE"""),"Users should be able to sign up without encountering any problems.")</f>
        <v>Users should be able to sign up without encountering any problems.</v>
      </c>
      <c r="I42" s="28" t="str">
        <f>IFERROR(__xludf.DUMMYFUNCTION("""COMPUTED_VALUE"""),"Failed to signup")</f>
        <v>Failed to signup</v>
      </c>
      <c r="J42" s="28" t="str">
        <f>IFERROR(__xludf.DUMMYFUNCTION("""COMPUTED_VALUE"""),"Fail")</f>
        <v>Fail</v>
      </c>
      <c r="K42" s="28" t="str">
        <f>IFERROR(__xludf.DUMMYFUNCTION("""COMPUTED_VALUE"""),"High")</f>
        <v>High</v>
      </c>
      <c r="L42" s="29" t="str">
        <f>IFERROR(__xludf.DUMMYFUNCTION("""COMPUTED_VALUE"""),"002.png")</f>
        <v>002.png</v>
      </c>
      <c r="M42" s="28"/>
      <c r="N42" s="28" t="str">
        <f>IFERROR(__xludf.DUMMYFUNCTION("""COMPUTED_VALUE"""),"Fahad")</f>
        <v>Fahad</v>
      </c>
      <c r="O42" s="28"/>
      <c r="P42" s="28"/>
      <c r="Q42" s="28"/>
      <c r="R42" s="26"/>
      <c r="S42" s="26"/>
      <c r="T42" s="26"/>
      <c r="U42" s="26"/>
      <c r="V42" s="26"/>
      <c r="W42" s="26"/>
      <c r="X42" s="26"/>
      <c r="Y42" s="26"/>
      <c r="Z42" s="26"/>
      <c r="AA42" s="26"/>
    </row>
    <row r="43">
      <c r="A43" s="27" t="s">
        <v>63</v>
      </c>
      <c r="B43" s="28" t="str">
        <f>IFERROR(__xludf.DUMMYFUNCTION("""COMPUTED_VALUE"""),"Sign-up")</f>
        <v>Sign-up</v>
      </c>
      <c r="C43" s="28" t="str">
        <f>IFERROR(__xludf.DUMMYFUNCTION("""COMPUTED_VALUE"""),"Sign-up")</f>
        <v>Sign-up</v>
      </c>
      <c r="D43" s="28" t="str">
        <f>IFERROR(__xludf.DUMMYFUNCTION("""COMPUTED_VALUE"""),"The ""Remember Me"" button isn’t working.")</f>
        <v>The "Remember Me" button isn’t working.</v>
      </c>
      <c r="E43" s="28" t="str">
        <f>IFERROR(__xludf.DUMMYFUNCTION("""COMPUTED_VALUE"""),"User need to install the app in their android device")</f>
        <v>User need to install the app in their android device</v>
      </c>
      <c r="F43" s="28" t="str">
        <f>IFERROR(__xludf.DUMMYFUNCTION("""COMPUTED_VALUE"""),"1. Open app
2. Click on sign-up")</f>
        <v>1. Open app
2. Click on sign-up</v>
      </c>
      <c r="G43" s="28" t="str">
        <f>IFERROR(__xludf.DUMMYFUNCTION("""COMPUTED_VALUE"""),"User Credential")</f>
        <v>User Credential</v>
      </c>
      <c r="H43" s="28" t="str">
        <f>IFERROR(__xludf.DUMMYFUNCTION("""COMPUTED_VALUE"""),"Remember button should be functional")</f>
        <v>Remember button should be functional</v>
      </c>
      <c r="I43" s="28" t="str">
        <f>IFERROR(__xludf.DUMMYFUNCTION("""COMPUTED_VALUE"""),"Not working button. Unable to click")</f>
        <v>Not working button. Unable to click</v>
      </c>
      <c r="J43" s="28" t="str">
        <f>IFERROR(__xludf.DUMMYFUNCTION("""COMPUTED_VALUE"""),"Fail")</f>
        <v>Fail</v>
      </c>
      <c r="K43" s="28" t="str">
        <f>IFERROR(__xludf.DUMMYFUNCTION("""COMPUTED_VALUE"""),"Medium")</f>
        <v>Medium</v>
      </c>
      <c r="L43" s="29" t="str">
        <f>IFERROR(__xludf.DUMMYFUNCTION("""COMPUTED_VALUE"""),"004.png")</f>
        <v>004.png</v>
      </c>
      <c r="M43" s="28"/>
      <c r="N43" s="28" t="str">
        <f>IFERROR(__xludf.DUMMYFUNCTION("""COMPUTED_VALUE"""),"Fahad")</f>
        <v>Fahad</v>
      </c>
      <c r="O43" s="28"/>
      <c r="P43" s="28"/>
      <c r="Q43" s="28"/>
      <c r="R43" s="26"/>
      <c r="S43" s="26"/>
      <c r="T43" s="26"/>
      <c r="U43" s="26"/>
      <c r="V43" s="26"/>
      <c r="W43" s="26"/>
      <c r="X43" s="26"/>
      <c r="Y43" s="26"/>
      <c r="Z43" s="26"/>
      <c r="AA43" s="26"/>
    </row>
    <row r="44">
      <c r="A44" s="27" t="s">
        <v>64</v>
      </c>
      <c r="B44" s="28" t="str">
        <f>IFERROR(__xludf.DUMMYFUNCTION("""COMPUTED_VALUE"""),"Sign-up")</f>
        <v>Sign-up</v>
      </c>
      <c r="C44" s="28" t="str">
        <f>IFERROR(__xludf.DUMMYFUNCTION("""COMPUTED_VALUE"""),"Sign-up")</f>
        <v>Sign-up</v>
      </c>
      <c r="D44" s="28" t="str">
        <f>IFERROR(__xludf.DUMMYFUNCTION("""COMPUTED_VALUE"""),"Sign-in page error display in sign-up page")</f>
        <v>Sign-in page error display in sign-up page</v>
      </c>
      <c r="E44" s="28" t="str">
        <f>IFERROR(__xludf.DUMMYFUNCTION("""COMPUTED_VALUE"""),"User need to install the app in their android device")</f>
        <v>User need to install the app in their android device</v>
      </c>
      <c r="F44" s="28" t="str">
        <f>IFERROR(__xludf.DUMMYFUNCTION("""COMPUTED_VALUE"""),"1. Open app
2. Sign-in using valid credential
3. Select user role")</f>
        <v>1. Open app
2. Sign-in using valid credential
3. Select user role</v>
      </c>
      <c r="G44" s="28" t="str">
        <f>IFERROR(__xludf.DUMMYFUNCTION("""COMPUTED_VALUE"""),"User Credential")</f>
        <v>User Credential</v>
      </c>
      <c r="H44" s="28" t="str">
        <f>IFERROR(__xludf.DUMMYFUNCTION("""COMPUTED_VALUE"""),"An error message for a specific page should only appear on that page.")</f>
        <v>An error message for a specific page should only appear on that page.</v>
      </c>
      <c r="I44" s="28" t="str">
        <f>IFERROR(__xludf.DUMMYFUNCTION("""COMPUTED_VALUE"""),"An error from another page is appearing on a different page.")</f>
        <v>An error from another page is appearing on a different page.</v>
      </c>
      <c r="J44" s="28" t="str">
        <f>IFERROR(__xludf.DUMMYFUNCTION("""COMPUTED_VALUE"""),"Fail")</f>
        <v>Fail</v>
      </c>
      <c r="K44" s="28" t="str">
        <f>IFERROR(__xludf.DUMMYFUNCTION("""COMPUTED_VALUE"""),"Medium")</f>
        <v>Medium</v>
      </c>
      <c r="L44" s="29" t="str">
        <f>IFERROR(__xludf.DUMMYFUNCTION("""COMPUTED_VALUE"""),"013.png")</f>
        <v>013.png</v>
      </c>
      <c r="M44" s="28"/>
      <c r="N44" s="28" t="str">
        <f>IFERROR(__xludf.DUMMYFUNCTION("""COMPUTED_VALUE"""),"Fahad")</f>
        <v>Fahad</v>
      </c>
      <c r="O44" s="28"/>
      <c r="P44" s="28"/>
      <c r="Q44" s="28"/>
      <c r="R44" s="26"/>
      <c r="S44" s="26"/>
      <c r="T44" s="26"/>
      <c r="U44" s="26"/>
      <c r="V44" s="26"/>
      <c r="W44" s="26"/>
      <c r="X44" s="26"/>
      <c r="Y44" s="26"/>
      <c r="Z44" s="26"/>
      <c r="AA44" s="26"/>
    </row>
    <row r="45">
      <c r="A45" s="27" t="s">
        <v>65</v>
      </c>
      <c r="B45" s="28" t="str">
        <f>IFERROR(__xludf.DUMMYFUNCTION("""COMPUTED_VALUE"""),"Vehicle Information")</f>
        <v>Vehicle Information</v>
      </c>
      <c r="C45" s="28" t="str">
        <f>IFERROR(__xludf.DUMMYFUNCTION("""COMPUTED_VALUE"""),"Vehicle Information")</f>
        <v>Vehicle Information</v>
      </c>
      <c r="D45" s="28" t="str">
        <f>IFERROR(__xludf.DUMMYFUNCTION("""COMPUTED_VALUE"""),"Design Alignment issue")</f>
        <v>Design Alignment issue</v>
      </c>
      <c r="E45" s="28" t="str">
        <f>IFERROR(__xludf.DUMMYFUNCTION("""COMPUTED_VALUE"""),"User need to install the app in their android device")</f>
        <v>User need to install the app in their android device</v>
      </c>
      <c r="F45" s="28" t="str">
        <f>IFERROR(__xludf.DUMMYFUNCTION("""COMPUTED_VALUE"""),"1. Open app
2. Sign-in using valid credential
3. Select driver role")</f>
        <v>1. Open app
2. Sign-in using valid credential
3. Select driver role</v>
      </c>
      <c r="G45" s="28" t="str">
        <f>IFERROR(__xludf.DUMMYFUNCTION("""COMPUTED_VALUE"""),"Driver Credentials")</f>
        <v>Driver Credentials</v>
      </c>
      <c r="H45" s="28" t="str">
        <f>IFERROR(__xludf.DUMMYFUNCTION("""COMPUTED_VALUE"""),"Alignment and design should be as same as figma")</f>
        <v>Alignment and design should be as same as figma</v>
      </c>
      <c r="I45" s="28" t="str">
        <f>IFERROR(__xludf.DUMMYFUNCTION("""COMPUTED_VALUE"""),"Different design has been noticed")</f>
        <v>Different design has been noticed</v>
      </c>
      <c r="J45" s="28" t="str">
        <f>IFERROR(__xludf.DUMMYFUNCTION("""COMPUTED_VALUE"""),"Fail")</f>
        <v>Fail</v>
      </c>
      <c r="K45" s="28" t="str">
        <f>IFERROR(__xludf.DUMMYFUNCTION("""COMPUTED_VALUE"""),"Medium")</f>
        <v>Medium</v>
      </c>
      <c r="L45" s="29" t="str">
        <f>IFERROR(__xludf.DUMMYFUNCTION("""COMPUTED_VALUE"""),"009.png")</f>
        <v>009.png</v>
      </c>
      <c r="M45" s="28"/>
      <c r="N45" s="28" t="str">
        <f>IFERROR(__xludf.DUMMYFUNCTION("""COMPUTED_VALUE"""),"Fahad")</f>
        <v>Fahad</v>
      </c>
      <c r="O45" s="28"/>
      <c r="P45" s="28"/>
      <c r="Q45" s="28"/>
      <c r="R45" s="26"/>
      <c r="S45" s="26"/>
      <c r="T45" s="26"/>
      <c r="U45" s="26"/>
      <c r="V45" s="26"/>
      <c r="W45" s="26"/>
      <c r="X45" s="26"/>
      <c r="Y45" s="26"/>
      <c r="Z45" s="26"/>
      <c r="AA45" s="26"/>
    </row>
    <row r="46">
      <c r="A46" s="27" t="s">
        <v>66</v>
      </c>
      <c r="B46" s="28" t="str">
        <f>IFERROR(__xludf.DUMMYFUNCTION("""COMPUTED_VALUE"""),"Vehicle Information")</f>
        <v>Vehicle Information</v>
      </c>
      <c r="C46" s="28" t="str">
        <f>IFERROR(__xludf.DUMMYFUNCTION("""COMPUTED_VALUE"""),"Vehicle Information")</f>
        <v>Vehicle Information</v>
      </c>
      <c r="D46" s="28" t="str">
        <f>IFERROR(__xludf.DUMMYFUNCTION("""COMPUTED_VALUE"""),"Different UI has been noticed")</f>
        <v>Different UI has been noticed</v>
      </c>
      <c r="E46" s="28" t="str">
        <f>IFERROR(__xludf.DUMMYFUNCTION("""COMPUTED_VALUE"""),"User need to install the app in their android device")</f>
        <v>User need to install the app in their android device</v>
      </c>
      <c r="F46" s="28" t="str">
        <f>IFERROR(__xludf.DUMMYFUNCTION("""COMPUTED_VALUE"""),"1. Open app
2. Sign-in using valid credential
3. Select driver role")</f>
        <v>1. Open app
2. Sign-in using valid credential
3. Select driver role</v>
      </c>
      <c r="G46" s="28" t="str">
        <f>IFERROR(__xludf.DUMMYFUNCTION("""COMPUTED_VALUE"""),"Driver Credentials")</f>
        <v>Driver Credentials</v>
      </c>
      <c r="H46" s="28" t="str">
        <f>IFERROR(__xludf.DUMMYFUNCTION("""COMPUTED_VALUE"""),"Alignment and design should be as same as figma")</f>
        <v>Alignment and design should be as same as figma</v>
      </c>
      <c r="I46" s="28" t="str">
        <f>IFERROR(__xludf.DUMMYFUNCTION("""COMPUTED_VALUE"""),"Different design has been noticed")</f>
        <v>Different design has been noticed</v>
      </c>
      <c r="J46" s="28" t="str">
        <f>IFERROR(__xludf.DUMMYFUNCTION("""COMPUTED_VALUE"""),"Fail")</f>
        <v>Fail</v>
      </c>
      <c r="K46" s="28" t="str">
        <f>IFERROR(__xludf.DUMMYFUNCTION("""COMPUTED_VALUE"""),"Medium")</f>
        <v>Medium</v>
      </c>
      <c r="L46" s="29" t="str">
        <f>IFERROR(__xludf.DUMMYFUNCTION("""COMPUTED_VALUE"""),"010.png")</f>
        <v>010.png</v>
      </c>
      <c r="M46" s="28"/>
      <c r="N46" s="28" t="str">
        <f>IFERROR(__xludf.DUMMYFUNCTION("""COMPUTED_VALUE"""),"Fahad")</f>
        <v>Fahad</v>
      </c>
      <c r="O46" s="28"/>
      <c r="P46" s="28"/>
      <c r="Q46" s="28"/>
      <c r="R46" s="26"/>
      <c r="S46" s="26"/>
      <c r="T46" s="26"/>
      <c r="U46" s="26"/>
      <c r="V46" s="26"/>
      <c r="W46" s="26"/>
      <c r="X46" s="26"/>
      <c r="Y46" s="26"/>
      <c r="Z46" s="26"/>
      <c r="AA46" s="26"/>
    </row>
    <row r="47">
      <c r="A47" s="27" t="s">
        <v>67</v>
      </c>
      <c r="B47" s="28" t="str">
        <f>IFERROR(__xludf.DUMMYFUNCTION("""COMPUTED_VALUE"""),"Vehicle Information")</f>
        <v>Vehicle Information</v>
      </c>
      <c r="C47" s="28" t="str">
        <f>IFERROR(__xludf.DUMMYFUNCTION("""COMPUTED_VALUE"""),"Vehicle Information")</f>
        <v>Vehicle Information</v>
      </c>
      <c r="D47" s="28" t="str">
        <f>IFERROR(__xludf.DUMMYFUNCTION("""COMPUTED_VALUE"""),"The error toast still shows up even after all input fields are filled.")</f>
        <v>The error toast still shows up even after all input fields are filled.</v>
      </c>
      <c r="E47" s="28" t="str">
        <f>IFERROR(__xludf.DUMMYFUNCTION("""COMPUTED_VALUE"""),"User need to install the app in their android device")</f>
        <v>User need to install the app in their android device</v>
      </c>
      <c r="F47" s="28" t="str">
        <f>IFERROR(__xludf.DUMMYFUNCTION("""COMPUTED_VALUE"""),"1. Open app
2. Sign-in using valid credential
3. Select driver role")</f>
        <v>1. Open app
2. Sign-in using valid credential
3. Select driver role</v>
      </c>
      <c r="G47" s="28" t="str">
        <f>IFERROR(__xludf.DUMMYFUNCTION("""COMPUTED_VALUE"""),"Driver Credentials")</f>
        <v>Driver Credentials</v>
      </c>
      <c r="H47" s="28" t="str">
        <f>IFERROR(__xludf.DUMMYFUNCTION("""COMPUTED_VALUE"""),"Error should only be visible when it's required")</f>
        <v>Error should only be visible when it's required</v>
      </c>
      <c r="I47" s="28" t="str">
        <f>IFERROR(__xludf.DUMMYFUNCTION("""COMPUTED_VALUE"""),"The error keeps appearing even when it’s not needed.")</f>
        <v>The error keeps appearing even when it’s not needed.</v>
      </c>
      <c r="J47" s="28" t="str">
        <f>IFERROR(__xludf.DUMMYFUNCTION("""COMPUTED_VALUE"""),"Fail")</f>
        <v>Fail</v>
      </c>
      <c r="K47" s="28" t="str">
        <f>IFERROR(__xludf.DUMMYFUNCTION("""COMPUTED_VALUE"""),"Medium")</f>
        <v>Medium</v>
      </c>
      <c r="L47" s="29" t="str">
        <f>IFERROR(__xludf.DUMMYFUNCTION("""COMPUTED_VALUE"""),"011.png")</f>
        <v>011.png</v>
      </c>
      <c r="M47" s="28"/>
      <c r="N47" s="28" t="str">
        <f>IFERROR(__xludf.DUMMYFUNCTION("""COMPUTED_VALUE"""),"Fahad")</f>
        <v>Fahad</v>
      </c>
      <c r="O47" s="28"/>
      <c r="P47" s="28"/>
      <c r="Q47" s="28"/>
      <c r="R47" s="26"/>
      <c r="S47" s="26"/>
      <c r="T47" s="26"/>
      <c r="U47" s="26"/>
      <c r="V47" s="26"/>
      <c r="W47" s="26"/>
      <c r="X47" s="26"/>
      <c r="Y47" s="26"/>
      <c r="Z47" s="26"/>
      <c r="AA47" s="26"/>
    </row>
    <row r="48">
      <c r="A48" s="27" t="s">
        <v>68</v>
      </c>
      <c r="B48" s="28" t="str">
        <f>IFERROR(__xludf.DUMMYFUNCTION("""COMPUTED_VALUE"""),"Vehicle Information")</f>
        <v>Vehicle Information</v>
      </c>
      <c r="C48" s="28" t="str">
        <f>IFERROR(__xludf.DUMMYFUNCTION("""COMPUTED_VALUE"""),"Vehicle Information")</f>
        <v>Vehicle Information</v>
      </c>
      <c r="D48" s="28" t="str">
        <f>IFERROR(__xludf.DUMMYFUNCTION("""COMPUTED_VALUE"""),"Submission failed after loading time")</f>
        <v>Submission failed after loading time</v>
      </c>
      <c r="E48" s="28" t="str">
        <f>IFERROR(__xludf.DUMMYFUNCTION("""COMPUTED_VALUE"""),"User need to install the app in their android device")</f>
        <v>User need to install the app in their android device</v>
      </c>
      <c r="F48" s="28" t="str">
        <f>IFERROR(__xludf.DUMMYFUNCTION("""COMPUTED_VALUE"""),"1. Open app
2. Sign-in using valid credential
3. Select driver role")</f>
        <v>1. Open app
2. Sign-in using valid credential
3. Select driver role</v>
      </c>
      <c r="G48" s="28" t="str">
        <f>IFERROR(__xludf.DUMMYFUNCTION("""COMPUTED_VALUE"""),"Driver Credentials")</f>
        <v>Driver Credentials</v>
      </c>
      <c r="H48" s="28" t="str">
        <f>IFERROR(__xludf.DUMMYFUNCTION("""COMPUTED_VALUE"""),"Vehicle information submission should be completed smoothly and without any problems.")</f>
        <v>Vehicle information submission should be completed smoothly and without any problems.</v>
      </c>
      <c r="I48" s="28" t="str">
        <f>IFERROR(__xludf.DUMMYFUNCTION("""COMPUTED_VALUE"""),"The submission failed after loading for 2 minutes.")</f>
        <v>The submission failed after loading for 2 minutes.</v>
      </c>
      <c r="J48" s="28" t="str">
        <f>IFERROR(__xludf.DUMMYFUNCTION("""COMPUTED_VALUE"""),"Fail")</f>
        <v>Fail</v>
      </c>
      <c r="K48" s="28" t="str">
        <f>IFERROR(__xludf.DUMMYFUNCTION("""COMPUTED_VALUE"""),"High")</f>
        <v>High</v>
      </c>
      <c r="L48" s="29" t="str">
        <f>IFERROR(__xludf.DUMMYFUNCTION("""COMPUTED_VALUE"""),"012.png")</f>
        <v>012.png</v>
      </c>
      <c r="M48" s="28"/>
      <c r="N48" s="28" t="str">
        <f>IFERROR(__xludf.DUMMYFUNCTION("""COMPUTED_VALUE"""),"Fahad")</f>
        <v>Fahad</v>
      </c>
      <c r="O48" s="28"/>
      <c r="P48" s="28"/>
      <c r="Q48" s="28"/>
      <c r="R48" s="26"/>
      <c r="S48" s="26"/>
      <c r="T48" s="26"/>
      <c r="U48" s="26"/>
      <c r="V48" s="26"/>
      <c r="W48" s="26"/>
      <c r="X48" s="26"/>
      <c r="Y48" s="26"/>
      <c r="Z48" s="26"/>
      <c r="AA48" s="26"/>
    </row>
    <row r="49">
      <c r="A49" s="27" t="s">
        <v>69</v>
      </c>
      <c r="B49" s="28" t="str">
        <f>IFERROR(__xludf.DUMMYFUNCTION("""COMPUTED_VALUE"""),"Vehicle Information")</f>
        <v>Vehicle Information</v>
      </c>
      <c r="C49" s="28" t="str">
        <f>IFERROR(__xludf.DUMMYFUNCTION("""COMPUTED_VALUE"""),"Vehicle Information")</f>
        <v>Vehicle Information</v>
      </c>
      <c r="D49" s="28" t="str">
        <f>IFERROR(__xludf.DUMMYFUNCTION("""COMPUTED_VALUE"""),"Flow broken")</f>
        <v>Flow broken</v>
      </c>
      <c r="E49" s="28" t="str">
        <f>IFERROR(__xludf.DUMMYFUNCTION("""COMPUTED_VALUE"""),"User need to install the app in their android device")</f>
        <v>User need to install the app in their android device</v>
      </c>
      <c r="F49" s="28" t="str">
        <f>IFERROR(__xludf.DUMMYFUNCTION("""COMPUTED_VALUE"""),"1. Open app
2. Sign-in using valid credential
3. Select driver role")</f>
        <v>1. Open app
2. Sign-in using valid credential
3. Select driver role</v>
      </c>
      <c r="G49" s="28" t="str">
        <f>IFERROR(__xludf.DUMMYFUNCTION("""COMPUTED_VALUE"""),"Driver Credentials")</f>
        <v>Driver Credentials</v>
      </c>
      <c r="H49" s="28" t="str">
        <f>IFERROR(__xludf.DUMMYFUNCTION("""COMPUTED_VALUE"""),"The driver should be able to register without experiencing any timeout issues.")</f>
        <v>The driver should be able to register without experiencing any timeout issues.</v>
      </c>
      <c r="I49" s="28" t="str">
        <f>IFERROR(__xludf.DUMMYFUNCTION("""COMPUTED_VALUE"""),"Failed to register driver ")</f>
        <v>Failed to register driver </v>
      </c>
      <c r="J49" s="28" t="str">
        <f>IFERROR(__xludf.DUMMYFUNCTION("""COMPUTED_VALUE"""),"Fail")</f>
        <v>Fail</v>
      </c>
      <c r="K49" s="28" t="str">
        <f>IFERROR(__xludf.DUMMYFUNCTION("""COMPUTED_VALUE"""),"High")</f>
        <v>High</v>
      </c>
      <c r="L49" s="29" t="str">
        <f>IFERROR(__xludf.DUMMYFUNCTION("""COMPUTED_VALUE"""),"014.png")</f>
        <v>014.png</v>
      </c>
      <c r="M49" s="28"/>
      <c r="N49" s="28" t="str">
        <f>IFERROR(__xludf.DUMMYFUNCTION("""COMPUTED_VALUE"""),"Fahad")</f>
        <v>Fahad</v>
      </c>
      <c r="O49" s="28"/>
      <c r="P49" s="28"/>
      <c r="Q49" s="28"/>
      <c r="R49" s="26"/>
      <c r="S49" s="26"/>
      <c r="T49" s="26"/>
      <c r="U49" s="26"/>
      <c r="V49" s="26"/>
      <c r="W49" s="26"/>
      <c r="X49" s="26"/>
      <c r="Y49" s="26"/>
      <c r="Z49" s="26"/>
      <c r="AA49" s="26"/>
    </row>
    <row r="50">
      <c r="A50" s="27" t="s">
        <v>70</v>
      </c>
      <c r="B50" s="28" t="str">
        <f>IFERROR(__xludf.DUMMYFUNCTION("""COMPUTED_VALUE"""),"Vehicle Information")</f>
        <v>Vehicle Information</v>
      </c>
      <c r="C50" s="28" t="str">
        <f>IFERROR(__xludf.DUMMYFUNCTION("""COMPUTED_VALUE"""),"Vehicle Information")</f>
        <v>Vehicle Information</v>
      </c>
      <c r="D50" s="28" t="str">
        <f>IFERROR(__xludf.DUMMYFUNCTION("""COMPUTED_VALUE"""),"Age verification missing. Driver must be 18 or more years old")</f>
        <v>Age verification missing. Driver must be 18 or more years old</v>
      </c>
      <c r="E50" s="28" t="str">
        <f>IFERROR(__xludf.DUMMYFUNCTION("""COMPUTED_VALUE"""),"User need to install the app in their android device")</f>
        <v>User need to install the app in their android device</v>
      </c>
      <c r="F50" s="28" t="str">
        <f>IFERROR(__xludf.DUMMYFUNCTION("""COMPUTED_VALUE"""),"1. Open app
2. Sign-in using valid credential
3. Select driver role")</f>
        <v>1. Open app
2. Sign-in using valid credential
3. Select driver role</v>
      </c>
      <c r="G50" s="28" t="str">
        <f>IFERROR(__xludf.DUMMYFUNCTION("""COMPUTED_VALUE"""),"Driver Credentials")</f>
        <v>Driver Credentials</v>
      </c>
      <c r="H50" s="28" t="str">
        <f>IFERROR(__xludf.DUMMYFUNCTION("""COMPUTED_VALUE"""),"Driver age verification feature missing in app")</f>
        <v>Driver age verification feature missing in app</v>
      </c>
      <c r="I50" s="28" t="str">
        <f>IFERROR(__xludf.DUMMYFUNCTION("""COMPUTED_VALUE"""),"No filter add in driver age field. It's required to be 18 or more years old to be driver")</f>
        <v>No filter add in driver age field. It's required to be 18 or more years old to be driver</v>
      </c>
      <c r="J50" s="28" t="str">
        <f>IFERROR(__xludf.DUMMYFUNCTION("""COMPUTED_VALUE"""),"Fail")</f>
        <v>Fail</v>
      </c>
      <c r="K50" s="28" t="str">
        <f>IFERROR(__xludf.DUMMYFUNCTION("""COMPUTED_VALUE"""),"High")</f>
        <v>High</v>
      </c>
      <c r="L50" s="29" t="str">
        <f>IFERROR(__xludf.DUMMYFUNCTION("""COMPUTED_VALUE"""),"027.png")</f>
        <v>027.png</v>
      </c>
      <c r="M50" s="28"/>
      <c r="N50" s="28" t="str">
        <f>IFERROR(__xludf.DUMMYFUNCTION("""COMPUTED_VALUE"""),"Fahad")</f>
        <v>Fahad</v>
      </c>
      <c r="O50" s="28"/>
      <c r="P50" s="28"/>
      <c r="Q50" s="28"/>
      <c r="R50" s="26"/>
      <c r="S50" s="26"/>
      <c r="T50" s="26"/>
      <c r="U50" s="26"/>
      <c r="V50" s="26"/>
      <c r="W50" s="26"/>
      <c r="X50" s="26"/>
      <c r="Y50" s="26"/>
      <c r="Z50" s="26"/>
      <c r="AA50" s="26"/>
    </row>
    <row r="51">
      <c r="A51" s="27" t="s">
        <v>71</v>
      </c>
      <c r="B51" s="28"/>
      <c r="C51" s="28"/>
      <c r="D51" s="28"/>
      <c r="E51" s="28"/>
      <c r="F51" s="28"/>
      <c r="G51" s="28"/>
      <c r="H51" s="28"/>
      <c r="I51" s="28"/>
      <c r="J51" s="28"/>
      <c r="K51" s="28"/>
      <c r="L51" s="28"/>
      <c r="M51" s="28"/>
      <c r="N51" s="28"/>
      <c r="O51" s="28"/>
      <c r="P51" s="28"/>
      <c r="Q51" s="28"/>
      <c r="R51" s="26"/>
      <c r="S51" s="26"/>
      <c r="T51" s="26"/>
      <c r="U51" s="26"/>
      <c r="V51" s="26"/>
      <c r="W51" s="26"/>
      <c r="X51" s="26"/>
      <c r="Y51" s="26"/>
      <c r="Z51" s="26"/>
      <c r="AA51" s="26"/>
    </row>
    <row r="52">
      <c r="A52" s="27" t="s">
        <v>71</v>
      </c>
      <c r="B52" s="28"/>
      <c r="C52" s="28"/>
      <c r="D52" s="28"/>
      <c r="E52" s="28"/>
      <c r="F52" s="28"/>
      <c r="G52" s="28"/>
      <c r="H52" s="28"/>
      <c r="I52" s="28"/>
      <c r="J52" s="28"/>
      <c r="K52" s="28"/>
      <c r="L52" s="28"/>
      <c r="M52" s="28"/>
      <c r="N52" s="28"/>
      <c r="O52" s="28"/>
      <c r="P52" s="28"/>
      <c r="Q52" s="28"/>
      <c r="R52" s="26"/>
      <c r="S52" s="26"/>
      <c r="T52" s="26"/>
      <c r="U52" s="26"/>
      <c r="V52" s="26"/>
      <c r="W52" s="26"/>
      <c r="X52" s="26"/>
      <c r="Y52" s="26"/>
      <c r="Z52" s="26"/>
      <c r="AA52" s="26"/>
    </row>
    <row r="53">
      <c r="A53" s="27" t="s">
        <v>71</v>
      </c>
      <c r="B53" s="28"/>
      <c r="C53" s="28"/>
      <c r="D53" s="28"/>
      <c r="E53" s="28"/>
      <c r="F53" s="28"/>
      <c r="G53" s="28"/>
      <c r="H53" s="28"/>
      <c r="I53" s="28"/>
      <c r="J53" s="28"/>
      <c r="K53" s="28"/>
      <c r="L53" s="28"/>
      <c r="M53" s="28"/>
      <c r="N53" s="28"/>
      <c r="O53" s="28"/>
      <c r="P53" s="28"/>
      <c r="Q53" s="28"/>
      <c r="R53" s="26"/>
      <c r="S53" s="26"/>
      <c r="T53" s="26"/>
      <c r="U53" s="26"/>
      <c r="V53" s="26"/>
      <c r="W53" s="26"/>
      <c r="X53" s="26"/>
      <c r="Y53" s="26"/>
      <c r="Z53" s="26"/>
      <c r="AA53" s="26"/>
    </row>
    <row r="54">
      <c r="A54" s="27" t="s">
        <v>71</v>
      </c>
      <c r="B54" s="28"/>
      <c r="C54" s="28"/>
      <c r="D54" s="28"/>
      <c r="E54" s="28"/>
      <c r="F54" s="28"/>
      <c r="G54" s="28"/>
      <c r="H54" s="28"/>
      <c r="I54" s="28"/>
      <c r="J54" s="28"/>
      <c r="K54" s="28"/>
      <c r="L54" s="28"/>
      <c r="M54" s="28"/>
      <c r="N54" s="28"/>
      <c r="O54" s="28"/>
      <c r="P54" s="28"/>
      <c r="Q54" s="28"/>
      <c r="R54" s="26"/>
      <c r="S54" s="26"/>
      <c r="T54" s="26"/>
      <c r="U54" s="26"/>
      <c r="V54" s="26"/>
      <c r="W54" s="26"/>
      <c r="X54" s="26"/>
      <c r="Y54" s="26"/>
      <c r="Z54" s="26"/>
      <c r="AA54" s="26"/>
    </row>
    <row r="55">
      <c r="A55" s="27" t="s">
        <v>71</v>
      </c>
      <c r="B55" s="28"/>
      <c r="C55" s="28"/>
      <c r="D55" s="28"/>
      <c r="E55" s="28"/>
      <c r="F55" s="28"/>
      <c r="G55" s="28"/>
      <c r="H55" s="28"/>
      <c r="I55" s="28"/>
      <c r="J55" s="28"/>
      <c r="K55" s="28"/>
      <c r="L55" s="28"/>
      <c r="M55" s="28"/>
      <c r="N55" s="28"/>
      <c r="O55" s="28"/>
      <c r="P55" s="28"/>
      <c r="Q55" s="28"/>
      <c r="R55" s="26"/>
      <c r="S55" s="26"/>
      <c r="T55" s="26"/>
      <c r="U55" s="26"/>
      <c r="V55" s="26"/>
      <c r="W55" s="26"/>
      <c r="X55" s="26"/>
      <c r="Y55" s="26"/>
      <c r="Z55" s="26"/>
      <c r="AA55" s="26"/>
    </row>
    <row r="56">
      <c r="A56" s="27" t="s">
        <v>71</v>
      </c>
      <c r="B56" s="28"/>
      <c r="C56" s="28"/>
      <c r="D56" s="28"/>
      <c r="E56" s="28"/>
      <c r="F56" s="28"/>
      <c r="G56" s="28"/>
      <c r="H56" s="28"/>
      <c r="I56" s="28"/>
      <c r="J56" s="28"/>
      <c r="K56" s="28"/>
      <c r="L56" s="28"/>
      <c r="M56" s="28"/>
      <c r="N56" s="28"/>
      <c r="O56" s="28"/>
      <c r="P56" s="28"/>
      <c r="Q56" s="28"/>
      <c r="R56" s="26"/>
      <c r="S56" s="26"/>
      <c r="T56" s="26"/>
      <c r="U56" s="26"/>
      <c r="V56" s="26"/>
      <c r="W56" s="26"/>
      <c r="X56" s="26"/>
      <c r="Y56" s="26"/>
      <c r="Z56" s="26"/>
      <c r="AA56" s="26"/>
    </row>
    <row r="57">
      <c r="A57" s="27" t="s">
        <v>71</v>
      </c>
      <c r="B57" s="28"/>
      <c r="C57" s="28"/>
      <c r="D57" s="28"/>
      <c r="E57" s="28"/>
      <c r="F57" s="28"/>
      <c r="G57" s="28"/>
      <c r="H57" s="28"/>
      <c r="I57" s="28"/>
      <c r="J57" s="28"/>
      <c r="K57" s="28"/>
      <c r="L57" s="28"/>
      <c r="M57" s="28"/>
      <c r="N57" s="28"/>
      <c r="O57" s="28"/>
      <c r="P57" s="28"/>
      <c r="Q57" s="28"/>
      <c r="R57" s="26"/>
      <c r="S57" s="26"/>
      <c r="T57" s="26"/>
      <c r="U57" s="26"/>
      <c r="V57" s="26"/>
      <c r="W57" s="26"/>
      <c r="X57" s="26"/>
      <c r="Y57" s="26"/>
      <c r="Z57" s="26"/>
      <c r="AA57" s="26"/>
    </row>
    <row r="58">
      <c r="A58" s="27" t="s">
        <v>71</v>
      </c>
      <c r="B58" s="28"/>
      <c r="C58" s="28"/>
      <c r="D58" s="28"/>
      <c r="E58" s="28"/>
      <c r="F58" s="28"/>
      <c r="G58" s="28"/>
      <c r="H58" s="28"/>
      <c r="I58" s="28"/>
      <c r="J58" s="28"/>
      <c r="K58" s="28"/>
      <c r="L58" s="28"/>
      <c r="M58" s="28"/>
      <c r="N58" s="28"/>
      <c r="O58" s="28"/>
      <c r="P58" s="28"/>
      <c r="Q58" s="28"/>
      <c r="R58" s="26"/>
      <c r="S58" s="26"/>
      <c r="T58" s="26"/>
      <c r="U58" s="26"/>
      <c r="V58" s="26"/>
      <c r="W58" s="26"/>
      <c r="X58" s="26"/>
      <c r="Y58" s="26"/>
      <c r="Z58" s="26"/>
      <c r="AA58" s="26"/>
    </row>
    <row r="59">
      <c r="A59" s="27" t="s">
        <v>71</v>
      </c>
      <c r="B59" s="28"/>
      <c r="C59" s="28"/>
      <c r="D59" s="28"/>
      <c r="E59" s="28"/>
      <c r="F59" s="28"/>
      <c r="G59" s="28"/>
      <c r="H59" s="28"/>
      <c r="I59" s="28"/>
      <c r="J59" s="28"/>
      <c r="K59" s="28"/>
      <c r="L59" s="28"/>
      <c r="M59" s="28"/>
      <c r="N59" s="28"/>
      <c r="O59" s="28"/>
      <c r="P59" s="28"/>
      <c r="Q59" s="28"/>
      <c r="R59" s="26"/>
      <c r="S59" s="26"/>
      <c r="T59" s="26"/>
      <c r="U59" s="26"/>
      <c r="V59" s="26"/>
      <c r="W59" s="26"/>
      <c r="X59" s="26"/>
      <c r="Y59" s="26"/>
      <c r="Z59" s="26"/>
      <c r="AA59" s="26"/>
    </row>
    <row r="60">
      <c r="A60" s="27" t="s">
        <v>71</v>
      </c>
      <c r="B60" s="28"/>
      <c r="C60" s="28"/>
      <c r="D60" s="28"/>
      <c r="E60" s="28"/>
      <c r="F60" s="28"/>
      <c r="G60" s="28"/>
      <c r="H60" s="28"/>
      <c r="I60" s="28"/>
      <c r="J60" s="28"/>
      <c r="K60" s="28"/>
      <c r="L60" s="28"/>
      <c r="M60" s="28"/>
      <c r="N60" s="28"/>
      <c r="O60" s="28"/>
      <c r="P60" s="28"/>
      <c r="Q60" s="28"/>
      <c r="R60" s="26"/>
      <c r="S60" s="26"/>
      <c r="T60" s="26"/>
      <c r="U60" s="26"/>
      <c r="V60" s="26"/>
      <c r="W60" s="26"/>
      <c r="X60" s="26"/>
      <c r="Y60" s="26"/>
      <c r="Z60" s="26"/>
      <c r="AA60" s="26"/>
    </row>
    <row r="61">
      <c r="A61" s="27" t="s">
        <v>71</v>
      </c>
      <c r="B61" s="28"/>
      <c r="C61" s="28"/>
      <c r="D61" s="28"/>
      <c r="E61" s="28"/>
      <c r="F61" s="28"/>
      <c r="G61" s="28"/>
      <c r="H61" s="28"/>
      <c r="I61" s="28"/>
      <c r="J61" s="28"/>
      <c r="K61" s="28"/>
      <c r="L61" s="28"/>
      <c r="M61" s="28"/>
      <c r="N61" s="28"/>
      <c r="O61" s="28"/>
      <c r="P61" s="28"/>
      <c r="Q61" s="28"/>
      <c r="R61" s="26"/>
      <c r="S61" s="26"/>
      <c r="T61" s="26"/>
      <c r="U61" s="26"/>
      <c r="V61" s="26"/>
      <c r="W61" s="26"/>
      <c r="X61" s="26"/>
      <c r="Y61" s="26"/>
      <c r="Z61" s="26"/>
      <c r="AA61" s="26"/>
    </row>
    <row r="62">
      <c r="A62" s="27" t="s">
        <v>71</v>
      </c>
      <c r="B62" s="28"/>
      <c r="C62" s="28"/>
      <c r="D62" s="28"/>
      <c r="E62" s="28"/>
      <c r="F62" s="28"/>
      <c r="G62" s="28"/>
      <c r="H62" s="28"/>
      <c r="I62" s="28"/>
      <c r="J62" s="28"/>
      <c r="K62" s="28"/>
      <c r="L62" s="28"/>
      <c r="M62" s="28"/>
      <c r="N62" s="28"/>
      <c r="O62" s="28"/>
      <c r="P62" s="28"/>
      <c r="Q62" s="28"/>
      <c r="R62" s="26"/>
      <c r="S62" s="26"/>
      <c r="T62" s="26"/>
      <c r="U62" s="26"/>
      <c r="V62" s="26"/>
      <c r="W62" s="26"/>
      <c r="X62" s="26"/>
      <c r="Y62" s="26"/>
      <c r="Z62" s="26"/>
      <c r="AA62" s="26"/>
    </row>
    <row r="63">
      <c r="A63" s="27" t="s">
        <v>71</v>
      </c>
      <c r="B63" s="28"/>
      <c r="C63" s="28"/>
      <c r="D63" s="28"/>
      <c r="E63" s="28"/>
      <c r="F63" s="28"/>
      <c r="G63" s="28"/>
      <c r="H63" s="28"/>
      <c r="I63" s="28"/>
      <c r="J63" s="28"/>
      <c r="K63" s="28"/>
      <c r="L63" s="28"/>
      <c r="M63" s="28"/>
      <c r="N63" s="28"/>
      <c r="O63" s="28"/>
      <c r="P63" s="28"/>
      <c r="Q63" s="28"/>
      <c r="R63" s="26"/>
      <c r="S63" s="26"/>
      <c r="T63" s="26"/>
      <c r="U63" s="26"/>
      <c r="V63" s="26"/>
      <c r="W63" s="26"/>
      <c r="X63" s="26"/>
      <c r="Y63" s="26"/>
      <c r="Z63" s="26"/>
      <c r="AA63" s="26"/>
    </row>
    <row r="64">
      <c r="A64" s="27" t="s">
        <v>71</v>
      </c>
      <c r="B64" s="28"/>
      <c r="C64" s="28"/>
      <c r="D64" s="28"/>
      <c r="E64" s="28"/>
      <c r="F64" s="28"/>
      <c r="G64" s="28"/>
      <c r="H64" s="28"/>
      <c r="I64" s="28"/>
      <c r="J64" s="28"/>
      <c r="K64" s="28"/>
      <c r="L64" s="28"/>
      <c r="M64" s="28"/>
      <c r="N64" s="28"/>
      <c r="O64" s="28"/>
      <c r="P64" s="28"/>
      <c r="Q64" s="28"/>
      <c r="R64" s="26"/>
      <c r="S64" s="26"/>
      <c r="T64" s="26"/>
      <c r="U64" s="26"/>
      <c r="V64" s="26"/>
      <c r="W64" s="26"/>
      <c r="X64" s="26"/>
      <c r="Y64" s="26"/>
      <c r="Z64" s="26"/>
      <c r="AA64" s="26"/>
    </row>
    <row r="65">
      <c r="A65" s="30" t="s">
        <v>71</v>
      </c>
      <c r="B65" s="26"/>
      <c r="C65" s="26"/>
      <c r="D65" s="26"/>
      <c r="E65" s="26"/>
      <c r="F65" s="26"/>
      <c r="G65" s="26"/>
      <c r="H65" s="26"/>
      <c r="I65" s="26"/>
      <c r="J65" s="26"/>
      <c r="K65" s="26"/>
      <c r="L65" s="26"/>
      <c r="M65" s="26"/>
      <c r="N65" s="26"/>
      <c r="O65" s="26"/>
      <c r="P65" s="26"/>
      <c r="Q65" s="26"/>
      <c r="R65" s="26"/>
      <c r="S65" s="26"/>
      <c r="T65" s="26"/>
      <c r="U65" s="26"/>
      <c r="V65" s="26"/>
      <c r="W65" s="26"/>
      <c r="X65" s="26"/>
      <c r="Y65" s="26"/>
      <c r="Z65" s="26"/>
      <c r="AA65" s="26"/>
    </row>
    <row r="66">
      <c r="A66" s="30" t="s">
        <v>71</v>
      </c>
      <c r="B66" s="26"/>
      <c r="C66" s="26"/>
      <c r="D66" s="26"/>
      <c r="E66" s="26"/>
      <c r="F66" s="26"/>
      <c r="G66" s="26"/>
      <c r="H66" s="26"/>
      <c r="I66" s="26"/>
      <c r="J66" s="26"/>
      <c r="K66" s="26"/>
      <c r="L66" s="26"/>
      <c r="M66" s="26"/>
      <c r="N66" s="26"/>
      <c r="O66" s="26"/>
      <c r="P66" s="26"/>
      <c r="Q66" s="26"/>
      <c r="R66" s="26"/>
      <c r="S66" s="26"/>
      <c r="T66" s="26"/>
      <c r="U66" s="26"/>
      <c r="V66" s="26"/>
      <c r="W66" s="26"/>
      <c r="X66" s="26"/>
      <c r="Y66" s="26"/>
      <c r="Z66" s="26"/>
      <c r="AA66" s="26"/>
    </row>
    <row r="67">
      <c r="A67" s="30" t="s">
        <v>71</v>
      </c>
      <c r="B67" s="26"/>
      <c r="C67" s="26"/>
      <c r="D67" s="26"/>
      <c r="E67" s="26"/>
      <c r="F67" s="26"/>
      <c r="G67" s="26"/>
      <c r="H67" s="26"/>
      <c r="I67" s="26"/>
      <c r="J67" s="26"/>
      <c r="K67" s="26"/>
      <c r="L67" s="26"/>
      <c r="M67" s="26"/>
      <c r="N67" s="26"/>
      <c r="O67" s="26"/>
      <c r="P67" s="26"/>
      <c r="Q67" s="26"/>
      <c r="R67" s="26"/>
      <c r="S67" s="26"/>
      <c r="T67" s="26"/>
      <c r="U67" s="26"/>
      <c r="V67" s="26"/>
      <c r="W67" s="26"/>
      <c r="X67" s="26"/>
      <c r="Y67" s="26"/>
      <c r="Z67" s="26"/>
      <c r="AA67" s="26"/>
    </row>
    <row r="68">
      <c r="A68" s="30" t="s">
        <v>71</v>
      </c>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c r="A69" s="30" t="s">
        <v>71</v>
      </c>
      <c r="B69" s="26"/>
      <c r="C69" s="26"/>
      <c r="D69" s="26"/>
      <c r="E69" s="26"/>
      <c r="F69" s="26"/>
      <c r="G69" s="26"/>
      <c r="H69" s="26"/>
      <c r="I69" s="26"/>
      <c r="J69" s="26"/>
      <c r="K69" s="26"/>
      <c r="L69" s="26"/>
      <c r="M69" s="26"/>
      <c r="N69" s="26"/>
      <c r="O69" s="26"/>
      <c r="P69" s="26"/>
      <c r="Q69" s="26"/>
      <c r="R69" s="26"/>
      <c r="S69" s="26"/>
      <c r="T69" s="26"/>
      <c r="U69" s="26"/>
      <c r="V69" s="26"/>
      <c r="W69" s="26"/>
      <c r="X69" s="26"/>
      <c r="Y69" s="26"/>
      <c r="Z69" s="26"/>
      <c r="AA69" s="26"/>
    </row>
    <row r="70">
      <c r="A70" s="30" t="s">
        <v>71</v>
      </c>
      <c r="B70" s="26"/>
      <c r="C70" s="26"/>
      <c r="D70" s="26"/>
      <c r="E70" s="26"/>
      <c r="F70" s="26"/>
      <c r="G70" s="26"/>
      <c r="H70" s="26"/>
      <c r="I70" s="26"/>
      <c r="J70" s="26"/>
      <c r="K70" s="26"/>
      <c r="L70" s="26"/>
      <c r="M70" s="26"/>
      <c r="N70" s="26"/>
      <c r="O70" s="26"/>
      <c r="P70" s="26"/>
      <c r="Q70" s="26"/>
      <c r="R70" s="26"/>
      <c r="S70" s="26"/>
      <c r="T70" s="26"/>
      <c r="U70" s="26"/>
      <c r="V70" s="26"/>
      <c r="W70" s="26"/>
      <c r="X70" s="26"/>
      <c r="Y70" s="26"/>
      <c r="Z70" s="26"/>
      <c r="AA70" s="26"/>
    </row>
    <row r="71">
      <c r="A71" s="30" t="s">
        <v>71</v>
      </c>
      <c r="B71" s="26"/>
      <c r="C71" s="26"/>
      <c r="D71" s="26"/>
      <c r="E71" s="26"/>
      <c r="F71" s="26"/>
      <c r="G71" s="26"/>
      <c r="H71" s="26"/>
      <c r="I71" s="26"/>
      <c r="J71" s="26"/>
      <c r="K71" s="26"/>
      <c r="L71" s="26"/>
      <c r="M71" s="26"/>
      <c r="N71" s="26"/>
      <c r="O71" s="26"/>
      <c r="P71" s="26"/>
      <c r="Q71" s="26"/>
      <c r="R71" s="26"/>
      <c r="S71" s="26"/>
      <c r="T71" s="26"/>
      <c r="U71" s="26"/>
      <c r="V71" s="26"/>
      <c r="W71" s="26"/>
      <c r="X71" s="26"/>
      <c r="Y71" s="26"/>
      <c r="Z71" s="26"/>
      <c r="AA71" s="26"/>
    </row>
    <row r="72">
      <c r="A72" s="30" t="s">
        <v>71</v>
      </c>
      <c r="B72" s="26"/>
      <c r="C72" s="26"/>
      <c r="D72" s="26"/>
      <c r="E72" s="26"/>
      <c r="F72" s="26"/>
      <c r="G72" s="26"/>
      <c r="H72" s="26"/>
      <c r="I72" s="26"/>
      <c r="J72" s="26"/>
      <c r="K72" s="26"/>
      <c r="L72" s="26"/>
      <c r="M72" s="26"/>
      <c r="N72" s="26"/>
      <c r="O72" s="26"/>
      <c r="P72" s="26"/>
      <c r="Q72" s="26"/>
      <c r="R72" s="26"/>
      <c r="S72" s="26"/>
      <c r="T72" s="26"/>
      <c r="U72" s="26"/>
      <c r="V72" s="26"/>
      <c r="W72" s="26"/>
      <c r="X72" s="26"/>
      <c r="Y72" s="26"/>
      <c r="Z72" s="26"/>
      <c r="AA72" s="26"/>
    </row>
    <row r="73">
      <c r="A73" s="30" t="s">
        <v>71</v>
      </c>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row>
    <row r="74">
      <c r="A74" s="30" t="s">
        <v>71</v>
      </c>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row>
    <row r="75">
      <c r="A75" s="30" t="s">
        <v>71</v>
      </c>
      <c r="B75" s="26"/>
      <c r="C75" s="26"/>
      <c r="D75" s="26"/>
      <c r="E75" s="26"/>
      <c r="F75" s="26"/>
      <c r="G75" s="26"/>
      <c r="H75" s="26"/>
      <c r="I75" s="26"/>
      <c r="J75" s="26"/>
      <c r="K75" s="26"/>
      <c r="L75" s="26"/>
      <c r="M75" s="26"/>
      <c r="N75" s="26"/>
      <c r="O75" s="26"/>
      <c r="P75" s="26"/>
      <c r="Q75" s="26"/>
      <c r="R75" s="26"/>
      <c r="S75" s="26"/>
      <c r="T75" s="26"/>
      <c r="U75" s="26"/>
      <c r="V75" s="26"/>
      <c r="W75" s="26"/>
      <c r="X75" s="26"/>
      <c r="Y75" s="26"/>
      <c r="Z75" s="26"/>
      <c r="AA75" s="26"/>
    </row>
    <row r="76">
      <c r="A76" s="30" t="s">
        <v>71</v>
      </c>
      <c r="B76" s="26"/>
      <c r="C76" s="26"/>
      <c r="D76" s="26"/>
      <c r="E76" s="26"/>
      <c r="F76" s="26"/>
      <c r="G76" s="26"/>
      <c r="H76" s="26"/>
      <c r="I76" s="26"/>
      <c r="J76" s="26"/>
      <c r="K76" s="26"/>
      <c r="L76" s="26"/>
      <c r="M76" s="26"/>
      <c r="N76" s="26"/>
      <c r="O76" s="26"/>
      <c r="P76" s="26"/>
      <c r="Q76" s="26"/>
      <c r="R76" s="26"/>
      <c r="S76" s="26"/>
      <c r="T76" s="26"/>
      <c r="U76" s="26"/>
      <c r="V76" s="26"/>
      <c r="W76" s="26"/>
      <c r="X76" s="26"/>
      <c r="Y76" s="26"/>
      <c r="Z76" s="26"/>
      <c r="AA76" s="26"/>
    </row>
    <row r="77">
      <c r="A77" s="30" t="s">
        <v>71</v>
      </c>
      <c r="B77" s="26"/>
      <c r="C77" s="26"/>
      <c r="D77" s="26"/>
      <c r="E77" s="26"/>
      <c r="F77" s="26"/>
      <c r="G77" s="26"/>
      <c r="H77" s="26"/>
      <c r="I77" s="26"/>
      <c r="J77" s="26"/>
      <c r="K77" s="26"/>
      <c r="L77" s="26"/>
      <c r="M77" s="26"/>
      <c r="N77" s="26"/>
      <c r="O77" s="26"/>
      <c r="P77" s="26"/>
      <c r="Q77" s="26"/>
      <c r="R77" s="26"/>
      <c r="S77" s="26"/>
      <c r="T77" s="26"/>
      <c r="U77" s="26"/>
      <c r="V77" s="26"/>
      <c r="W77" s="26"/>
      <c r="X77" s="26"/>
      <c r="Y77" s="26"/>
      <c r="Z77" s="26"/>
      <c r="AA77" s="26"/>
    </row>
    <row r="78">
      <c r="A78" s="30" t="s">
        <v>71</v>
      </c>
      <c r="B78" s="26"/>
      <c r="C78" s="26"/>
      <c r="D78" s="26"/>
      <c r="E78" s="26"/>
      <c r="F78" s="26"/>
      <c r="G78" s="26"/>
      <c r="H78" s="26"/>
      <c r="I78" s="26"/>
      <c r="J78" s="26"/>
      <c r="K78" s="26"/>
      <c r="L78" s="26"/>
      <c r="M78" s="26"/>
      <c r="N78" s="26"/>
      <c r="O78" s="26"/>
      <c r="P78" s="26"/>
      <c r="Q78" s="26"/>
      <c r="R78" s="26"/>
      <c r="S78" s="26"/>
      <c r="T78" s="26"/>
      <c r="U78" s="26"/>
      <c r="V78" s="26"/>
      <c r="W78" s="26"/>
      <c r="X78" s="26"/>
      <c r="Y78" s="26"/>
      <c r="Z78" s="26"/>
      <c r="AA78" s="26"/>
    </row>
    <row r="79">
      <c r="A79" s="30" t="s">
        <v>71</v>
      </c>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row>
    <row r="80">
      <c r="A80" s="30" t="s">
        <v>71</v>
      </c>
      <c r="B80" s="26"/>
      <c r="C80" s="26"/>
      <c r="D80" s="26"/>
      <c r="E80" s="26"/>
      <c r="F80" s="26"/>
      <c r="G80" s="26"/>
      <c r="H80" s="26"/>
      <c r="I80" s="26"/>
      <c r="J80" s="26"/>
      <c r="K80" s="26"/>
      <c r="L80" s="26"/>
      <c r="M80" s="26"/>
      <c r="N80" s="26"/>
      <c r="O80" s="26"/>
      <c r="P80" s="26"/>
      <c r="Q80" s="26"/>
      <c r="R80" s="26"/>
      <c r="S80" s="26"/>
      <c r="T80" s="26"/>
      <c r="U80" s="26"/>
      <c r="V80" s="26"/>
      <c r="W80" s="26"/>
      <c r="X80" s="26"/>
      <c r="Y80" s="26"/>
      <c r="Z80" s="26"/>
      <c r="AA80" s="26"/>
    </row>
    <row r="81">
      <c r="A81" s="30" t="s">
        <v>71</v>
      </c>
      <c r="B81" s="26"/>
      <c r="C81" s="26"/>
      <c r="D81" s="26"/>
      <c r="E81" s="26"/>
      <c r="F81" s="26"/>
      <c r="G81" s="26"/>
      <c r="H81" s="26"/>
      <c r="I81" s="26"/>
      <c r="J81" s="26"/>
      <c r="K81" s="26"/>
      <c r="L81" s="26"/>
      <c r="M81" s="26"/>
      <c r="N81" s="26"/>
      <c r="O81" s="26"/>
      <c r="P81" s="26"/>
      <c r="Q81" s="26"/>
      <c r="R81" s="26"/>
      <c r="S81" s="26"/>
      <c r="T81" s="26"/>
      <c r="U81" s="26"/>
      <c r="V81" s="26"/>
      <c r="W81" s="26"/>
      <c r="X81" s="26"/>
      <c r="Y81" s="26"/>
      <c r="Z81" s="26"/>
      <c r="AA81" s="26"/>
    </row>
    <row r="82">
      <c r="A82" s="30" t="s">
        <v>71</v>
      </c>
      <c r="B82" s="26"/>
      <c r="C82" s="26"/>
      <c r="D82" s="26"/>
      <c r="E82" s="26"/>
      <c r="F82" s="26"/>
      <c r="G82" s="26"/>
      <c r="H82" s="26"/>
      <c r="I82" s="26"/>
      <c r="J82" s="26"/>
      <c r="K82" s="26"/>
      <c r="L82" s="26"/>
      <c r="M82" s="26"/>
      <c r="N82" s="26"/>
      <c r="O82" s="26"/>
      <c r="P82" s="26"/>
      <c r="Q82" s="26"/>
      <c r="R82" s="26"/>
      <c r="S82" s="26"/>
      <c r="T82" s="26"/>
      <c r="U82" s="26"/>
      <c r="V82" s="26"/>
      <c r="W82" s="26"/>
      <c r="X82" s="26"/>
      <c r="Y82" s="26"/>
      <c r="Z82" s="26"/>
      <c r="AA82" s="26"/>
    </row>
    <row r="83">
      <c r="A83" s="30" t="s">
        <v>71</v>
      </c>
      <c r="B83" s="26"/>
      <c r="C83" s="26"/>
      <c r="D83" s="26"/>
      <c r="E83" s="26"/>
      <c r="F83" s="26"/>
      <c r="G83" s="26"/>
      <c r="H83" s="26"/>
      <c r="I83" s="26"/>
      <c r="J83" s="26"/>
      <c r="K83" s="26"/>
      <c r="L83" s="26"/>
      <c r="M83" s="26"/>
      <c r="N83" s="26"/>
      <c r="O83" s="26"/>
      <c r="P83" s="26"/>
      <c r="Q83" s="26"/>
      <c r="R83" s="26"/>
      <c r="S83" s="26"/>
      <c r="T83" s="26"/>
      <c r="U83" s="26"/>
      <c r="V83" s="26"/>
      <c r="W83" s="26"/>
      <c r="X83" s="26"/>
      <c r="Y83" s="26"/>
      <c r="Z83" s="26"/>
      <c r="AA83" s="26"/>
    </row>
    <row r="84">
      <c r="A84" s="30" t="s">
        <v>71</v>
      </c>
      <c r="B84" s="26"/>
      <c r="C84" s="26"/>
      <c r="D84" s="26"/>
      <c r="E84" s="26"/>
      <c r="F84" s="26"/>
      <c r="G84" s="26"/>
      <c r="H84" s="26"/>
      <c r="I84" s="26"/>
      <c r="J84" s="26"/>
      <c r="K84" s="26"/>
      <c r="L84" s="26"/>
      <c r="M84" s="26"/>
      <c r="N84" s="26"/>
      <c r="O84" s="26"/>
      <c r="P84" s="26"/>
      <c r="Q84" s="26"/>
      <c r="R84" s="26"/>
      <c r="S84" s="26"/>
      <c r="T84" s="26"/>
      <c r="U84" s="26"/>
      <c r="V84" s="26"/>
      <c r="W84" s="26"/>
      <c r="X84" s="26"/>
      <c r="Y84" s="26"/>
      <c r="Z84" s="26"/>
      <c r="AA84" s="26"/>
    </row>
    <row r="85">
      <c r="A85" s="30" t="s">
        <v>71</v>
      </c>
      <c r="B85" s="26"/>
      <c r="C85" s="26"/>
      <c r="D85" s="26"/>
      <c r="E85" s="26"/>
      <c r="F85" s="26"/>
      <c r="G85" s="26"/>
      <c r="H85" s="26"/>
      <c r="I85" s="26"/>
      <c r="J85" s="26"/>
      <c r="K85" s="26"/>
      <c r="L85" s="26"/>
      <c r="M85" s="26"/>
      <c r="N85" s="26"/>
      <c r="O85" s="26"/>
      <c r="P85" s="26"/>
      <c r="Q85" s="26"/>
      <c r="R85" s="26"/>
      <c r="S85" s="26"/>
      <c r="T85" s="26"/>
      <c r="U85" s="26"/>
      <c r="V85" s="26"/>
      <c r="W85" s="26"/>
      <c r="X85" s="26"/>
      <c r="Y85" s="26"/>
      <c r="Z85" s="26"/>
      <c r="AA85" s="26"/>
    </row>
    <row r="86">
      <c r="A86" s="30" t="s">
        <v>71</v>
      </c>
      <c r="B86" s="26"/>
      <c r="C86" s="26"/>
      <c r="D86" s="26"/>
      <c r="E86" s="26"/>
      <c r="F86" s="26"/>
      <c r="G86" s="26"/>
      <c r="H86" s="26"/>
      <c r="I86" s="26"/>
      <c r="J86" s="26"/>
      <c r="K86" s="26"/>
      <c r="L86" s="26"/>
      <c r="M86" s="26"/>
      <c r="N86" s="26"/>
      <c r="O86" s="26"/>
      <c r="P86" s="26"/>
      <c r="Q86" s="26"/>
      <c r="R86" s="26"/>
      <c r="S86" s="26"/>
      <c r="T86" s="26"/>
      <c r="U86" s="26"/>
      <c r="V86" s="26"/>
      <c r="W86" s="26"/>
      <c r="X86" s="26"/>
      <c r="Y86" s="26"/>
      <c r="Z86" s="26"/>
      <c r="AA86" s="26"/>
    </row>
    <row r="87">
      <c r="A87" s="30" t="s">
        <v>71</v>
      </c>
      <c r="B87" s="26"/>
      <c r="C87" s="26"/>
      <c r="D87" s="26"/>
      <c r="E87" s="26"/>
      <c r="F87" s="26"/>
      <c r="G87" s="26"/>
      <c r="H87" s="26"/>
      <c r="I87" s="26"/>
      <c r="J87" s="26"/>
      <c r="K87" s="26"/>
      <c r="L87" s="26"/>
      <c r="M87" s="26"/>
      <c r="N87" s="26"/>
      <c r="O87" s="26"/>
      <c r="P87" s="26"/>
      <c r="Q87" s="26"/>
      <c r="R87" s="26"/>
      <c r="S87" s="26"/>
      <c r="T87" s="26"/>
      <c r="U87" s="26"/>
      <c r="V87" s="26"/>
      <c r="W87" s="26"/>
      <c r="X87" s="26"/>
      <c r="Y87" s="26"/>
      <c r="Z87" s="26"/>
      <c r="AA87" s="26"/>
    </row>
    <row r="88">
      <c r="A88" s="30" t="s">
        <v>71</v>
      </c>
      <c r="B88" s="26"/>
      <c r="C88" s="26"/>
      <c r="D88" s="26"/>
      <c r="E88" s="26"/>
      <c r="F88" s="26"/>
      <c r="G88" s="26"/>
      <c r="H88" s="26"/>
      <c r="I88" s="26"/>
      <c r="J88" s="26"/>
      <c r="K88" s="26"/>
      <c r="L88" s="26"/>
      <c r="M88" s="26"/>
      <c r="N88" s="26"/>
      <c r="O88" s="26"/>
      <c r="P88" s="26"/>
      <c r="Q88" s="26"/>
      <c r="R88" s="26"/>
      <c r="S88" s="26"/>
      <c r="T88" s="26"/>
      <c r="U88" s="26"/>
      <c r="V88" s="26"/>
      <c r="W88" s="26"/>
      <c r="X88" s="26"/>
      <c r="Y88" s="26"/>
      <c r="Z88" s="26"/>
      <c r="AA88" s="26"/>
    </row>
    <row r="89">
      <c r="A89" s="30" t="s">
        <v>71</v>
      </c>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row>
    <row r="90">
      <c r="A90" s="30" t="s">
        <v>71</v>
      </c>
    </row>
    <row r="91">
      <c r="A91" s="30" t="s">
        <v>71</v>
      </c>
    </row>
    <row r="92">
      <c r="A92" s="30" t="s">
        <v>71</v>
      </c>
    </row>
    <row r="93">
      <c r="A93" s="30" t="s">
        <v>71</v>
      </c>
    </row>
    <row r="94">
      <c r="A94" s="30" t="s">
        <v>71</v>
      </c>
    </row>
    <row r="95">
      <c r="A95" s="30" t="s">
        <v>71</v>
      </c>
    </row>
    <row r="96">
      <c r="A96" s="30" t="s">
        <v>71</v>
      </c>
    </row>
    <row r="97">
      <c r="A97" s="30" t="s">
        <v>71</v>
      </c>
    </row>
    <row r="98">
      <c r="A98" s="30" t="s">
        <v>71</v>
      </c>
    </row>
    <row r="99">
      <c r="A99" s="30" t="s">
        <v>71</v>
      </c>
    </row>
    <row r="100">
      <c r="A100" s="31" t="s">
        <v>71</v>
      </c>
    </row>
    <row r="101">
      <c r="A101" s="31" t="s">
        <v>71</v>
      </c>
    </row>
    <row r="102">
      <c r="A102" s="31" t="s">
        <v>71</v>
      </c>
    </row>
    <row r="103">
      <c r="A103" s="31" t="s">
        <v>71</v>
      </c>
    </row>
    <row r="104">
      <c r="A104" s="31" t="s">
        <v>71</v>
      </c>
    </row>
    <row r="105">
      <c r="A105" s="31" t="s">
        <v>71</v>
      </c>
    </row>
    <row r="106">
      <c r="A106" s="31" t="s">
        <v>71</v>
      </c>
    </row>
    <row r="107">
      <c r="A107" s="31" t="s">
        <v>71</v>
      </c>
    </row>
    <row r="108">
      <c r="A108" s="31" t="s">
        <v>71</v>
      </c>
    </row>
    <row r="109">
      <c r="A109" s="31" t="s">
        <v>71</v>
      </c>
    </row>
    <row r="110">
      <c r="A110" s="31" t="s">
        <v>71</v>
      </c>
    </row>
    <row r="111">
      <c r="A111" s="31" t="s">
        <v>71</v>
      </c>
    </row>
    <row r="112">
      <c r="A112" s="31" t="s">
        <v>71</v>
      </c>
    </row>
    <row r="113">
      <c r="A113" s="31" t="s">
        <v>71</v>
      </c>
    </row>
    <row r="114">
      <c r="A114" s="31" t="s">
        <v>71</v>
      </c>
    </row>
    <row r="115">
      <c r="A115" s="31" t="s">
        <v>71</v>
      </c>
    </row>
    <row r="116">
      <c r="A116" s="31" t="s">
        <v>71</v>
      </c>
    </row>
    <row r="117">
      <c r="A117" s="31" t="s">
        <v>71</v>
      </c>
    </row>
    <row r="118">
      <c r="A118" s="31" t="s">
        <v>71</v>
      </c>
    </row>
    <row r="119">
      <c r="A119" s="31" t="s">
        <v>71</v>
      </c>
    </row>
    <row r="120">
      <c r="A120" s="31" t="s">
        <v>71</v>
      </c>
    </row>
    <row r="121">
      <c r="A121" s="31" t="s">
        <v>71</v>
      </c>
    </row>
    <row r="122">
      <c r="A122" s="31" t="s">
        <v>71</v>
      </c>
    </row>
    <row r="123">
      <c r="A123" s="31" t="s">
        <v>71</v>
      </c>
    </row>
    <row r="124">
      <c r="A124" s="31" t="s">
        <v>71</v>
      </c>
    </row>
    <row r="125">
      <c r="A125" s="31" t="s">
        <v>71</v>
      </c>
    </row>
    <row r="126">
      <c r="A126" s="31" t="s">
        <v>71</v>
      </c>
    </row>
    <row r="127">
      <c r="A127" s="31" t="s">
        <v>71</v>
      </c>
    </row>
    <row r="128">
      <c r="A128" s="31" t="s">
        <v>71</v>
      </c>
    </row>
    <row r="129">
      <c r="A129" s="31" t="s">
        <v>71</v>
      </c>
    </row>
    <row r="130">
      <c r="A130" s="31" t="s">
        <v>71</v>
      </c>
    </row>
    <row r="131">
      <c r="A131" s="31" t="s">
        <v>71</v>
      </c>
    </row>
    <row r="132">
      <c r="A132" s="31" t="s">
        <v>71</v>
      </c>
    </row>
    <row r="133">
      <c r="A133" s="31" t="s">
        <v>71</v>
      </c>
    </row>
    <row r="134">
      <c r="A134" s="31" t="s">
        <v>71</v>
      </c>
    </row>
    <row r="135">
      <c r="A135" s="31" t="s">
        <v>71</v>
      </c>
    </row>
    <row r="136">
      <c r="A136" s="31" t="s">
        <v>71</v>
      </c>
    </row>
    <row r="137">
      <c r="A137" s="31" t="s">
        <v>71</v>
      </c>
    </row>
    <row r="138">
      <c r="A138" s="31" t="s">
        <v>71</v>
      </c>
    </row>
    <row r="139">
      <c r="A139" s="31" t="s">
        <v>71</v>
      </c>
    </row>
    <row r="140">
      <c r="A140" s="31" t="s">
        <v>71</v>
      </c>
    </row>
    <row r="141">
      <c r="A141" s="31" t="s">
        <v>71</v>
      </c>
    </row>
    <row r="142">
      <c r="A142" s="31" t="s">
        <v>71</v>
      </c>
    </row>
    <row r="143">
      <c r="A143" s="31" t="s">
        <v>71</v>
      </c>
    </row>
    <row r="144">
      <c r="A144" s="31" t="s">
        <v>71</v>
      </c>
    </row>
    <row r="145">
      <c r="A145" s="31" t="s">
        <v>71</v>
      </c>
    </row>
    <row r="146">
      <c r="A146" s="31" t="s">
        <v>71</v>
      </c>
    </row>
    <row r="147">
      <c r="A147" s="31" t="s">
        <v>71</v>
      </c>
    </row>
    <row r="148">
      <c r="A148" s="31" t="s">
        <v>71</v>
      </c>
    </row>
    <row r="149">
      <c r="A149" s="31" t="s">
        <v>71</v>
      </c>
    </row>
    <row r="150">
      <c r="A150" s="31" t="s">
        <v>71</v>
      </c>
    </row>
    <row r="151">
      <c r="A151" s="31" t="s">
        <v>71</v>
      </c>
    </row>
    <row r="152">
      <c r="A152" s="31" t="s">
        <v>71</v>
      </c>
    </row>
    <row r="153">
      <c r="A153" s="31" t="s">
        <v>71</v>
      </c>
    </row>
    <row r="154">
      <c r="A154" s="31" t="s">
        <v>71</v>
      </c>
    </row>
    <row r="155">
      <c r="A155" s="31" t="s">
        <v>71</v>
      </c>
    </row>
    <row r="156">
      <c r="A156" s="31" t="s">
        <v>71</v>
      </c>
    </row>
    <row r="157">
      <c r="A157" s="31" t="s">
        <v>71</v>
      </c>
    </row>
    <row r="158">
      <c r="A158" s="31" t="s">
        <v>71</v>
      </c>
    </row>
    <row r="159">
      <c r="A159" s="31" t="s">
        <v>71</v>
      </c>
    </row>
    <row r="160">
      <c r="A160" s="31" t="s">
        <v>71</v>
      </c>
    </row>
    <row r="161">
      <c r="A161" s="31" t="s">
        <v>71</v>
      </c>
    </row>
    <row r="162">
      <c r="A162" s="31" t="s">
        <v>71</v>
      </c>
    </row>
    <row r="163">
      <c r="A163" s="31" t="s">
        <v>71</v>
      </c>
    </row>
    <row r="164">
      <c r="A164" s="31" t="s">
        <v>71</v>
      </c>
    </row>
    <row r="165">
      <c r="A165" s="31" t="s">
        <v>71</v>
      </c>
    </row>
    <row r="166">
      <c r="A166" s="31" t="s">
        <v>71</v>
      </c>
    </row>
    <row r="167">
      <c r="A167" s="31" t="s">
        <v>71</v>
      </c>
    </row>
    <row r="168">
      <c r="A168" s="31" t="s">
        <v>71</v>
      </c>
    </row>
    <row r="169">
      <c r="A169" s="31" t="s">
        <v>71</v>
      </c>
    </row>
    <row r="170">
      <c r="A170" s="31" t="s">
        <v>71</v>
      </c>
    </row>
    <row r="171">
      <c r="A171" s="31" t="s">
        <v>71</v>
      </c>
    </row>
    <row r="172">
      <c r="A172" s="31" t="s">
        <v>71</v>
      </c>
    </row>
    <row r="173">
      <c r="A173" s="31" t="s">
        <v>71</v>
      </c>
    </row>
    <row r="174">
      <c r="A174" s="31" t="s">
        <v>71</v>
      </c>
    </row>
    <row r="175">
      <c r="A175" s="31" t="s">
        <v>71</v>
      </c>
    </row>
    <row r="176">
      <c r="A176" s="31" t="s">
        <v>71</v>
      </c>
    </row>
    <row r="177">
      <c r="A177" s="31" t="s">
        <v>71</v>
      </c>
    </row>
    <row r="178">
      <c r="A178" s="31" t="s">
        <v>71</v>
      </c>
    </row>
    <row r="179">
      <c r="A179" s="31" t="s">
        <v>71</v>
      </c>
    </row>
    <row r="180">
      <c r="A180" s="31" t="s">
        <v>71</v>
      </c>
    </row>
    <row r="181">
      <c r="A181" s="31" t="s">
        <v>71</v>
      </c>
    </row>
    <row r="182">
      <c r="A182" s="31" t="s">
        <v>71</v>
      </c>
    </row>
    <row r="183">
      <c r="A183" s="31" t="s">
        <v>71</v>
      </c>
    </row>
    <row r="184">
      <c r="A184" s="31" t="s">
        <v>71</v>
      </c>
    </row>
    <row r="185">
      <c r="A185" s="31" t="s">
        <v>71</v>
      </c>
    </row>
    <row r="186">
      <c r="A186" s="31" t="s">
        <v>71</v>
      </c>
    </row>
    <row r="187">
      <c r="A187" s="31" t="s">
        <v>71</v>
      </c>
    </row>
    <row r="188">
      <c r="A188" s="31" t="s">
        <v>71</v>
      </c>
    </row>
    <row r="189">
      <c r="A189" s="31" t="s">
        <v>71</v>
      </c>
    </row>
    <row r="190">
      <c r="A190" s="31" t="s">
        <v>71</v>
      </c>
    </row>
    <row r="191">
      <c r="A191" s="31" t="s">
        <v>71</v>
      </c>
    </row>
    <row r="192">
      <c r="A192" s="31" t="s">
        <v>71</v>
      </c>
    </row>
    <row r="193">
      <c r="A193" s="31" t="s">
        <v>71</v>
      </c>
    </row>
    <row r="194">
      <c r="A194" s="31" t="s">
        <v>71</v>
      </c>
    </row>
    <row r="195">
      <c r="A195" s="31" t="s">
        <v>71</v>
      </c>
    </row>
    <row r="196">
      <c r="A196" s="31" t="s">
        <v>71</v>
      </c>
    </row>
    <row r="197">
      <c r="A197" s="31" t="s">
        <v>71</v>
      </c>
    </row>
    <row r="198">
      <c r="A198" s="31" t="s">
        <v>71</v>
      </c>
    </row>
    <row r="199">
      <c r="A199" s="31" t="s">
        <v>71</v>
      </c>
    </row>
    <row r="200">
      <c r="A200" s="31" t="s">
        <v>71</v>
      </c>
    </row>
    <row r="201">
      <c r="A201" s="31" t="s">
        <v>71</v>
      </c>
    </row>
    <row r="202">
      <c r="A202" s="31" t="s">
        <v>71</v>
      </c>
    </row>
    <row r="203">
      <c r="A203" s="31" t="s">
        <v>71</v>
      </c>
    </row>
    <row r="204">
      <c r="A204" s="31" t="s">
        <v>71</v>
      </c>
    </row>
    <row r="205">
      <c r="A205" s="31" t="s">
        <v>71</v>
      </c>
    </row>
    <row r="206">
      <c r="A206" s="31" t="s">
        <v>71</v>
      </c>
    </row>
    <row r="207">
      <c r="A207" s="31" t="s">
        <v>71</v>
      </c>
    </row>
    <row r="208">
      <c r="A208" s="31" t="s">
        <v>71</v>
      </c>
    </row>
    <row r="209">
      <c r="A209" s="31" t="s">
        <v>71</v>
      </c>
    </row>
    <row r="210">
      <c r="A210" s="31" t="s">
        <v>71</v>
      </c>
    </row>
    <row r="211">
      <c r="A211" s="31" t="s">
        <v>71</v>
      </c>
    </row>
    <row r="212">
      <c r="A212" s="31" t="s">
        <v>71</v>
      </c>
    </row>
    <row r="213">
      <c r="A213" s="31" t="s">
        <v>71</v>
      </c>
    </row>
    <row r="214">
      <c r="A214" s="31" t="s">
        <v>71</v>
      </c>
    </row>
    <row r="215">
      <c r="A215" s="31" t="s">
        <v>71</v>
      </c>
    </row>
    <row r="216">
      <c r="A216" s="31" t="s">
        <v>71</v>
      </c>
    </row>
    <row r="217">
      <c r="A217" s="31" t="s">
        <v>71</v>
      </c>
    </row>
    <row r="218">
      <c r="A218" s="31" t="s">
        <v>71</v>
      </c>
    </row>
    <row r="219">
      <c r="A219" s="31" t="s">
        <v>71</v>
      </c>
    </row>
    <row r="220">
      <c r="A220" s="31" t="s">
        <v>71</v>
      </c>
    </row>
    <row r="221">
      <c r="A221" s="31" t="s">
        <v>71</v>
      </c>
    </row>
    <row r="222">
      <c r="A222" s="31" t="s">
        <v>71</v>
      </c>
    </row>
    <row r="223">
      <c r="A223" s="31" t="s">
        <v>71</v>
      </c>
    </row>
    <row r="224">
      <c r="A224" s="31" t="s">
        <v>71</v>
      </c>
    </row>
    <row r="225">
      <c r="A225" s="31" t="s">
        <v>71</v>
      </c>
    </row>
    <row r="226">
      <c r="A226" s="31" t="s">
        <v>71</v>
      </c>
    </row>
    <row r="227">
      <c r="A227" s="31" t="s">
        <v>71</v>
      </c>
    </row>
    <row r="228">
      <c r="A228" s="31" t="s">
        <v>71</v>
      </c>
    </row>
    <row r="229">
      <c r="A229" s="31" t="s">
        <v>71</v>
      </c>
    </row>
    <row r="230">
      <c r="A230" s="31" t="s">
        <v>71</v>
      </c>
    </row>
    <row r="231">
      <c r="A231" s="31" t="s">
        <v>71</v>
      </c>
    </row>
    <row r="232">
      <c r="A232" s="31" t="s">
        <v>71</v>
      </c>
    </row>
    <row r="233">
      <c r="A233" s="31" t="s">
        <v>71</v>
      </c>
    </row>
    <row r="234">
      <c r="A234" s="31" t="s">
        <v>71</v>
      </c>
    </row>
    <row r="235">
      <c r="A235" s="31" t="s">
        <v>71</v>
      </c>
    </row>
    <row r="236">
      <c r="A236" s="31" t="s">
        <v>71</v>
      </c>
    </row>
    <row r="237">
      <c r="A237" s="31" t="s">
        <v>71</v>
      </c>
    </row>
    <row r="238">
      <c r="A238" s="31" t="s">
        <v>71</v>
      </c>
    </row>
    <row r="239">
      <c r="A239" s="31" t="s">
        <v>71</v>
      </c>
    </row>
    <row r="240">
      <c r="A240" s="31" t="s">
        <v>71</v>
      </c>
    </row>
    <row r="241">
      <c r="A241" s="31" t="s">
        <v>71</v>
      </c>
    </row>
    <row r="242">
      <c r="A242" s="31" t="s">
        <v>71</v>
      </c>
    </row>
    <row r="243">
      <c r="A243" s="31" t="s">
        <v>71</v>
      </c>
    </row>
    <row r="244">
      <c r="A244" s="31" t="s">
        <v>71</v>
      </c>
    </row>
    <row r="245">
      <c r="A245" s="31" t="s">
        <v>71</v>
      </c>
    </row>
    <row r="246">
      <c r="A246" s="31" t="s">
        <v>71</v>
      </c>
    </row>
    <row r="247">
      <c r="A247" s="31" t="s">
        <v>71</v>
      </c>
    </row>
    <row r="248">
      <c r="A248" s="31" t="s">
        <v>71</v>
      </c>
    </row>
    <row r="249">
      <c r="A249" s="31" t="s">
        <v>71</v>
      </c>
    </row>
    <row r="250">
      <c r="A250" s="31" t="s">
        <v>71</v>
      </c>
    </row>
    <row r="251">
      <c r="A251" s="31" t="s">
        <v>71</v>
      </c>
    </row>
    <row r="252">
      <c r="A252" s="31" t="s">
        <v>71</v>
      </c>
    </row>
    <row r="253">
      <c r="A253" s="31" t="s">
        <v>71</v>
      </c>
    </row>
    <row r="254">
      <c r="A254" s="31" t="s">
        <v>71</v>
      </c>
    </row>
    <row r="255">
      <c r="A255" s="31" t="s">
        <v>71</v>
      </c>
    </row>
    <row r="256">
      <c r="A256" s="31" t="s">
        <v>71</v>
      </c>
    </row>
    <row r="257">
      <c r="A257" s="31" t="s">
        <v>71</v>
      </c>
    </row>
    <row r="258">
      <c r="A258" s="31" t="s">
        <v>71</v>
      </c>
    </row>
    <row r="259">
      <c r="A259" s="31" t="s">
        <v>71</v>
      </c>
    </row>
    <row r="260">
      <c r="A260" s="31" t="s">
        <v>71</v>
      </c>
    </row>
    <row r="261">
      <c r="A261" s="31" t="s">
        <v>71</v>
      </c>
    </row>
    <row r="262">
      <c r="A262" s="31" t="s">
        <v>71</v>
      </c>
    </row>
    <row r="263">
      <c r="A263" s="31" t="s">
        <v>71</v>
      </c>
    </row>
    <row r="264">
      <c r="A264" s="31" t="s">
        <v>71</v>
      </c>
    </row>
    <row r="265">
      <c r="A265" s="31" t="s">
        <v>71</v>
      </c>
    </row>
    <row r="266">
      <c r="A266" s="31" t="s">
        <v>71</v>
      </c>
    </row>
    <row r="267">
      <c r="A267" s="31" t="s">
        <v>71</v>
      </c>
    </row>
    <row r="268">
      <c r="A268" s="31" t="s">
        <v>71</v>
      </c>
    </row>
    <row r="269">
      <c r="A269" s="31" t="s">
        <v>71</v>
      </c>
    </row>
    <row r="270">
      <c r="A270" s="31" t="s">
        <v>71</v>
      </c>
    </row>
    <row r="271">
      <c r="A271" s="31" t="s">
        <v>71</v>
      </c>
    </row>
    <row r="272">
      <c r="A272" s="31" t="s">
        <v>71</v>
      </c>
    </row>
    <row r="273">
      <c r="A273" s="31" t="s">
        <v>71</v>
      </c>
    </row>
    <row r="274">
      <c r="A274" s="31" t="s">
        <v>71</v>
      </c>
    </row>
    <row r="275">
      <c r="A275" s="31" t="s">
        <v>71</v>
      </c>
    </row>
    <row r="276">
      <c r="A276" s="31" t="s">
        <v>71</v>
      </c>
    </row>
    <row r="277">
      <c r="A277" s="31" t="s">
        <v>71</v>
      </c>
    </row>
    <row r="278">
      <c r="A278" s="31" t="s">
        <v>71</v>
      </c>
    </row>
    <row r="279">
      <c r="A279" s="31" t="s">
        <v>71</v>
      </c>
    </row>
    <row r="280">
      <c r="A280" s="31" t="s">
        <v>71</v>
      </c>
    </row>
    <row r="281">
      <c r="A281" s="31" t="s">
        <v>71</v>
      </c>
    </row>
    <row r="282">
      <c r="A282" s="31" t="s">
        <v>71</v>
      </c>
    </row>
    <row r="283">
      <c r="A283" s="31" t="s">
        <v>71</v>
      </c>
    </row>
    <row r="284">
      <c r="A284" s="31" t="s">
        <v>71</v>
      </c>
    </row>
    <row r="285">
      <c r="A285" s="31" t="s">
        <v>71</v>
      </c>
    </row>
    <row r="286">
      <c r="A286" s="31" t="s">
        <v>71</v>
      </c>
    </row>
    <row r="287">
      <c r="A287" s="31" t="s">
        <v>71</v>
      </c>
    </row>
    <row r="288">
      <c r="A288" s="31" t="s">
        <v>71</v>
      </c>
    </row>
    <row r="289">
      <c r="A289" s="31" t="s">
        <v>71</v>
      </c>
    </row>
    <row r="290">
      <c r="A290" s="31" t="s">
        <v>71</v>
      </c>
    </row>
    <row r="291">
      <c r="A291" s="31" t="s">
        <v>71</v>
      </c>
    </row>
    <row r="292">
      <c r="A292" s="31" t="s">
        <v>71</v>
      </c>
    </row>
    <row r="293">
      <c r="A293" s="31" t="s">
        <v>71</v>
      </c>
    </row>
    <row r="294">
      <c r="A294" s="31" t="s">
        <v>71</v>
      </c>
    </row>
    <row r="295">
      <c r="A295" s="31" t="s">
        <v>71</v>
      </c>
    </row>
    <row r="296">
      <c r="A296" s="31" t="s">
        <v>71</v>
      </c>
    </row>
    <row r="297">
      <c r="A297" s="31" t="s">
        <v>71</v>
      </c>
    </row>
    <row r="298">
      <c r="A298" s="31" t="s">
        <v>71</v>
      </c>
    </row>
    <row r="299">
      <c r="A299" s="31" t="s">
        <v>71</v>
      </c>
    </row>
    <row r="300">
      <c r="A300" s="31" t="s">
        <v>71</v>
      </c>
    </row>
    <row r="301">
      <c r="A301" s="31" t="s">
        <v>71</v>
      </c>
    </row>
    <row r="302">
      <c r="A302" s="31" t="s">
        <v>71</v>
      </c>
    </row>
    <row r="303">
      <c r="A303" s="31" t="s">
        <v>71</v>
      </c>
    </row>
    <row r="304">
      <c r="A304" s="31" t="s">
        <v>71</v>
      </c>
    </row>
    <row r="305">
      <c r="A305" s="31" t="s">
        <v>71</v>
      </c>
    </row>
    <row r="306">
      <c r="A306" s="31" t="s">
        <v>71</v>
      </c>
    </row>
    <row r="307">
      <c r="A307" s="31" t="s">
        <v>71</v>
      </c>
    </row>
    <row r="308">
      <c r="A308" s="31" t="s">
        <v>71</v>
      </c>
    </row>
    <row r="309">
      <c r="A309" s="31" t="s">
        <v>71</v>
      </c>
    </row>
    <row r="310">
      <c r="A310" s="31" t="s">
        <v>71</v>
      </c>
    </row>
    <row r="311">
      <c r="A311" s="31" t="s">
        <v>71</v>
      </c>
    </row>
    <row r="312">
      <c r="A312" s="31" t="s">
        <v>71</v>
      </c>
    </row>
    <row r="313">
      <c r="A313" s="31" t="s">
        <v>71</v>
      </c>
    </row>
    <row r="314">
      <c r="A314" s="31" t="s">
        <v>71</v>
      </c>
    </row>
    <row r="315">
      <c r="A315" s="31" t="s">
        <v>71</v>
      </c>
    </row>
    <row r="316">
      <c r="A316" s="31" t="s">
        <v>71</v>
      </c>
    </row>
    <row r="317">
      <c r="A317" s="31" t="s">
        <v>71</v>
      </c>
    </row>
    <row r="318">
      <c r="A318" s="31" t="s">
        <v>71</v>
      </c>
    </row>
    <row r="319">
      <c r="A319" s="31" t="s">
        <v>71</v>
      </c>
    </row>
    <row r="320">
      <c r="A320" s="31" t="s">
        <v>71</v>
      </c>
    </row>
    <row r="321">
      <c r="A321" s="31" t="s">
        <v>71</v>
      </c>
    </row>
    <row r="322">
      <c r="A322" s="31" t="s">
        <v>71</v>
      </c>
    </row>
    <row r="323">
      <c r="A323" s="31" t="s">
        <v>71</v>
      </c>
    </row>
    <row r="324">
      <c r="A324" s="31" t="s">
        <v>71</v>
      </c>
    </row>
    <row r="325">
      <c r="A325" s="31" t="s">
        <v>71</v>
      </c>
    </row>
    <row r="326">
      <c r="A326" s="31" t="s">
        <v>71</v>
      </c>
    </row>
    <row r="327">
      <c r="A327" s="31" t="s">
        <v>71</v>
      </c>
    </row>
    <row r="328">
      <c r="A328" s="31" t="s">
        <v>71</v>
      </c>
    </row>
    <row r="329">
      <c r="A329" s="31" t="s">
        <v>71</v>
      </c>
    </row>
    <row r="330">
      <c r="A330" s="31" t="s">
        <v>71</v>
      </c>
    </row>
    <row r="331">
      <c r="A331" s="31" t="s">
        <v>71</v>
      </c>
    </row>
    <row r="332">
      <c r="A332" s="31" t="s">
        <v>71</v>
      </c>
    </row>
    <row r="333">
      <c r="A333" s="31" t="s">
        <v>71</v>
      </c>
    </row>
    <row r="334">
      <c r="A334" s="31" t="s">
        <v>71</v>
      </c>
    </row>
    <row r="335">
      <c r="A335" s="31" t="s">
        <v>71</v>
      </c>
    </row>
    <row r="336">
      <c r="A336" s="31" t="s">
        <v>71</v>
      </c>
    </row>
    <row r="337">
      <c r="A337" s="31" t="s">
        <v>71</v>
      </c>
    </row>
    <row r="338">
      <c r="A338" s="31" t="s">
        <v>71</v>
      </c>
    </row>
    <row r="339">
      <c r="A339" s="31" t="s">
        <v>71</v>
      </c>
    </row>
    <row r="340">
      <c r="A340" s="31" t="s">
        <v>71</v>
      </c>
    </row>
    <row r="341">
      <c r="A341" s="31" t="s">
        <v>71</v>
      </c>
    </row>
    <row r="342">
      <c r="A342" s="31" t="s">
        <v>71</v>
      </c>
    </row>
    <row r="343">
      <c r="A343" s="31" t="s">
        <v>71</v>
      </c>
    </row>
    <row r="344">
      <c r="A344" s="31" t="s">
        <v>71</v>
      </c>
    </row>
    <row r="345">
      <c r="A345" s="31" t="s">
        <v>71</v>
      </c>
    </row>
    <row r="346">
      <c r="A346" s="31" t="s">
        <v>71</v>
      </c>
    </row>
    <row r="347">
      <c r="A347" s="31" t="s">
        <v>71</v>
      </c>
    </row>
    <row r="348">
      <c r="A348" s="31" t="s">
        <v>71</v>
      </c>
    </row>
    <row r="349">
      <c r="A349" s="31" t="s">
        <v>71</v>
      </c>
    </row>
    <row r="350">
      <c r="A350" s="31" t="s">
        <v>71</v>
      </c>
    </row>
    <row r="351">
      <c r="A351" s="31" t="s">
        <v>71</v>
      </c>
    </row>
    <row r="352">
      <c r="A352" s="31" t="s">
        <v>71</v>
      </c>
    </row>
    <row r="353">
      <c r="A353" s="31" t="s">
        <v>71</v>
      </c>
    </row>
    <row r="354">
      <c r="A354" s="31" t="s">
        <v>71</v>
      </c>
    </row>
    <row r="355">
      <c r="A355" s="31" t="s">
        <v>71</v>
      </c>
    </row>
    <row r="356">
      <c r="A356" s="31" t="s">
        <v>71</v>
      </c>
    </row>
    <row r="357">
      <c r="A357" s="31" t="s">
        <v>71</v>
      </c>
    </row>
    <row r="358">
      <c r="A358" s="31" t="s">
        <v>71</v>
      </c>
    </row>
    <row r="359">
      <c r="A359" s="31" t="s">
        <v>71</v>
      </c>
    </row>
    <row r="360">
      <c r="A360" s="31" t="s">
        <v>71</v>
      </c>
    </row>
    <row r="361">
      <c r="A361" s="31" t="s">
        <v>71</v>
      </c>
    </row>
    <row r="362">
      <c r="A362" s="31" t="s">
        <v>71</v>
      </c>
    </row>
    <row r="363">
      <c r="A363" s="31" t="s">
        <v>71</v>
      </c>
    </row>
    <row r="364">
      <c r="A364" s="31" t="s">
        <v>71</v>
      </c>
    </row>
    <row r="365">
      <c r="A365" s="31" t="s">
        <v>71</v>
      </c>
    </row>
    <row r="366">
      <c r="A366" s="31" t="s">
        <v>71</v>
      </c>
    </row>
    <row r="367">
      <c r="A367" s="31" t="s">
        <v>71</v>
      </c>
    </row>
    <row r="368">
      <c r="A368" s="31" t="s">
        <v>71</v>
      </c>
    </row>
    <row r="369">
      <c r="A369" s="31" t="s">
        <v>71</v>
      </c>
    </row>
    <row r="370">
      <c r="A370" s="31" t="s">
        <v>71</v>
      </c>
    </row>
    <row r="371">
      <c r="A371" s="31" t="s">
        <v>71</v>
      </c>
    </row>
    <row r="372">
      <c r="A372" s="31" t="s">
        <v>71</v>
      </c>
    </row>
    <row r="373">
      <c r="A373" s="31" t="s">
        <v>71</v>
      </c>
    </row>
    <row r="374">
      <c r="A374" s="31" t="s">
        <v>71</v>
      </c>
    </row>
    <row r="375">
      <c r="A375" s="31" t="s">
        <v>71</v>
      </c>
    </row>
    <row r="376">
      <c r="A376" s="31" t="s">
        <v>71</v>
      </c>
    </row>
    <row r="377">
      <c r="A377" s="31" t="s">
        <v>71</v>
      </c>
    </row>
    <row r="378">
      <c r="A378" s="31" t="s">
        <v>71</v>
      </c>
    </row>
    <row r="379">
      <c r="A379" s="31" t="s">
        <v>71</v>
      </c>
    </row>
    <row r="380">
      <c r="A380" s="31" t="s">
        <v>71</v>
      </c>
    </row>
    <row r="381">
      <c r="A381" s="31" t="s">
        <v>71</v>
      </c>
    </row>
    <row r="382">
      <c r="A382" s="31" t="s">
        <v>71</v>
      </c>
    </row>
    <row r="383">
      <c r="A383" s="31" t="s">
        <v>71</v>
      </c>
    </row>
    <row r="384">
      <c r="A384" s="31" t="s">
        <v>71</v>
      </c>
    </row>
    <row r="385">
      <c r="A385" s="31" t="s">
        <v>71</v>
      </c>
    </row>
    <row r="386">
      <c r="A386" s="31" t="s">
        <v>71</v>
      </c>
    </row>
    <row r="387">
      <c r="A387" s="31" t="s">
        <v>71</v>
      </c>
    </row>
    <row r="388">
      <c r="A388" s="31" t="s">
        <v>71</v>
      </c>
    </row>
    <row r="389">
      <c r="A389" s="31" t="s">
        <v>71</v>
      </c>
    </row>
    <row r="390">
      <c r="A390" s="31" t="s">
        <v>71</v>
      </c>
    </row>
    <row r="391">
      <c r="A391" s="31" t="s">
        <v>71</v>
      </c>
    </row>
    <row r="392">
      <c r="A392" s="31" t="s">
        <v>71</v>
      </c>
    </row>
    <row r="393">
      <c r="A393" s="31" t="s">
        <v>71</v>
      </c>
    </row>
    <row r="394">
      <c r="A394" s="31" t="s">
        <v>71</v>
      </c>
    </row>
    <row r="395">
      <c r="A395" s="31" t="s">
        <v>71</v>
      </c>
    </row>
    <row r="396">
      <c r="A396" s="31" t="s">
        <v>71</v>
      </c>
    </row>
    <row r="397">
      <c r="A397" s="31" t="s">
        <v>71</v>
      </c>
    </row>
    <row r="398">
      <c r="A398" s="31" t="s">
        <v>71</v>
      </c>
    </row>
    <row r="399">
      <c r="A399" s="31" t="s">
        <v>71</v>
      </c>
    </row>
    <row r="400">
      <c r="A400" s="31" t="s">
        <v>71</v>
      </c>
    </row>
    <row r="401">
      <c r="A401" s="31" t="s">
        <v>71</v>
      </c>
    </row>
    <row r="402">
      <c r="A402" s="31" t="s">
        <v>71</v>
      </c>
    </row>
    <row r="403">
      <c r="A403" s="31" t="s">
        <v>71</v>
      </c>
    </row>
    <row r="404">
      <c r="A404" s="31" t="s">
        <v>71</v>
      </c>
    </row>
    <row r="405">
      <c r="A405" s="31" t="s">
        <v>71</v>
      </c>
    </row>
    <row r="406">
      <c r="A406" s="31" t="s">
        <v>71</v>
      </c>
    </row>
    <row r="407">
      <c r="A407" s="31" t="s">
        <v>71</v>
      </c>
    </row>
    <row r="408">
      <c r="A408" s="31" t="s">
        <v>71</v>
      </c>
    </row>
    <row r="409">
      <c r="A409" s="31" t="s">
        <v>71</v>
      </c>
    </row>
    <row r="410">
      <c r="A410" s="31" t="s">
        <v>71</v>
      </c>
    </row>
    <row r="411">
      <c r="A411" s="31" t="s">
        <v>71</v>
      </c>
    </row>
    <row r="412">
      <c r="A412" s="31" t="s">
        <v>71</v>
      </c>
    </row>
    <row r="413">
      <c r="A413" s="31" t="s">
        <v>71</v>
      </c>
    </row>
    <row r="414">
      <c r="A414" s="31" t="s">
        <v>71</v>
      </c>
    </row>
    <row r="415">
      <c r="A415" s="31" t="s">
        <v>71</v>
      </c>
    </row>
    <row r="416">
      <c r="A416" s="31" t="s">
        <v>71</v>
      </c>
    </row>
    <row r="417">
      <c r="A417" s="31" t="s">
        <v>71</v>
      </c>
    </row>
    <row r="418">
      <c r="A418" s="31" t="s">
        <v>71</v>
      </c>
    </row>
    <row r="419">
      <c r="A419" s="31" t="s">
        <v>71</v>
      </c>
    </row>
    <row r="420">
      <c r="A420" s="31" t="s">
        <v>71</v>
      </c>
    </row>
    <row r="421">
      <c r="A421" s="31" t="s">
        <v>71</v>
      </c>
    </row>
    <row r="422">
      <c r="A422" s="31" t="s">
        <v>71</v>
      </c>
    </row>
    <row r="423">
      <c r="A423" s="31" t="s">
        <v>71</v>
      </c>
    </row>
    <row r="424">
      <c r="A424" s="31" t="s">
        <v>71</v>
      </c>
    </row>
    <row r="425">
      <c r="A425" s="31" t="s">
        <v>71</v>
      </c>
    </row>
    <row r="426">
      <c r="A426" s="31" t="s">
        <v>71</v>
      </c>
    </row>
    <row r="427">
      <c r="A427" s="31" t="s">
        <v>71</v>
      </c>
    </row>
    <row r="428">
      <c r="A428" s="31" t="s">
        <v>71</v>
      </c>
    </row>
    <row r="429">
      <c r="A429" s="31" t="s">
        <v>71</v>
      </c>
    </row>
    <row r="430">
      <c r="A430" s="31" t="s">
        <v>71</v>
      </c>
    </row>
    <row r="431">
      <c r="A431" s="31" t="s">
        <v>71</v>
      </c>
    </row>
    <row r="432">
      <c r="A432" s="31" t="s">
        <v>71</v>
      </c>
    </row>
    <row r="433">
      <c r="A433" s="31" t="s">
        <v>71</v>
      </c>
    </row>
    <row r="434">
      <c r="A434" s="31" t="s">
        <v>71</v>
      </c>
    </row>
    <row r="435">
      <c r="A435" s="31" t="s">
        <v>71</v>
      </c>
    </row>
    <row r="436">
      <c r="A436" s="31" t="s">
        <v>71</v>
      </c>
    </row>
    <row r="437">
      <c r="A437" s="31" t="s">
        <v>71</v>
      </c>
    </row>
    <row r="438">
      <c r="A438" s="31" t="s">
        <v>71</v>
      </c>
    </row>
    <row r="439">
      <c r="A439" s="31" t="s">
        <v>71</v>
      </c>
    </row>
    <row r="440">
      <c r="A440" s="31" t="s">
        <v>71</v>
      </c>
    </row>
    <row r="441">
      <c r="A441" s="31" t="s">
        <v>71</v>
      </c>
    </row>
    <row r="442">
      <c r="A442" s="31" t="s">
        <v>71</v>
      </c>
    </row>
    <row r="443">
      <c r="A443" s="31" t="s">
        <v>71</v>
      </c>
    </row>
    <row r="444">
      <c r="A444" s="31" t="s">
        <v>71</v>
      </c>
    </row>
    <row r="445">
      <c r="A445" s="31" t="s">
        <v>71</v>
      </c>
    </row>
    <row r="446">
      <c r="A446" s="31" t="s">
        <v>71</v>
      </c>
    </row>
    <row r="447">
      <c r="A447" s="31" t="s">
        <v>71</v>
      </c>
    </row>
    <row r="448">
      <c r="A448" s="31" t="s">
        <v>71</v>
      </c>
    </row>
    <row r="449">
      <c r="A449" s="31" t="s">
        <v>71</v>
      </c>
    </row>
    <row r="450">
      <c r="A450" s="31" t="s">
        <v>71</v>
      </c>
    </row>
    <row r="451">
      <c r="A451" s="31" t="s">
        <v>71</v>
      </c>
    </row>
    <row r="452">
      <c r="A452" s="31" t="s">
        <v>71</v>
      </c>
    </row>
    <row r="453">
      <c r="A453" s="31" t="s">
        <v>71</v>
      </c>
    </row>
    <row r="454">
      <c r="A454" s="31" t="s">
        <v>71</v>
      </c>
    </row>
    <row r="455">
      <c r="A455" s="31" t="s">
        <v>71</v>
      </c>
    </row>
    <row r="456">
      <c r="A456" s="31" t="s">
        <v>71</v>
      </c>
    </row>
    <row r="457">
      <c r="A457" s="31" t="s">
        <v>71</v>
      </c>
    </row>
    <row r="458">
      <c r="A458" s="31" t="s">
        <v>71</v>
      </c>
    </row>
    <row r="459">
      <c r="A459" s="31" t="s">
        <v>71</v>
      </c>
    </row>
    <row r="460">
      <c r="A460" s="31" t="s">
        <v>71</v>
      </c>
    </row>
    <row r="461">
      <c r="A461" s="31" t="s">
        <v>71</v>
      </c>
    </row>
    <row r="462">
      <c r="A462" s="31" t="s">
        <v>71</v>
      </c>
    </row>
    <row r="463">
      <c r="A463" s="31" t="s">
        <v>71</v>
      </c>
    </row>
    <row r="464">
      <c r="A464" s="31" t="s">
        <v>71</v>
      </c>
    </row>
    <row r="465">
      <c r="A465" s="31" t="s">
        <v>71</v>
      </c>
    </row>
    <row r="466">
      <c r="A466" s="31" t="s">
        <v>71</v>
      </c>
    </row>
    <row r="467">
      <c r="A467" s="31" t="s">
        <v>71</v>
      </c>
    </row>
    <row r="468">
      <c r="A468" s="31" t="s">
        <v>71</v>
      </c>
    </row>
    <row r="469">
      <c r="A469" s="31" t="s">
        <v>71</v>
      </c>
    </row>
    <row r="470">
      <c r="A470" s="31" t="s">
        <v>71</v>
      </c>
    </row>
    <row r="471">
      <c r="A471" s="31" t="s">
        <v>71</v>
      </c>
    </row>
    <row r="472">
      <c r="A472" s="31" t="s">
        <v>71</v>
      </c>
    </row>
    <row r="473">
      <c r="A473" s="31" t="s">
        <v>71</v>
      </c>
    </row>
    <row r="474">
      <c r="A474" s="31" t="s">
        <v>71</v>
      </c>
    </row>
    <row r="475">
      <c r="A475" s="31" t="s">
        <v>71</v>
      </c>
    </row>
    <row r="476">
      <c r="A476" s="31" t="s">
        <v>71</v>
      </c>
    </row>
    <row r="477">
      <c r="A477" s="31" t="s">
        <v>71</v>
      </c>
    </row>
    <row r="478">
      <c r="A478" s="31" t="s">
        <v>71</v>
      </c>
    </row>
    <row r="479">
      <c r="A479" s="31" t="s">
        <v>71</v>
      </c>
    </row>
    <row r="480">
      <c r="A480" s="31" t="s">
        <v>71</v>
      </c>
    </row>
    <row r="481">
      <c r="A481" s="31" t="s">
        <v>71</v>
      </c>
    </row>
    <row r="482">
      <c r="A482" s="31" t="s">
        <v>71</v>
      </c>
    </row>
    <row r="483">
      <c r="A483" s="31" t="s">
        <v>71</v>
      </c>
    </row>
    <row r="484">
      <c r="A484" s="31" t="s">
        <v>71</v>
      </c>
    </row>
    <row r="485">
      <c r="A485" s="31" t="s">
        <v>71</v>
      </c>
    </row>
    <row r="486">
      <c r="A486" s="31" t="s">
        <v>71</v>
      </c>
    </row>
    <row r="487">
      <c r="A487" s="31" t="s">
        <v>71</v>
      </c>
    </row>
    <row r="488">
      <c r="A488" s="31" t="s">
        <v>71</v>
      </c>
    </row>
    <row r="489">
      <c r="A489" s="31" t="s">
        <v>71</v>
      </c>
    </row>
    <row r="490">
      <c r="A490" s="31" t="s">
        <v>71</v>
      </c>
    </row>
    <row r="491">
      <c r="A491" s="31" t="s">
        <v>71</v>
      </c>
    </row>
    <row r="492">
      <c r="A492" s="31" t="s">
        <v>71</v>
      </c>
    </row>
    <row r="493">
      <c r="A493" s="31" t="s">
        <v>71</v>
      </c>
    </row>
    <row r="494">
      <c r="A494" s="31" t="s">
        <v>71</v>
      </c>
    </row>
    <row r="495">
      <c r="A495" s="31" t="s">
        <v>71</v>
      </c>
    </row>
    <row r="496">
      <c r="A496" s="31" t="s">
        <v>71</v>
      </c>
    </row>
    <row r="497">
      <c r="A497" s="31" t="s">
        <v>71</v>
      </c>
    </row>
    <row r="498">
      <c r="A498" s="31" t="s">
        <v>71</v>
      </c>
    </row>
    <row r="499">
      <c r="A499" s="31" t="s">
        <v>71</v>
      </c>
    </row>
    <row r="500">
      <c r="A500" s="31" t="s">
        <v>71</v>
      </c>
    </row>
    <row r="501">
      <c r="A501" s="31" t="s">
        <v>71</v>
      </c>
    </row>
    <row r="502">
      <c r="A502" s="31" t="s">
        <v>71</v>
      </c>
    </row>
    <row r="503">
      <c r="A503" s="31" t="s">
        <v>71</v>
      </c>
    </row>
    <row r="504">
      <c r="A504" s="31" t="s">
        <v>71</v>
      </c>
    </row>
    <row r="505">
      <c r="A505" s="31" t="s">
        <v>71</v>
      </c>
    </row>
    <row r="506">
      <c r="A506" s="31" t="s">
        <v>71</v>
      </c>
    </row>
    <row r="507">
      <c r="A507" s="31" t="s">
        <v>71</v>
      </c>
    </row>
    <row r="508">
      <c r="A508" s="31" t="s">
        <v>71</v>
      </c>
    </row>
    <row r="509">
      <c r="A509" s="31" t="s">
        <v>71</v>
      </c>
    </row>
    <row r="510">
      <c r="A510" s="31" t="s">
        <v>71</v>
      </c>
    </row>
    <row r="511">
      <c r="A511" s="31" t="s">
        <v>71</v>
      </c>
    </row>
    <row r="512">
      <c r="A512" s="31" t="s">
        <v>71</v>
      </c>
    </row>
    <row r="513">
      <c r="A513" s="31" t="s">
        <v>71</v>
      </c>
    </row>
    <row r="514">
      <c r="A514" s="31" t="s">
        <v>71</v>
      </c>
    </row>
    <row r="515">
      <c r="A515" s="31" t="s">
        <v>71</v>
      </c>
    </row>
    <row r="516">
      <c r="A516" s="31" t="s">
        <v>71</v>
      </c>
    </row>
    <row r="517">
      <c r="A517" s="31" t="s">
        <v>71</v>
      </c>
    </row>
    <row r="518">
      <c r="A518" s="31" t="s">
        <v>71</v>
      </c>
    </row>
    <row r="519">
      <c r="A519" s="31" t="s">
        <v>71</v>
      </c>
    </row>
    <row r="520">
      <c r="A520" s="31" t="s">
        <v>71</v>
      </c>
    </row>
    <row r="521">
      <c r="A521" s="31" t="s">
        <v>71</v>
      </c>
    </row>
    <row r="522">
      <c r="A522" s="31" t="s">
        <v>71</v>
      </c>
    </row>
    <row r="523">
      <c r="A523" s="31" t="s">
        <v>71</v>
      </c>
    </row>
    <row r="524">
      <c r="A524" s="31" t="s">
        <v>71</v>
      </c>
    </row>
    <row r="525">
      <c r="A525" s="31" t="s">
        <v>71</v>
      </c>
    </row>
    <row r="526">
      <c r="A526" s="31" t="s">
        <v>71</v>
      </c>
    </row>
    <row r="527">
      <c r="A527" s="31" t="s">
        <v>71</v>
      </c>
    </row>
    <row r="528">
      <c r="A528" s="31" t="s">
        <v>71</v>
      </c>
    </row>
    <row r="529">
      <c r="A529" s="31" t="s">
        <v>71</v>
      </c>
    </row>
    <row r="530">
      <c r="A530" s="31" t="s">
        <v>71</v>
      </c>
    </row>
    <row r="531">
      <c r="A531" s="31" t="s">
        <v>71</v>
      </c>
    </row>
    <row r="532">
      <c r="A532" s="31" t="s">
        <v>71</v>
      </c>
    </row>
    <row r="533">
      <c r="A533" s="31" t="s">
        <v>71</v>
      </c>
    </row>
    <row r="534">
      <c r="A534" s="31" t="s">
        <v>71</v>
      </c>
    </row>
    <row r="535">
      <c r="A535" s="31" t="s">
        <v>71</v>
      </c>
    </row>
    <row r="536">
      <c r="A536" s="31" t="s">
        <v>71</v>
      </c>
    </row>
    <row r="537">
      <c r="A537" s="31" t="s">
        <v>71</v>
      </c>
    </row>
    <row r="538">
      <c r="A538" s="31" t="s">
        <v>71</v>
      </c>
    </row>
    <row r="539">
      <c r="A539" s="31" t="s">
        <v>71</v>
      </c>
    </row>
    <row r="540">
      <c r="A540" s="31" t="s">
        <v>71</v>
      </c>
    </row>
    <row r="541">
      <c r="A541" s="31" t="s">
        <v>71</v>
      </c>
    </row>
    <row r="542">
      <c r="A542" s="31" t="s">
        <v>71</v>
      </c>
    </row>
    <row r="543">
      <c r="A543" s="31" t="s">
        <v>71</v>
      </c>
    </row>
    <row r="544">
      <c r="A544" s="31" t="s">
        <v>71</v>
      </c>
    </row>
    <row r="545">
      <c r="A545" s="31" t="s">
        <v>71</v>
      </c>
    </row>
    <row r="546">
      <c r="A546" s="31" t="s">
        <v>71</v>
      </c>
    </row>
    <row r="547">
      <c r="A547" s="31" t="s">
        <v>71</v>
      </c>
    </row>
    <row r="548">
      <c r="A548" s="31" t="s">
        <v>71</v>
      </c>
    </row>
    <row r="549">
      <c r="A549" s="31" t="s">
        <v>71</v>
      </c>
    </row>
    <row r="550">
      <c r="A550" s="31" t="s">
        <v>71</v>
      </c>
    </row>
    <row r="551">
      <c r="A551" s="31" t="s">
        <v>71</v>
      </c>
    </row>
    <row r="552">
      <c r="A552" s="31" t="s">
        <v>71</v>
      </c>
    </row>
    <row r="553">
      <c r="A553" s="31" t="s">
        <v>71</v>
      </c>
    </row>
    <row r="554">
      <c r="A554" s="31" t="s">
        <v>71</v>
      </c>
    </row>
    <row r="555">
      <c r="A555" s="31" t="s">
        <v>71</v>
      </c>
    </row>
    <row r="556">
      <c r="A556" s="31" t="s">
        <v>71</v>
      </c>
    </row>
    <row r="557">
      <c r="A557" s="31" t="s">
        <v>71</v>
      </c>
    </row>
    <row r="558">
      <c r="A558" s="31" t="s">
        <v>71</v>
      </c>
    </row>
    <row r="559">
      <c r="A559" s="31" t="s">
        <v>71</v>
      </c>
    </row>
    <row r="560">
      <c r="A560" s="31" t="s">
        <v>71</v>
      </c>
    </row>
    <row r="561">
      <c r="A561" s="31" t="s">
        <v>71</v>
      </c>
    </row>
    <row r="562">
      <c r="A562" s="31" t="s">
        <v>71</v>
      </c>
    </row>
    <row r="563">
      <c r="A563" s="31" t="s">
        <v>71</v>
      </c>
    </row>
    <row r="564">
      <c r="A564" s="31" t="s">
        <v>71</v>
      </c>
    </row>
    <row r="565">
      <c r="A565" s="31" t="s">
        <v>71</v>
      </c>
    </row>
    <row r="566">
      <c r="A566" s="31" t="s">
        <v>71</v>
      </c>
    </row>
    <row r="567">
      <c r="A567" s="31" t="s">
        <v>71</v>
      </c>
    </row>
    <row r="568">
      <c r="A568" s="31" t="s">
        <v>71</v>
      </c>
    </row>
    <row r="569">
      <c r="A569" s="31" t="s">
        <v>71</v>
      </c>
    </row>
    <row r="570">
      <c r="A570" s="31" t="s">
        <v>71</v>
      </c>
    </row>
    <row r="571">
      <c r="A571" s="31" t="s">
        <v>71</v>
      </c>
    </row>
    <row r="572">
      <c r="A572" s="31" t="s">
        <v>71</v>
      </c>
    </row>
    <row r="573">
      <c r="A573" s="31" t="s">
        <v>71</v>
      </c>
    </row>
    <row r="574">
      <c r="A574" s="31" t="s">
        <v>71</v>
      </c>
    </row>
    <row r="575">
      <c r="A575" s="31" t="s">
        <v>71</v>
      </c>
    </row>
    <row r="576">
      <c r="A576" s="31" t="s">
        <v>71</v>
      </c>
    </row>
    <row r="577">
      <c r="A577" s="31" t="s">
        <v>71</v>
      </c>
    </row>
    <row r="578">
      <c r="A578" s="31" t="s">
        <v>71</v>
      </c>
    </row>
    <row r="579">
      <c r="A579" s="31" t="s">
        <v>71</v>
      </c>
    </row>
    <row r="580">
      <c r="A580" s="31" t="s">
        <v>71</v>
      </c>
    </row>
    <row r="581">
      <c r="A581" s="31" t="s">
        <v>71</v>
      </c>
    </row>
    <row r="582">
      <c r="A582" s="31" t="s">
        <v>71</v>
      </c>
    </row>
    <row r="583">
      <c r="A583" s="31" t="s">
        <v>71</v>
      </c>
    </row>
    <row r="584">
      <c r="A584" s="31" t="s">
        <v>71</v>
      </c>
    </row>
    <row r="585">
      <c r="A585" s="31" t="s">
        <v>71</v>
      </c>
    </row>
    <row r="586">
      <c r="A586" s="31" t="s">
        <v>71</v>
      </c>
    </row>
    <row r="587">
      <c r="A587" s="31" t="s">
        <v>71</v>
      </c>
    </row>
    <row r="588">
      <c r="A588" s="31" t="s">
        <v>71</v>
      </c>
    </row>
    <row r="589">
      <c r="A589" s="31" t="s">
        <v>71</v>
      </c>
    </row>
    <row r="590">
      <c r="A590" s="31" t="s">
        <v>71</v>
      </c>
    </row>
    <row r="591">
      <c r="A591" s="31" t="s">
        <v>71</v>
      </c>
    </row>
    <row r="592">
      <c r="A592" s="31" t="s">
        <v>71</v>
      </c>
    </row>
    <row r="593">
      <c r="A593" s="31" t="s">
        <v>71</v>
      </c>
    </row>
    <row r="594">
      <c r="A594" s="31" t="s">
        <v>71</v>
      </c>
    </row>
    <row r="595">
      <c r="A595" s="31" t="s">
        <v>71</v>
      </c>
    </row>
    <row r="596">
      <c r="A596" s="31" t="s">
        <v>71</v>
      </c>
    </row>
    <row r="597">
      <c r="A597" s="31" t="s">
        <v>71</v>
      </c>
    </row>
    <row r="598">
      <c r="A598" s="31" t="s">
        <v>71</v>
      </c>
    </row>
    <row r="599">
      <c r="A599" s="31" t="s">
        <v>71</v>
      </c>
    </row>
    <row r="600">
      <c r="A600" s="31" t="s">
        <v>71</v>
      </c>
    </row>
    <row r="601">
      <c r="A601" s="31" t="s">
        <v>71</v>
      </c>
    </row>
    <row r="602">
      <c r="A602" s="31" t="s">
        <v>71</v>
      </c>
    </row>
    <row r="603">
      <c r="A603" s="31" t="s">
        <v>71</v>
      </c>
    </row>
    <row r="604">
      <c r="A604" s="31" t="s">
        <v>71</v>
      </c>
    </row>
    <row r="605">
      <c r="A605" s="31" t="s">
        <v>71</v>
      </c>
    </row>
    <row r="606">
      <c r="A606" s="31" t="s">
        <v>71</v>
      </c>
    </row>
    <row r="607">
      <c r="A607" s="31" t="s">
        <v>71</v>
      </c>
    </row>
    <row r="608">
      <c r="A608" s="31" t="s">
        <v>71</v>
      </c>
    </row>
    <row r="609">
      <c r="A609" s="31" t="s">
        <v>71</v>
      </c>
    </row>
    <row r="610">
      <c r="A610" s="31" t="s">
        <v>71</v>
      </c>
    </row>
    <row r="611">
      <c r="A611" s="31" t="s">
        <v>71</v>
      </c>
    </row>
    <row r="612">
      <c r="A612" s="31" t="s">
        <v>71</v>
      </c>
    </row>
    <row r="613">
      <c r="A613" s="31" t="s">
        <v>71</v>
      </c>
    </row>
    <row r="614">
      <c r="A614" s="31" t="s">
        <v>71</v>
      </c>
    </row>
    <row r="615">
      <c r="A615" s="31" t="s">
        <v>71</v>
      </c>
    </row>
    <row r="616">
      <c r="A616" s="31" t="s">
        <v>71</v>
      </c>
    </row>
    <row r="617">
      <c r="A617" s="31" t="s">
        <v>71</v>
      </c>
    </row>
    <row r="618">
      <c r="A618" s="31" t="s">
        <v>71</v>
      </c>
    </row>
    <row r="619">
      <c r="A619" s="31" t="s">
        <v>71</v>
      </c>
    </row>
    <row r="620">
      <c r="A620" s="31" t="s">
        <v>71</v>
      </c>
    </row>
    <row r="621">
      <c r="A621" s="31" t="s">
        <v>71</v>
      </c>
    </row>
    <row r="622">
      <c r="A622" s="31" t="s">
        <v>71</v>
      </c>
    </row>
    <row r="623">
      <c r="A623" s="31" t="s">
        <v>71</v>
      </c>
    </row>
    <row r="624">
      <c r="A624" s="31" t="s">
        <v>71</v>
      </c>
    </row>
    <row r="625">
      <c r="A625" s="31" t="s">
        <v>71</v>
      </c>
    </row>
    <row r="626">
      <c r="A626" s="31" t="s">
        <v>71</v>
      </c>
    </row>
    <row r="627">
      <c r="A627" s="31" t="s">
        <v>71</v>
      </c>
    </row>
    <row r="628">
      <c r="A628" s="31" t="s">
        <v>71</v>
      </c>
    </row>
    <row r="629">
      <c r="A629" s="31" t="s">
        <v>71</v>
      </c>
    </row>
    <row r="630">
      <c r="A630" s="31" t="s">
        <v>71</v>
      </c>
    </row>
    <row r="631">
      <c r="A631" s="31" t="s">
        <v>71</v>
      </c>
    </row>
    <row r="632">
      <c r="A632" s="31" t="s">
        <v>71</v>
      </c>
    </row>
    <row r="633">
      <c r="A633" s="31" t="s">
        <v>71</v>
      </c>
    </row>
    <row r="634">
      <c r="A634" s="31" t="s">
        <v>71</v>
      </c>
    </row>
    <row r="635">
      <c r="A635" s="31" t="s">
        <v>71</v>
      </c>
    </row>
    <row r="636">
      <c r="A636" s="31" t="s">
        <v>71</v>
      </c>
    </row>
    <row r="637">
      <c r="A637" s="31" t="s">
        <v>71</v>
      </c>
    </row>
    <row r="638">
      <c r="A638" s="31" t="s">
        <v>71</v>
      </c>
    </row>
    <row r="639">
      <c r="A639" s="31" t="s">
        <v>71</v>
      </c>
    </row>
    <row r="640">
      <c r="A640" s="31" t="s">
        <v>71</v>
      </c>
    </row>
    <row r="641">
      <c r="A641" s="31" t="s">
        <v>71</v>
      </c>
    </row>
    <row r="642">
      <c r="A642" s="31" t="s">
        <v>71</v>
      </c>
    </row>
    <row r="643">
      <c r="A643" s="31" t="s">
        <v>71</v>
      </c>
    </row>
    <row r="644">
      <c r="A644" s="31" t="s">
        <v>71</v>
      </c>
    </row>
    <row r="645">
      <c r="A645" s="31" t="s">
        <v>71</v>
      </c>
    </row>
    <row r="646">
      <c r="A646" s="31" t="s">
        <v>71</v>
      </c>
    </row>
    <row r="647">
      <c r="A647" s="31" t="s">
        <v>71</v>
      </c>
    </row>
    <row r="648">
      <c r="A648" s="31" t="s">
        <v>71</v>
      </c>
    </row>
    <row r="649">
      <c r="A649" s="31" t="s">
        <v>71</v>
      </c>
    </row>
    <row r="650">
      <c r="A650" s="31" t="s">
        <v>71</v>
      </c>
    </row>
    <row r="651">
      <c r="A651" s="31" t="s">
        <v>71</v>
      </c>
    </row>
    <row r="652">
      <c r="A652" s="31" t="s">
        <v>71</v>
      </c>
    </row>
    <row r="653">
      <c r="A653" s="31" t="s">
        <v>71</v>
      </c>
    </row>
    <row r="654">
      <c r="A654" s="31" t="s">
        <v>71</v>
      </c>
    </row>
    <row r="655">
      <c r="A655" s="31" t="s">
        <v>71</v>
      </c>
    </row>
    <row r="656">
      <c r="A656" s="31" t="s">
        <v>71</v>
      </c>
    </row>
    <row r="657">
      <c r="A657" s="31" t="s">
        <v>71</v>
      </c>
    </row>
    <row r="658">
      <c r="A658" s="31" t="s">
        <v>71</v>
      </c>
    </row>
    <row r="659">
      <c r="A659" s="31" t="s">
        <v>71</v>
      </c>
    </row>
    <row r="660">
      <c r="A660" s="31" t="s">
        <v>71</v>
      </c>
    </row>
    <row r="661">
      <c r="A661" s="31" t="s">
        <v>71</v>
      </c>
    </row>
    <row r="662">
      <c r="A662" s="31" t="s">
        <v>71</v>
      </c>
    </row>
    <row r="663">
      <c r="A663" s="31" t="s">
        <v>71</v>
      </c>
    </row>
    <row r="664">
      <c r="A664" s="31" t="s">
        <v>71</v>
      </c>
    </row>
    <row r="665">
      <c r="A665" s="31" t="s">
        <v>71</v>
      </c>
    </row>
    <row r="666">
      <c r="A666" s="31" t="s">
        <v>71</v>
      </c>
    </row>
    <row r="667">
      <c r="A667" s="31" t="s">
        <v>71</v>
      </c>
    </row>
    <row r="668">
      <c r="A668" s="31" t="s">
        <v>71</v>
      </c>
    </row>
    <row r="669">
      <c r="A669" s="31" t="s">
        <v>71</v>
      </c>
    </row>
    <row r="670">
      <c r="A670" s="31" t="s">
        <v>71</v>
      </c>
    </row>
    <row r="671">
      <c r="A671" s="31" t="s">
        <v>71</v>
      </c>
    </row>
    <row r="672">
      <c r="A672" s="31" t="s">
        <v>71</v>
      </c>
    </row>
    <row r="673">
      <c r="A673" s="31" t="s">
        <v>71</v>
      </c>
    </row>
    <row r="674">
      <c r="A674" s="31" t="s">
        <v>71</v>
      </c>
    </row>
    <row r="675">
      <c r="A675" s="31" t="s">
        <v>71</v>
      </c>
    </row>
    <row r="676">
      <c r="A676" s="31" t="s">
        <v>71</v>
      </c>
    </row>
    <row r="677">
      <c r="A677" s="31" t="s">
        <v>71</v>
      </c>
    </row>
    <row r="678">
      <c r="A678" s="31" t="s">
        <v>71</v>
      </c>
    </row>
    <row r="679">
      <c r="A679" s="31" t="s">
        <v>71</v>
      </c>
    </row>
    <row r="680">
      <c r="A680" s="31" t="s">
        <v>71</v>
      </c>
    </row>
    <row r="681">
      <c r="A681" s="31" t="s">
        <v>71</v>
      </c>
    </row>
    <row r="682">
      <c r="A682" s="31" t="s">
        <v>71</v>
      </c>
    </row>
    <row r="683">
      <c r="A683" s="31" t="s">
        <v>71</v>
      </c>
    </row>
    <row r="684">
      <c r="A684" s="31" t="s">
        <v>71</v>
      </c>
    </row>
    <row r="685">
      <c r="A685" s="31" t="s">
        <v>71</v>
      </c>
    </row>
    <row r="686">
      <c r="A686" s="31" t="s">
        <v>71</v>
      </c>
    </row>
    <row r="687">
      <c r="A687" s="31" t="s">
        <v>71</v>
      </c>
    </row>
    <row r="688">
      <c r="A688" s="31" t="s">
        <v>71</v>
      </c>
    </row>
    <row r="689">
      <c r="A689" s="31" t="s">
        <v>71</v>
      </c>
    </row>
    <row r="690">
      <c r="A690" s="31" t="s">
        <v>71</v>
      </c>
    </row>
    <row r="691">
      <c r="A691" s="31" t="s">
        <v>71</v>
      </c>
    </row>
    <row r="692">
      <c r="A692" s="31" t="s">
        <v>71</v>
      </c>
    </row>
    <row r="693">
      <c r="A693" s="31" t="s">
        <v>71</v>
      </c>
    </row>
    <row r="694">
      <c r="A694" s="31" t="s">
        <v>71</v>
      </c>
    </row>
    <row r="695">
      <c r="A695" s="31" t="s">
        <v>71</v>
      </c>
    </row>
    <row r="696">
      <c r="A696" s="31" t="s">
        <v>71</v>
      </c>
    </row>
    <row r="697">
      <c r="A697" s="31" t="s">
        <v>71</v>
      </c>
    </row>
    <row r="698">
      <c r="A698" s="31" t="s">
        <v>71</v>
      </c>
    </row>
    <row r="699">
      <c r="A699" s="31" t="s">
        <v>71</v>
      </c>
    </row>
    <row r="700">
      <c r="A700" s="31" t="s">
        <v>71</v>
      </c>
    </row>
    <row r="701">
      <c r="A701" s="31" t="s">
        <v>71</v>
      </c>
    </row>
    <row r="702">
      <c r="A702" s="31" t="s">
        <v>71</v>
      </c>
    </row>
    <row r="703">
      <c r="A703" s="31" t="s">
        <v>71</v>
      </c>
    </row>
    <row r="704">
      <c r="A704" s="31" t="s">
        <v>71</v>
      </c>
    </row>
    <row r="705">
      <c r="A705" s="31" t="s">
        <v>71</v>
      </c>
    </row>
    <row r="706">
      <c r="A706" s="31" t="s">
        <v>71</v>
      </c>
    </row>
    <row r="707">
      <c r="A707" s="31" t="s">
        <v>71</v>
      </c>
    </row>
    <row r="708">
      <c r="A708" s="31" t="s">
        <v>71</v>
      </c>
    </row>
    <row r="709">
      <c r="A709" s="31" t="s">
        <v>71</v>
      </c>
    </row>
    <row r="710">
      <c r="A710" s="31" t="s">
        <v>71</v>
      </c>
    </row>
    <row r="711">
      <c r="A711" s="31" t="s">
        <v>71</v>
      </c>
    </row>
    <row r="712">
      <c r="A712" s="31" t="s">
        <v>71</v>
      </c>
    </row>
    <row r="713">
      <c r="A713" s="31" t="s">
        <v>71</v>
      </c>
    </row>
    <row r="714">
      <c r="A714" s="31" t="s">
        <v>71</v>
      </c>
    </row>
    <row r="715">
      <c r="A715" s="31" t="s">
        <v>71</v>
      </c>
    </row>
    <row r="716">
      <c r="A716" s="31" t="s">
        <v>71</v>
      </c>
    </row>
    <row r="717">
      <c r="A717" s="31" t="s">
        <v>71</v>
      </c>
    </row>
    <row r="718">
      <c r="A718" s="31" t="s">
        <v>71</v>
      </c>
    </row>
    <row r="719">
      <c r="A719" s="31" t="s">
        <v>71</v>
      </c>
    </row>
    <row r="720">
      <c r="A720" s="31" t="s">
        <v>71</v>
      </c>
    </row>
    <row r="721">
      <c r="A721" s="31" t="s">
        <v>71</v>
      </c>
    </row>
    <row r="722">
      <c r="A722" s="31" t="s">
        <v>71</v>
      </c>
    </row>
    <row r="723">
      <c r="A723" s="31" t="s">
        <v>71</v>
      </c>
    </row>
    <row r="724">
      <c r="A724" s="31" t="s">
        <v>71</v>
      </c>
    </row>
    <row r="725">
      <c r="A725" s="31" t="s">
        <v>71</v>
      </c>
    </row>
    <row r="726">
      <c r="A726" s="31" t="s">
        <v>71</v>
      </c>
    </row>
    <row r="727">
      <c r="A727" s="31" t="s">
        <v>71</v>
      </c>
    </row>
    <row r="728">
      <c r="A728" s="31" t="s">
        <v>71</v>
      </c>
    </row>
    <row r="729">
      <c r="A729" s="31" t="s">
        <v>71</v>
      </c>
    </row>
    <row r="730">
      <c r="A730" s="31" t="s">
        <v>71</v>
      </c>
    </row>
    <row r="731">
      <c r="A731" s="31" t="s">
        <v>71</v>
      </c>
    </row>
    <row r="732">
      <c r="A732" s="31" t="s">
        <v>71</v>
      </c>
    </row>
    <row r="733">
      <c r="A733" s="31" t="s">
        <v>71</v>
      </c>
    </row>
    <row r="734">
      <c r="A734" s="31" t="s">
        <v>71</v>
      </c>
    </row>
    <row r="735">
      <c r="A735" s="31" t="s">
        <v>71</v>
      </c>
    </row>
    <row r="736">
      <c r="A736" s="31" t="s">
        <v>71</v>
      </c>
    </row>
    <row r="737">
      <c r="A737" s="31" t="s">
        <v>71</v>
      </c>
    </row>
    <row r="738">
      <c r="A738" s="31" t="s">
        <v>71</v>
      </c>
    </row>
    <row r="739">
      <c r="A739" s="31" t="s">
        <v>71</v>
      </c>
    </row>
    <row r="740">
      <c r="A740" s="31" t="s">
        <v>71</v>
      </c>
    </row>
    <row r="741">
      <c r="A741" s="31" t="s">
        <v>71</v>
      </c>
    </row>
    <row r="742">
      <c r="A742" s="31" t="s">
        <v>71</v>
      </c>
    </row>
    <row r="743">
      <c r="A743" s="31" t="s">
        <v>71</v>
      </c>
    </row>
    <row r="744">
      <c r="A744" s="31" t="s">
        <v>71</v>
      </c>
    </row>
    <row r="745">
      <c r="A745" s="31" t="s">
        <v>71</v>
      </c>
    </row>
    <row r="746">
      <c r="A746" s="31" t="s">
        <v>71</v>
      </c>
    </row>
    <row r="747">
      <c r="A747" s="31" t="s">
        <v>71</v>
      </c>
    </row>
    <row r="748">
      <c r="A748" s="31" t="s">
        <v>71</v>
      </c>
    </row>
    <row r="749">
      <c r="A749" s="31" t="s">
        <v>71</v>
      </c>
    </row>
    <row r="750">
      <c r="A750" s="31" t="s">
        <v>71</v>
      </c>
    </row>
    <row r="751">
      <c r="A751" s="31" t="s">
        <v>71</v>
      </c>
    </row>
    <row r="752">
      <c r="A752" s="31" t="s">
        <v>71</v>
      </c>
    </row>
    <row r="753">
      <c r="A753" s="31" t="s">
        <v>71</v>
      </c>
    </row>
    <row r="754">
      <c r="A754" s="31" t="s">
        <v>71</v>
      </c>
    </row>
    <row r="755">
      <c r="A755" s="31" t="s">
        <v>71</v>
      </c>
    </row>
    <row r="756">
      <c r="A756" s="31" t="s">
        <v>71</v>
      </c>
    </row>
    <row r="757">
      <c r="A757" s="31" t="s">
        <v>71</v>
      </c>
    </row>
    <row r="758">
      <c r="A758" s="31" t="s">
        <v>71</v>
      </c>
    </row>
    <row r="759">
      <c r="A759" s="31" t="s">
        <v>71</v>
      </c>
    </row>
    <row r="760">
      <c r="A760" s="31" t="s">
        <v>71</v>
      </c>
    </row>
    <row r="761">
      <c r="A761" s="31" t="s">
        <v>71</v>
      </c>
    </row>
    <row r="762">
      <c r="A762" s="31" t="s">
        <v>71</v>
      </c>
    </row>
    <row r="763">
      <c r="A763" s="31" t="s">
        <v>71</v>
      </c>
    </row>
    <row r="764">
      <c r="A764" s="31" t="s">
        <v>71</v>
      </c>
    </row>
    <row r="765">
      <c r="A765" s="31" t="s">
        <v>71</v>
      </c>
    </row>
    <row r="766">
      <c r="A766" s="31" t="s">
        <v>71</v>
      </c>
    </row>
    <row r="767">
      <c r="A767" s="31" t="s">
        <v>71</v>
      </c>
    </row>
    <row r="768">
      <c r="A768" s="31" t="s">
        <v>71</v>
      </c>
    </row>
    <row r="769">
      <c r="A769" s="31" t="s">
        <v>71</v>
      </c>
    </row>
    <row r="770">
      <c r="A770" s="31" t="s">
        <v>71</v>
      </c>
    </row>
    <row r="771">
      <c r="A771" s="31" t="s">
        <v>71</v>
      </c>
    </row>
    <row r="772">
      <c r="A772" s="31" t="s">
        <v>71</v>
      </c>
    </row>
    <row r="773">
      <c r="A773" s="31" t="s">
        <v>71</v>
      </c>
    </row>
    <row r="774">
      <c r="A774" s="31" t="s">
        <v>71</v>
      </c>
    </row>
    <row r="775">
      <c r="A775" s="31" t="s">
        <v>71</v>
      </c>
    </row>
    <row r="776">
      <c r="A776" s="31" t="s">
        <v>71</v>
      </c>
    </row>
    <row r="777">
      <c r="A777" s="31" t="s">
        <v>71</v>
      </c>
    </row>
    <row r="778">
      <c r="A778" s="31" t="s">
        <v>71</v>
      </c>
    </row>
    <row r="779">
      <c r="A779" s="31" t="s">
        <v>71</v>
      </c>
    </row>
    <row r="780">
      <c r="A780" s="31" t="s">
        <v>71</v>
      </c>
    </row>
    <row r="781">
      <c r="A781" s="31" t="s">
        <v>71</v>
      </c>
    </row>
    <row r="782">
      <c r="A782" s="31" t="s">
        <v>71</v>
      </c>
    </row>
    <row r="783">
      <c r="A783" s="31" t="s">
        <v>71</v>
      </c>
    </row>
    <row r="784">
      <c r="A784" s="31" t="s">
        <v>71</v>
      </c>
    </row>
    <row r="785">
      <c r="A785" s="31" t="s">
        <v>71</v>
      </c>
    </row>
    <row r="786">
      <c r="A786" s="31" t="s">
        <v>71</v>
      </c>
    </row>
    <row r="787">
      <c r="A787" s="31" t="s">
        <v>71</v>
      </c>
    </row>
    <row r="788">
      <c r="A788" s="31" t="s">
        <v>71</v>
      </c>
    </row>
    <row r="789">
      <c r="A789" s="31" t="s">
        <v>71</v>
      </c>
    </row>
    <row r="790">
      <c r="A790" s="31" t="s">
        <v>71</v>
      </c>
    </row>
    <row r="791">
      <c r="A791" s="31" t="s">
        <v>71</v>
      </c>
    </row>
    <row r="792">
      <c r="A792" s="31" t="s">
        <v>71</v>
      </c>
    </row>
    <row r="793">
      <c r="A793" s="31" t="s">
        <v>71</v>
      </c>
    </row>
    <row r="794">
      <c r="A794" s="31" t="s">
        <v>71</v>
      </c>
    </row>
    <row r="795">
      <c r="A795" s="31" t="s">
        <v>71</v>
      </c>
    </row>
    <row r="796">
      <c r="A796" s="31" t="s">
        <v>71</v>
      </c>
    </row>
    <row r="797">
      <c r="A797" s="31" t="s">
        <v>71</v>
      </c>
    </row>
    <row r="798">
      <c r="A798" s="31" t="s">
        <v>71</v>
      </c>
    </row>
    <row r="799">
      <c r="A799" s="31" t="s">
        <v>71</v>
      </c>
    </row>
    <row r="800">
      <c r="A800" s="31" t="s">
        <v>71</v>
      </c>
    </row>
    <row r="801">
      <c r="A801" s="31" t="s">
        <v>71</v>
      </c>
    </row>
    <row r="802">
      <c r="A802" s="31" t="s">
        <v>71</v>
      </c>
    </row>
    <row r="803">
      <c r="A803" s="31" t="s">
        <v>71</v>
      </c>
    </row>
    <row r="804">
      <c r="A804" s="31" t="s">
        <v>71</v>
      </c>
    </row>
    <row r="805">
      <c r="A805" s="31" t="s">
        <v>71</v>
      </c>
    </row>
    <row r="806">
      <c r="A806" s="31" t="s">
        <v>71</v>
      </c>
    </row>
    <row r="807">
      <c r="A807" s="31" t="s">
        <v>71</v>
      </c>
    </row>
    <row r="808">
      <c r="A808" s="31" t="s">
        <v>71</v>
      </c>
    </row>
    <row r="809">
      <c r="A809" s="31" t="s">
        <v>71</v>
      </c>
    </row>
    <row r="810">
      <c r="A810" s="31" t="s">
        <v>71</v>
      </c>
    </row>
    <row r="811">
      <c r="A811" s="31" t="s">
        <v>71</v>
      </c>
    </row>
    <row r="812">
      <c r="A812" s="31" t="s">
        <v>71</v>
      </c>
    </row>
    <row r="813">
      <c r="A813" s="31" t="s">
        <v>71</v>
      </c>
    </row>
    <row r="814">
      <c r="A814" s="31" t="s">
        <v>71</v>
      </c>
    </row>
    <row r="815">
      <c r="A815" s="31" t="s">
        <v>71</v>
      </c>
    </row>
    <row r="816">
      <c r="A816" s="31" t="s">
        <v>71</v>
      </c>
    </row>
    <row r="817">
      <c r="A817" s="31" t="s">
        <v>71</v>
      </c>
    </row>
    <row r="818">
      <c r="A818" s="31" t="s">
        <v>71</v>
      </c>
    </row>
    <row r="819">
      <c r="A819" s="31" t="s">
        <v>71</v>
      </c>
    </row>
    <row r="820">
      <c r="A820" s="31" t="s">
        <v>71</v>
      </c>
    </row>
    <row r="821">
      <c r="A821" s="31" t="s">
        <v>71</v>
      </c>
    </row>
    <row r="822">
      <c r="A822" s="31" t="s">
        <v>71</v>
      </c>
    </row>
    <row r="823">
      <c r="A823" s="31" t="s">
        <v>71</v>
      </c>
    </row>
    <row r="824">
      <c r="A824" s="31" t="s">
        <v>71</v>
      </c>
    </row>
    <row r="825">
      <c r="A825" s="31" t="s">
        <v>71</v>
      </c>
    </row>
    <row r="826">
      <c r="A826" s="31" t="s">
        <v>71</v>
      </c>
    </row>
    <row r="827">
      <c r="A827" s="31" t="s">
        <v>71</v>
      </c>
    </row>
    <row r="828">
      <c r="A828" s="31" t="s">
        <v>71</v>
      </c>
    </row>
    <row r="829">
      <c r="A829" s="31" t="s">
        <v>71</v>
      </c>
    </row>
    <row r="830">
      <c r="A830" s="31" t="s">
        <v>71</v>
      </c>
    </row>
    <row r="831">
      <c r="A831" s="31" t="s">
        <v>71</v>
      </c>
    </row>
    <row r="832">
      <c r="A832" s="31" t="s">
        <v>71</v>
      </c>
    </row>
    <row r="833">
      <c r="A833" s="31" t="s">
        <v>71</v>
      </c>
    </row>
    <row r="834">
      <c r="A834" s="31" t="s">
        <v>71</v>
      </c>
    </row>
    <row r="835">
      <c r="A835" s="31" t="s">
        <v>71</v>
      </c>
    </row>
    <row r="836">
      <c r="A836" s="31" t="s">
        <v>71</v>
      </c>
    </row>
    <row r="837">
      <c r="A837" s="31" t="s">
        <v>71</v>
      </c>
    </row>
    <row r="838">
      <c r="A838" s="31" t="s">
        <v>71</v>
      </c>
    </row>
    <row r="839">
      <c r="A839" s="31" t="s">
        <v>71</v>
      </c>
    </row>
    <row r="840">
      <c r="A840" s="31" t="s">
        <v>71</v>
      </c>
    </row>
    <row r="841">
      <c r="A841" s="31" t="s">
        <v>71</v>
      </c>
    </row>
    <row r="842">
      <c r="A842" s="31" t="s">
        <v>71</v>
      </c>
    </row>
    <row r="843">
      <c r="A843" s="31" t="s">
        <v>71</v>
      </c>
    </row>
    <row r="844">
      <c r="A844" s="31" t="s">
        <v>71</v>
      </c>
    </row>
    <row r="845">
      <c r="A845" s="31" t="s">
        <v>71</v>
      </c>
    </row>
    <row r="846">
      <c r="A846" s="31" t="s">
        <v>71</v>
      </c>
    </row>
    <row r="847">
      <c r="A847" s="31" t="s">
        <v>71</v>
      </c>
    </row>
    <row r="848">
      <c r="A848" s="31" t="s">
        <v>71</v>
      </c>
    </row>
    <row r="849">
      <c r="A849" s="31" t="s">
        <v>71</v>
      </c>
    </row>
    <row r="850">
      <c r="A850" s="31" t="s">
        <v>71</v>
      </c>
    </row>
    <row r="851">
      <c r="A851" s="31" t="s">
        <v>71</v>
      </c>
    </row>
    <row r="852">
      <c r="A852" s="31" t="s">
        <v>71</v>
      </c>
    </row>
    <row r="853">
      <c r="A853" s="31" t="s">
        <v>71</v>
      </c>
    </row>
    <row r="854">
      <c r="A854" s="31" t="s">
        <v>71</v>
      </c>
    </row>
    <row r="855">
      <c r="A855" s="31" t="s">
        <v>71</v>
      </c>
    </row>
    <row r="856">
      <c r="A856" s="31" t="s">
        <v>71</v>
      </c>
    </row>
    <row r="857">
      <c r="A857" s="31" t="s">
        <v>71</v>
      </c>
    </row>
    <row r="858">
      <c r="A858" s="31" t="s">
        <v>71</v>
      </c>
    </row>
    <row r="859">
      <c r="A859" s="31" t="s">
        <v>71</v>
      </c>
    </row>
    <row r="860">
      <c r="A860" s="31" t="s">
        <v>71</v>
      </c>
    </row>
    <row r="861">
      <c r="A861" s="31" t="s">
        <v>71</v>
      </c>
    </row>
    <row r="862">
      <c r="A862" s="31" t="s">
        <v>71</v>
      </c>
    </row>
    <row r="863">
      <c r="A863" s="31" t="s">
        <v>71</v>
      </c>
    </row>
    <row r="864">
      <c r="A864" s="31" t="s">
        <v>71</v>
      </c>
    </row>
    <row r="865">
      <c r="A865" s="31" t="s">
        <v>71</v>
      </c>
    </row>
    <row r="866">
      <c r="A866" s="31" t="s">
        <v>71</v>
      </c>
    </row>
    <row r="867">
      <c r="A867" s="31" t="s">
        <v>71</v>
      </c>
    </row>
    <row r="868">
      <c r="A868" s="31" t="s">
        <v>71</v>
      </c>
    </row>
    <row r="869">
      <c r="A869" s="31" t="s">
        <v>71</v>
      </c>
    </row>
    <row r="870">
      <c r="A870" s="31" t="s">
        <v>71</v>
      </c>
    </row>
    <row r="871">
      <c r="A871" s="31" t="s">
        <v>71</v>
      </c>
    </row>
    <row r="872">
      <c r="A872" s="31" t="s">
        <v>71</v>
      </c>
    </row>
    <row r="873">
      <c r="A873" s="31" t="s">
        <v>71</v>
      </c>
    </row>
    <row r="874">
      <c r="A874" s="31" t="s">
        <v>71</v>
      </c>
    </row>
    <row r="875">
      <c r="A875" s="31" t="s">
        <v>71</v>
      </c>
    </row>
    <row r="876">
      <c r="A876" s="31" t="s">
        <v>71</v>
      </c>
    </row>
    <row r="877">
      <c r="A877" s="31" t="s">
        <v>71</v>
      </c>
    </row>
    <row r="878">
      <c r="A878" s="31" t="s">
        <v>71</v>
      </c>
    </row>
    <row r="879">
      <c r="A879" s="31" t="s">
        <v>71</v>
      </c>
    </row>
    <row r="880">
      <c r="A880" s="31" t="s">
        <v>71</v>
      </c>
    </row>
    <row r="881">
      <c r="A881" s="31" t="s">
        <v>71</v>
      </c>
    </row>
    <row r="882">
      <c r="A882" s="31" t="s">
        <v>71</v>
      </c>
    </row>
    <row r="883">
      <c r="A883" s="31" t="s">
        <v>71</v>
      </c>
    </row>
    <row r="884">
      <c r="A884" s="31" t="s">
        <v>71</v>
      </c>
    </row>
    <row r="885">
      <c r="A885" s="31" t="s">
        <v>71</v>
      </c>
    </row>
    <row r="886">
      <c r="A886" s="31" t="s">
        <v>71</v>
      </c>
    </row>
    <row r="887">
      <c r="A887" s="31" t="s">
        <v>71</v>
      </c>
    </row>
    <row r="888">
      <c r="A888" s="31" t="s">
        <v>71</v>
      </c>
    </row>
    <row r="889">
      <c r="A889" s="31" t="s">
        <v>71</v>
      </c>
    </row>
    <row r="890">
      <c r="A890" s="31" t="s">
        <v>71</v>
      </c>
    </row>
    <row r="891">
      <c r="A891" s="31" t="s">
        <v>71</v>
      </c>
    </row>
    <row r="892">
      <c r="A892" s="31" t="s">
        <v>71</v>
      </c>
    </row>
    <row r="893">
      <c r="A893" s="31" t="s">
        <v>71</v>
      </c>
    </row>
    <row r="894">
      <c r="A894" s="31" t="s">
        <v>71</v>
      </c>
    </row>
    <row r="895">
      <c r="A895" s="31" t="s">
        <v>71</v>
      </c>
    </row>
    <row r="896">
      <c r="A896" s="31" t="s">
        <v>71</v>
      </c>
    </row>
    <row r="897">
      <c r="A897" s="31" t="s">
        <v>71</v>
      </c>
    </row>
    <row r="898">
      <c r="A898" s="31" t="s">
        <v>71</v>
      </c>
    </row>
    <row r="899">
      <c r="A899" s="31" t="s">
        <v>71</v>
      </c>
    </row>
    <row r="900">
      <c r="A900" s="31" t="s">
        <v>71</v>
      </c>
    </row>
    <row r="901">
      <c r="A901" s="31" t="s">
        <v>71</v>
      </c>
    </row>
    <row r="902">
      <c r="A902" s="31" t="s">
        <v>71</v>
      </c>
    </row>
    <row r="903">
      <c r="A903" s="31" t="s">
        <v>71</v>
      </c>
    </row>
    <row r="904">
      <c r="A904" s="31" t="s">
        <v>71</v>
      </c>
    </row>
    <row r="905">
      <c r="A905" s="31" t="s">
        <v>71</v>
      </c>
    </row>
    <row r="906">
      <c r="A906" s="31" t="s">
        <v>71</v>
      </c>
    </row>
    <row r="907">
      <c r="A907" s="31" t="s">
        <v>71</v>
      </c>
    </row>
    <row r="908">
      <c r="A908" s="31" t="s">
        <v>71</v>
      </c>
    </row>
    <row r="909">
      <c r="A909" s="31" t="s">
        <v>71</v>
      </c>
    </row>
    <row r="910">
      <c r="A910" s="31" t="s">
        <v>71</v>
      </c>
    </row>
    <row r="911">
      <c r="A911" s="31" t="s">
        <v>71</v>
      </c>
    </row>
    <row r="912">
      <c r="A912" s="31" t="s">
        <v>71</v>
      </c>
    </row>
    <row r="913">
      <c r="A913" s="31" t="s">
        <v>71</v>
      </c>
    </row>
    <row r="914">
      <c r="A914" s="31" t="s">
        <v>71</v>
      </c>
    </row>
    <row r="915">
      <c r="A915" s="31" t="s">
        <v>71</v>
      </c>
    </row>
    <row r="916">
      <c r="A916" s="31" t="s">
        <v>71</v>
      </c>
    </row>
    <row r="917">
      <c r="A917" s="31" t="s">
        <v>71</v>
      </c>
    </row>
    <row r="918">
      <c r="A918" s="31" t="s">
        <v>71</v>
      </c>
    </row>
    <row r="919">
      <c r="A919" s="31" t="s">
        <v>71</v>
      </c>
    </row>
    <row r="920">
      <c r="A920" s="31" t="s">
        <v>71</v>
      </c>
    </row>
    <row r="921">
      <c r="A921" s="31" t="s">
        <v>71</v>
      </c>
    </row>
    <row r="922">
      <c r="A922" s="31" t="s">
        <v>71</v>
      </c>
    </row>
    <row r="923">
      <c r="A923" s="31" t="s">
        <v>71</v>
      </c>
    </row>
    <row r="924">
      <c r="A924" s="31" t="s">
        <v>71</v>
      </c>
    </row>
    <row r="925">
      <c r="A925" s="31" t="s">
        <v>71</v>
      </c>
    </row>
    <row r="926">
      <c r="A926" s="31" t="s">
        <v>71</v>
      </c>
    </row>
    <row r="927">
      <c r="A927" s="31" t="s">
        <v>71</v>
      </c>
    </row>
    <row r="928">
      <c r="A928" s="31" t="s">
        <v>71</v>
      </c>
    </row>
    <row r="929">
      <c r="A929" s="31" t="s">
        <v>71</v>
      </c>
    </row>
    <row r="930">
      <c r="A930" s="31" t="s">
        <v>71</v>
      </c>
    </row>
    <row r="931">
      <c r="A931" s="31" t="s">
        <v>71</v>
      </c>
    </row>
    <row r="932">
      <c r="A932" s="31" t="s">
        <v>71</v>
      </c>
    </row>
    <row r="933">
      <c r="A933" s="31" t="s">
        <v>71</v>
      </c>
    </row>
    <row r="934">
      <c r="A934" s="31" t="s">
        <v>71</v>
      </c>
    </row>
    <row r="935">
      <c r="A935" s="31" t="s">
        <v>71</v>
      </c>
    </row>
    <row r="936">
      <c r="A936" s="31" t="s">
        <v>71</v>
      </c>
    </row>
    <row r="937">
      <c r="A937" s="31" t="s">
        <v>71</v>
      </c>
    </row>
    <row r="938">
      <c r="A938" s="31" t="s">
        <v>71</v>
      </c>
    </row>
    <row r="939">
      <c r="A939" s="31" t="s">
        <v>71</v>
      </c>
    </row>
    <row r="940">
      <c r="A940" s="31" t="s">
        <v>71</v>
      </c>
    </row>
    <row r="941">
      <c r="A941" s="31" t="s">
        <v>71</v>
      </c>
    </row>
    <row r="942">
      <c r="A942" s="31" t="s">
        <v>71</v>
      </c>
    </row>
    <row r="943">
      <c r="A943" s="31" t="s">
        <v>71</v>
      </c>
    </row>
    <row r="944">
      <c r="A944" s="31" t="s">
        <v>71</v>
      </c>
    </row>
    <row r="945">
      <c r="A945" s="31" t="s">
        <v>71</v>
      </c>
    </row>
    <row r="946">
      <c r="A946" s="31" t="s">
        <v>71</v>
      </c>
    </row>
    <row r="947">
      <c r="A947" s="31" t="s">
        <v>71</v>
      </c>
    </row>
    <row r="948">
      <c r="A948" s="31" t="s">
        <v>71</v>
      </c>
    </row>
    <row r="949">
      <c r="A949" s="31" t="s">
        <v>71</v>
      </c>
    </row>
    <row r="950">
      <c r="A950" s="31" t="s">
        <v>71</v>
      </c>
    </row>
    <row r="951">
      <c r="A951" s="31" t="s">
        <v>71</v>
      </c>
    </row>
    <row r="952">
      <c r="A952" s="31" t="s">
        <v>71</v>
      </c>
    </row>
    <row r="953">
      <c r="A953" s="31" t="s">
        <v>71</v>
      </c>
    </row>
    <row r="954">
      <c r="A954" s="31" t="s">
        <v>71</v>
      </c>
    </row>
    <row r="955">
      <c r="A955" s="31" t="s">
        <v>71</v>
      </c>
    </row>
    <row r="956">
      <c r="A956" s="31" t="s">
        <v>71</v>
      </c>
    </row>
    <row r="957">
      <c r="A957" s="31" t="s">
        <v>71</v>
      </c>
    </row>
    <row r="958">
      <c r="A958" s="31" t="s">
        <v>71</v>
      </c>
    </row>
    <row r="959">
      <c r="A959" s="31" t="s">
        <v>71</v>
      </c>
    </row>
    <row r="960">
      <c r="A960" s="31" t="s">
        <v>71</v>
      </c>
    </row>
    <row r="961">
      <c r="A961" s="31" t="s">
        <v>71</v>
      </c>
    </row>
    <row r="962">
      <c r="A962" s="31" t="s">
        <v>71</v>
      </c>
    </row>
    <row r="963">
      <c r="A963" s="31" t="s">
        <v>71</v>
      </c>
    </row>
    <row r="964">
      <c r="A964" s="31" t="s">
        <v>71</v>
      </c>
    </row>
    <row r="965">
      <c r="A965" s="31" t="s">
        <v>71</v>
      </c>
    </row>
    <row r="966">
      <c r="A966" s="31" t="s">
        <v>71</v>
      </c>
    </row>
    <row r="967">
      <c r="A967" s="31" t="s">
        <v>71</v>
      </c>
    </row>
    <row r="968">
      <c r="A968" s="31" t="s">
        <v>71</v>
      </c>
    </row>
    <row r="969">
      <c r="A969" s="31" t="s">
        <v>71</v>
      </c>
    </row>
    <row r="970">
      <c r="A970" s="31" t="s">
        <v>71</v>
      </c>
    </row>
    <row r="971">
      <c r="A971" s="31" t="s">
        <v>71</v>
      </c>
    </row>
    <row r="972">
      <c r="A972" s="31" t="s">
        <v>71</v>
      </c>
    </row>
    <row r="973">
      <c r="A973" s="31" t="s">
        <v>71</v>
      </c>
    </row>
    <row r="974">
      <c r="A974" s="31" t="s">
        <v>71</v>
      </c>
    </row>
    <row r="975">
      <c r="A975" s="31" t="s">
        <v>71</v>
      </c>
    </row>
    <row r="976">
      <c r="A976" s="31" t="s">
        <v>71</v>
      </c>
    </row>
    <row r="977">
      <c r="A977" s="31" t="s">
        <v>71</v>
      </c>
    </row>
    <row r="978">
      <c r="A978" s="31" t="s">
        <v>71</v>
      </c>
    </row>
    <row r="979">
      <c r="A979" s="31" t="s">
        <v>71</v>
      </c>
    </row>
    <row r="980">
      <c r="A980" s="31" t="s">
        <v>71</v>
      </c>
    </row>
    <row r="981">
      <c r="A981" s="31" t="s">
        <v>71</v>
      </c>
    </row>
    <row r="982">
      <c r="A982" s="31" t="s">
        <v>71</v>
      </c>
    </row>
    <row r="983">
      <c r="A983" s="31" t="s">
        <v>71</v>
      </c>
    </row>
    <row r="984">
      <c r="A984" s="31" t="s">
        <v>71</v>
      </c>
    </row>
    <row r="985">
      <c r="A985" s="31" t="s">
        <v>71</v>
      </c>
    </row>
    <row r="986">
      <c r="A986" s="31" t="s">
        <v>71</v>
      </c>
    </row>
    <row r="987">
      <c r="A987" s="31" t="s">
        <v>71</v>
      </c>
    </row>
    <row r="988">
      <c r="A988" s="31" t="s">
        <v>71</v>
      </c>
    </row>
    <row r="989">
      <c r="A989" s="31" t="s">
        <v>71</v>
      </c>
    </row>
    <row r="990">
      <c r="A990" s="31" t="s">
        <v>71</v>
      </c>
    </row>
    <row r="991">
      <c r="A991" s="31" t="s">
        <v>71</v>
      </c>
    </row>
    <row r="992">
      <c r="A992" s="31" t="s">
        <v>71</v>
      </c>
    </row>
    <row r="993">
      <c r="A993" s="31" t="s">
        <v>71</v>
      </c>
    </row>
    <row r="994">
      <c r="A994" s="31" t="s">
        <v>71</v>
      </c>
    </row>
    <row r="995">
      <c r="A995" s="31" t="s">
        <v>71</v>
      </c>
    </row>
    <row r="996">
      <c r="A996" s="31" t="s">
        <v>71</v>
      </c>
    </row>
    <row r="997">
      <c r="A997" s="31" t="s">
        <v>71</v>
      </c>
    </row>
    <row r="998">
      <c r="A998" s="31" t="s">
        <v>71</v>
      </c>
    </row>
    <row r="999">
      <c r="A999" s="31" t="s">
        <v>71</v>
      </c>
    </row>
  </sheetData>
  <mergeCells count="2">
    <mergeCell ref="O7:O9"/>
    <mergeCell ref="P7:P9"/>
  </mergeCells>
  <dataValidations>
    <dataValidation type="list" allowBlank="1" showErrorMessage="1" sqref="J11:J64">
      <formula1>"Fail,Pass"</formula1>
    </dataValidation>
    <dataValidation type="list" allowBlank="1" showErrorMessage="1" sqref="O11:O64">
      <formula1>"Solved,Unsolved"</formula1>
    </dataValidation>
    <dataValidation type="list" allowBlank="1" showErrorMessage="1" sqref="K11:K64">
      <formula1>"Low,Medium,High"</formula1>
    </dataValidation>
  </dataValidations>
  <hyperlinks>
    <hyperlink r:id="rId1" ref="L11"/>
    <hyperlink r:id="rId2" ref="L12"/>
    <hyperlink r:id="rId3" ref="L13"/>
    <hyperlink r:id="rId4" ref="L14"/>
    <hyperlink r:id="rId5" ref="L15"/>
    <hyperlink r:id="rId6" ref="L16"/>
    <hyperlink r:id="rId7" ref="L17"/>
    <hyperlink r:id="rId8" ref="L18"/>
    <hyperlink r:id="rId9" ref="L19"/>
    <hyperlink r:id="rId10" ref="L20"/>
    <hyperlink r:id="rId11" ref="L21"/>
    <hyperlink r:id="rId12" ref="L22"/>
    <hyperlink r:id="rId13" ref="L23"/>
    <hyperlink r:id="rId14" ref="L24"/>
    <hyperlink r:id="rId15" ref="L25"/>
    <hyperlink r:id="rId16" ref="L26"/>
    <hyperlink r:id="rId17" ref="L27"/>
    <hyperlink r:id="rId18" ref="L28"/>
    <hyperlink r:id="rId19" ref="L29"/>
    <hyperlink r:id="rId20" ref="L30"/>
    <hyperlink r:id="rId21" ref="L31"/>
    <hyperlink r:id="rId22" ref="L32"/>
    <hyperlink r:id="rId23" ref="L33"/>
    <hyperlink r:id="rId24" ref="L34"/>
    <hyperlink r:id="rId25" ref="L35"/>
    <hyperlink r:id="rId26" ref="L36"/>
    <hyperlink r:id="rId27" ref="L37"/>
    <hyperlink r:id="rId28" ref="L38"/>
    <hyperlink r:id="rId29" ref="L39"/>
    <hyperlink r:id="rId30" ref="L40"/>
    <hyperlink r:id="rId31" ref="L41"/>
    <hyperlink r:id="rId32" ref="L42"/>
    <hyperlink r:id="rId33" ref="L43"/>
    <hyperlink r:id="rId34" ref="L44"/>
    <hyperlink r:id="rId35" ref="L45"/>
    <hyperlink r:id="rId36" ref="L46"/>
    <hyperlink r:id="rId37" ref="L47"/>
    <hyperlink r:id="rId38" ref="L48"/>
    <hyperlink r:id="rId39" ref="L49"/>
    <hyperlink r:id="rId40" ref="L50"/>
  </hyperlinks>
  <drawing r:id="rId4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6.13"/>
    <col customWidth="1" min="3" max="3" width="14.5"/>
    <col customWidth="1" min="4" max="4" width="16.5"/>
    <col customWidth="1" min="5" max="6" width="16.88"/>
    <col customWidth="1" min="7" max="7" width="18.63"/>
    <col customWidth="1" min="8" max="8" width="17.63"/>
    <col customWidth="1" min="9" max="9" width="16.5"/>
    <col customWidth="1" min="10" max="10" width="11.13"/>
    <col customWidth="1" min="11" max="11" width="14.38"/>
    <col customWidth="1" min="12" max="12" width="14.63"/>
    <col customWidth="1" min="13" max="13" width="13.5"/>
    <col customWidth="1" min="14" max="14" width="14.38"/>
  </cols>
  <sheetData>
    <row r="1">
      <c r="A1" s="32" t="s">
        <v>0</v>
      </c>
      <c r="B1" s="33" t="s">
        <v>1</v>
      </c>
      <c r="C1" s="34"/>
      <c r="D1" s="34"/>
      <c r="E1" s="34"/>
      <c r="F1" s="35" t="s">
        <v>72</v>
      </c>
      <c r="G1" s="36" t="s">
        <v>73</v>
      </c>
      <c r="H1" s="36" t="s">
        <v>74</v>
      </c>
      <c r="I1" s="34"/>
      <c r="J1" s="34"/>
      <c r="K1" s="34"/>
      <c r="L1" s="34"/>
      <c r="M1" s="34"/>
      <c r="N1" s="34"/>
      <c r="O1" s="34"/>
      <c r="P1" s="34"/>
      <c r="Q1" s="34"/>
      <c r="R1" s="34"/>
      <c r="S1" s="34"/>
      <c r="T1" s="34"/>
      <c r="U1" s="34"/>
      <c r="V1" s="34"/>
      <c r="W1" s="34"/>
      <c r="X1" s="34"/>
      <c r="Y1" s="34"/>
      <c r="Z1" s="34"/>
    </row>
    <row r="2">
      <c r="A2" s="32" t="s">
        <v>4</v>
      </c>
      <c r="B2" s="37" t="s">
        <v>75</v>
      </c>
      <c r="C2" s="34"/>
      <c r="D2" s="34"/>
      <c r="E2" s="34"/>
      <c r="F2" s="35" t="s">
        <v>76</v>
      </c>
      <c r="G2" s="36" t="s">
        <v>77</v>
      </c>
      <c r="H2" s="36" t="s">
        <v>78</v>
      </c>
      <c r="I2" s="34"/>
      <c r="J2" s="34"/>
      <c r="K2" s="34"/>
      <c r="L2" s="34"/>
      <c r="M2" s="34"/>
      <c r="N2" s="34"/>
      <c r="O2" s="34"/>
      <c r="P2" s="34"/>
      <c r="Q2" s="34"/>
      <c r="R2" s="34"/>
      <c r="S2" s="34"/>
      <c r="T2" s="34"/>
      <c r="U2" s="34"/>
      <c r="V2" s="34"/>
      <c r="W2" s="34"/>
      <c r="X2" s="34"/>
      <c r="Y2" s="34"/>
      <c r="Z2" s="34"/>
    </row>
    <row r="3">
      <c r="A3" s="32" t="s">
        <v>8</v>
      </c>
      <c r="B3" s="36" t="s">
        <v>79</v>
      </c>
      <c r="C3" s="34"/>
      <c r="D3" s="34"/>
      <c r="E3" s="34"/>
      <c r="F3" s="34"/>
      <c r="G3" s="34"/>
      <c r="H3" s="34"/>
      <c r="I3" s="34"/>
      <c r="J3" s="34"/>
      <c r="K3" s="34"/>
      <c r="L3" s="34"/>
      <c r="M3" s="34"/>
      <c r="N3" s="34"/>
      <c r="O3" s="34"/>
      <c r="P3" s="34"/>
      <c r="Q3" s="34"/>
      <c r="R3" s="34"/>
      <c r="S3" s="34"/>
      <c r="T3" s="34"/>
      <c r="U3" s="34"/>
      <c r="V3" s="34"/>
      <c r="W3" s="34"/>
      <c r="X3" s="34"/>
      <c r="Y3" s="34"/>
      <c r="Z3" s="34"/>
    </row>
    <row r="4">
      <c r="A4" s="32" t="s">
        <v>10</v>
      </c>
      <c r="B4" s="38" t="s">
        <v>80</v>
      </c>
      <c r="C4" s="34"/>
      <c r="D4" s="34"/>
      <c r="E4" s="34"/>
      <c r="F4" s="34"/>
      <c r="G4" s="34"/>
      <c r="H4" s="34"/>
      <c r="I4" s="34"/>
      <c r="J4" s="34"/>
      <c r="K4" s="34"/>
      <c r="L4" s="34"/>
      <c r="M4" s="34"/>
      <c r="N4" s="34"/>
      <c r="O4" s="34"/>
      <c r="P4" s="34"/>
      <c r="Q4" s="34"/>
      <c r="R4" s="34"/>
      <c r="S4" s="34"/>
      <c r="T4" s="34"/>
      <c r="U4" s="34"/>
      <c r="V4" s="34"/>
      <c r="W4" s="34"/>
      <c r="X4" s="34"/>
      <c r="Y4" s="34"/>
      <c r="Z4" s="34"/>
    </row>
    <row r="5">
      <c r="A5" s="39" t="s">
        <v>81</v>
      </c>
      <c r="B5" s="38" t="s">
        <v>82</v>
      </c>
      <c r="C5" s="34"/>
      <c r="D5" s="34"/>
      <c r="E5" s="34"/>
      <c r="F5" s="34"/>
      <c r="G5" s="34"/>
      <c r="H5" s="34"/>
      <c r="I5" s="34"/>
      <c r="J5" s="34"/>
      <c r="K5" s="34"/>
      <c r="L5" s="34"/>
      <c r="M5" s="34"/>
      <c r="N5" s="34"/>
      <c r="O5" s="34"/>
      <c r="P5" s="34"/>
      <c r="Q5" s="34"/>
      <c r="R5" s="34"/>
      <c r="S5" s="34"/>
      <c r="T5" s="34"/>
      <c r="U5" s="34"/>
      <c r="V5" s="34"/>
      <c r="W5" s="34"/>
      <c r="X5" s="34"/>
      <c r="Y5" s="34"/>
      <c r="Z5" s="34"/>
    </row>
    <row r="6">
      <c r="A6" s="34"/>
      <c r="B6" s="34"/>
      <c r="C6" s="34"/>
      <c r="D6" s="34"/>
      <c r="E6" s="34"/>
      <c r="F6" s="34"/>
      <c r="G6" s="34"/>
      <c r="H6" s="34"/>
      <c r="I6" s="34"/>
      <c r="J6" s="34"/>
      <c r="K6" s="34"/>
      <c r="L6" s="34"/>
      <c r="M6" s="34"/>
      <c r="N6" s="34"/>
      <c r="O6" s="34"/>
      <c r="P6" s="34"/>
      <c r="Q6" s="34"/>
      <c r="R6" s="34"/>
      <c r="S6" s="34"/>
      <c r="T6" s="34"/>
      <c r="U6" s="34"/>
      <c r="V6" s="34"/>
      <c r="W6" s="34"/>
      <c r="X6" s="34"/>
      <c r="Y6" s="34"/>
      <c r="Z6" s="34"/>
    </row>
    <row r="7">
      <c r="A7" s="40" t="s">
        <v>83</v>
      </c>
      <c r="B7" s="40" t="s">
        <v>17</v>
      </c>
      <c r="C7" s="40" t="s">
        <v>18</v>
      </c>
      <c r="D7" s="40" t="s">
        <v>19</v>
      </c>
      <c r="E7" s="40" t="s">
        <v>20</v>
      </c>
      <c r="F7" s="40" t="s">
        <v>21</v>
      </c>
      <c r="G7" s="40" t="s">
        <v>22</v>
      </c>
      <c r="H7" s="40" t="s">
        <v>23</v>
      </c>
      <c r="I7" s="40" t="s">
        <v>24</v>
      </c>
      <c r="J7" s="40" t="s">
        <v>25</v>
      </c>
      <c r="K7" s="40" t="s">
        <v>2</v>
      </c>
      <c r="L7" s="40" t="s">
        <v>26</v>
      </c>
      <c r="M7" s="40" t="s">
        <v>27</v>
      </c>
      <c r="N7" s="40" t="s">
        <v>29</v>
      </c>
      <c r="O7" s="41"/>
      <c r="P7" s="41"/>
      <c r="Q7" s="41"/>
      <c r="R7" s="41"/>
      <c r="S7" s="41"/>
      <c r="T7" s="41"/>
      <c r="U7" s="41"/>
      <c r="V7" s="41"/>
      <c r="W7" s="41"/>
      <c r="X7" s="41"/>
      <c r="Y7" s="41"/>
      <c r="Z7" s="41"/>
    </row>
    <row r="8">
      <c r="A8" s="42" t="s">
        <v>84</v>
      </c>
      <c r="B8" s="43" t="s">
        <v>85</v>
      </c>
      <c r="C8" s="43" t="s">
        <v>85</v>
      </c>
      <c r="D8" s="42" t="s">
        <v>86</v>
      </c>
      <c r="E8" s="42" t="s">
        <v>87</v>
      </c>
      <c r="F8" s="44" t="s">
        <v>88</v>
      </c>
      <c r="G8" s="42" t="s">
        <v>89</v>
      </c>
      <c r="H8" s="42" t="s">
        <v>90</v>
      </c>
      <c r="I8" s="42" t="s">
        <v>91</v>
      </c>
      <c r="J8" s="42" t="s">
        <v>92</v>
      </c>
      <c r="K8" s="42" t="s">
        <v>5</v>
      </c>
      <c r="L8" s="45" t="s">
        <v>93</v>
      </c>
      <c r="M8" s="42"/>
      <c r="N8" s="42"/>
      <c r="O8" s="46"/>
      <c r="P8" s="46"/>
      <c r="Q8" s="46"/>
      <c r="R8" s="46"/>
      <c r="S8" s="46"/>
      <c r="T8" s="46"/>
      <c r="U8" s="46"/>
      <c r="V8" s="46"/>
      <c r="W8" s="46"/>
      <c r="X8" s="46"/>
      <c r="Y8" s="46"/>
      <c r="Z8" s="46"/>
    </row>
    <row r="9">
      <c r="A9" s="46"/>
      <c r="B9" s="46"/>
      <c r="C9" s="46"/>
      <c r="D9" s="46"/>
      <c r="E9" s="46"/>
      <c r="F9" s="47"/>
      <c r="G9" s="46"/>
      <c r="H9" s="46"/>
      <c r="I9" s="46"/>
      <c r="J9" s="48"/>
      <c r="K9" s="46"/>
      <c r="L9" s="46"/>
      <c r="M9" s="46"/>
      <c r="N9" s="46"/>
      <c r="O9" s="46"/>
      <c r="P9" s="46"/>
      <c r="Q9" s="46"/>
      <c r="R9" s="46"/>
      <c r="S9" s="46"/>
      <c r="T9" s="46"/>
      <c r="U9" s="46"/>
      <c r="V9" s="46"/>
      <c r="W9" s="46"/>
      <c r="X9" s="46"/>
      <c r="Y9" s="46"/>
      <c r="Z9" s="46"/>
    </row>
    <row r="10">
      <c r="A10" s="43" t="s">
        <v>94</v>
      </c>
      <c r="B10" s="43" t="s">
        <v>85</v>
      </c>
      <c r="C10" s="43" t="s">
        <v>85</v>
      </c>
      <c r="D10" s="43" t="s">
        <v>86</v>
      </c>
      <c r="E10" s="43" t="s">
        <v>87</v>
      </c>
      <c r="F10" s="49" t="s">
        <v>88</v>
      </c>
      <c r="G10" s="43" t="s">
        <v>89</v>
      </c>
      <c r="H10" s="43" t="s">
        <v>90</v>
      </c>
      <c r="I10" s="43" t="s">
        <v>91</v>
      </c>
      <c r="J10" s="43" t="s">
        <v>92</v>
      </c>
      <c r="K10" s="43" t="s">
        <v>5</v>
      </c>
      <c r="L10" s="50" t="s">
        <v>95</v>
      </c>
      <c r="M10" s="43"/>
      <c r="N10" s="43"/>
      <c r="O10" s="46"/>
      <c r="P10" s="46"/>
      <c r="Q10" s="46"/>
      <c r="R10" s="46"/>
      <c r="S10" s="46"/>
      <c r="T10" s="46"/>
      <c r="U10" s="46"/>
      <c r="V10" s="46"/>
      <c r="W10" s="46"/>
      <c r="X10" s="46"/>
      <c r="Y10" s="46"/>
      <c r="Z10" s="46"/>
    </row>
    <row r="11">
      <c r="A11" s="46"/>
      <c r="B11" s="46"/>
      <c r="C11" s="46"/>
      <c r="D11" s="46"/>
      <c r="E11" s="46"/>
      <c r="F11" s="47"/>
      <c r="G11" s="46"/>
      <c r="H11" s="46"/>
      <c r="I11" s="46"/>
      <c r="J11" s="46"/>
      <c r="K11" s="46"/>
      <c r="L11" s="46"/>
      <c r="M11" s="46"/>
      <c r="N11" s="46"/>
      <c r="O11" s="46"/>
      <c r="P11" s="46"/>
      <c r="Q11" s="46"/>
      <c r="R11" s="46"/>
      <c r="S11" s="46"/>
      <c r="T11" s="46"/>
      <c r="U11" s="46"/>
      <c r="V11" s="46"/>
      <c r="W11" s="46"/>
      <c r="X11" s="46"/>
      <c r="Y11" s="46"/>
      <c r="Z11" s="46"/>
    </row>
    <row r="12">
      <c r="A12" s="43" t="s">
        <v>96</v>
      </c>
      <c r="B12" s="43" t="s">
        <v>97</v>
      </c>
      <c r="C12" s="43" t="s">
        <v>97</v>
      </c>
      <c r="D12" s="43" t="s">
        <v>98</v>
      </c>
      <c r="E12" s="43" t="s">
        <v>87</v>
      </c>
      <c r="F12" s="49" t="s">
        <v>88</v>
      </c>
      <c r="G12" s="43" t="s">
        <v>99</v>
      </c>
      <c r="H12" s="43" t="s">
        <v>100</v>
      </c>
      <c r="I12" s="43" t="s">
        <v>101</v>
      </c>
      <c r="J12" s="43" t="s">
        <v>92</v>
      </c>
      <c r="K12" s="43" t="s">
        <v>5</v>
      </c>
      <c r="L12" s="51" t="s">
        <v>102</v>
      </c>
      <c r="M12" s="52"/>
      <c r="N12" s="43"/>
      <c r="O12" s="46"/>
      <c r="P12" s="46"/>
      <c r="Q12" s="46"/>
      <c r="R12" s="46"/>
      <c r="S12" s="46"/>
      <c r="T12" s="46"/>
      <c r="U12" s="46"/>
      <c r="V12" s="46"/>
      <c r="W12" s="46"/>
      <c r="X12" s="46"/>
      <c r="Y12" s="46"/>
      <c r="Z12" s="46"/>
    </row>
    <row r="13">
      <c r="A13" s="46"/>
      <c r="B13" s="46"/>
      <c r="C13" s="46"/>
      <c r="D13" s="46"/>
      <c r="E13" s="46"/>
      <c r="F13" s="47"/>
      <c r="G13" s="46"/>
      <c r="H13" s="46"/>
      <c r="I13" s="46"/>
      <c r="J13" s="46"/>
      <c r="K13" s="46"/>
      <c r="L13" s="46"/>
      <c r="M13" s="46"/>
      <c r="N13" s="46"/>
      <c r="O13" s="46"/>
      <c r="P13" s="46"/>
      <c r="Q13" s="46"/>
      <c r="R13" s="46"/>
      <c r="S13" s="46"/>
      <c r="T13" s="46"/>
      <c r="U13" s="46"/>
      <c r="V13" s="46"/>
      <c r="W13" s="46"/>
      <c r="X13" s="46"/>
      <c r="Y13" s="46"/>
      <c r="Z13" s="46"/>
    </row>
    <row r="14">
      <c r="A14" s="43" t="s">
        <v>103</v>
      </c>
      <c r="B14" s="43" t="s">
        <v>85</v>
      </c>
      <c r="C14" s="43" t="s">
        <v>85</v>
      </c>
      <c r="D14" s="43" t="s">
        <v>104</v>
      </c>
      <c r="E14" s="43" t="s">
        <v>87</v>
      </c>
      <c r="F14" s="49" t="s">
        <v>88</v>
      </c>
      <c r="G14" s="43" t="s">
        <v>99</v>
      </c>
      <c r="H14" s="43" t="s">
        <v>105</v>
      </c>
      <c r="I14" s="43" t="s">
        <v>106</v>
      </c>
      <c r="J14" s="43" t="s">
        <v>92</v>
      </c>
      <c r="K14" s="43" t="s">
        <v>7</v>
      </c>
      <c r="L14" s="50" t="s">
        <v>107</v>
      </c>
      <c r="M14" s="53"/>
      <c r="N14" s="43"/>
      <c r="O14" s="46"/>
      <c r="P14" s="46"/>
      <c r="Q14" s="46"/>
      <c r="R14" s="46"/>
      <c r="S14" s="46"/>
      <c r="T14" s="46"/>
      <c r="U14" s="46"/>
      <c r="V14" s="46"/>
      <c r="W14" s="46"/>
      <c r="X14" s="46"/>
      <c r="Y14" s="46"/>
      <c r="Z14" s="46"/>
    </row>
    <row r="15">
      <c r="A15" s="46"/>
      <c r="B15" s="46"/>
      <c r="C15" s="46"/>
      <c r="D15" s="46"/>
      <c r="E15" s="46"/>
      <c r="F15" s="47"/>
      <c r="G15" s="46"/>
      <c r="H15" s="46"/>
      <c r="I15" s="46"/>
      <c r="J15" s="46"/>
      <c r="K15" s="46"/>
      <c r="L15" s="46"/>
      <c r="M15" s="46"/>
      <c r="N15" s="46"/>
      <c r="O15" s="46"/>
      <c r="P15" s="46"/>
      <c r="Q15" s="46"/>
      <c r="R15" s="46"/>
      <c r="S15" s="46"/>
      <c r="T15" s="46"/>
      <c r="U15" s="46"/>
      <c r="V15" s="46"/>
      <c r="W15" s="46"/>
      <c r="X15" s="46"/>
      <c r="Y15" s="46"/>
      <c r="Z15" s="46"/>
    </row>
    <row r="16">
      <c r="A16" s="43" t="s">
        <v>108</v>
      </c>
      <c r="B16" s="43" t="s">
        <v>109</v>
      </c>
      <c r="C16" s="43" t="s">
        <v>109</v>
      </c>
      <c r="D16" s="43" t="s">
        <v>110</v>
      </c>
      <c r="E16" s="43" t="s">
        <v>87</v>
      </c>
      <c r="F16" s="49" t="s">
        <v>111</v>
      </c>
      <c r="G16" s="43" t="s">
        <v>99</v>
      </c>
      <c r="H16" s="43" t="s">
        <v>112</v>
      </c>
      <c r="I16" s="43" t="s">
        <v>113</v>
      </c>
      <c r="J16" s="43" t="s">
        <v>92</v>
      </c>
      <c r="K16" s="43" t="s">
        <v>7</v>
      </c>
      <c r="L16" s="50" t="s">
        <v>114</v>
      </c>
      <c r="M16" s="52"/>
      <c r="N16" s="43"/>
      <c r="O16" s="46"/>
      <c r="P16" s="46"/>
      <c r="Q16" s="46"/>
      <c r="R16" s="46"/>
      <c r="S16" s="46"/>
      <c r="T16" s="46"/>
      <c r="U16" s="46"/>
      <c r="V16" s="46"/>
      <c r="W16" s="46"/>
      <c r="X16" s="46"/>
      <c r="Y16" s="46"/>
      <c r="Z16" s="46"/>
    </row>
    <row r="17">
      <c r="A17" s="46"/>
      <c r="B17" s="46"/>
      <c r="C17" s="46"/>
      <c r="D17" s="46"/>
      <c r="E17" s="46"/>
      <c r="F17" s="47"/>
      <c r="G17" s="46"/>
      <c r="H17" s="46"/>
      <c r="I17" s="46"/>
      <c r="J17" s="46"/>
      <c r="K17" s="46"/>
      <c r="L17" s="46"/>
      <c r="M17" s="46"/>
      <c r="N17" s="46"/>
      <c r="O17" s="46"/>
      <c r="P17" s="46"/>
      <c r="Q17" s="46"/>
      <c r="R17" s="46"/>
      <c r="S17" s="46"/>
      <c r="T17" s="46"/>
      <c r="U17" s="46"/>
      <c r="V17" s="46"/>
      <c r="W17" s="46"/>
      <c r="X17" s="46"/>
      <c r="Y17" s="46"/>
      <c r="Z17" s="46"/>
    </row>
    <row r="18">
      <c r="A18" s="43" t="s">
        <v>115</v>
      </c>
      <c r="B18" s="43" t="s">
        <v>97</v>
      </c>
      <c r="C18" s="43" t="s">
        <v>97</v>
      </c>
      <c r="D18" s="43" t="s">
        <v>116</v>
      </c>
      <c r="E18" s="43" t="s">
        <v>87</v>
      </c>
      <c r="F18" s="49" t="s">
        <v>117</v>
      </c>
      <c r="G18" s="43" t="s">
        <v>99</v>
      </c>
      <c r="H18" s="43" t="s">
        <v>118</v>
      </c>
      <c r="I18" s="43" t="s">
        <v>119</v>
      </c>
      <c r="J18" s="43" t="s">
        <v>92</v>
      </c>
      <c r="K18" s="43" t="s">
        <v>7</v>
      </c>
      <c r="L18" s="50" t="s">
        <v>120</v>
      </c>
      <c r="M18" s="52"/>
      <c r="N18" s="43"/>
      <c r="O18" s="46"/>
      <c r="P18" s="46"/>
      <c r="Q18" s="46"/>
      <c r="R18" s="46"/>
      <c r="S18" s="46"/>
      <c r="T18" s="46"/>
      <c r="U18" s="46"/>
      <c r="V18" s="46"/>
      <c r="W18" s="46"/>
      <c r="X18" s="46"/>
      <c r="Y18" s="46"/>
      <c r="Z18" s="46"/>
    </row>
    <row r="19">
      <c r="A19" s="46"/>
      <c r="B19" s="46"/>
      <c r="C19" s="46"/>
      <c r="D19" s="46"/>
      <c r="E19" s="46"/>
      <c r="F19" s="47"/>
      <c r="G19" s="46"/>
      <c r="H19" s="46"/>
      <c r="I19" s="46"/>
      <c r="J19" s="46"/>
      <c r="K19" s="46"/>
      <c r="L19" s="46"/>
      <c r="M19" s="46"/>
      <c r="N19" s="46"/>
      <c r="O19" s="46"/>
      <c r="P19" s="46"/>
      <c r="Q19" s="46"/>
      <c r="R19" s="46"/>
      <c r="S19" s="46"/>
      <c r="T19" s="46"/>
      <c r="U19" s="46"/>
      <c r="V19" s="46"/>
      <c r="W19" s="46"/>
      <c r="X19" s="46"/>
      <c r="Y19" s="46"/>
      <c r="Z19" s="46"/>
    </row>
    <row r="20">
      <c r="A20" s="43" t="s">
        <v>121</v>
      </c>
      <c r="B20" s="43" t="s">
        <v>97</v>
      </c>
      <c r="C20" s="43" t="s">
        <v>97</v>
      </c>
      <c r="D20" s="43" t="s">
        <v>122</v>
      </c>
      <c r="E20" s="43" t="s">
        <v>87</v>
      </c>
      <c r="F20" s="49" t="s">
        <v>117</v>
      </c>
      <c r="G20" s="43" t="s">
        <v>99</v>
      </c>
      <c r="H20" s="43" t="s">
        <v>123</v>
      </c>
      <c r="I20" s="43" t="s">
        <v>124</v>
      </c>
      <c r="J20" s="43" t="s">
        <v>92</v>
      </c>
      <c r="K20" s="43" t="s">
        <v>7</v>
      </c>
      <c r="L20" s="50" t="s">
        <v>125</v>
      </c>
      <c r="M20" s="52"/>
      <c r="N20" s="43"/>
      <c r="O20" s="46"/>
      <c r="P20" s="46"/>
      <c r="Q20" s="46"/>
      <c r="R20" s="46"/>
      <c r="S20" s="46"/>
      <c r="T20" s="46"/>
      <c r="U20" s="46"/>
      <c r="V20" s="46"/>
      <c r="W20" s="46"/>
      <c r="X20" s="46"/>
      <c r="Y20" s="46"/>
      <c r="Z20" s="46"/>
    </row>
    <row r="21">
      <c r="A21" s="46"/>
      <c r="B21" s="46"/>
      <c r="C21" s="46"/>
      <c r="D21" s="46"/>
      <c r="E21" s="46"/>
      <c r="F21" s="47"/>
      <c r="G21" s="46"/>
      <c r="H21" s="46"/>
      <c r="I21" s="46"/>
      <c r="J21" s="46"/>
      <c r="K21" s="46"/>
      <c r="L21" s="46"/>
      <c r="M21" s="46"/>
      <c r="N21" s="46"/>
      <c r="O21" s="46"/>
      <c r="P21" s="46"/>
      <c r="Q21" s="46"/>
      <c r="R21" s="46"/>
      <c r="S21" s="46"/>
      <c r="T21" s="46"/>
      <c r="U21" s="46"/>
      <c r="V21" s="46"/>
      <c r="W21" s="46"/>
      <c r="X21" s="46"/>
      <c r="Y21" s="46"/>
      <c r="Z21" s="46"/>
    </row>
    <row r="22">
      <c r="A22" s="43" t="s">
        <v>126</v>
      </c>
      <c r="B22" s="43" t="s">
        <v>97</v>
      </c>
      <c r="C22" s="43" t="s">
        <v>97</v>
      </c>
      <c r="D22" s="43" t="s">
        <v>127</v>
      </c>
      <c r="E22" s="43" t="s">
        <v>87</v>
      </c>
      <c r="F22" s="49" t="s">
        <v>117</v>
      </c>
      <c r="G22" s="43" t="s">
        <v>99</v>
      </c>
      <c r="H22" s="43" t="s">
        <v>128</v>
      </c>
      <c r="I22" s="43" t="s">
        <v>129</v>
      </c>
      <c r="J22" s="43" t="s">
        <v>92</v>
      </c>
      <c r="K22" s="43" t="s">
        <v>5</v>
      </c>
      <c r="L22" s="50" t="s">
        <v>130</v>
      </c>
      <c r="M22" s="52"/>
      <c r="N22" s="43"/>
      <c r="O22" s="46"/>
      <c r="P22" s="46"/>
      <c r="Q22" s="46"/>
      <c r="R22" s="46"/>
      <c r="S22" s="46"/>
      <c r="T22" s="46"/>
      <c r="U22" s="46"/>
      <c r="V22" s="46"/>
      <c r="W22" s="46"/>
      <c r="X22" s="46"/>
      <c r="Y22" s="46"/>
      <c r="Z22" s="46"/>
    </row>
    <row r="23">
      <c r="A23" s="46"/>
      <c r="B23" s="46"/>
      <c r="C23" s="46"/>
      <c r="D23" s="46"/>
      <c r="E23" s="46"/>
      <c r="F23" s="47"/>
      <c r="G23" s="46"/>
      <c r="H23" s="46"/>
      <c r="I23" s="46"/>
      <c r="J23" s="46"/>
      <c r="K23" s="46"/>
      <c r="L23" s="46"/>
      <c r="M23" s="46"/>
      <c r="N23" s="46"/>
      <c r="O23" s="46"/>
      <c r="P23" s="46"/>
      <c r="Q23" s="46"/>
      <c r="R23" s="46"/>
      <c r="S23" s="46"/>
      <c r="T23" s="46"/>
      <c r="U23" s="46"/>
      <c r="V23" s="46"/>
      <c r="W23" s="46"/>
      <c r="X23" s="46"/>
      <c r="Y23" s="46"/>
      <c r="Z23" s="46"/>
    </row>
    <row r="24">
      <c r="A24" s="43" t="s">
        <v>131</v>
      </c>
      <c r="B24" s="43" t="s">
        <v>132</v>
      </c>
      <c r="C24" s="43" t="s">
        <v>132</v>
      </c>
      <c r="D24" s="43" t="s">
        <v>133</v>
      </c>
      <c r="E24" s="43" t="s">
        <v>87</v>
      </c>
      <c r="F24" s="49" t="s">
        <v>134</v>
      </c>
      <c r="G24" s="43" t="s">
        <v>135</v>
      </c>
      <c r="H24" s="43" t="s">
        <v>136</v>
      </c>
      <c r="I24" s="43" t="s">
        <v>137</v>
      </c>
      <c r="J24" s="43" t="s">
        <v>92</v>
      </c>
      <c r="K24" s="43" t="s">
        <v>7</v>
      </c>
      <c r="L24" s="50" t="s">
        <v>138</v>
      </c>
      <c r="M24" s="52"/>
      <c r="N24" s="52"/>
      <c r="O24" s="46"/>
      <c r="P24" s="46"/>
      <c r="Q24" s="46"/>
      <c r="R24" s="46"/>
      <c r="S24" s="46"/>
      <c r="T24" s="46"/>
      <c r="U24" s="46"/>
      <c r="V24" s="46"/>
      <c r="W24" s="46"/>
      <c r="X24" s="46"/>
      <c r="Y24" s="46"/>
      <c r="Z24" s="46"/>
    </row>
    <row r="25">
      <c r="A25" s="46"/>
      <c r="B25" s="46"/>
      <c r="C25" s="46"/>
      <c r="D25" s="46"/>
      <c r="E25" s="46"/>
      <c r="F25" s="47"/>
      <c r="G25" s="46"/>
      <c r="H25" s="46"/>
      <c r="I25" s="46"/>
      <c r="J25" s="46"/>
      <c r="K25" s="46"/>
      <c r="L25" s="46"/>
      <c r="M25" s="46"/>
      <c r="N25" s="46"/>
      <c r="O25" s="46"/>
      <c r="P25" s="46"/>
      <c r="Q25" s="46"/>
      <c r="R25" s="46"/>
      <c r="S25" s="46"/>
      <c r="T25" s="46"/>
      <c r="U25" s="46"/>
      <c r="V25" s="46"/>
      <c r="W25" s="46"/>
      <c r="X25" s="46"/>
      <c r="Y25" s="46"/>
      <c r="Z25" s="46"/>
    </row>
    <row r="26">
      <c r="A26" s="43" t="s">
        <v>139</v>
      </c>
      <c r="B26" s="43" t="s">
        <v>132</v>
      </c>
      <c r="C26" s="43" t="s">
        <v>132</v>
      </c>
      <c r="D26" s="43" t="s">
        <v>140</v>
      </c>
      <c r="E26" s="43" t="s">
        <v>87</v>
      </c>
      <c r="F26" s="49" t="s">
        <v>134</v>
      </c>
      <c r="G26" s="43" t="s">
        <v>135</v>
      </c>
      <c r="H26" s="43" t="s">
        <v>136</v>
      </c>
      <c r="I26" s="43" t="s">
        <v>137</v>
      </c>
      <c r="J26" s="43" t="s">
        <v>92</v>
      </c>
      <c r="K26" s="43" t="s">
        <v>7</v>
      </c>
      <c r="L26" s="51" t="s">
        <v>141</v>
      </c>
      <c r="M26" s="52"/>
      <c r="N26" s="52"/>
      <c r="O26" s="46"/>
      <c r="P26" s="46"/>
      <c r="Q26" s="46"/>
      <c r="R26" s="46"/>
      <c r="S26" s="46"/>
      <c r="T26" s="46"/>
      <c r="U26" s="46"/>
      <c r="V26" s="46"/>
      <c r="W26" s="46"/>
      <c r="X26" s="46"/>
      <c r="Y26" s="46"/>
      <c r="Z26" s="46"/>
    </row>
    <row r="27">
      <c r="A27" s="46"/>
      <c r="B27" s="46"/>
      <c r="C27" s="46"/>
      <c r="D27" s="46"/>
      <c r="E27" s="46"/>
      <c r="F27" s="47"/>
      <c r="G27" s="46"/>
      <c r="H27" s="46"/>
      <c r="I27" s="46"/>
      <c r="J27" s="46"/>
      <c r="K27" s="46"/>
      <c r="L27" s="46"/>
      <c r="M27" s="46"/>
      <c r="N27" s="46"/>
      <c r="O27" s="46"/>
      <c r="P27" s="46"/>
      <c r="Q27" s="46"/>
      <c r="R27" s="46"/>
      <c r="S27" s="46"/>
      <c r="T27" s="46"/>
      <c r="U27" s="46"/>
      <c r="V27" s="46"/>
      <c r="W27" s="46"/>
      <c r="X27" s="46"/>
      <c r="Y27" s="46"/>
      <c r="Z27" s="46"/>
    </row>
    <row r="28">
      <c r="A28" s="43" t="s">
        <v>142</v>
      </c>
      <c r="B28" s="43" t="s">
        <v>132</v>
      </c>
      <c r="C28" s="43" t="s">
        <v>132</v>
      </c>
      <c r="D28" s="43" t="s">
        <v>143</v>
      </c>
      <c r="E28" s="43" t="s">
        <v>87</v>
      </c>
      <c r="F28" s="49" t="s">
        <v>134</v>
      </c>
      <c r="G28" s="43" t="s">
        <v>135</v>
      </c>
      <c r="H28" s="43" t="s">
        <v>144</v>
      </c>
      <c r="I28" s="43" t="s">
        <v>145</v>
      </c>
      <c r="J28" s="43" t="s">
        <v>92</v>
      </c>
      <c r="K28" s="43" t="s">
        <v>7</v>
      </c>
      <c r="L28" s="50" t="s">
        <v>146</v>
      </c>
      <c r="M28" s="52"/>
      <c r="N28" s="52"/>
      <c r="O28" s="46"/>
      <c r="P28" s="46"/>
      <c r="Q28" s="46"/>
      <c r="R28" s="46"/>
      <c r="S28" s="46"/>
      <c r="T28" s="46"/>
      <c r="U28" s="46"/>
      <c r="V28" s="46"/>
      <c r="W28" s="46"/>
      <c r="X28" s="46"/>
      <c r="Y28" s="46"/>
      <c r="Z28" s="46"/>
    </row>
    <row r="29">
      <c r="A29" s="46"/>
      <c r="B29" s="46"/>
      <c r="C29" s="46"/>
      <c r="D29" s="46"/>
      <c r="E29" s="46"/>
      <c r="F29" s="47"/>
      <c r="G29" s="46"/>
      <c r="H29" s="46"/>
      <c r="I29" s="46"/>
      <c r="J29" s="46"/>
      <c r="K29" s="46"/>
      <c r="L29" s="46"/>
      <c r="M29" s="46"/>
      <c r="N29" s="46"/>
      <c r="O29" s="46"/>
      <c r="P29" s="46"/>
      <c r="Q29" s="46"/>
      <c r="R29" s="46"/>
      <c r="S29" s="46"/>
      <c r="T29" s="46"/>
      <c r="U29" s="46"/>
      <c r="V29" s="46"/>
      <c r="W29" s="46"/>
      <c r="X29" s="46"/>
      <c r="Y29" s="46"/>
      <c r="Z29" s="46"/>
    </row>
    <row r="30">
      <c r="A30" s="43" t="s">
        <v>147</v>
      </c>
      <c r="B30" s="43" t="s">
        <v>132</v>
      </c>
      <c r="C30" s="43" t="s">
        <v>132</v>
      </c>
      <c r="D30" s="43" t="s">
        <v>148</v>
      </c>
      <c r="E30" s="43" t="s">
        <v>87</v>
      </c>
      <c r="F30" s="49" t="s">
        <v>134</v>
      </c>
      <c r="G30" s="43" t="s">
        <v>135</v>
      </c>
      <c r="H30" s="43" t="s">
        <v>149</v>
      </c>
      <c r="I30" s="43" t="s">
        <v>150</v>
      </c>
      <c r="J30" s="43" t="s">
        <v>92</v>
      </c>
      <c r="K30" s="43" t="s">
        <v>5</v>
      </c>
      <c r="L30" s="50" t="s">
        <v>151</v>
      </c>
      <c r="M30" s="52"/>
      <c r="N30" s="52"/>
      <c r="O30" s="46"/>
      <c r="P30" s="46"/>
      <c r="Q30" s="46"/>
      <c r="R30" s="46"/>
      <c r="S30" s="46"/>
      <c r="T30" s="46"/>
      <c r="U30" s="46"/>
      <c r="V30" s="46"/>
      <c r="W30" s="46"/>
      <c r="X30" s="46"/>
      <c r="Y30" s="46"/>
      <c r="Z30" s="46"/>
    </row>
    <row r="31">
      <c r="A31" s="46"/>
      <c r="B31" s="46"/>
      <c r="C31" s="46"/>
      <c r="D31" s="46"/>
      <c r="E31" s="46"/>
      <c r="F31" s="47"/>
      <c r="G31" s="46"/>
      <c r="H31" s="46"/>
      <c r="I31" s="46"/>
      <c r="J31" s="46"/>
      <c r="K31" s="46"/>
      <c r="L31" s="46"/>
      <c r="M31" s="46"/>
      <c r="N31" s="46"/>
      <c r="O31" s="46"/>
      <c r="P31" s="46"/>
      <c r="Q31" s="46"/>
      <c r="R31" s="46"/>
      <c r="S31" s="46"/>
      <c r="T31" s="46"/>
      <c r="U31" s="46"/>
      <c r="V31" s="46"/>
      <c r="W31" s="46"/>
      <c r="X31" s="46"/>
      <c r="Y31" s="46"/>
      <c r="Z31" s="46"/>
    </row>
    <row r="32">
      <c r="A32" s="43" t="s">
        <v>152</v>
      </c>
      <c r="B32" s="43" t="s">
        <v>85</v>
      </c>
      <c r="C32" s="43" t="s">
        <v>85</v>
      </c>
      <c r="D32" s="43" t="s">
        <v>153</v>
      </c>
      <c r="E32" s="43" t="s">
        <v>87</v>
      </c>
      <c r="F32" s="49" t="s">
        <v>154</v>
      </c>
      <c r="G32" s="43" t="s">
        <v>99</v>
      </c>
      <c r="H32" s="43" t="s">
        <v>155</v>
      </c>
      <c r="I32" s="43" t="s">
        <v>156</v>
      </c>
      <c r="J32" s="43" t="s">
        <v>92</v>
      </c>
      <c r="K32" s="43" t="s">
        <v>7</v>
      </c>
      <c r="L32" s="50" t="s">
        <v>157</v>
      </c>
      <c r="M32" s="52"/>
      <c r="N32" s="52"/>
      <c r="O32" s="46"/>
      <c r="P32" s="46"/>
      <c r="Q32" s="46"/>
      <c r="R32" s="46"/>
      <c r="S32" s="46"/>
      <c r="T32" s="46"/>
      <c r="U32" s="46"/>
      <c r="V32" s="46"/>
      <c r="W32" s="46"/>
      <c r="X32" s="46"/>
      <c r="Y32" s="46"/>
      <c r="Z32" s="46"/>
    </row>
    <row r="33">
      <c r="A33" s="46"/>
      <c r="B33" s="46"/>
      <c r="C33" s="46"/>
      <c r="D33" s="46"/>
      <c r="E33" s="46"/>
      <c r="F33" s="47"/>
      <c r="G33" s="46"/>
      <c r="H33" s="46"/>
      <c r="I33" s="46"/>
      <c r="J33" s="46"/>
      <c r="K33" s="46"/>
      <c r="L33" s="46"/>
      <c r="M33" s="46"/>
      <c r="N33" s="46"/>
      <c r="O33" s="46"/>
      <c r="P33" s="46"/>
      <c r="Q33" s="46"/>
      <c r="R33" s="46"/>
      <c r="S33" s="46"/>
      <c r="T33" s="46"/>
      <c r="U33" s="46"/>
      <c r="V33" s="46"/>
      <c r="W33" s="46"/>
      <c r="X33" s="46"/>
      <c r="Y33" s="46"/>
      <c r="Z33" s="46"/>
    </row>
    <row r="34">
      <c r="A34" s="43" t="s">
        <v>158</v>
      </c>
      <c r="B34" s="43" t="s">
        <v>132</v>
      </c>
      <c r="C34" s="43" t="s">
        <v>132</v>
      </c>
      <c r="D34" s="43" t="s">
        <v>159</v>
      </c>
      <c r="E34" s="43" t="s">
        <v>87</v>
      </c>
      <c r="F34" s="49" t="s">
        <v>134</v>
      </c>
      <c r="G34" s="43" t="s">
        <v>135</v>
      </c>
      <c r="H34" s="43" t="s">
        <v>160</v>
      </c>
      <c r="I34" s="43" t="s">
        <v>161</v>
      </c>
      <c r="J34" s="43" t="s">
        <v>92</v>
      </c>
      <c r="K34" s="43" t="s">
        <v>5</v>
      </c>
      <c r="L34" s="50" t="s">
        <v>162</v>
      </c>
      <c r="M34" s="52"/>
      <c r="N34" s="52"/>
      <c r="O34" s="46"/>
      <c r="P34" s="46"/>
      <c r="Q34" s="46"/>
      <c r="R34" s="46"/>
      <c r="S34" s="46"/>
      <c r="T34" s="46"/>
      <c r="U34" s="46"/>
      <c r="V34" s="46"/>
      <c r="W34" s="46"/>
      <c r="X34" s="46"/>
      <c r="Y34" s="46"/>
      <c r="Z34" s="46"/>
    </row>
    <row r="35">
      <c r="A35" s="46"/>
      <c r="B35" s="46"/>
      <c r="C35" s="46"/>
      <c r="D35" s="46"/>
      <c r="E35" s="46"/>
      <c r="F35" s="47"/>
      <c r="G35" s="46"/>
      <c r="H35" s="46"/>
      <c r="I35" s="46"/>
      <c r="J35" s="46"/>
      <c r="K35" s="46"/>
      <c r="L35" s="46"/>
      <c r="M35" s="46"/>
      <c r="N35" s="46"/>
      <c r="O35" s="46"/>
      <c r="P35" s="46"/>
      <c r="Q35" s="46"/>
      <c r="R35" s="46"/>
      <c r="S35" s="46"/>
      <c r="T35" s="46"/>
      <c r="U35" s="46"/>
      <c r="V35" s="46"/>
      <c r="W35" s="46"/>
      <c r="X35" s="46"/>
      <c r="Y35" s="46"/>
      <c r="Z35" s="46"/>
    </row>
    <row r="36">
      <c r="A36" s="43" t="s">
        <v>163</v>
      </c>
      <c r="B36" s="43" t="s">
        <v>164</v>
      </c>
      <c r="C36" s="43" t="s">
        <v>165</v>
      </c>
      <c r="D36" s="43" t="s">
        <v>166</v>
      </c>
      <c r="E36" s="43" t="s">
        <v>87</v>
      </c>
      <c r="F36" s="49" t="s">
        <v>154</v>
      </c>
      <c r="G36" s="43" t="s">
        <v>99</v>
      </c>
      <c r="H36" s="43" t="s">
        <v>167</v>
      </c>
      <c r="I36" s="43" t="s">
        <v>168</v>
      </c>
      <c r="J36" s="43" t="s">
        <v>92</v>
      </c>
      <c r="K36" s="43" t="s">
        <v>5</v>
      </c>
      <c r="L36" s="50" t="s">
        <v>169</v>
      </c>
      <c r="M36" s="52"/>
      <c r="N36" s="52"/>
      <c r="O36" s="46"/>
      <c r="P36" s="46"/>
      <c r="Q36" s="46"/>
      <c r="R36" s="46"/>
      <c r="S36" s="46"/>
      <c r="T36" s="46"/>
      <c r="U36" s="46"/>
      <c r="V36" s="46"/>
      <c r="W36" s="46"/>
      <c r="X36" s="46"/>
      <c r="Y36" s="46"/>
      <c r="Z36" s="46"/>
    </row>
    <row r="37">
      <c r="A37" s="46"/>
      <c r="B37" s="46"/>
      <c r="C37" s="46"/>
      <c r="D37" s="46"/>
      <c r="E37" s="46"/>
      <c r="F37" s="47"/>
      <c r="G37" s="46"/>
      <c r="H37" s="46"/>
      <c r="I37" s="46"/>
      <c r="J37" s="46"/>
      <c r="K37" s="46"/>
      <c r="L37" s="46"/>
      <c r="M37" s="46"/>
      <c r="N37" s="46"/>
      <c r="O37" s="46"/>
      <c r="P37" s="46"/>
      <c r="Q37" s="46"/>
      <c r="R37" s="46"/>
      <c r="S37" s="46"/>
      <c r="T37" s="46"/>
      <c r="U37" s="46"/>
      <c r="V37" s="46"/>
      <c r="W37" s="46"/>
      <c r="X37" s="46"/>
      <c r="Y37" s="46"/>
      <c r="Z37" s="46"/>
    </row>
    <row r="38">
      <c r="A38" s="43" t="s">
        <v>170</v>
      </c>
      <c r="B38" s="43" t="s">
        <v>164</v>
      </c>
      <c r="C38" s="43" t="s">
        <v>165</v>
      </c>
      <c r="D38" s="43" t="s">
        <v>171</v>
      </c>
      <c r="E38" s="43" t="s">
        <v>87</v>
      </c>
      <c r="F38" s="49" t="s">
        <v>154</v>
      </c>
      <c r="G38" s="43" t="s">
        <v>99</v>
      </c>
      <c r="H38" s="43" t="s">
        <v>167</v>
      </c>
      <c r="I38" s="43" t="s">
        <v>168</v>
      </c>
      <c r="J38" s="43" t="s">
        <v>92</v>
      </c>
      <c r="K38" s="43" t="s">
        <v>7</v>
      </c>
      <c r="L38" s="50" t="s">
        <v>172</v>
      </c>
      <c r="M38" s="52"/>
      <c r="N38" s="52"/>
      <c r="O38" s="46"/>
      <c r="P38" s="46"/>
      <c r="Q38" s="46"/>
      <c r="R38" s="46"/>
      <c r="S38" s="46"/>
      <c r="T38" s="46"/>
      <c r="U38" s="46"/>
      <c r="V38" s="46"/>
      <c r="W38" s="46"/>
      <c r="X38" s="46"/>
      <c r="Y38" s="46"/>
      <c r="Z38" s="46"/>
    </row>
    <row r="39">
      <c r="A39" s="46"/>
      <c r="B39" s="46"/>
      <c r="C39" s="46"/>
      <c r="D39" s="46"/>
      <c r="E39" s="46"/>
      <c r="F39" s="47"/>
      <c r="G39" s="46"/>
      <c r="H39" s="46"/>
      <c r="I39" s="46"/>
      <c r="J39" s="46"/>
      <c r="K39" s="46"/>
      <c r="L39" s="46"/>
      <c r="M39" s="46"/>
      <c r="N39" s="46"/>
      <c r="O39" s="46"/>
      <c r="P39" s="46"/>
      <c r="Q39" s="46"/>
      <c r="R39" s="46"/>
      <c r="S39" s="46"/>
      <c r="T39" s="46"/>
      <c r="U39" s="46"/>
      <c r="V39" s="46"/>
      <c r="W39" s="46"/>
      <c r="X39" s="46"/>
      <c r="Y39" s="46"/>
      <c r="Z39" s="46"/>
    </row>
    <row r="40">
      <c r="A40" s="43" t="s">
        <v>173</v>
      </c>
      <c r="B40" s="43" t="s">
        <v>164</v>
      </c>
      <c r="C40" s="43" t="s">
        <v>165</v>
      </c>
      <c r="D40" s="43" t="s">
        <v>174</v>
      </c>
      <c r="E40" s="43" t="s">
        <v>87</v>
      </c>
      <c r="F40" s="49" t="s">
        <v>154</v>
      </c>
      <c r="G40" s="43" t="s">
        <v>99</v>
      </c>
      <c r="H40" s="43" t="s">
        <v>167</v>
      </c>
      <c r="I40" s="43" t="s">
        <v>168</v>
      </c>
      <c r="J40" s="43" t="s">
        <v>92</v>
      </c>
      <c r="K40" s="43" t="s">
        <v>7</v>
      </c>
      <c r="L40" s="50" t="s">
        <v>175</v>
      </c>
      <c r="M40" s="52"/>
      <c r="N40" s="52"/>
      <c r="O40" s="46"/>
      <c r="P40" s="46"/>
      <c r="Q40" s="46"/>
      <c r="R40" s="46"/>
      <c r="S40" s="46"/>
      <c r="T40" s="46"/>
      <c r="U40" s="46"/>
      <c r="V40" s="46"/>
      <c r="W40" s="46"/>
      <c r="X40" s="46"/>
      <c r="Y40" s="46"/>
      <c r="Z40" s="46"/>
    </row>
    <row r="41">
      <c r="A41" s="46"/>
      <c r="B41" s="46"/>
      <c r="C41" s="46"/>
      <c r="D41" s="46"/>
      <c r="E41" s="46"/>
      <c r="F41" s="47"/>
      <c r="G41" s="46"/>
      <c r="H41" s="46"/>
      <c r="I41" s="46"/>
      <c r="J41" s="46"/>
      <c r="K41" s="46"/>
      <c r="L41" s="46"/>
      <c r="M41" s="46"/>
      <c r="N41" s="46"/>
      <c r="O41" s="46"/>
      <c r="P41" s="46"/>
      <c r="Q41" s="46"/>
      <c r="R41" s="46"/>
      <c r="S41" s="46"/>
      <c r="T41" s="46"/>
      <c r="U41" s="46"/>
      <c r="V41" s="46"/>
      <c r="W41" s="46"/>
      <c r="X41" s="46"/>
      <c r="Y41" s="46"/>
      <c r="Z41" s="46"/>
    </row>
    <row r="42">
      <c r="A42" s="43" t="s">
        <v>176</v>
      </c>
      <c r="B42" s="43" t="s">
        <v>164</v>
      </c>
      <c r="C42" s="43" t="s">
        <v>165</v>
      </c>
      <c r="D42" s="43" t="s">
        <v>177</v>
      </c>
      <c r="E42" s="43" t="s">
        <v>87</v>
      </c>
      <c r="F42" s="49" t="s">
        <v>154</v>
      </c>
      <c r="G42" s="43" t="s">
        <v>99</v>
      </c>
      <c r="H42" s="43" t="s">
        <v>167</v>
      </c>
      <c r="I42" s="43" t="s">
        <v>168</v>
      </c>
      <c r="J42" s="43" t="s">
        <v>92</v>
      </c>
      <c r="K42" s="43" t="s">
        <v>7</v>
      </c>
      <c r="L42" s="50" t="s">
        <v>178</v>
      </c>
      <c r="M42" s="52"/>
      <c r="N42" s="52"/>
      <c r="O42" s="46"/>
      <c r="P42" s="46"/>
      <c r="Q42" s="46"/>
      <c r="R42" s="46"/>
      <c r="S42" s="46"/>
      <c r="T42" s="46"/>
      <c r="U42" s="46"/>
      <c r="V42" s="46"/>
      <c r="W42" s="46"/>
      <c r="X42" s="46"/>
      <c r="Y42" s="46"/>
      <c r="Z42" s="46"/>
    </row>
    <row r="43">
      <c r="A43" s="46"/>
      <c r="B43" s="46"/>
      <c r="C43" s="46"/>
      <c r="D43" s="46"/>
      <c r="E43" s="46"/>
      <c r="F43" s="47"/>
      <c r="G43" s="46"/>
      <c r="H43" s="46"/>
      <c r="I43" s="46"/>
      <c r="J43" s="46"/>
      <c r="K43" s="46"/>
      <c r="L43" s="46"/>
      <c r="M43" s="46"/>
      <c r="N43" s="46"/>
      <c r="O43" s="46"/>
      <c r="P43" s="46"/>
      <c r="Q43" s="46"/>
      <c r="R43" s="46"/>
      <c r="S43" s="46"/>
      <c r="T43" s="46"/>
      <c r="U43" s="46"/>
      <c r="V43" s="46"/>
      <c r="W43" s="46"/>
      <c r="X43" s="46"/>
      <c r="Y43" s="46"/>
      <c r="Z43" s="46"/>
    </row>
    <row r="44">
      <c r="A44" s="43" t="s">
        <v>179</v>
      </c>
      <c r="B44" s="43" t="s">
        <v>165</v>
      </c>
      <c r="C44" s="43" t="s">
        <v>180</v>
      </c>
      <c r="D44" s="43" t="s">
        <v>181</v>
      </c>
      <c r="E44" s="43" t="s">
        <v>87</v>
      </c>
      <c r="F44" s="49" t="s">
        <v>154</v>
      </c>
      <c r="G44" s="43" t="s">
        <v>99</v>
      </c>
      <c r="H44" s="43" t="s">
        <v>182</v>
      </c>
      <c r="I44" s="43" t="s">
        <v>183</v>
      </c>
      <c r="J44" s="43" t="s">
        <v>92</v>
      </c>
      <c r="K44" s="43" t="s">
        <v>5</v>
      </c>
      <c r="L44" s="50" t="s">
        <v>184</v>
      </c>
      <c r="M44" s="52"/>
      <c r="N44" s="52"/>
      <c r="O44" s="46"/>
      <c r="P44" s="46"/>
      <c r="Q44" s="46"/>
      <c r="R44" s="46"/>
      <c r="S44" s="46"/>
      <c r="T44" s="46"/>
      <c r="U44" s="46"/>
      <c r="V44" s="46"/>
      <c r="W44" s="46"/>
      <c r="X44" s="46"/>
      <c r="Y44" s="46"/>
      <c r="Z44" s="46"/>
    </row>
    <row r="45">
      <c r="A45" s="46"/>
      <c r="B45" s="46"/>
      <c r="C45" s="46"/>
      <c r="D45" s="46"/>
      <c r="E45" s="46"/>
      <c r="F45" s="47"/>
      <c r="G45" s="46"/>
      <c r="H45" s="46"/>
      <c r="I45" s="46"/>
      <c r="J45" s="46"/>
      <c r="K45" s="46"/>
      <c r="L45" s="46"/>
      <c r="M45" s="46"/>
      <c r="N45" s="46"/>
      <c r="O45" s="46"/>
      <c r="P45" s="46"/>
      <c r="Q45" s="46"/>
      <c r="R45" s="46"/>
      <c r="S45" s="46"/>
      <c r="T45" s="46"/>
      <c r="U45" s="46"/>
      <c r="V45" s="46"/>
      <c r="W45" s="46"/>
      <c r="X45" s="46"/>
      <c r="Y45" s="46"/>
      <c r="Z45" s="46"/>
    </row>
    <row r="46">
      <c r="A46" s="43" t="s">
        <v>185</v>
      </c>
      <c r="B46" s="43" t="s">
        <v>165</v>
      </c>
      <c r="C46" s="43" t="s">
        <v>180</v>
      </c>
      <c r="D46" s="43" t="s">
        <v>186</v>
      </c>
      <c r="E46" s="43" t="s">
        <v>87</v>
      </c>
      <c r="F46" s="49" t="s">
        <v>154</v>
      </c>
      <c r="G46" s="43" t="s">
        <v>99</v>
      </c>
      <c r="H46" s="43" t="s">
        <v>182</v>
      </c>
      <c r="I46" s="43" t="s">
        <v>183</v>
      </c>
      <c r="J46" s="43" t="s">
        <v>92</v>
      </c>
      <c r="K46" s="43" t="s">
        <v>5</v>
      </c>
      <c r="L46" s="50" t="s">
        <v>187</v>
      </c>
      <c r="M46" s="52"/>
      <c r="N46" s="52"/>
      <c r="O46" s="46"/>
      <c r="P46" s="46"/>
      <c r="Q46" s="46"/>
      <c r="R46" s="46"/>
      <c r="S46" s="46"/>
      <c r="T46" s="46"/>
      <c r="U46" s="46"/>
      <c r="V46" s="46"/>
      <c r="W46" s="46"/>
      <c r="X46" s="46"/>
      <c r="Y46" s="46"/>
      <c r="Z46" s="46"/>
    </row>
    <row r="47">
      <c r="A47" s="46"/>
      <c r="B47" s="46"/>
      <c r="C47" s="46"/>
      <c r="D47" s="46"/>
      <c r="E47" s="46"/>
      <c r="F47" s="47"/>
      <c r="G47" s="46"/>
      <c r="H47" s="46"/>
      <c r="I47" s="46"/>
      <c r="J47" s="46"/>
      <c r="K47" s="46"/>
      <c r="L47" s="46"/>
      <c r="M47" s="46"/>
      <c r="N47" s="46"/>
      <c r="O47" s="46"/>
      <c r="P47" s="46"/>
      <c r="Q47" s="46"/>
      <c r="R47" s="46"/>
      <c r="S47" s="46"/>
      <c r="T47" s="46"/>
      <c r="U47" s="46"/>
      <c r="V47" s="46"/>
      <c r="W47" s="46"/>
      <c r="X47" s="46"/>
      <c r="Y47" s="46"/>
      <c r="Z47" s="46"/>
    </row>
    <row r="48">
      <c r="A48" s="43" t="s">
        <v>188</v>
      </c>
      <c r="B48" s="43" t="s">
        <v>165</v>
      </c>
      <c r="C48" s="43" t="s">
        <v>180</v>
      </c>
      <c r="D48" s="43" t="s">
        <v>189</v>
      </c>
      <c r="E48" s="43" t="s">
        <v>87</v>
      </c>
      <c r="F48" s="49" t="s">
        <v>154</v>
      </c>
      <c r="G48" s="43" t="s">
        <v>99</v>
      </c>
      <c r="H48" s="43" t="s">
        <v>167</v>
      </c>
      <c r="I48" s="43" t="s">
        <v>168</v>
      </c>
      <c r="J48" s="43" t="s">
        <v>92</v>
      </c>
      <c r="K48" s="43" t="s">
        <v>7</v>
      </c>
      <c r="L48" s="50" t="s">
        <v>190</v>
      </c>
      <c r="M48" s="43"/>
      <c r="N48" s="52"/>
      <c r="O48" s="46"/>
      <c r="P48" s="46"/>
      <c r="Q48" s="46"/>
      <c r="R48" s="46"/>
      <c r="S48" s="46"/>
      <c r="T48" s="46"/>
      <c r="U48" s="46"/>
      <c r="V48" s="46"/>
      <c r="W48" s="46"/>
      <c r="X48" s="46"/>
      <c r="Y48" s="46"/>
      <c r="Z48" s="46"/>
    </row>
    <row r="49">
      <c r="A49" s="46"/>
      <c r="B49" s="46"/>
      <c r="C49" s="46"/>
      <c r="D49" s="46"/>
      <c r="E49" s="46"/>
      <c r="F49" s="47"/>
      <c r="G49" s="46"/>
      <c r="H49" s="46"/>
      <c r="I49" s="46"/>
      <c r="J49" s="46"/>
      <c r="K49" s="46"/>
      <c r="L49" s="46"/>
      <c r="M49" s="46"/>
      <c r="N49" s="46"/>
      <c r="O49" s="46"/>
      <c r="P49" s="46"/>
      <c r="Q49" s="46"/>
      <c r="R49" s="46"/>
      <c r="S49" s="46"/>
      <c r="T49" s="46"/>
      <c r="U49" s="46"/>
      <c r="V49" s="46"/>
      <c r="W49" s="46"/>
      <c r="X49" s="46"/>
      <c r="Y49" s="46"/>
      <c r="Z49" s="46"/>
    </row>
    <row r="50">
      <c r="A50" s="43" t="s">
        <v>191</v>
      </c>
      <c r="B50" s="43" t="s">
        <v>165</v>
      </c>
      <c r="C50" s="43" t="s">
        <v>180</v>
      </c>
      <c r="D50" s="43" t="s">
        <v>192</v>
      </c>
      <c r="E50" s="43" t="s">
        <v>87</v>
      </c>
      <c r="F50" s="49" t="s">
        <v>154</v>
      </c>
      <c r="G50" s="43" t="s">
        <v>99</v>
      </c>
      <c r="H50" s="43" t="s">
        <v>182</v>
      </c>
      <c r="I50" s="43" t="s">
        <v>183</v>
      </c>
      <c r="J50" s="43" t="s">
        <v>92</v>
      </c>
      <c r="K50" s="43" t="s">
        <v>5</v>
      </c>
      <c r="L50" s="50" t="s">
        <v>193</v>
      </c>
      <c r="M50" s="52"/>
      <c r="N50" s="52"/>
      <c r="O50" s="46"/>
      <c r="P50" s="46"/>
      <c r="Q50" s="46"/>
      <c r="R50" s="46"/>
      <c r="S50" s="46"/>
      <c r="T50" s="46"/>
      <c r="U50" s="46"/>
      <c r="V50" s="46"/>
      <c r="W50" s="46"/>
      <c r="X50" s="46"/>
      <c r="Y50" s="46"/>
      <c r="Z50" s="46"/>
    </row>
    <row r="51">
      <c r="A51" s="46"/>
      <c r="B51" s="46"/>
      <c r="C51" s="46"/>
      <c r="D51" s="46"/>
      <c r="E51" s="46"/>
      <c r="F51" s="47"/>
      <c r="G51" s="46"/>
      <c r="H51" s="46"/>
      <c r="I51" s="46"/>
      <c r="J51" s="46"/>
      <c r="K51" s="46"/>
      <c r="L51" s="46"/>
      <c r="M51" s="46"/>
      <c r="N51" s="46"/>
      <c r="O51" s="46"/>
      <c r="P51" s="46"/>
      <c r="Q51" s="46"/>
      <c r="R51" s="46"/>
      <c r="S51" s="46"/>
      <c r="T51" s="46"/>
      <c r="U51" s="46"/>
      <c r="V51" s="46"/>
      <c r="W51" s="46"/>
      <c r="X51" s="46"/>
      <c r="Y51" s="46"/>
      <c r="Z51" s="46"/>
    </row>
    <row r="52">
      <c r="A52" s="43" t="s">
        <v>194</v>
      </c>
      <c r="B52" s="43" t="s">
        <v>165</v>
      </c>
      <c r="C52" s="43" t="s">
        <v>180</v>
      </c>
      <c r="D52" s="43" t="s">
        <v>195</v>
      </c>
      <c r="E52" s="43" t="s">
        <v>87</v>
      </c>
      <c r="F52" s="49" t="s">
        <v>154</v>
      </c>
      <c r="G52" s="43" t="s">
        <v>99</v>
      </c>
      <c r="H52" s="43" t="s">
        <v>182</v>
      </c>
      <c r="I52" s="43" t="s">
        <v>183</v>
      </c>
      <c r="J52" s="43" t="s">
        <v>92</v>
      </c>
      <c r="K52" s="43" t="s">
        <v>5</v>
      </c>
      <c r="L52" s="51" t="s">
        <v>196</v>
      </c>
      <c r="M52" s="52"/>
      <c r="N52" s="52"/>
      <c r="O52" s="46"/>
      <c r="P52" s="46"/>
      <c r="Q52" s="46"/>
      <c r="R52" s="46"/>
      <c r="S52" s="46"/>
      <c r="T52" s="46"/>
      <c r="U52" s="46"/>
      <c r="V52" s="46"/>
      <c r="W52" s="46"/>
      <c r="X52" s="46"/>
      <c r="Y52" s="46"/>
      <c r="Z52" s="46"/>
    </row>
    <row r="53">
      <c r="A53" s="46"/>
      <c r="B53" s="46"/>
      <c r="C53" s="46"/>
      <c r="D53" s="46"/>
      <c r="E53" s="46"/>
      <c r="F53" s="47"/>
      <c r="G53" s="46"/>
      <c r="H53" s="46"/>
      <c r="I53" s="46"/>
      <c r="J53" s="46"/>
      <c r="K53" s="46"/>
      <c r="L53" s="46"/>
      <c r="M53" s="46"/>
      <c r="N53" s="46"/>
      <c r="O53" s="46"/>
      <c r="P53" s="46"/>
      <c r="Q53" s="46"/>
      <c r="R53" s="46"/>
      <c r="S53" s="46"/>
      <c r="T53" s="46"/>
      <c r="U53" s="46"/>
      <c r="V53" s="46"/>
      <c r="W53" s="46"/>
      <c r="X53" s="46"/>
      <c r="Y53" s="46"/>
      <c r="Z53" s="46"/>
    </row>
    <row r="54">
      <c r="A54" s="43" t="s">
        <v>197</v>
      </c>
      <c r="B54" s="43" t="s">
        <v>165</v>
      </c>
      <c r="C54" s="43" t="s">
        <v>180</v>
      </c>
      <c r="D54" s="43" t="s">
        <v>198</v>
      </c>
      <c r="E54" s="43" t="s">
        <v>87</v>
      </c>
      <c r="F54" s="49" t="s">
        <v>154</v>
      </c>
      <c r="G54" s="43" t="s">
        <v>99</v>
      </c>
      <c r="H54" s="43" t="s">
        <v>182</v>
      </c>
      <c r="I54" s="43" t="s">
        <v>183</v>
      </c>
      <c r="J54" s="43" t="s">
        <v>92</v>
      </c>
      <c r="K54" s="43" t="s">
        <v>7</v>
      </c>
      <c r="L54" s="50" t="s">
        <v>199</v>
      </c>
      <c r="M54" s="52"/>
      <c r="N54" s="52"/>
      <c r="O54" s="46"/>
      <c r="P54" s="46"/>
      <c r="Q54" s="46"/>
      <c r="R54" s="46"/>
      <c r="S54" s="46"/>
      <c r="T54" s="46"/>
      <c r="U54" s="46"/>
      <c r="V54" s="46"/>
      <c r="W54" s="46"/>
      <c r="X54" s="46"/>
      <c r="Y54" s="46"/>
      <c r="Z54" s="46"/>
    </row>
    <row r="55">
      <c r="A55" s="46"/>
      <c r="B55" s="46"/>
      <c r="C55" s="46"/>
      <c r="D55" s="46"/>
      <c r="E55" s="46"/>
      <c r="F55" s="47"/>
      <c r="G55" s="46"/>
      <c r="H55" s="46"/>
      <c r="I55" s="46"/>
      <c r="J55" s="46"/>
      <c r="K55" s="46"/>
      <c r="L55" s="46"/>
      <c r="M55" s="46"/>
      <c r="N55" s="46"/>
      <c r="O55" s="46"/>
      <c r="P55" s="46"/>
      <c r="Q55" s="46"/>
      <c r="R55" s="46"/>
      <c r="S55" s="46"/>
      <c r="T55" s="46"/>
      <c r="U55" s="46"/>
      <c r="V55" s="46"/>
      <c r="W55" s="46"/>
      <c r="X55" s="46"/>
      <c r="Y55" s="46"/>
      <c r="Z55" s="46"/>
    </row>
    <row r="56">
      <c r="A56" s="43" t="s">
        <v>200</v>
      </c>
      <c r="B56" s="43" t="s">
        <v>165</v>
      </c>
      <c r="C56" s="43" t="s">
        <v>180</v>
      </c>
      <c r="D56" s="43" t="s">
        <v>201</v>
      </c>
      <c r="E56" s="43" t="s">
        <v>87</v>
      </c>
      <c r="F56" s="49" t="s">
        <v>154</v>
      </c>
      <c r="G56" s="43" t="s">
        <v>99</v>
      </c>
      <c r="H56" s="43" t="s">
        <v>202</v>
      </c>
      <c r="I56" s="43" t="s">
        <v>203</v>
      </c>
      <c r="J56" s="43" t="s">
        <v>92</v>
      </c>
      <c r="K56" s="43" t="s">
        <v>5</v>
      </c>
      <c r="L56" s="50" t="s">
        <v>204</v>
      </c>
      <c r="M56" s="52"/>
      <c r="N56" s="52"/>
      <c r="O56" s="46"/>
      <c r="P56" s="46"/>
      <c r="Q56" s="46"/>
      <c r="R56" s="46"/>
      <c r="S56" s="46"/>
      <c r="T56" s="46"/>
      <c r="U56" s="46"/>
      <c r="V56" s="46"/>
      <c r="W56" s="46"/>
      <c r="X56" s="46"/>
      <c r="Y56" s="46"/>
      <c r="Z56" s="46"/>
    </row>
    <row r="57">
      <c r="A57" s="46"/>
      <c r="B57" s="46"/>
      <c r="C57" s="46"/>
      <c r="D57" s="46"/>
      <c r="E57" s="46"/>
      <c r="F57" s="47"/>
      <c r="G57" s="46"/>
      <c r="H57" s="46"/>
      <c r="I57" s="46"/>
      <c r="J57" s="46"/>
      <c r="K57" s="46"/>
      <c r="L57" s="46"/>
      <c r="M57" s="46"/>
      <c r="N57" s="46"/>
      <c r="O57" s="46"/>
      <c r="P57" s="46"/>
      <c r="Q57" s="46"/>
      <c r="R57" s="46"/>
      <c r="S57" s="46"/>
      <c r="T57" s="46"/>
      <c r="U57" s="46"/>
      <c r="V57" s="46"/>
      <c r="W57" s="46"/>
      <c r="X57" s="46"/>
      <c r="Y57" s="46"/>
      <c r="Z57" s="46"/>
    </row>
    <row r="58">
      <c r="A58" s="43" t="s">
        <v>205</v>
      </c>
      <c r="B58" s="43" t="s">
        <v>165</v>
      </c>
      <c r="C58" s="43" t="s">
        <v>180</v>
      </c>
      <c r="D58" s="43" t="s">
        <v>206</v>
      </c>
      <c r="E58" s="43" t="s">
        <v>87</v>
      </c>
      <c r="F58" s="49" t="s">
        <v>154</v>
      </c>
      <c r="G58" s="43" t="s">
        <v>99</v>
      </c>
      <c r="H58" s="43" t="s">
        <v>182</v>
      </c>
      <c r="I58" s="43" t="s">
        <v>183</v>
      </c>
      <c r="J58" s="43" t="s">
        <v>92</v>
      </c>
      <c r="K58" s="43" t="s">
        <v>5</v>
      </c>
      <c r="L58" s="50" t="s">
        <v>207</v>
      </c>
      <c r="M58" s="52"/>
      <c r="N58" s="52"/>
      <c r="O58" s="46"/>
      <c r="P58" s="46"/>
      <c r="Q58" s="46"/>
      <c r="R58" s="46"/>
      <c r="S58" s="46"/>
      <c r="T58" s="46"/>
      <c r="U58" s="46"/>
      <c r="V58" s="46"/>
      <c r="W58" s="46"/>
      <c r="X58" s="46"/>
      <c r="Y58" s="46"/>
      <c r="Z58" s="46"/>
    </row>
    <row r="59">
      <c r="A59" s="46"/>
      <c r="B59" s="46"/>
      <c r="C59" s="46"/>
      <c r="D59" s="46"/>
      <c r="E59" s="46"/>
      <c r="F59" s="47"/>
      <c r="G59" s="46"/>
      <c r="H59" s="46"/>
      <c r="I59" s="46"/>
      <c r="J59" s="46"/>
      <c r="K59" s="46"/>
      <c r="L59" s="46"/>
      <c r="M59" s="46"/>
      <c r="N59" s="46"/>
      <c r="O59" s="46"/>
      <c r="P59" s="46"/>
      <c r="Q59" s="46"/>
      <c r="R59" s="46"/>
      <c r="S59" s="46"/>
      <c r="T59" s="46"/>
      <c r="U59" s="46"/>
      <c r="V59" s="46"/>
      <c r="W59" s="46"/>
      <c r="X59" s="46"/>
      <c r="Y59" s="46"/>
      <c r="Z59" s="46"/>
    </row>
    <row r="60">
      <c r="A60" s="43" t="s">
        <v>208</v>
      </c>
      <c r="B60" s="43" t="s">
        <v>132</v>
      </c>
      <c r="C60" s="43" t="s">
        <v>132</v>
      </c>
      <c r="D60" s="43" t="s">
        <v>209</v>
      </c>
      <c r="E60" s="43" t="s">
        <v>87</v>
      </c>
      <c r="F60" s="49" t="s">
        <v>134</v>
      </c>
      <c r="G60" s="43" t="s">
        <v>135</v>
      </c>
      <c r="H60" s="43" t="s">
        <v>210</v>
      </c>
      <c r="I60" s="43" t="s">
        <v>211</v>
      </c>
      <c r="J60" s="43" t="s">
        <v>92</v>
      </c>
      <c r="K60" s="43" t="s">
        <v>5</v>
      </c>
      <c r="L60" s="50" t="s">
        <v>212</v>
      </c>
      <c r="M60" s="52"/>
      <c r="N60" s="52"/>
      <c r="O60" s="46"/>
      <c r="P60" s="46"/>
      <c r="Q60" s="46"/>
      <c r="R60" s="46"/>
      <c r="S60" s="46"/>
      <c r="T60" s="46"/>
      <c r="U60" s="46"/>
      <c r="V60" s="46"/>
      <c r="W60" s="46"/>
      <c r="X60" s="46"/>
      <c r="Y60" s="46"/>
      <c r="Z60" s="46"/>
    </row>
    <row r="61">
      <c r="A61" s="46"/>
      <c r="B61" s="46"/>
      <c r="C61" s="46"/>
      <c r="D61" s="46"/>
      <c r="E61" s="46"/>
      <c r="F61" s="47"/>
      <c r="G61" s="46"/>
      <c r="H61" s="46"/>
      <c r="I61" s="46"/>
      <c r="J61" s="46"/>
      <c r="K61" s="46"/>
      <c r="L61" s="46"/>
      <c r="M61" s="46"/>
      <c r="N61" s="46"/>
      <c r="O61" s="46"/>
      <c r="P61" s="46"/>
      <c r="Q61" s="46"/>
      <c r="R61" s="46"/>
      <c r="S61" s="46"/>
      <c r="T61" s="46"/>
      <c r="U61" s="46"/>
      <c r="V61" s="46"/>
      <c r="W61" s="46"/>
      <c r="X61" s="46"/>
      <c r="Y61" s="46"/>
      <c r="Z61" s="46"/>
    </row>
    <row r="62">
      <c r="A62" s="43" t="s">
        <v>213</v>
      </c>
      <c r="B62" s="43" t="s">
        <v>164</v>
      </c>
      <c r="C62" s="43" t="s">
        <v>165</v>
      </c>
      <c r="D62" s="43" t="s">
        <v>214</v>
      </c>
      <c r="E62" s="43" t="s">
        <v>87</v>
      </c>
      <c r="F62" s="54" t="s">
        <v>154</v>
      </c>
      <c r="G62" s="43" t="s">
        <v>99</v>
      </c>
      <c r="H62" s="43" t="s">
        <v>215</v>
      </c>
      <c r="I62" s="43" t="s">
        <v>216</v>
      </c>
      <c r="J62" s="43" t="s">
        <v>92</v>
      </c>
      <c r="K62" s="43" t="s">
        <v>7</v>
      </c>
      <c r="L62" s="50" t="s">
        <v>217</v>
      </c>
      <c r="M62" s="52"/>
      <c r="N62" s="52"/>
      <c r="O62" s="46"/>
      <c r="P62" s="46"/>
      <c r="Q62" s="46"/>
      <c r="R62" s="46"/>
      <c r="S62" s="46"/>
      <c r="T62" s="46"/>
      <c r="U62" s="46"/>
      <c r="V62" s="46"/>
      <c r="W62" s="46"/>
      <c r="X62" s="46"/>
      <c r="Y62" s="46"/>
      <c r="Z62" s="46"/>
    </row>
    <row r="63">
      <c r="A63" s="46"/>
      <c r="B63" s="46"/>
      <c r="C63" s="46"/>
      <c r="D63" s="46"/>
      <c r="E63" s="46"/>
      <c r="F63" s="47"/>
      <c r="G63" s="46"/>
      <c r="H63" s="46"/>
      <c r="I63" s="46"/>
      <c r="J63" s="46"/>
      <c r="K63" s="46"/>
      <c r="L63" s="46"/>
      <c r="M63" s="46"/>
      <c r="N63" s="46"/>
      <c r="O63" s="46"/>
      <c r="P63" s="46"/>
      <c r="Q63" s="46"/>
      <c r="R63" s="46"/>
      <c r="S63" s="46"/>
      <c r="T63" s="46"/>
      <c r="U63" s="46"/>
      <c r="V63" s="46"/>
      <c r="W63" s="46"/>
      <c r="X63" s="46"/>
      <c r="Y63" s="46"/>
      <c r="Z63" s="46"/>
    </row>
    <row r="64">
      <c r="A64" s="43" t="s">
        <v>218</v>
      </c>
      <c r="B64" s="43" t="s">
        <v>164</v>
      </c>
      <c r="C64" s="43" t="s">
        <v>165</v>
      </c>
      <c r="D64" s="43" t="s">
        <v>219</v>
      </c>
      <c r="E64" s="43" t="s">
        <v>87</v>
      </c>
      <c r="F64" s="54" t="s">
        <v>154</v>
      </c>
      <c r="G64" s="43" t="s">
        <v>99</v>
      </c>
      <c r="H64" s="43" t="s">
        <v>182</v>
      </c>
      <c r="I64" s="43" t="s">
        <v>183</v>
      </c>
      <c r="J64" s="43" t="s">
        <v>92</v>
      </c>
      <c r="K64" s="43" t="s">
        <v>5</v>
      </c>
      <c r="L64" s="55" t="s">
        <v>220</v>
      </c>
      <c r="M64" s="52"/>
      <c r="N64" s="52"/>
      <c r="O64" s="46"/>
      <c r="P64" s="46"/>
      <c r="Q64" s="46"/>
      <c r="R64" s="46"/>
      <c r="S64" s="46"/>
      <c r="T64" s="46"/>
      <c r="U64" s="46"/>
      <c r="V64" s="46"/>
      <c r="W64" s="46"/>
      <c r="X64" s="46"/>
      <c r="Y64" s="46"/>
      <c r="Z64" s="46"/>
    </row>
    <row r="65">
      <c r="A65" s="46"/>
      <c r="B65" s="46"/>
      <c r="C65" s="46"/>
      <c r="D65" s="46"/>
      <c r="E65" s="46"/>
      <c r="F65" s="47"/>
      <c r="G65" s="46"/>
      <c r="H65" s="46"/>
      <c r="I65" s="46"/>
      <c r="J65" s="46"/>
      <c r="K65" s="46"/>
      <c r="L65" s="46"/>
      <c r="M65" s="46"/>
      <c r="N65" s="46"/>
      <c r="O65" s="46"/>
      <c r="P65" s="46"/>
      <c r="Q65" s="46"/>
      <c r="R65" s="46"/>
      <c r="S65" s="46"/>
      <c r="T65" s="46"/>
      <c r="U65" s="46"/>
      <c r="V65" s="46"/>
      <c r="W65" s="46"/>
      <c r="X65" s="46"/>
      <c r="Y65" s="46"/>
      <c r="Z65" s="46"/>
    </row>
    <row r="66">
      <c r="A66" s="43" t="s">
        <v>221</v>
      </c>
      <c r="B66" s="43" t="s">
        <v>164</v>
      </c>
      <c r="C66" s="43" t="s">
        <v>165</v>
      </c>
      <c r="D66" s="43" t="s">
        <v>222</v>
      </c>
      <c r="E66" s="43" t="s">
        <v>87</v>
      </c>
      <c r="F66" s="54" t="s">
        <v>154</v>
      </c>
      <c r="G66" s="43" t="s">
        <v>99</v>
      </c>
      <c r="H66" s="43" t="s">
        <v>182</v>
      </c>
      <c r="I66" s="43" t="s">
        <v>183</v>
      </c>
      <c r="J66" s="43" t="s">
        <v>92</v>
      </c>
      <c r="K66" s="43" t="s">
        <v>5</v>
      </c>
      <c r="L66" s="50" t="s">
        <v>223</v>
      </c>
      <c r="M66" s="52"/>
      <c r="N66" s="52"/>
      <c r="O66" s="46"/>
      <c r="P66" s="46"/>
      <c r="Q66" s="46"/>
      <c r="R66" s="46"/>
      <c r="S66" s="46"/>
      <c r="T66" s="46"/>
      <c r="U66" s="46"/>
      <c r="V66" s="46"/>
      <c r="W66" s="46"/>
      <c r="X66" s="46"/>
      <c r="Y66" s="46"/>
      <c r="Z66" s="46"/>
    </row>
    <row r="67">
      <c r="A67" s="46"/>
      <c r="B67" s="46"/>
      <c r="C67" s="46"/>
      <c r="D67" s="46"/>
      <c r="E67" s="46"/>
      <c r="F67" s="47"/>
      <c r="G67" s="46"/>
      <c r="H67" s="46"/>
      <c r="I67" s="46"/>
      <c r="J67" s="46"/>
      <c r="K67" s="46"/>
      <c r="L67" s="46"/>
      <c r="M67" s="46"/>
      <c r="N67" s="46"/>
      <c r="O67" s="46"/>
      <c r="P67" s="46"/>
      <c r="Q67" s="46"/>
      <c r="R67" s="46"/>
      <c r="S67" s="46"/>
      <c r="T67" s="46"/>
      <c r="U67" s="46"/>
      <c r="V67" s="46"/>
      <c r="W67" s="46"/>
      <c r="X67" s="46"/>
      <c r="Y67" s="46"/>
      <c r="Z67" s="46"/>
    </row>
    <row r="68">
      <c r="A68" s="43" t="s">
        <v>224</v>
      </c>
      <c r="B68" s="43" t="s">
        <v>225</v>
      </c>
      <c r="C68" s="43" t="s">
        <v>225</v>
      </c>
      <c r="D68" s="43" t="s">
        <v>226</v>
      </c>
      <c r="E68" s="43" t="s">
        <v>87</v>
      </c>
      <c r="F68" s="54" t="s">
        <v>227</v>
      </c>
      <c r="G68" s="43" t="s">
        <v>135</v>
      </c>
      <c r="H68" s="43" t="s">
        <v>167</v>
      </c>
      <c r="I68" s="43" t="s">
        <v>168</v>
      </c>
      <c r="J68" s="43" t="s">
        <v>92</v>
      </c>
      <c r="K68" s="43" t="s">
        <v>7</v>
      </c>
      <c r="L68" s="50" t="s">
        <v>228</v>
      </c>
      <c r="M68" s="52"/>
      <c r="N68" s="52"/>
      <c r="O68" s="46"/>
      <c r="P68" s="46"/>
      <c r="Q68" s="46"/>
      <c r="R68" s="46"/>
      <c r="S68" s="46"/>
      <c r="T68" s="46"/>
      <c r="U68" s="46"/>
      <c r="V68" s="46"/>
      <c r="W68" s="46"/>
      <c r="X68" s="46"/>
      <c r="Y68" s="46"/>
      <c r="Z68" s="46"/>
    </row>
    <row r="69">
      <c r="A69" s="46"/>
      <c r="B69" s="46"/>
      <c r="C69" s="46"/>
      <c r="D69" s="46"/>
      <c r="E69" s="46"/>
      <c r="F69" s="47"/>
      <c r="G69" s="46"/>
      <c r="H69" s="46"/>
      <c r="I69" s="46"/>
      <c r="J69" s="46"/>
      <c r="K69" s="46"/>
      <c r="L69" s="46"/>
      <c r="M69" s="46"/>
      <c r="N69" s="46"/>
      <c r="O69" s="46"/>
      <c r="P69" s="46"/>
      <c r="Q69" s="46"/>
      <c r="R69" s="46"/>
      <c r="S69" s="46"/>
      <c r="T69" s="46"/>
      <c r="U69" s="46"/>
      <c r="V69" s="46"/>
      <c r="W69" s="46"/>
      <c r="X69" s="46"/>
      <c r="Y69" s="46"/>
      <c r="Z69" s="46"/>
    </row>
    <row r="70">
      <c r="A70" s="43" t="s">
        <v>229</v>
      </c>
      <c r="B70" s="43" t="s">
        <v>225</v>
      </c>
      <c r="C70" s="43" t="s">
        <v>225</v>
      </c>
      <c r="D70" s="43" t="s">
        <v>230</v>
      </c>
      <c r="E70" s="43" t="s">
        <v>87</v>
      </c>
      <c r="F70" s="54" t="s">
        <v>227</v>
      </c>
      <c r="G70" s="43" t="s">
        <v>135</v>
      </c>
      <c r="H70" s="43" t="s">
        <v>231</v>
      </c>
      <c r="I70" s="43" t="s">
        <v>232</v>
      </c>
      <c r="J70" s="43" t="s">
        <v>92</v>
      </c>
      <c r="K70" s="43" t="s">
        <v>5</v>
      </c>
      <c r="L70" s="50" t="s">
        <v>233</v>
      </c>
      <c r="M70" s="52"/>
      <c r="N70" s="52"/>
      <c r="O70" s="46"/>
      <c r="P70" s="46"/>
      <c r="Q70" s="46"/>
      <c r="R70" s="46"/>
      <c r="S70" s="46"/>
      <c r="T70" s="46"/>
      <c r="U70" s="46"/>
      <c r="V70" s="46"/>
      <c r="W70" s="46"/>
      <c r="X70" s="46"/>
      <c r="Y70" s="46"/>
      <c r="Z70" s="46"/>
    </row>
    <row r="71">
      <c r="A71" s="46"/>
      <c r="B71" s="46"/>
      <c r="C71" s="46"/>
      <c r="D71" s="46"/>
      <c r="E71" s="46"/>
      <c r="F71" s="47"/>
      <c r="G71" s="46"/>
      <c r="H71" s="46"/>
      <c r="I71" s="46"/>
      <c r="J71" s="46"/>
      <c r="K71" s="46"/>
      <c r="L71" s="46"/>
      <c r="M71" s="46"/>
      <c r="N71" s="46"/>
      <c r="O71" s="46"/>
      <c r="P71" s="46"/>
      <c r="Q71" s="46"/>
      <c r="R71" s="46"/>
      <c r="S71" s="46"/>
      <c r="T71" s="46"/>
      <c r="U71" s="46"/>
      <c r="V71" s="46"/>
      <c r="W71" s="46"/>
      <c r="X71" s="46"/>
      <c r="Y71" s="46"/>
      <c r="Z71" s="46"/>
    </row>
    <row r="72">
      <c r="A72" s="43" t="s">
        <v>234</v>
      </c>
      <c r="B72" s="43" t="s">
        <v>225</v>
      </c>
      <c r="C72" s="43" t="s">
        <v>225</v>
      </c>
      <c r="D72" s="43" t="s">
        <v>235</v>
      </c>
      <c r="E72" s="43" t="s">
        <v>87</v>
      </c>
      <c r="F72" s="54" t="s">
        <v>227</v>
      </c>
      <c r="G72" s="43" t="s">
        <v>135</v>
      </c>
      <c r="H72" s="43" t="s">
        <v>236</v>
      </c>
      <c r="I72" s="43" t="s">
        <v>237</v>
      </c>
      <c r="J72" s="43" t="s">
        <v>92</v>
      </c>
      <c r="K72" s="43" t="s">
        <v>5</v>
      </c>
      <c r="L72" s="50" t="s">
        <v>238</v>
      </c>
      <c r="M72" s="52"/>
      <c r="N72" s="52"/>
      <c r="O72" s="46"/>
      <c r="P72" s="46"/>
      <c r="Q72" s="46"/>
      <c r="R72" s="46"/>
      <c r="S72" s="46"/>
      <c r="T72" s="46"/>
      <c r="U72" s="46"/>
      <c r="V72" s="46"/>
      <c r="W72" s="46"/>
      <c r="X72" s="46"/>
      <c r="Y72" s="46"/>
      <c r="Z72" s="46"/>
    </row>
    <row r="73">
      <c r="A73" s="46"/>
      <c r="B73" s="46"/>
      <c r="C73" s="46"/>
      <c r="D73" s="46"/>
      <c r="E73" s="46"/>
      <c r="F73" s="47"/>
      <c r="G73" s="46"/>
      <c r="H73" s="46"/>
      <c r="I73" s="46"/>
      <c r="J73" s="46"/>
      <c r="K73" s="46"/>
      <c r="L73" s="46"/>
      <c r="M73" s="46"/>
      <c r="N73" s="46"/>
      <c r="O73" s="46"/>
      <c r="P73" s="46"/>
      <c r="Q73" s="46"/>
      <c r="R73" s="46"/>
      <c r="S73" s="46"/>
      <c r="T73" s="46"/>
      <c r="U73" s="46"/>
      <c r="V73" s="46"/>
      <c r="W73" s="46"/>
      <c r="X73" s="46"/>
      <c r="Y73" s="46"/>
      <c r="Z73" s="46"/>
    </row>
    <row r="74">
      <c r="A74" s="43" t="s">
        <v>239</v>
      </c>
      <c r="B74" s="43" t="s">
        <v>225</v>
      </c>
      <c r="C74" s="43" t="s">
        <v>225</v>
      </c>
      <c r="D74" s="43" t="s">
        <v>240</v>
      </c>
      <c r="E74" s="43" t="s">
        <v>87</v>
      </c>
      <c r="F74" s="54" t="s">
        <v>227</v>
      </c>
      <c r="G74" s="43" t="s">
        <v>135</v>
      </c>
      <c r="H74" s="43" t="s">
        <v>182</v>
      </c>
      <c r="I74" s="43" t="s">
        <v>183</v>
      </c>
      <c r="J74" s="43" t="s">
        <v>92</v>
      </c>
      <c r="K74" s="43" t="s">
        <v>5</v>
      </c>
      <c r="L74" s="50" t="s">
        <v>241</v>
      </c>
      <c r="M74" s="52"/>
      <c r="N74" s="52"/>
      <c r="O74" s="46"/>
      <c r="P74" s="46"/>
      <c r="Q74" s="46"/>
      <c r="R74" s="46"/>
      <c r="S74" s="46"/>
      <c r="T74" s="46"/>
      <c r="U74" s="46"/>
      <c r="V74" s="46"/>
      <c r="W74" s="46"/>
      <c r="X74" s="46"/>
      <c r="Y74" s="46"/>
      <c r="Z74" s="46"/>
    </row>
    <row r="75">
      <c r="A75" s="46"/>
      <c r="B75" s="46"/>
      <c r="C75" s="46"/>
      <c r="D75" s="46"/>
      <c r="E75" s="46"/>
      <c r="F75" s="47"/>
      <c r="G75" s="46"/>
      <c r="H75" s="46"/>
      <c r="I75" s="46"/>
      <c r="J75" s="46"/>
      <c r="K75" s="46"/>
      <c r="L75" s="46"/>
      <c r="M75" s="46"/>
      <c r="N75" s="46"/>
      <c r="O75" s="46"/>
      <c r="P75" s="46"/>
      <c r="Q75" s="46"/>
      <c r="R75" s="46"/>
      <c r="S75" s="46"/>
      <c r="T75" s="46"/>
      <c r="U75" s="46"/>
      <c r="V75" s="46"/>
      <c r="W75" s="46"/>
      <c r="X75" s="46"/>
      <c r="Y75" s="46"/>
      <c r="Z75" s="46"/>
    </row>
    <row r="76">
      <c r="A76" s="43" t="s">
        <v>242</v>
      </c>
      <c r="B76" s="43" t="s">
        <v>225</v>
      </c>
      <c r="C76" s="43" t="s">
        <v>225</v>
      </c>
      <c r="D76" s="43" t="s">
        <v>243</v>
      </c>
      <c r="E76" s="43" t="s">
        <v>87</v>
      </c>
      <c r="F76" s="54" t="s">
        <v>227</v>
      </c>
      <c r="G76" s="43" t="s">
        <v>135</v>
      </c>
      <c r="H76" s="43" t="s">
        <v>182</v>
      </c>
      <c r="I76" s="43" t="s">
        <v>183</v>
      </c>
      <c r="J76" s="43" t="s">
        <v>92</v>
      </c>
      <c r="K76" s="43" t="s">
        <v>5</v>
      </c>
      <c r="L76" s="50" t="s">
        <v>244</v>
      </c>
      <c r="M76" s="52"/>
      <c r="N76" s="52"/>
      <c r="O76" s="46"/>
      <c r="P76" s="46"/>
      <c r="Q76" s="46"/>
      <c r="R76" s="46"/>
      <c r="S76" s="46"/>
      <c r="T76" s="46"/>
      <c r="U76" s="46"/>
      <c r="V76" s="46"/>
      <c r="W76" s="46"/>
      <c r="X76" s="46"/>
      <c r="Y76" s="46"/>
      <c r="Z76" s="46"/>
    </row>
    <row r="77">
      <c r="A77" s="46"/>
      <c r="B77" s="46"/>
      <c r="C77" s="46"/>
      <c r="D77" s="46"/>
      <c r="E77" s="46"/>
      <c r="F77" s="47"/>
      <c r="G77" s="46"/>
      <c r="H77" s="46"/>
      <c r="I77" s="46"/>
      <c r="J77" s="46"/>
      <c r="K77" s="46"/>
      <c r="L77" s="46"/>
      <c r="M77" s="46"/>
      <c r="N77" s="46"/>
      <c r="O77" s="46"/>
      <c r="P77" s="46"/>
      <c r="Q77" s="46"/>
      <c r="R77" s="46"/>
      <c r="S77" s="46"/>
      <c r="T77" s="46"/>
      <c r="U77" s="46"/>
      <c r="V77" s="46"/>
      <c r="W77" s="46"/>
      <c r="X77" s="46"/>
      <c r="Y77" s="46"/>
      <c r="Z77" s="46"/>
    </row>
    <row r="78">
      <c r="A78" s="43" t="s">
        <v>245</v>
      </c>
      <c r="B78" s="43" t="s">
        <v>225</v>
      </c>
      <c r="C78" s="43" t="s">
        <v>225</v>
      </c>
      <c r="D78" s="43" t="s">
        <v>246</v>
      </c>
      <c r="E78" s="43" t="s">
        <v>87</v>
      </c>
      <c r="F78" s="54" t="s">
        <v>227</v>
      </c>
      <c r="G78" s="43" t="s">
        <v>135</v>
      </c>
      <c r="H78" s="43" t="s">
        <v>247</v>
      </c>
      <c r="I78" s="43" t="s">
        <v>248</v>
      </c>
      <c r="J78" s="43" t="s">
        <v>92</v>
      </c>
      <c r="K78" s="43" t="s">
        <v>9</v>
      </c>
      <c r="L78" s="50" t="s">
        <v>249</v>
      </c>
      <c r="M78" s="52"/>
      <c r="N78" s="52"/>
      <c r="O78" s="46"/>
      <c r="P78" s="46"/>
      <c r="Q78" s="46"/>
      <c r="R78" s="46"/>
      <c r="S78" s="46"/>
      <c r="T78" s="46"/>
      <c r="U78" s="46"/>
      <c r="V78" s="46"/>
      <c r="W78" s="46"/>
      <c r="X78" s="46"/>
      <c r="Y78" s="46"/>
      <c r="Z78" s="46"/>
    </row>
    <row r="79">
      <c r="A79" s="46"/>
      <c r="B79" s="46"/>
      <c r="C79" s="46"/>
      <c r="D79" s="46"/>
      <c r="E79" s="46"/>
      <c r="F79" s="47"/>
      <c r="G79" s="46"/>
      <c r="H79" s="46"/>
      <c r="I79" s="46"/>
      <c r="J79" s="46"/>
      <c r="K79" s="46"/>
      <c r="L79" s="46"/>
      <c r="M79" s="46"/>
      <c r="N79" s="46"/>
      <c r="O79" s="46"/>
      <c r="P79" s="46"/>
      <c r="Q79" s="46"/>
      <c r="R79" s="46"/>
      <c r="S79" s="46"/>
      <c r="T79" s="46"/>
      <c r="U79" s="46"/>
      <c r="V79" s="46"/>
      <c r="W79" s="46"/>
      <c r="X79" s="46"/>
      <c r="Y79" s="46"/>
      <c r="Z79" s="46"/>
    </row>
    <row r="80">
      <c r="A80" s="43" t="s">
        <v>250</v>
      </c>
      <c r="B80" s="43" t="s">
        <v>225</v>
      </c>
      <c r="C80" s="43" t="s">
        <v>225</v>
      </c>
      <c r="D80" s="43" t="s">
        <v>251</v>
      </c>
      <c r="E80" s="43" t="s">
        <v>87</v>
      </c>
      <c r="F80" s="54" t="s">
        <v>227</v>
      </c>
      <c r="G80" s="43" t="s">
        <v>135</v>
      </c>
      <c r="H80" s="43" t="s">
        <v>252</v>
      </c>
      <c r="I80" s="43" t="s">
        <v>253</v>
      </c>
      <c r="J80" s="43" t="s">
        <v>92</v>
      </c>
      <c r="K80" s="43" t="s">
        <v>5</v>
      </c>
      <c r="L80" s="50" t="s">
        <v>254</v>
      </c>
      <c r="M80" s="52"/>
      <c r="N80" s="52"/>
      <c r="O80" s="46"/>
      <c r="P80" s="46"/>
      <c r="Q80" s="46"/>
      <c r="R80" s="46"/>
      <c r="S80" s="46"/>
      <c r="T80" s="46"/>
      <c r="U80" s="46"/>
      <c r="V80" s="46"/>
      <c r="W80" s="46"/>
      <c r="X80" s="46"/>
      <c r="Y80" s="46"/>
      <c r="Z80" s="46"/>
    </row>
    <row r="81">
      <c r="A81" s="46"/>
      <c r="B81" s="46"/>
      <c r="C81" s="46"/>
      <c r="D81" s="46"/>
      <c r="E81" s="46"/>
      <c r="F81" s="47"/>
      <c r="G81" s="56"/>
      <c r="H81" s="56"/>
      <c r="I81" s="46"/>
      <c r="J81" s="46"/>
      <c r="K81" s="46"/>
      <c r="L81" s="46"/>
      <c r="M81" s="46"/>
      <c r="N81" s="46"/>
      <c r="O81" s="46"/>
      <c r="P81" s="46"/>
      <c r="Q81" s="46"/>
      <c r="R81" s="46"/>
      <c r="S81" s="46"/>
      <c r="T81" s="46"/>
      <c r="U81" s="46"/>
      <c r="V81" s="46"/>
      <c r="W81" s="46"/>
      <c r="X81" s="46"/>
      <c r="Y81" s="46"/>
      <c r="Z81" s="46"/>
    </row>
    <row r="82">
      <c r="A82" s="43" t="s">
        <v>255</v>
      </c>
      <c r="B82" s="43" t="s">
        <v>225</v>
      </c>
      <c r="C82" s="43" t="s">
        <v>225</v>
      </c>
      <c r="D82" s="43" t="s">
        <v>256</v>
      </c>
      <c r="E82" s="43" t="s">
        <v>87</v>
      </c>
      <c r="F82" s="54" t="s">
        <v>227</v>
      </c>
      <c r="G82" s="43" t="s">
        <v>135</v>
      </c>
      <c r="H82" s="43" t="s">
        <v>252</v>
      </c>
      <c r="I82" s="43" t="s">
        <v>253</v>
      </c>
      <c r="J82" s="43" t="s">
        <v>92</v>
      </c>
      <c r="K82" s="43" t="s">
        <v>5</v>
      </c>
      <c r="L82" s="50" t="s">
        <v>257</v>
      </c>
      <c r="M82" s="52"/>
      <c r="N82" s="52"/>
      <c r="O82" s="46"/>
      <c r="P82" s="46"/>
      <c r="Q82" s="46"/>
      <c r="R82" s="46"/>
      <c r="S82" s="46"/>
      <c r="T82" s="46"/>
      <c r="U82" s="46"/>
      <c r="V82" s="46"/>
      <c r="W82" s="46"/>
      <c r="X82" s="46"/>
      <c r="Y82" s="46"/>
      <c r="Z82" s="46"/>
    </row>
    <row r="83">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c r="A84" s="43" t="s">
        <v>258</v>
      </c>
      <c r="B84" s="43" t="s">
        <v>164</v>
      </c>
      <c r="C84" s="43" t="s">
        <v>165</v>
      </c>
      <c r="D84" s="43" t="s">
        <v>259</v>
      </c>
      <c r="E84" s="43" t="s">
        <v>87</v>
      </c>
      <c r="F84" s="43" t="s">
        <v>134</v>
      </c>
      <c r="G84" s="43" t="s">
        <v>135</v>
      </c>
      <c r="H84" s="43" t="s">
        <v>260</v>
      </c>
      <c r="I84" s="43" t="s">
        <v>261</v>
      </c>
      <c r="J84" s="43" t="s">
        <v>92</v>
      </c>
      <c r="K84" s="43" t="s">
        <v>7</v>
      </c>
      <c r="L84" s="50" t="s">
        <v>262</v>
      </c>
      <c r="M84" s="52"/>
      <c r="N84" s="52"/>
      <c r="O84" s="34"/>
      <c r="P84" s="34"/>
      <c r="Q84" s="34"/>
      <c r="R84" s="34"/>
      <c r="S84" s="34"/>
      <c r="T84" s="34"/>
      <c r="U84" s="34"/>
      <c r="V84" s="34"/>
      <c r="W84" s="34"/>
      <c r="X84" s="34"/>
      <c r="Y84" s="34"/>
      <c r="Z84" s="34"/>
    </row>
    <row r="85">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c r="A86" s="43" t="s">
        <v>263</v>
      </c>
      <c r="B86" s="43" t="s">
        <v>264</v>
      </c>
      <c r="C86" s="43" t="s">
        <v>264</v>
      </c>
      <c r="D86" s="43" t="s">
        <v>226</v>
      </c>
      <c r="E86" s="43" t="s">
        <v>87</v>
      </c>
      <c r="F86" s="43" t="s">
        <v>265</v>
      </c>
      <c r="G86" s="43" t="s">
        <v>99</v>
      </c>
      <c r="H86" s="43" t="s">
        <v>167</v>
      </c>
      <c r="I86" s="43" t="s">
        <v>168</v>
      </c>
      <c r="J86" s="43" t="s">
        <v>92</v>
      </c>
      <c r="K86" s="43" t="s">
        <v>7</v>
      </c>
      <c r="L86" s="50" t="s">
        <v>266</v>
      </c>
      <c r="M86" s="52"/>
      <c r="N86" s="52"/>
      <c r="O86" s="34"/>
      <c r="P86" s="34"/>
      <c r="Q86" s="34"/>
      <c r="R86" s="34"/>
      <c r="S86" s="34"/>
      <c r="T86" s="34"/>
      <c r="U86" s="34"/>
      <c r="V86" s="34"/>
      <c r="W86" s="34"/>
      <c r="X86" s="34"/>
      <c r="Y86" s="34"/>
      <c r="Z86" s="34"/>
    </row>
    <row r="87">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c r="A88" s="43" t="s">
        <v>267</v>
      </c>
      <c r="B88" s="52"/>
      <c r="C88" s="52"/>
      <c r="D88" s="52"/>
      <c r="E88" s="52"/>
      <c r="F88" s="52"/>
      <c r="G88" s="52"/>
      <c r="H88" s="52"/>
      <c r="I88" s="52"/>
      <c r="J88" s="52"/>
      <c r="K88" s="52"/>
      <c r="L88" s="57"/>
      <c r="M88" s="52"/>
      <c r="N88" s="52"/>
      <c r="O88" s="34"/>
      <c r="P88" s="34"/>
      <c r="Q88" s="34"/>
      <c r="R88" s="34"/>
      <c r="S88" s="34"/>
      <c r="T88" s="34"/>
      <c r="U88" s="34"/>
      <c r="V88" s="34"/>
      <c r="W88" s="34"/>
      <c r="X88" s="34"/>
      <c r="Y88" s="34"/>
      <c r="Z88" s="34"/>
    </row>
    <row r="89">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c r="A90" s="43" t="s">
        <v>268</v>
      </c>
      <c r="B90" s="52"/>
      <c r="C90" s="52"/>
      <c r="D90" s="52"/>
      <c r="E90" s="52"/>
      <c r="F90" s="52"/>
      <c r="G90" s="52"/>
      <c r="H90" s="52"/>
      <c r="I90" s="52"/>
      <c r="J90" s="52"/>
      <c r="K90" s="52"/>
      <c r="L90" s="57"/>
      <c r="M90" s="52"/>
      <c r="N90" s="52"/>
      <c r="O90" s="34"/>
      <c r="P90" s="34"/>
      <c r="Q90" s="34"/>
      <c r="R90" s="34"/>
      <c r="S90" s="34"/>
      <c r="T90" s="34"/>
      <c r="U90" s="34"/>
      <c r="V90" s="34"/>
      <c r="W90" s="34"/>
      <c r="X90" s="34"/>
      <c r="Y90" s="34"/>
      <c r="Z90" s="34"/>
    </row>
    <row r="9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c r="A92" s="43" t="s">
        <v>269</v>
      </c>
      <c r="B92" s="52"/>
      <c r="C92" s="52"/>
      <c r="D92" s="52"/>
      <c r="E92" s="52"/>
      <c r="F92" s="52"/>
      <c r="G92" s="52"/>
      <c r="H92" s="52"/>
      <c r="I92" s="52"/>
      <c r="J92" s="52"/>
      <c r="K92" s="52"/>
      <c r="L92" s="57"/>
      <c r="M92" s="52"/>
      <c r="N92" s="52"/>
      <c r="O92" s="34"/>
      <c r="P92" s="34"/>
      <c r="Q92" s="34"/>
      <c r="R92" s="34"/>
      <c r="S92" s="34"/>
      <c r="T92" s="34"/>
      <c r="U92" s="34"/>
      <c r="V92" s="34"/>
      <c r="W92" s="34"/>
      <c r="X92" s="34"/>
      <c r="Y92" s="34"/>
      <c r="Z92" s="34"/>
    </row>
    <row r="93">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c r="A94" s="43" t="s">
        <v>270</v>
      </c>
      <c r="B94" s="52"/>
      <c r="C94" s="52"/>
      <c r="D94" s="52"/>
      <c r="E94" s="52"/>
      <c r="F94" s="52"/>
      <c r="G94" s="52"/>
      <c r="H94" s="52"/>
      <c r="I94" s="52"/>
      <c r="J94" s="52"/>
      <c r="K94" s="52"/>
      <c r="L94" s="57"/>
      <c r="M94" s="52"/>
      <c r="N94" s="52"/>
      <c r="O94" s="34"/>
      <c r="P94" s="34"/>
      <c r="Q94" s="34"/>
      <c r="R94" s="34"/>
      <c r="S94" s="34"/>
      <c r="T94" s="34"/>
      <c r="U94" s="34"/>
      <c r="V94" s="34"/>
      <c r="W94" s="34"/>
      <c r="X94" s="34"/>
      <c r="Y94" s="34"/>
      <c r="Z94" s="34"/>
    </row>
    <row r="95">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c r="A96" s="43" t="s">
        <v>271</v>
      </c>
      <c r="B96" s="52"/>
      <c r="C96" s="52"/>
      <c r="D96" s="52"/>
      <c r="E96" s="52"/>
      <c r="F96" s="52"/>
      <c r="G96" s="52"/>
      <c r="H96" s="52"/>
      <c r="I96" s="52"/>
      <c r="J96" s="52"/>
      <c r="K96" s="52"/>
      <c r="L96" s="57"/>
      <c r="M96" s="52"/>
      <c r="N96" s="52"/>
      <c r="O96" s="34"/>
      <c r="P96" s="34"/>
      <c r="Q96" s="34"/>
      <c r="R96" s="34"/>
      <c r="S96" s="34"/>
      <c r="T96" s="34"/>
      <c r="U96" s="34"/>
      <c r="V96" s="34"/>
      <c r="W96" s="34"/>
      <c r="X96" s="34"/>
      <c r="Y96" s="34"/>
      <c r="Z96" s="34"/>
    </row>
    <row r="97">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c r="A98" s="43" t="s">
        <v>272</v>
      </c>
      <c r="B98" s="52"/>
      <c r="C98" s="52"/>
      <c r="D98" s="52"/>
      <c r="E98" s="52"/>
      <c r="F98" s="52"/>
      <c r="G98" s="52"/>
      <c r="H98" s="52"/>
      <c r="I98" s="52"/>
      <c r="J98" s="52"/>
      <c r="K98" s="52"/>
      <c r="L98" s="57"/>
      <c r="M98" s="52"/>
      <c r="N98" s="52"/>
      <c r="O98" s="34"/>
      <c r="P98" s="34"/>
      <c r="Q98" s="34"/>
      <c r="R98" s="34"/>
      <c r="S98" s="34"/>
      <c r="T98" s="34"/>
      <c r="U98" s="34"/>
      <c r="V98" s="34"/>
      <c r="W98" s="34"/>
      <c r="X98" s="34"/>
      <c r="Y98" s="34"/>
      <c r="Z98" s="34"/>
    </row>
    <row r="99">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c r="A100" s="43" t="s">
        <v>273</v>
      </c>
      <c r="B100" s="52"/>
      <c r="C100" s="52"/>
      <c r="D100" s="52"/>
      <c r="E100" s="52"/>
      <c r="F100" s="52"/>
      <c r="G100" s="52"/>
      <c r="H100" s="52"/>
      <c r="I100" s="52"/>
      <c r="J100" s="52"/>
      <c r="K100" s="52"/>
      <c r="L100" s="57"/>
      <c r="M100" s="52"/>
      <c r="N100" s="52"/>
      <c r="O100" s="34"/>
      <c r="P100" s="34"/>
      <c r="Q100" s="34"/>
      <c r="R100" s="34"/>
      <c r="S100" s="34"/>
      <c r="T100" s="34"/>
      <c r="U100" s="34"/>
      <c r="V100" s="34"/>
      <c r="W100" s="34"/>
      <c r="X100" s="34"/>
      <c r="Y100" s="34"/>
      <c r="Z100" s="34"/>
    </row>
    <row r="10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c r="A102" s="43" t="s">
        <v>274</v>
      </c>
      <c r="B102" s="52"/>
      <c r="C102" s="52"/>
      <c r="D102" s="52"/>
      <c r="E102" s="52"/>
      <c r="F102" s="52"/>
      <c r="G102" s="52"/>
      <c r="H102" s="52"/>
      <c r="I102" s="52"/>
      <c r="J102" s="52"/>
      <c r="K102" s="52"/>
      <c r="L102" s="57"/>
      <c r="M102" s="52"/>
      <c r="N102" s="52"/>
      <c r="O102" s="34"/>
      <c r="P102" s="34"/>
      <c r="Q102" s="34"/>
      <c r="R102" s="34"/>
      <c r="S102" s="34"/>
      <c r="T102" s="34"/>
      <c r="U102" s="34"/>
      <c r="V102" s="34"/>
      <c r="W102" s="34"/>
      <c r="X102" s="34"/>
      <c r="Y102" s="34"/>
      <c r="Z102" s="34"/>
    </row>
    <row r="103">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c r="A104" s="43" t="s">
        <v>275</v>
      </c>
      <c r="B104" s="52"/>
      <c r="C104" s="52"/>
      <c r="D104" s="52"/>
      <c r="E104" s="52"/>
      <c r="F104" s="52"/>
      <c r="G104" s="52"/>
      <c r="H104" s="52"/>
      <c r="I104" s="52"/>
      <c r="J104" s="52"/>
      <c r="K104" s="52"/>
      <c r="L104" s="57"/>
      <c r="M104" s="52"/>
      <c r="N104" s="52"/>
      <c r="O104" s="34"/>
      <c r="P104" s="34"/>
      <c r="Q104" s="34"/>
      <c r="R104" s="34"/>
      <c r="S104" s="34"/>
      <c r="T104" s="34"/>
      <c r="U104" s="34"/>
      <c r="V104" s="34"/>
      <c r="W104" s="34"/>
      <c r="X104" s="34"/>
      <c r="Y104" s="34"/>
      <c r="Z104" s="34"/>
    </row>
    <row r="105">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c r="A106" s="43" t="s">
        <v>276</v>
      </c>
      <c r="B106" s="52"/>
      <c r="C106" s="52"/>
      <c r="D106" s="52"/>
      <c r="E106" s="52"/>
      <c r="F106" s="52"/>
      <c r="G106" s="52"/>
      <c r="H106" s="52"/>
      <c r="I106" s="52"/>
      <c r="J106" s="52"/>
      <c r="K106" s="52"/>
      <c r="L106" s="57"/>
      <c r="M106" s="52"/>
      <c r="N106" s="52"/>
      <c r="O106" s="34"/>
      <c r="P106" s="34"/>
      <c r="Q106" s="34"/>
      <c r="R106" s="34"/>
      <c r="S106" s="34"/>
      <c r="T106" s="34"/>
      <c r="U106" s="34"/>
      <c r="V106" s="34"/>
      <c r="W106" s="34"/>
      <c r="X106" s="34"/>
      <c r="Y106" s="34"/>
      <c r="Z106" s="34"/>
    </row>
    <row r="107">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row r="1001">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row>
    <row r="1002">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row>
  </sheetData>
  <dataValidations>
    <dataValidation type="list" allowBlank="1" showErrorMessage="1" sqref="N8 N10 N12 N14 N16 N18 N20 N22 N24 N26 N28 N30 N32 N34 N36 N38 N40 N42 N44 N46 N48 N50 N52 N54 N56 N58 N60 N62 N64 N66 N68 N70 N72 N74 N76 N78 N80 N82 N84 N86 N88 N90 N92 N94 N96 N98 N100 N102 N104 N106">
      <formula1>"Solved,Unsolve"</formula1>
    </dataValidation>
    <dataValidation type="list" allowBlank="1" showErrorMessage="1" sqref="J8 J10 J12 J14 J16 J18 J20 J22 J24 J26 J28 J30 J32 J34 J36 J38 J40 J42 J44 J46 J48 J50 J52 J54 J56 J58 J60 J62 J64 J66 J68 J70 J72 J74 J76 J78 J80 J82 J84 J86 J88 J90 J92 J94 J96 J98 J100 J102 J104 J106">
      <formula1>"Pass,Fail"</formula1>
    </dataValidation>
    <dataValidation type="list" allowBlank="1" showErrorMessage="1" sqref="K8 K10 K12 K14 K16 K18 K20 K22 K24 K26 K28 K30 K32 K34 K36 K38 K40 K42 K44 K46 K48 K50 K52 K54 K56 K58 K60 K62 K64 K66 K68 K70 K72 K74 K76 K78 K80 K82 K84 K86 K88 K90 K92 K94 K96 K98 K100 K102 K104 K106">
      <formula1>"High,Medium,Low"</formula1>
    </dataValidation>
  </dataValidations>
  <hyperlinks>
    <hyperlink r:id="rId1" ref="L8"/>
    <hyperlink r:id="rId2" ref="L10"/>
    <hyperlink r:id="rId3" ref="L12"/>
    <hyperlink r:id="rId4" ref="L14"/>
    <hyperlink r:id="rId5" ref="L16"/>
    <hyperlink r:id="rId6" ref="L18"/>
    <hyperlink r:id="rId7" ref="L20"/>
    <hyperlink r:id="rId8" ref="L22"/>
    <hyperlink r:id="rId9" ref="L24"/>
    <hyperlink r:id="rId10" ref="L26"/>
    <hyperlink r:id="rId11" ref="L28"/>
    <hyperlink r:id="rId12" ref="L30"/>
    <hyperlink r:id="rId13" ref="L32"/>
    <hyperlink r:id="rId14" ref="L34"/>
    <hyperlink r:id="rId15" ref="L36"/>
    <hyperlink r:id="rId16" ref="L38"/>
    <hyperlink r:id="rId17" ref="L40"/>
    <hyperlink r:id="rId18" ref="L42"/>
    <hyperlink r:id="rId19" ref="L44"/>
    <hyperlink r:id="rId20" ref="L46"/>
    <hyperlink r:id="rId21" ref="L48"/>
    <hyperlink r:id="rId22" ref="L50"/>
    <hyperlink r:id="rId23" ref="L52"/>
    <hyperlink r:id="rId24" ref="L54"/>
    <hyperlink r:id="rId25" ref="L56"/>
    <hyperlink r:id="rId26" ref="L58"/>
    <hyperlink r:id="rId27" ref="L60"/>
    <hyperlink r:id="rId28" ref="L62"/>
    <hyperlink r:id="rId29" ref="L64"/>
    <hyperlink r:id="rId30" ref="L66"/>
    <hyperlink r:id="rId31" ref="L68"/>
    <hyperlink r:id="rId32" ref="L70"/>
    <hyperlink r:id="rId33" ref="L72"/>
    <hyperlink r:id="rId34" ref="L74"/>
    <hyperlink r:id="rId35" ref="L76"/>
    <hyperlink r:id="rId36" ref="L78"/>
    <hyperlink r:id="rId37" ref="L80"/>
    <hyperlink r:id="rId38" ref="L82"/>
    <hyperlink r:id="rId39" ref="L84"/>
    <hyperlink r:id="rId40" ref="L86"/>
  </hyperlinks>
  <drawing r:id="rId4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25"/>
    <col customWidth="1" min="2" max="2" width="19.5"/>
    <col customWidth="1" min="3" max="3" width="15.75"/>
    <col customWidth="1" min="4" max="4" width="21.63"/>
    <col customWidth="1" min="5" max="5" width="17.13"/>
    <col customWidth="1" min="6" max="6" width="23.13"/>
    <col customWidth="1" min="8" max="8" width="19.63"/>
    <col customWidth="1" min="9" max="9" width="15.88"/>
    <col customWidth="1" min="11" max="11" width="16.0"/>
    <col customWidth="1" min="12" max="12" width="16.5"/>
    <col customWidth="1" min="13" max="13" width="17.13"/>
    <col customWidth="1" min="14" max="14" width="14.13"/>
  </cols>
  <sheetData>
    <row r="1">
      <c r="A1" s="58"/>
      <c r="B1" s="58"/>
      <c r="C1" s="58"/>
      <c r="D1" s="58"/>
      <c r="E1" s="1"/>
      <c r="F1" s="1"/>
      <c r="G1" s="58"/>
      <c r="H1" s="58"/>
      <c r="I1" s="58"/>
      <c r="J1" s="58"/>
      <c r="K1" s="58"/>
      <c r="L1" s="58"/>
      <c r="M1" s="58"/>
      <c r="N1" s="58"/>
      <c r="O1" s="58"/>
      <c r="P1" s="58"/>
    </row>
    <row r="2">
      <c r="A2" s="59" t="s">
        <v>0</v>
      </c>
      <c r="B2" s="60"/>
      <c r="C2" s="58"/>
      <c r="D2" s="4" t="s">
        <v>2</v>
      </c>
      <c r="E2" s="4" t="s">
        <v>3</v>
      </c>
      <c r="F2" s="58"/>
      <c r="G2" s="58"/>
      <c r="H2" s="58"/>
      <c r="I2" s="58"/>
      <c r="J2" s="58"/>
      <c r="K2" s="58"/>
      <c r="L2" s="58"/>
      <c r="M2" s="58"/>
      <c r="N2" s="58"/>
      <c r="O2" s="58"/>
      <c r="P2" s="58"/>
    </row>
    <row r="3">
      <c r="A3" s="59" t="s">
        <v>4</v>
      </c>
      <c r="B3" s="61"/>
      <c r="C3" s="58"/>
      <c r="D3" s="62" t="s">
        <v>5</v>
      </c>
      <c r="E3" s="63">
        <f>COUNTIF(K14:K1005, "High")</f>
        <v>0</v>
      </c>
      <c r="F3" s="58"/>
      <c r="G3" s="58"/>
      <c r="H3" s="58"/>
      <c r="I3" s="58"/>
      <c r="J3" s="58"/>
      <c r="K3" s="58"/>
      <c r="L3" s="58"/>
      <c r="M3" s="58"/>
      <c r="N3" s="58"/>
      <c r="O3" s="58"/>
      <c r="P3" s="58"/>
    </row>
    <row r="4">
      <c r="A4" s="59" t="s">
        <v>6</v>
      </c>
      <c r="B4" s="64"/>
      <c r="C4" s="58"/>
      <c r="D4" s="62" t="s">
        <v>7</v>
      </c>
      <c r="E4" s="63">
        <f>COUNTIF(K14:K1006, "Medium")</f>
        <v>0</v>
      </c>
      <c r="F4" s="58"/>
      <c r="G4" s="58"/>
      <c r="H4" s="58"/>
      <c r="I4" s="58"/>
      <c r="J4" s="58"/>
      <c r="K4" s="58"/>
      <c r="L4" s="58"/>
      <c r="M4" s="58"/>
      <c r="N4" s="58"/>
      <c r="O4" s="58"/>
      <c r="P4" s="58"/>
    </row>
    <row r="5">
      <c r="A5" s="59" t="s">
        <v>8</v>
      </c>
      <c r="B5" s="65"/>
      <c r="C5" s="58"/>
      <c r="D5" s="62" t="s">
        <v>9</v>
      </c>
      <c r="E5" s="63">
        <f>COUNTIF(K14:K1007, "Low") </f>
        <v>0</v>
      </c>
      <c r="F5" s="58"/>
      <c r="G5" s="58"/>
      <c r="H5" s="58"/>
      <c r="I5" s="58"/>
      <c r="J5" s="58"/>
      <c r="K5" s="58"/>
      <c r="L5" s="58"/>
      <c r="M5" s="58"/>
      <c r="N5" s="58"/>
      <c r="O5" s="58"/>
      <c r="P5" s="58"/>
    </row>
    <row r="6">
      <c r="A6" s="59" t="s">
        <v>10</v>
      </c>
      <c r="B6" s="65"/>
      <c r="C6" s="58"/>
      <c r="D6" s="58"/>
      <c r="E6" s="58"/>
      <c r="F6" s="58"/>
      <c r="G6" s="58"/>
      <c r="H6" s="58"/>
      <c r="I6" s="58"/>
      <c r="J6" s="58"/>
      <c r="K6" s="58"/>
      <c r="L6" s="58"/>
      <c r="M6" s="58"/>
      <c r="N6" s="58"/>
      <c r="O6" s="58"/>
      <c r="P6" s="58"/>
    </row>
    <row r="7">
      <c r="A7" s="66" t="s">
        <v>11</v>
      </c>
      <c r="B7" s="65"/>
      <c r="C7" s="58"/>
      <c r="D7" s="67" t="s">
        <v>12</v>
      </c>
      <c r="E7" s="68">
        <f>SUM(E3:E5)</f>
        <v>0</v>
      </c>
      <c r="F7" s="58"/>
      <c r="G7" s="58"/>
      <c r="H7" s="58"/>
      <c r="I7" s="58"/>
      <c r="J7" s="58"/>
      <c r="K7" s="58"/>
      <c r="L7" s="58"/>
      <c r="M7" s="58"/>
      <c r="N7" s="58"/>
      <c r="O7" s="58"/>
      <c r="P7" s="58"/>
    </row>
    <row r="8">
      <c r="A8" s="58"/>
      <c r="B8" s="58"/>
      <c r="C8" s="58"/>
      <c r="D8" s="67" t="s">
        <v>15</v>
      </c>
      <c r="E8" s="65"/>
      <c r="F8" s="58"/>
      <c r="G8" s="58"/>
      <c r="H8" s="58"/>
      <c r="I8" s="58"/>
      <c r="J8" s="58"/>
      <c r="K8" s="58"/>
      <c r="L8" s="58"/>
      <c r="M8" s="58"/>
      <c r="N8" s="58"/>
      <c r="O8" s="58"/>
      <c r="P8" s="58"/>
    </row>
    <row r="9">
      <c r="A9" s="58"/>
      <c r="B9" s="58"/>
      <c r="C9" s="58"/>
      <c r="D9" s="58"/>
      <c r="E9" s="58"/>
      <c r="F9" s="58"/>
      <c r="G9" s="58"/>
      <c r="H9" s="58"/>
      <c r="I9" s="58"/>
      <c r="J9" s="58"/>
      <c r="K9" s="58"/>
      <c r="L9" s="58"/>
      <c r="M9" s="58"/>
      <c r="N9" s="58"/>
      <c r="O9" s="58"/>
      <c r="P9" s="58"/>
    </row>
    <row r="10">
      <c r="A10" s="58"/>
      <c r="B10" s="58"/>
      <c r="C10" s="58"/>
      <c r="D10" s="58"/>
      <c r="E10" s="58"/>
      <c r="F10" s="58"/>
      <c r="G10" s="58"/>
      <c r="H10" s="58"/>
      <c r="I10" s="58"/>
      <c r="J10" s="58"/>
      <c r="K10" s="58"/>
      <c r="L10" s="58"/>
      <c r="M10" s="58"/>
      <c r="N10" s="58"/>
      <c r="O10" s="58"/>
      <c r="P10" s="58"/>
    </row>
    <row r="11">
      <c r="A11" s="58"/>
      <c r="B11" s="58"/>
      <c r="C11" s="58"/>
      <c r="D11" s="58"/>
      <c r="E11" s="58"/>
      <c r="F11" s="58"/>
      <c r="G11" s="58"/>
      <c r="H11" s="58"/>
      <c r="I11" s="58"/>
      <c r="J11" s="58"/>
      <c r="K11" s="58"/>
      <c r="L11" s="58"/>
      <c r="M11" s="58"/>
      <c r="N11" s="58"/>
      <c r="O11" s="58"/>
      <c r="P11" s="58"/>
    </row>
    <row r="12">
      <c r="A12" s="58"/>
      <c r="B12" s="58"/>
      <c r="C12" s="58"/>
      <c r="D12" s="58"/>
      <c r="E12" s="58"/>
      <c r="F12" s="58"/>
      <c r="G12" s="58"/>
      <c r="H12" s="58"/>
      <c r="I12" s="58"/>
      <c r="J12" s="58"/>
      <c r="K12" s="58"/>
      <c r="L12" s="58"/>
      <c r="M12" s="58"/>
      <c r="N12" s="58"/>
      <c r="O12" s="58"/>
      <c r="P12" s="58"/>
    </row>
    <row r="13">
      <c r="A13" s="58"/>
      <c r="B13" s="58"/>
      <c r="C13" s="58"/>
      <c r="D13" s="58"/>
      <c r="E13" s="58"/>
      <c r="F13" s="58"/>
      <c r="G13" s="58"/>
      <c r="H13" s="58"/>
      <c r="I13" s="58"/>
      <c r="J13" s="58"/>
      <c r="K13" s="58"/>
      <c r="L13" s="58"/>
      <c r="M13" s="58"/>
      <c r="N13" s="58"/>
      <c r="O13" s="58"/>
      <c r="P13" s="58"/>
    </row>
    <row r="14">
      <c r="A14" s="69" t="s">
        <v>16</v>
      </c>
      <c r="B14" s="69" t="s">
        <v>17</v>
      </c>
      <c r="C14" s="69" t="s">
        <v>18</v>
      </c>
      <c r="D14" s="69" t="s">
        <v>19</v>
      </c>
      <c r="E14" s="69" t="s">
        <v>20</v>
      </c>
      <c r="F14" s="69" t="s">
        <v>21</v>
      </c>
      <c r="G14" s="69" t="s">
        <v>22</v>
      </c>
      <c r="H14" s="69" t="s">
        <v>23</v>
      </c>
      <c r="I14" s="69" t="s">
        <v>24</v>
      </c>
      <c r="J14" s="69" t="s">
        <v>25</v>
      </c>
      <c r="K14" s="69" t="s">
        <v>2</v>
      </c>
      <c r="L14" s="69" t="s">
        <v>26</v>
      </c>
      <c r="M14" s="69" t="s">
        <v>27</v>
      </c>
      <c r="N14" s="69" t="s">
        <v>29</v>
      </c>
      <c r="O14" s="58"/>
      <c r="P14" s="58"/>
    </row>
    <row r="15">
      <c r="A15" s="70"/>
      <c r="B15" s="70"/>
      <c r="C15" s="70"/>
      <c r="D15" s="70"/>
      <c r="E15" s="70"/>
      <c r="F15" s="70"/>
      <c r="G15" s="70"/>
      <c r="H15" s="70"/>
      <c r="I15" s="70"/>
      <c r="J15" s="70"/>
      <c r="K15" s="70"/>
      <c r="L15" s="71"/>
      <c r="M15" s="72"/>
      <c r="N15" s="72"/>
      <c r="O15" s="58"/>
      <c r="P15" s="58"/>
    </row>
    <row r="16">
      <c r="A16" s="70"/>
      <c r="B16" s="70"/>
      <c r="C16" s="70"/>
      <c r="D16" s="70"/>
      <c r="E16" s="70"/>
      <c r="F16" s="70"/>
      <c r="G16" s="70"/>
      <c r="H16" s="70"/>
      <c r="I16" s="70"/>
      <c r="J16" s="70"/>
      <c r="K16" s="70"/>
      <c r="L16" s="71"/>
      <c r="M16" s="72"/>
      <c r="N16" s="73"/>
      <c r="O16" s="58"/>
      <c r="P16" s="58"/>
    </row>
    <row r="17">
      <c r="A17" s="70"/>
      <c r="B17" s="70"/>
      <c r="C17" s="70"/>
      <c r="D17" s="70"/>
      <c r="E17" s="70"/>
      <c r="F17" s="70"/>
      <c r="G17" s="70"/>
      <c r="H17" s="70"/>
      <c r="I17" s="70"/>
      <c r="J17" s="70"/>
      <c r="K17" s="70"/>
      <c r="L17" s="71"/>
      <c r="M17" s="72"/>
      <c r="N17" s="72"/>
      <c r="O17" s="58"/>
      <c r="P17" s="58"/>
    </row>
    <row r="18">
      <c r="A18" s="70"/>
      <c r="B18" s="70"/>
      <c r="C18" s="70"/>
      <c r="D18" s="70"/>
      <c r="E18" s="70"/>
      <c r="F18" s="70"/>
      <c r="G18" s="74"/>
      <c r="H18" s="70"/>
      <c r="I18" s="70"/>
      <c r="J18" s="70"/>
      <c r="K18" s="70"/>
      <c r="L18" s="71"/>
      <c r="M18" s="72"/>
      <c r="N18" s="73"/>
      <c r="O18" s="58"/>
      <c r="P18" s="58"/>
    </row>
    <row r="19">
      <c r="A19" s="70"/>
      <c r="B19" s="70"/>
      <c r="C19" s="70"/>
      <c r="D19" s="70"/>
      <c r="E19" s="70"/>
      <c r="F19" s="70"/>
      <c r="G19" s="70"/>
      <c r="H19" s="70"/>
      <c r="I19" s="70"/>
      <c r="J19" s="70"/>
      <c r="K19" s="70"/>
      <c r="L19" s="71"/>
      <c r="M19" s="72"/>
      <c r="N19" s="72"/>
      <c r="O19" s="58"/>
      <c r="P19" s="58"/>
    </row>
    <row r="20">
      <c r="A20" s="70"/>
      <c r="B20" s="70"/>
      <c r="C20" s="70"/>
      <c r="D20" s="70"/>
      <c r="E20" s="70"/>
      <c r="F20" s="70"/>
      <c r="G20" s="70"/>
      <c r="H20" s="70"/>
      <c r="I20" s="70"/>
      <c r="J20" s="70"/>
      <c r="K20" s="70"/>
      <c r="L20" s="71"/>
      <c r="M20" s="72"/>
      <c r="N20" s="73"/>
      <c r="O20" s="58"/>
      <c r="P20" s="58"/>
    </row>
    <row r="21">
      <c r="A21" s="70"/>
      <c r="B21" s="70"/>
      <c r="C21" s="70"/>
      <c r="D21" s="70"/>
      <c r="E21" s="70"/>
      <c r="F21" s="70"/>
      <c r="G21" s="70"/>
      <c r="H21" s="70"/>
      <c r="I21" s="70"/>
      <c r="J21" s="70"/>
      <c r="K21" s="70"/>
      <c r="L21" s="71"/>
      <c r="M21" s="72"/>
      <c r="N21" s="72"/>
      <c r="O21" s="58"/>
      <c r="P21" s="58"/>
    </row>
    <row r="22">
      <c r="A22" s="70"/>
      <c r="B22" s="70"/>
      <c r="C22" s="70"/>
      <c r="D22" s="70"/>
      <c r="E22" s="70"/>
      <c r="F22" s="70"/>
      <c r="G22" s="70"/>
      <c r="H22" s="70"/>
      <c r="I22" s="70"/>
      <c r="J22" s="70"/>
      <c r="K22" s="70"/>
      <c r="L22" s="71"/>
      <c r="M22" s="72"/>
      <c r="N22" s="73"/>
      <c r="O22" s="58"/>
      <c r="P22" s="58"/>
    </row>
    <row r="23">
      <c r="A23" s="70"/>
      <c r="B23" s="70"/>
      <c r="C23" s="70"/>
      <c r="D23" s="70"/>
      <c r="E23" s="70"/>
      <c r="F23" s="70"/>
      <c r="G23" s="70"/>
      <c r="H23" s="70"/>
      <c r="I23" s="70"/>
      <c r="J23" s="70"/>
      <c r="K23" s="70"/>
      <c r="L23" s="70"/>
      <c r="M23" s="75"/>
      <c r="N23" s="72"/>
      <c r="O23" s="58"/>
      <c r="P23" s="58"/>
    </row>
    <row r="24">
      <c r="A24" s="70"/>
      <c r="B24" s="70"/>
      <c r="C24" s="70"/>
      <c r="D24" s="70"/>
      <c r="E24" s="70"/>
      <c r="F24" s="70"/>
      <c r="G24" s="70"/>
      <c r="H24" s="70"/>
      <c r="I24" s="70"/>
      <c r="J24" s="70"/>
      <c r="K24" s="70"/>
      <c r="L24" s="70"/>
      <c r="M24" s="75"/>
      <c r="N24" s="73"/>
      <c r="O24" s="58"/>
      <c r="P24" s="58"/>
    </row>
    <row r="25">
      <c r="A25" s="70"/>
      <c r="B25" s="70"/>
      <c r="C25" s="70"/>
      <c r="D25" s="70"/>
      <c r="E25" s="70"/>
      <c r="F25" s="70"/>
      <c r="G25" s="70"/>
      <c r="H25" s="70"/>
      <c r="I25" s="70"/>
      <c r="J25" s="70"/>
      <c r="K25" s="70"/>
      <c r="L25" s="70"/>
      <c r="M25" s="75"/>
      <c r="N25" s="72"/>
      <c r="O25" s="58"/>
      <c r="P25" s="58"/>
    </row>
    <row r="26">
      <c r="A26" s="70"/>
      <c r="B26" s="70"/>
      <c r="C26" s="70"/>
      <c r="D26" s="70"/>
      <c r="E26" s="70"/>
      <c r="F26" s="70"/>
      <c r="G26" s="70"/>
      <c r="H26" s="70"/>
      <c r="I26" s="70"/>
      <c r="J26" s="70"/>
      <c r="K26" s="70"/>
      <c r="L26" s="70"/>
      <c r="M26" s="75"/>
      <c r="N26" s="73"/>
      <c r="O26" s="58"/>
      <c r="P26" s="58"/>
    </row>
    <row r="27">
      <c r="A27" s="70"/>
      <c r="B27" s="70"/>
      <c r="C27" s="70"/>
      <c r="D27" s="70"/>
      <c r="E27" s="70"/>
      <c r="F27" s="70"/>
      <c r="G27" s="70"/>
      <c r="H27" s="70"/>
      <c r="I27" s="70"/>
      <c r="J27" s="70"/>
      <c r="K27" s="70"/>
      <c r="L27" s="70"/>
      <c r="M27" s="75"/>
      <c r="N27" s="72"/>
      <c r="O27" s="58"/>
      <c r="P27" s="58"/>
    </row>
    <row r="28">
      <c r="A28" s="70"/>
      <c r="B28" s="70"/>
      <c r="C28" s="70"/>
      <c r="D28" s="70"/>
      <c r="E28" s="70"/>
      <c r="F28" s="70"/>
      <c r="G28" s="70"/>
      <c r="H28" s="70"/>
      <c r="I28" s="70"/>
      <c r="J28" s="70"/>
      <c r="K28" s="70"/>
      <c r="L28" s="70"/>
      <c r="M28" s="75"/>
      <c r="N28" s="73"/>
      <c r="O28" s="58"/>
      <c r="P28" s="58"/>
    </row>
    <row r="29">
      <c r="A29" s="70"/>
      <c r="B29" s="70"/>
      <c r="C29" s="70"/>
      <c r="D29" s="70"/>
      <c r="E29" s="70"/>
      <c r="F29" s="70"/>
      <c r="G29" s="70"/>
      <c r="H29" s="70"/>
      <c r="I29" s="70"/>
      <c r="J29" s="70"/>
      <c r="K29" s="70"/>
      <c r="L29" s="70"/>
      <c r="M29" s="75"/>
      <c r="N29" s="72"/>
      <c r="O29" s="58"/>
      <c r="P29" s="58"/>
    </row>
    <row r="30">
      <c r="A30" s="70"/>
      <c r="B30" s="75"/>
      <c r="C30" s="75"/>
      <c r="D30" s="75"/>
      <c r="E30" s="75"/>
      <c r="F30" s="75"/>
      <c r="G30" s="75"/>
      <c r="H30" s="75"/>
      <c r="I30" s="75"/>
      <c r="J30" s="75"/>
      <c r="K30" s="75"/>
      <c r="L30" s="75"/>
      <c r="M30" s="75"/>
      <c r="N30" s="73"/>
      <c r="O30" s="58"/>
      <c r="P30" s="58"/>
    </row>
    <row r="31">
      <c r="A31" s="70"/>
      <c r="B31" s="75"/>
      <c r="C31" s="75"/>
      <c r="D31" s="75"/>
      <c r="E31" s="75"/>
      <c r="F31" s="75"/>
      <c r="G31" s="75"/>
      <c r="H31" s="75"/>
      <c r="I31" s="75"/>
      <c r="J31" s="75"/>
      <c r="K31" s="75"/>
      <c r="L31" s="75"/>
      <c r="M31" s="75"/>
      <c r="N31" s="72"/>
      <c r="O31" s="58"/>
      <c r="P31" s="58"/>
    </row>
    <row r="32">
      <c r="A32" s="70"/>
      <c r="B32" s="75"/>
      <c r="C32" s="75"/>
      <c r="D32" s="75"/>
      <c r="E32" s="75"/>
      <c r="F32" s="75"/>
      <c r="G32" s="75"/>
      <c r="H32" s="75"/>
      <c r="I32" s="75"/>
      <c r="J32" s="75"/>
      <c r="K32" s="75"/>
      <c r="L32" s="75"/>
      <c r="M32" s="75"/>
      <c r="N32" s="73"/>
      <c r="O32" s="58"/>
      <c r="P32" s="58"/>
    </row>
    <row r="33">
      <c r="A33" s="70"/>
      <c r="B33" s="75"/>
      <c r="C33" s="75"/>
      <c r="D33" s="75"/>
      <c r="E33" s="75"/>
      <c r="F33" s="75"/>
      <c r="G33" s="75"/>
      <c r="H33" s="75"/>
      <c r="I33" s="75"/>
      <c r="J33" s="75"/>
      <c r="K33" s="75"/>
      <c r="L33" s="75"/>
      <c r="M33" s="75"/>
      <c r="N33" s="72"/>
      <c r="O33" s="58"/>
      <c r="P33" s="58"/>
    </row>
    <row r="34">
      <c r="A34" s="70"/>
      <c r="B34" s="75"/>
      <c r="C34" s="75"/>
      <c r="D34" s="75"/>
      <c r="E34" s="75"/>
      <c r="F34" s="75"/>
      <c r="G34" s="75"/>
      <c r="H34" s="75"/>
      <c r="I34" s="75"/>
      <c r="J34" s="75"/>
      <c r="K34" s="75"/>
      <c r="L34" s="75"/>
      <c r="M34" s="75"/>
      <c r="N34" s="73"/>
      <c r="O34" s="58"/>
      <c r="P34" s="58"/>
    </row>
    <row r="35">
      <c r="A35" s="70"/>
      <c r="B35" s="75"/>
      <c r="C35" s="75"/>
      <c r="D35" s="75"/>
      <c r="E35" s="75"/>
      <c r="F35" s="75"/>
      <c r="G35" s="75"/>
      <c r="H35" s="75"/>
      <c r="I35" s="75"/>
      <c r="J35" s="75"/>
      <c r="K35" s="75"/>
      <c r="L35" s="75"/>
      <c r="M35" s="75"/>
      <c r="N35" s="72"/>
      <c r="O35" s="58"/>
      <c r="P35" s="58"/>
    </row>
    <row r="36">
      <c r="A36" s="70"/>
      <c r="B36" s="75"/>
      <c r="C36" s="75"/>
      <c r="D36" s="75"/>
      <c r="E36" s="75"/>
      <c r="F36" s="75"/>
      <c r="G36" s="75"/>
      <c r="H36" s="75"/>
      <c r="I36" s="75"/>
      <c r="J36" s="75"/>
      <c r="K36" s="75"/>
      <c r="L36" s="75"/>
      <c r="M36" s="75"/>
      <c r="N36" s="73"/>
      <c r="O36" s="58"/>
      <c r="P36" s="58"/>
    </row>
    <row r="37">
      <c r="A37" s="70"/>
      <c r="B37" s="75"/>
      <c r="C37" s="75"/>
      <c r="D37" s="75"/>
      <c r="E37" s="75"/>
      <c r="F37" s="75"/>
      <c r="G37" s="75"/>
      <c r="H37" s="75"/>
      <c r="I37" s="75"/>
      <c r="J37" s="75"/>
      <c r="K37" s="75"/>
      <c r="L37" s="75"/>
      <c r="M37" s="75"/>
      <c r="N37" s="72"/>
      <c r="O37" s="58"/>
      <c r="P37" s="58"/>
    </row>
    <row r="38">
      <c r="A38" s="70"/>
      <c r="B38" s="75"/>
      <c r="C38" s="75"/>
      <c r="D38" s="75"/>
      <c r="E38" s="75"/>
      <c r="F38" s="75"/>
      <c r="G38" s="75"/>
      <c r="H38" s="75"/>
      <c r="I38" s="75"/>
      <c r="J38" s="75"/>
      <c r="K38" s="75"/>
      <c r="L38" s="75"/>
      <c r="M38" s="75"/>
      <c r="N38" s="73"/>
      <c r="O38" s="58"/>
      <c r="P38" s="58"/>
    </row>
    <row r="39">
      <c r="A39" s="70"/>
      <c r="B39" s="75"/>
      <c r="C39" s="75"/>
      <c r="D39" s="75"/>
      <c r="E39" s="75"/>
      <c r="F39" s="75"/>
      <c r="G39" s="75"/>
      <c r="H39" s="75"/>
      <c r="I39" s="75"/>
      <c r="J39" s="75"/>
      <c r="K39" s="75"/>
      <c r="L39" s="75"/>
      <c r="M39" s="75"/>
      <c r="N39" s="72"/>
      <c r="O39" s="58"/>
      <c r="P39" s="58"/>
    </row>
    <row r="40">
      <c r="A40" s="70"/>
      <c r="B40" s="75"/>
      <c r="C40" s="75"/>
      <c r="D40" s="75"/>
      <c r="E40" s="75"/>
      <c r="F40" s="75"/>
      <c r="G40" s="75"/>
      <c r="H40" s="75"/>
      <c r="I40" s="75"/>
      <c r="J40" s="75"/>
      <c r="K40" s="75"/>
      <c r="L40" s="75"/>
      <c r="M40" s="75"/>
      <c r="N40" s="73"/>
      <c r="O40" s="58"/>
      <c r="P40" s="58"/>
    </row>
    <row r="41">
      <c r="A41" s="70"/>
      <c r="B41" s="75"/>
      <c r="C41" s="75"/>
      <c r="D41" s="75"/>
      <c r="E41" s="75"/>
      <c r="F41" s="75"/>
      <c r="G41" s="75"/>
      <c r="H41" s="75"/>
      <c r="I41" s="75"/>
      <c r="J41" s="75"/>
      <c r="K41" s="75"/>
      <c r="L41" s="75"/>
      <c r="M41" s="75"/>
      <c r="N41" s="72"/>
      <c r="O41" s="58"/>
      <c r="P41" s="58"/>
    </row>
    <row r="42">
      <c r="A42" s="70"/>
      <c r="B42" s="75"/>
      <c r="C42" s="75"/>
      <c r="D42" s="75"/>
      <c r="E42" s="75"/>
      <c r="F42" s="75"/>
      <c r="G42" s="75"/>
      <c r="H42" s="75"/>
      <c r="I42" s="75"/>
      <c r="J42" s="75"/>
      <c r="K42" s="75"/>
      <c r="L42" s="75"/>
      <c r="M42" s="75"/>
      <c r="N42" s="73"/>
      <c r="O42" s="58"/>
      <c r="P42" s="58"/>
    </row>
    <row r="43">
      <c r="A43" s="70"/>
      <c r="B43" s="75"/>
      <c r="C43" s="75"/>
      <c r="D43" s="75"/>
      <c r="E43" s="75"/>
      <c r="F43" s="75"/>
      <c r="G43" s="75"/>
      <c r="H43" s="75"/>
      <c r="I43" s="75"/>
      <c r="J43" s="75"/>
      <c r="K43" s="75"/>
      <c r="L43" s="75"/>
      <c r="M43" s="75"/>
      <c r="N43" s="72"/>
      <c r="O43" s="58"/>
      <c r="P43" s="58"/>
    </row>
    <row r="44">
      <c r="A44" s="70"/>
      <c r="B44" s="75"/>
      <c r="C44" s="75"/>
      <c r="D44" s="75"/>
      <c r="E44" s="75"/>
      <c r="F44" s="75"/>
      <c r="G44" s="75"/>
      <c r="H44" s="75"/>
      <c r="I44" s="75"/>
      <c r="J44" s="75"/>
      <c r="K44" s="75"/>
      <c r="L44" s="75"/>
      <c r="M44" s="75"/>
      <c r="N44" s="73"/>
      <c r="O44" s="58"/>
      <c r="P44" s="58"/>
    </row>
    <row r="45">
      <c r="A45" s="70"/>
      <c r="B45" s="75"/>
      <c r="C45" s="75"/>
      <c r="D45" s="75"/>
      <c r="E45" s="75"/>
      <c r="F45" s="75"/>
      <c r="G45" s="75"/>
      <c r="H45" s="75"/>
      <c r="I45" s="75"/>
      <c r="J45" s="75"/>
      <c r="K45" s="75"/>
      <c r="L45" s="75"/>
      <c r="M45" s="75"/>
      <c r="N45" s="72"/>
      <c r="O45" s="58"/>
      <c r="P45" s="58"/>
    </row>
    <row r="46">
      <c r="A46" s="70"/>
      <c r="B46" s="75"/>
      <c r="C46" s="75"/>
      <c r="D46" s="75"/>
      <c r="E46" s="75"/>
      <c r="F46" s="75"/>
      <c r="G46" s="75"/>
      <c r="H46" s="75"/>
      <c r="I46" s="75"/>
      <c r="J46" s="75"/>
      <c r="K46" s="75"/>
      <c r="L46" s="75"/>
      <c r="M46" s="75"/>
      <c r="N46" s="73"/>
      <c r="O46" s="58"/>
      <c r="P46" s="58"/>
    </row>
    <row r="47">
      <c r="A47" s="70"/>
      <c r="B47" s="75"/>
      <c r="C47" s="75"/>
      <c r="D47" s="75"/>
      <c r="E47" s="75"/>
      <c r="F47" s="75"/>
      <c r="G47" s="75"/>
      <c r="H47" s="75"/>
      <c r="I47" s="75"/>
      <c r="J47" s="75"/>
      <c r="K47" s="75"/>
      <c r="L47" s="75"/>
      <c r="M47" s="75"/>
      <c r="N47" s="72"/>
      <c r="O47" s="58"/>
      <c r="P47" s="58"/>
    </row>
    <row r="48">
      <c r="A48" s="70"/>
      <c r="B48" s="75"/>
      <c r="C48" s="75"/>
      <c r="D48" s="75"/>
      <c r="E48" s="75"/>
      <c r="F48" s="75"/>
      <c r="G48" s="75"/>
      <c r="H48" s="75"/>
      <c r="I48" s="75"/>
      <c r="J48" s="75"/>
      <c r="K48" s="75"/>
      <c r="L48" s="75"/>
      <c r="M48" s="75"/>
      <c r="N48" s="73"/>
      <c r="O48" s="58"/>
      <c r="P48" s="58"/>
    </row>
    <row r="49">
      <c r="A49" s="70"/>
      <c r="B49" s="75"/>
      <c r="C49" s="75"/>
      <c r="D49" s="75"/>
      <c r="E49" s="75"/>
      <c r="F49" s="75"/>
      <c r="G49" s="75"/>
      <c r="H49" s="75"/>
      <c r="I49" s="75"/>
      <c r="J49" s="75"/>
      <c r="K49" s="75"/>
      <c r="L49" s="75"/>
      <c r="M49" s="75"/>
      <c r="N49" s="72"/>
      <c r="O49" s="58"/>
      <c r="P49" s="58"/>
    </row>
    <row r="50">
      <c r="A50" s="70"/>
      <c r="B50" s="75"/>
      <c r="C50" s="75"/>
      <c r="D50" s="75"/>
      <c r="E50" s="75"/>
      <c r="F50" s="75"/>
      <c r="G50" s="75"/>
      <c r="H50" s="75"/>
      <c r="I50" s="75"/>
      <c r="J50" s="75"/>
      <c r="K50" s="75"/>
      <c r="L50" s="75"/>
      <c r="M50" s="75"/>
      <c r="N50" s="73"/>
      <c r="O50" s="58"/>
      <c r="P50" s="58"/>
    </row>
    <row r="51">
      <c r="A51" s="70"/>
      <c r="B51" s="75"/>
      <c r="C51" s="75"/>
      <c r="D51" s="75"/>
      <c r="E51" s="75"/>
      <c r="F51" s="75"/>
      <c r="G51" s="75"/>
      <c r="H51" s="75"/>
      <c r="I51" s="75"/>
      <c r="J51" s="75"/>
      <c r="K51" s="75"/>
      <c r="L51" s="75"/>
      <c r="M51" s="75"/>
      <c r="N51" s="72"/>
      <c r="O51" s="58"/>
      <c r="P51" s="58"/>
    </row>
    <row r="52">
      <c r="A52" s="70"/>
      <c r="B52" s="75"/>
      <c r="C52" s="75"/>
      <c r="D52" s="75"/>
      <c r="E52" s="75"/>
      <c r="F52" s="75"/>
      <c r="G52" s="75"/>
      <c r="H52" s="75"/>
      <c r="I52" s="75"/>
      <c r="J52" s="75"/>
      <c r="K52" s="75"/>
      <c r="L52" s="75"/>
      <c r="M52" s="75"/>
      <c r="N52" s="73"/>
      <c r="O52" s="58"/>
      <c r="P52" s="58"/>
    </row>
    <row r="53">
      <c r="A53" s="70"/>
      <c r="B53" s="75"/>
      <c r="C53" s="75"/>
      <c r="D53" s="75"/>
      <c r="E53" s="75"/>
      <c r="F53" s="75"/>
      <c r="G53" s="75"/>
      <c r="H53" s="75"/>
      <c r="I53" s="75"/>
      <c r="J53" s="75"/>
      <c r="K53" s="75"/>
      <c r="L53" s="75"/>
      <c r="M53" s="75"/>
      <c r="N53" s="72"/>
      <c r="O53" s="58"/>
      <c r="P53" s="58"/>
    </row>
    <row r="54">
      <c r="A54" s="70"/>
      <c r="B54" s="75"/>
      <c r="C54" s="75"/>
      <c r="D54" s="75"/>
      <c r="E54" s="75"/>
      <c r="F54" s="75"/>
      <c r="G54" s="75"/>
      <c r="H54" s="75"/>
      <c r="I54" s="75"/>
      <c r="J54" s="75"/>
      <c r="K54" s="75"/>
      <c r="L54" s="75"/>
      <c r="M54" s="75"/>
      <c r="N54" s="73"/>
      <c r="O54" s="58"/>
      <c r="P54" s="58"/>
    </row>
    <row r="55">
      <c r="A55" s="70"/>
      <c r="B55" s="75"/>
      <c r="C55" s="75"/>
      <c r="D55" s="75"/>
      <c r="E55" s="75"/>
      <c r="F55" s="75"/>
      <c r="G55" s="75"/>
      <c r="H55" s="75"/>
      <c r="I55" s="75"/>
      <c r="J55" s="75"/>
      <c r="K55" s="75"/>
      <c r="L55" s="75"/>
      <c r="M55" s="75"/>
      <c r="N55" s="72"/>
      <c r="O55" s="58"/>
      <c r="P55" s="58"/>
    </row>
    <row r="56">
      <c r="A56" s="70"/>
      <c r="B56" s="75"/>
      <c r="C56" s="75"/>
      <c r="D56" s="75"/>
      <c r="E56" s="75"/>
      <c r="F56" s="75"/>
      <c r="G56" s="75"/>
      <c r="H56" s="75"/>
      <c r="I56" s="75"/>
      <c r="J56" s="75"/>
      <c r="K56" s="75"/>
      <c r="L56" s="75"/>
      <c r="M56" s="75"/>
      <c r="N56" s="73"/>
      <c r="O56" s="58"/>
      <c r="P56" s="58"/>
    </row>
    <row r="57">
      <c r="A57" s="70"/>
      <c r="B57" s="75"/>
      <c r="C57" s="75"/>
      <c r="D57" s="75"/>
      <c r="E57" s="75"/>
      <c r="F57" s="75"/>
      <c r="G57" s="75"/>
      <c r="H57" s="75"/>
      <c r="I57" s="75"/>
      <c r="J57" s="75"/>
      <c r="K57" s="75"/>
      <c r="L57" s="75"/>
      <c r="M57" s="75"/>
      <c r="N57" s="72"/>
      <c r="O57" s="58"/>
      <c r="P57" s="58"/>
    </row>
    <row r="58">
      <c r="A58" s="70"/>
      <c r="B58" s="75"/>
      <c r="C58" s="75"/>
      <c r="D58" s="75"/>
      <c r="E58" s="75"/>
      <c r="F58" s="75"/>
      <c r="G58" s="75"/>
      <c r="H58" s="75"/>
      <c r="I58" s="75"/>
      <c r="J58" s="75"/>
      <c r="K58" s="75"/>
      <c r="L58" s="75"/>
      <c r="M58" s="75"/>
      <c r="N58" s="73"/>
      <c r="O58" s="58"/>
      <c r="P58" s="58"/>
    </row>
    <row r="59">
      <c r="A59" s="70"/>
      <c r="B59" s="75"/>
      <c r="C59" s="75"/>
      <c r="D59" s="75"/>
      <c r="E59" s="75"/>
      <c r="F59" s="75"/>
      <c r="G59" s="75"/>
      <c r="H59" s="75"/>
      <c r="I59" s="75"/>
      <c r="J59" s="75"/>
      <c r="K59" s="75"/>
      <c r="L59" s="75"/>
      <c r="M59" s="75"/>
      <c r="N59" s="72"/>
      <c r="O59" s="58"/>
      <c r="P59" s="58"/>
    </row>
    <row r="60">
      <c r="A60" s="70"/>
      <c r="B60" s="75"/>
      <c r="C60" s="75"/>
      <c r="D60" s="75"/>
      <c r="E60" s="75"/>
      <c r="F60" s="75"/>
      <c r="G60" s="75"/>
      <c r="H60" s="75"/>
      <c r="I60" s="75"/>
      <c r="J60" s="75"/>
      <c r="K60" s="75"/>
      <c r="L60" s="75"/>
      <c r="M60" s="75"/>
      <c r="N60" s="73"/>
      <c r="O60" s="58"/>
      <c r="P60" s="58"/>
    </row>
    <row r="61">
      <c r="A61" s="70"/>
      <c r="B61" s="75"/>
      <c r="C61" s="75"/>
      <c r="D61" s="75"/>
      <c r="E61" s="75"/>
      <c r="F61" s="75"/>
      <c r="G61" s="75"/>
      <c r="H61" s="75"/>
      <c r="I61" s="75"/>
      <c r="J61" s="75"/>
      <c r="K61" s="75"/>
      <c r="L61" s="75"/>
      <c r="M61" s="75"/>
      <c r="N61" s="72"/>
      <c r="O61" s="58"/>
      <c r="P61" s="58"/>
    </row>
    <row r="62">
      <c r="A62" s="70"/>
      <c r="B62" s="75"/>
      <c r="C62" s="75"/>
      <c r="D62" s="75"/>
      <c r="E62" s="75"/>
      <c r="F62" s="75"/>
      <c r="G62" s="75"/>
      <c r="H62" s="75"/>
      <c r="I62" s="75"/>
      <c r="J62" s="75"/>
      <c r="K62" s="75"/>
      <c r="L62" s="75"/>
      <c r="M62" s="75"/>
      <c r="N62" s="73"/>
      <c r="O62" s="58"/>
      <c r="P62" s="58"/>
    </row>
    <row r="63">
      <c r="A63" s="70"/>
      <c r="B63" s="75"/>
      <c r="C63" s="75"/>
      <c r="D63" s="75"/>
      <c r="E63" s="75"/>
      <c r="F63" s="75"/>
      <c r="G63" s="75"/>
      <c r="H63" s="75"/>
      <c r="I63" s="75"/>
      <c r="J63" s="75"/>
      <c r="K63" s="75"/>
      <c r="L63" s="75"/>
      <c r="M63" s="75"/>
      <c r="N63" s="72"/>
      <c r="O63" s="58"/>
      <c r="P63" s="58"/>
    </row>
    <row r="64">
      <c r="A64" s="70"/>
      <c r="B64" s="75"/>
      <c r="C64" s="75"/>
      <c r="D64" s="75"/>
      <c r="E64" s="75"/>
      <c r="F64" s="75"/>
      <c r="G64" s="75"/>
      <c r="H64" s="75"/>
      <c r="I64" s="75"/>
      <c r="J64" s="75"/>
      <c r="K64" s="75"/>
      <c r="L64" s="75"/>
      <c r="M64" s="75"/>
      <c r="N64" s="73"/>
      <c r="O64" s="58"/>
      <c r="P64" s="58"/>
    </row>
    <row r="65">
      <c r="A65" s="70"/>
      <c r="B65" s="72"/>
      <c r="C65" s="72"/>
      <c r="D65" s="72"/>
      <c r="E65" s="72"/>
      <c r="F65" s="72"/>
      <c r="G65" s="72"/>
      <c r="H65" s="72"/>
      <c r="I65" s="72"/>
      <c r="J65" s="72"/>
      <c r="K65" s="72"/>
      <c r="L65" s="72"/>
      <c r="M65" s="72"/>
      <c r="N65" s="72"/>
      <c r="O65" s="58"/>
      <c r="P65" s="58"/>
    </row>
    <row r="66">
      <c r="A66" s="70"/>
      <c r="B66" s="72"/>
      <c r="C66" s="72"/>
      <c r="D66" s="72"/>
      <c r="E66" s="72"/>
      <c r="F66" s="72"/>
      <c r="G66" s="72"/>
      <c r="H66" s="72"/>
      <c r="I66" s="72"/>
      <c r="J66" s="72"/>
      <c r="K66" s="72"/>
      <c r="L66" s="72"/>
      <c r="M66" s="72"/>
      <c r="N66" s="73"/>
      <c r="O66" s="58"/>
      <c r="P66" s="58"/>
    </row>
    <row r="67">
      <c r="A67" s="70"/>
      <c r="B67" s="72"/>
      <c r="C67" s="72"/>
      <c r="D67" s="72"/>
      <c r="E67" s="72"/>
      <c r="F67" s="72"/>
      <c r="G67" s="72"/>
      <c r="H67" s="72"/>
      <c r="I67" s="72"/>
      <c r="J67" s="72"/>
      <c r="K67" s="72"/>
      <c r="L67" s="72"/>
      <c r="M67" s="72"/>
      <c r="N67" s="72"/>
      <c r="O67" s="58"/>
      <c r="P67" s="58"/>
    </row>
    <row r="68">
      <c r="A68" s="70"/>
      <c r="B68" s="72"/>
      <c r="C68" s="72"/>
      <c r="D68" s="72"/>
      <c r="E68" s="72"/>
      <c r="F68" s="72"/>
      <c r="G68" s="72"/>
      <c r="H68" s="72"/>
      <c r="I68" s="72"/>
      <c r="J68" s="72"/>
      <c r="K68" s="72"/>
      <c r="L68" s="72"/>
      <c r="M68" s="72"/>
      <c r="N68" s="73"/>
      <c r="O68" s="58"/>
      <c r="P68" s="58"/>
    </row>
    <row r="69">
      <c r="A69" s="70"/>
      <c r="B69" s="72"/>
      <c r="C69" s="72"/>
      <c r="D69" s="72"/>
      <c r="E69" s="72"/>
      <c r="F69" s="72"/>
      <c r="G69" s="72"/>
      <c r="H69" s="72"/>
      <c r="I69" s="72"/>
      <c r="J69" s="72"/>
      <c r="K69" s="72"/>
      <c r="L69" s="72"/>
      <c r="M69" s="72"/>
      <c r="N69" s="72"/>
      <c r="O69" s="58"/>
      <c r="P69" s="58"/>
    </row>
    <row r="70">
      <c r="A70" s="70"/>
      <c r="B70" s="72"/>
      <c r="C70" s="72"/>
      <c r="D70" s="72"/>
      <c r="E70" s="72"/>
      <c r="F70" s="72"/>
      <c r="G70" s="72"/>
      <c r="H70" s="72"/>
      <c r="I70" s="72"/>
      <c r="J70" s="72"/>
      <c r="K70" s="72"/>
      <c r="L70" s="72"/>
      <c r="M70" s="72"/>
      <c r="N70" s="73"/>
      <c r="O70" s="58"/>
      <c r="P70" s="58"/>
    </row>
    <row r="71">
      <c r="A71" s="70"/>
      <c r="B71" s="72"/>
      <c r="C71" s="72"/>
      <c r="D71" s="72"/>
      <c r="E71" s="72"/>
      <c r="F71" s="72"/>
      <c r="G71" s="72"/>
      <c r="H71" s="72"/>
      <c r="I71" s="72"/>
      <c r="J71" s="72"/>
      <c r="K71" s="72"/>
      <c r="L71" s="72"/>
      <c r="M71" s="72"/>
      <c r="N71" s="72"/>
      <c r="O71" s="58"/>
      <c r="P71" s="58"/>
    </row>
    <row r="72">
      <c r="A72" s="70"/>
      <c r="B72" s="72"/>
      <c r="C72" s="72"/>
      <c r="D72" s="72"/>
      <c r="E72" s="72"/>
      <c r="F72" s="72"/>
      <c r="G72" s="72"/>
      <c r="H72" s="72"/>
      <c r="I72" s="72"/>
      <c r="J72" s="72"/>
      <c r="K72" s="72"/>
      <c r="L72" s="72"/>
      <c r="M72" s="72"/>
      <c r="N72" s="73"/>
      <c r="O72" s="58"/>
      <c r="P72" s="58"/>
    </row>
    <row r="73">
      <c r="A73" s="70"/>
      <c r="B73" s="72"/>
      <c r="C73" s="72"/>
      <c r="D73" s="72"/>
      <c r="E73" s="72"/>
      <c r="F73" s="72"/>
      <c r="G73" s="72"/>
      <c r="H73" s="72"/>
      <c r="I73" s="72"/>
      <c r="J73" s="72"/>
      <c r="K73" s="72"/>
      <c r="L73" s="72"/>
      <c r="M73" s="72"/>
      <c r="N73" s="72"/>
      <c r="O73" s="58"/>
      <c r="P73" s="58"/>
    </row>
    <row r="74">
      <c r="A74" s="70"/>
      <c r="B74" s="72"/>
      <c r="C74" s="72"/>
      <c r="D74" s="72"/>
      <c r="E74" s="72"/>
      <c r="F74" s="72"/>
      <c r="G74" s="72"/>
      <c r="H74" s="72"/>
      <c r="I74" s="72"/>
      <c r="J74" s="72"/>
      <c r="K74" s="72"/>
      <c r="L74" s="72"/>
      <c r="M74" s="72"/>
      <c r="N74" s="73"/>
      <c r="O74" s="58"/>
      <c r="P74" s="58"/>
    </row>
    <row r="75">
      <c r="A75" s="70"/>
      <c r="B75" s="72"/>
      <c r="C75" s="72"/>
      <c r="D75" s="72"/>
      <c r="E75" s="72"/>
      <c r="F75" s="72"/>
      <c r="G75" s="72"/>
      <c r="H75" s="72"/>
      <c r="I75" s="72"/>
      <c r="J75" s="72"/>
      <c r="K75" s="72"/>
      <c r="L75" s="72"/>
      <c r="M75" s="72"/>
      <c r="N75" s="72"/>
      <c r="O75" s="58"/>
      <c r="P75" s="58"/>
    </row>
    <row r="76">
      <c r="A76" s="70"/>
      <c r="B76" s="72"/>
      <c r="C76" s="72"/>
      <c r="D76" s="72"/>
      <c r="E76" s="72"/>
      <c r="F76" s="72"/>
      <c r="G76" s="72"/>
      <c r="H76" s="72"/>
      <c r="I76" s="72"/>
      <c r="J76" s="72"/>
      <c r="K76" s="72"/>
      <c r="L76" s="72"/>
      <c r="M76" s="72"/>
      <c r="N76" s="73"/>
      <c r="O76" s="58"/>
      <c r="P76" s="58"/>
    </row>
    <row r="77">
      <c r="A77" s="70"/>
      <c r="B77" s="72"/>
      <c r="C77" s="72"/>
      <c r="D77" s="72"/>
      <c r="E77" s="72"/>
      <c r="F77" s="72"/>
      <c r="G77" s="72"/>
      <c r="H77" s="72"/>
      <c r="I77" s="72"/>
      <c r="J77" s="72"/>
      <c r="K77" s="72"/>
      <c r="L77" s="72"/>
      <c r="M77" s="72"/>
      <c r="N77" s="72"/>
      <c r="O77" s="58"/>
      <c r="P77" s="58"/>
    </row>
    <row r="78">
      <c r="A78" s="70"/>
      <c r="B78" s="72"/>
      <c r="C78" s="72"/>
      <c r="D78" s="72"/>
      <c r="E78" s="72"/>
      <c r="F78" s="72"/>
      <c r="G78" s="72"/>
      <c r="H78" s="72"/>
      <c r="I78" s="72"/>
      <c r="J78" s="72"/>
      <c r="K78" s="72"/>
      <c r="L78" s="72"/>
      <c r="M78" s="72"/>
      <c r="N78" s="73"/>
      <c r="O78" s="58"/>
      <c r="P78" s="58"/>
    </row>
    <row r="79">
      <c r="A79" s="75"/>
      <c r="B79" s="72"/>
      <c r="C79" s="72"/>
      <c r="D79" s="72"/>
      <c r="E79" s="72"/>
      <c r="F79" s="72"/>
      <c r="G79" s="72"/>
      <c r="H79" s="72"/>
      <c r="I79" s="72"/>
      <c r="J79" s="72"/>
      <c r="K79" s="72"/>
      <c r="L79" s="72"/>
      <c r="M79" s="72"/>
      <c r="N79" s="72"/>
      <c r="O79" s="58"/>
      <c r="P79" s="58"/>
    </row>
    <row r="80">
      <c r="A80" s="72"/>
      <c r="B80" s="72"/>
      <c r="C80" s="72"/>
      <c r="D80" s="72"/>
      <c r="E80" s="72"/>
      <c r="F80" s="72"/>
      <c r="G80" s="72"/>
      <c r="H80" s="72"/>
      <c r="I80" s="72"/>
      <c r="J80" s="72"/>
      <c r="K80" s="72"/>
      <c r="L80" s="72"/>
      <c r="M80" s="72"/>
      <c r="N80" s="73"/>
      <c r="O80" s="58"/>
      <c r="P80" s="58"/>
    </row>
    <row r="81">
      <c r="A81" s="72"/>
      <c r="B81" s="72"/>
      <c r="C81" s="72"/>
      <c r="D81" s="72"/>
      <c r="E81" s="72"/>
      <c r="F81" s="72"/>
      <c r="G81" s="72"/>
      <c r="H81" s="72"/>
      <c r="I81" s="72"/>
      <c r="J81" s="72"/>
      <c r="K81" s="72"/>
      <c r="L81" s="72"/>
      <c r="M81" s="72"/>
      <c r="N81" s="72"/>
      <c r="O81" s="58"/>
      <c r="P81" s="58"/>
    </row>
    <row r="82">
      <c r="A82" s="72"/>
      <c r="B82" s="72"/>
      <c r="C82" s="72"/>
      <c r="D82" s="72"/>
      <c r="E82" s="72"/>
      <c r="F82" s="72"/>
      <c r="G82" s="72"/>
      <c r="H82" s="72"/>
      <c r="I82" s="72"/>
      <c r="J82" s="72"/>
      <c r="K82" s="72"/>
      <c r="L82" s="72"/>
      <c r="M82" s="72"/>
      <c r="N82" s="73"/>
      <c r="O82" s="58"/>
      <c r="P82" s="58"/>
    </row>
    <row r="83">
      <c r="A83" s="72"/>
      <c r="B83" s="72"/>
      <c r="C83" s="72"/>
      <c r="D83" s="72"/>
      <c r="E83" s="72"/>
      <c r="F83" s="72"/>
      <c r="G83" s="72"/>
      <c r="H83" s="72"/>
      <c r="I83" s="72"/>
      <c r="J83" s="72"/>
      <c r="K83" s="72"/>
      <c r="L83" s="72"/>
      <c r="M83" s="72"/>
      <c r="N83" s="72"/>
      <c r="O83" s="58"/>
      <c r="P83" s="58"/>
    </row>
    <row r="84">
      <c r="A84" s="72"/>
      <c r="B84" s="72"/>
      <c r="C84" s="72"/>
      <c r="D84" s="72"/>
      <c r="E84" s="72"/>
      <c r="F84" s="72"/>
      <c r="G84" s="72"/>
      <c r="H84" s="72"/>
      <c r="I84" s="72"/>
      <c r="J84" s="72"/>
      <c r="K84" s="72"/>
      <c r="L84" s="72"/>
      <c r="M84" s="72"/>
      <c r="N84" s="73"/>
      <c r="O84" s="58"/>
      <c r="P84" s="58"/>
    </row>
    <row r="85">
      <c r="A85" s="72"/>
      <c r="B85" s="72"/>
      <c r="C85" s="72"/>
      <c r="D85" s="72"/>
      <c r="E85" s="72"/>
      <c r="F85" s="72"/>
      <c r="G85" s="72"/>
      <c r="H85" s="72"/>
      <c r="I85" s="72"/>
      <c r="J85" s="72"/>
      <c r="K85" s="72"/>
      <c r="L85" s="72"/>
      <c r="M85" s="72"/>
      <c r="N85" s="72"/>
      <c r="O85" s="58"/>
      <c r="P85" s="58"/>
    </row>
    <row r="86">
      <c r="A86" s="72"/>
      <c r="B86" s="72"/>
      <c r="C86" s="72"/>
      <c r="D86" s="72"/>
      <c r="E86" s="72"/>
      <c r="F86" s="72"/>
      <c r="G86" s="72"/>
      <c r="H86" s="72"/>
      <c r="I86" s="72"/>
      <c r="J86" s="72"/>
      <c r="K86" s="72"/>
      <c r="L86" s="72"/>
      <c r="M86" s="72"/>
      <c r="N86" s="73"/>
      <c r="O86" s="58"/>
      <c r="P86" s="58"/>
    </row>
    <row r="87">
      <c r="A87" s="72"/>
      <c r="B87" s="72"/>
      <c r="C87" s="72"/>
      <c r="D87" s="72"/>
      <c r="E87" s="72"/>
      <c r="F87" s="72"/>
      <c r="G87" s="72"/>
      <c r="H87" s="72"/>
      <c r="I87" s="72"/>
      <c r="J87" s="72"/>
      <c r="K87" s="72"/>
      <c r="L87" s="72"/>
      <c r="M87" s="72"/>
      <c r="N87" s="72"/>
      <c r="O87" s="58"/>
      <c r="P87" s="58"/>
    </row>
    <row r="88">
      <c r="A88" s="72"/>
      <c r="B88" s="72"/>
      <c r="C88" s="72"/>
      <c r="D88" s="72"/>
      <c r="E88" s="72"/>
      <c r="F88" s="72"/>
      <c r="G88" s="72"/>
      <c r="H88" s="72"/>
      <c r="I88" s="72"/>
      <c r="J88" s="72"/>
      <c r="K88" s="72"/>
      <c r="L88" s="72"/>
      <c r="M88" s="72"/>
      <c r="N88" s="73"/>
      <c r="O88" s="58"/>
      <c r="P88" s="58"/>
    </row>
    <row r="89">
      <c r="A89" s="72"/>
      <c r="B89" s="72"/>
      <c r="C89" s="72"/>
      <c r="D89" s="72"/>
      <c r="E89" s="72"/>
      <c r="F89" s="72"/>
      <c r="G89" s="72"/>
      <c r="H89" s="72"/>
      <c r="I89" s="72"/>
      <c r="J89" s="72"/>
      <c r="K89" s="72"/>
      <c r="L89" s="72"/>
      <c r="M89" s="72"/>
      <c r="N89" s="72"/>
      <c r="O89" s="58"/>
      <c r="P89" s="58"/>
    </row>
    <row r="90">
      <c r="A90" s="72"/>
      <c r="B90" s="72"/>
      <c r="C90" s="72"/>
      <c r="D90" s="72"/>
      <c r="E90" s="72"/>
      <c r="F90" s="72"/>
      <c r="G90" s="72"/>
      <c r="H90" s="72"/>
      <c r="I90" s="72"/>
      <c r="J90" s="72"/>
      <c r="K90" s="72"/>
      <c r="L90" s="72"/>
      <c r="M90" s="72"/>
      <c r="N90" s="73"/>
      <c r="O90" s="58"/>
      <c r="P90" s="58"/>
    </row>
    <row r="91">
      <c r="A91" s="72"/>
      <c r="B91" s="72"/>
      <c r="C91" s="72"/>
      <c r="D91" s="72"/>
      <c r="E91" s="72"/>
      <c r="F91" s="72"/>
      <c r="G91" s="72"/>
      <c r="H91" s="72"/>
      <c r="I91" s="72"/>
      <c r="J91" s="72"/>
      <c r="K91" s="72"/>
      <c r="L91" s="72"/>
      <c r="M91" s="72"/>
      <c r="N91" s="72"/>
      <c r="O91" s="58"/>
      <c r="P91" s="58"/>
    </row>
    <row r="92">
      <c r="A92" s="72"/>
      <c r="B92" s="72"/>
      <c r="C92" s="72"/>
      <c r="D92" s="72"/>
      <c r="E92" s="72"/>
      <c r="F92" s="72"/>
      <c r="G92" s="72"/>
      <c r="H92" s="72"/>
      <c r="I92" s="72"/>
      <c r="J92" s="72"/>
      <c r="K92" s="72"/>
      <c r="L92" s="72"/>
      <c r="M92" s="72"/>
      <c r="N92" s="73"/>
      <c r="O92" s="58"/>
      <c r="P92" s="58"/>
    </row>
    <row r="93">
      <c r="A93" s="72"/>
      <c r="B93" s="72"/>
      <c r="C93" s="72"/>
      <c r="D93" s="72"/>
      <c r="E93" s="72"/>
      <c r="F93" s="72"/>
      <c r="G93" s="72"/>
      <c r="H93" s="72"/>
      <c r="I93" s="72"/>
      <c r="J93" s="72"/>
      <c r="K93" s="72"/>
      <c r="L93" s="72"/>
      <c r="M93" s="72"/>
      <c r="N93" s="72"/>
      <c r="O93" s="58"/>
      <c r="P93" s="58"/>
    </row>
    <row r="94">
      <c r="A94" s="72"/>
      <c r="B94" s="72"/>
      <c r="C94" s="72"/>
      <c r="D94" s="72"/>
      <c r="E94" s="72"/>
      <c r="F94" s="72"/>
      <c r="G94" s="72"/>
      <c r="H94" s="72"/>
      <c r="I94" s="72"/>
      <c r="J94" s="72"/>
      <c r="K94" s="72"/>
      <c r="L94" s="72"/>
      <c r="M94" s="72"/>
      <c r="N94" s="73"/>
      <c r="O94" s="58"/>
      <c r="P94" s="58"/>
    </row>
    <row r="95">
      <c r="A95" s="76"/>
      <c r="B95" s="70"/>
      <c r="C95" s="70"/>
      <c r="D95" s="70"/>
      <c r="E95" s="70"/>
      <c r="F95" s="70"/>
      <c r="G95" s="70"/>
      <c r="H95" s="70"/>
      <c r="I95" s="70"/>
      <c r="J95" s="70"/>
      <c r="K95" s="70"/>
      <c r="L95" s="77"/>
      <c r="M95" s="70"/>
      <c r="N95" s="70"/>
      <c r="O95" s="58"/>
      <c r="P95" s="58"/>
    </row>
    <row r="96">
      <c r="A96" s="70"/>
      <c r="B96" s="78"/>
      <c r="C96" s="78"/>
      <c r="D96" s="78"/>
      <c r="E96" s="78"/>
      <c r="F96" s="78"/>
      <c r="G96" s="78"/>
      <c r="H96" s="78"/>
      <c r="I96" s="78"/>
      <c r="J96" s="78"/>
      <c r="K96" s="78"/>
      <c r="L96" s="79"/>
      <c r="M96" s="78"/>
      <c r="N96" s="80"/>
      <c r="O96" s="58"/>
      <c r="P96" s="58"/>
    </row>
    <row r="97">
      <c r="A97" s="81"/>
      <c r="B97" s="82"/>
      <c r="C97" s="82"/>
      <c r="D97" s="82"/>
      <c r="E97" s="82"/>
      <c r="F97" s="82"/>
      <c r="G97" s="82"/>
      <c r="H97" s="82"/>
      <c r="I97" s="82"/>
      <c r="J97" s="82"/>
      <c r="K97" s="82"/>
      <c r="L97" s="83"/>
      <c r="M97" s="82"/>
      <c r="N97" s="82"/>
      <c r="O97" s="58"/>
      <c r="P97" s="58"/>
    </row>
    <row r="98">
      <c r="A98" s="84"/>
      <c r="B98" s="81"/>
      <c r="C98" s="81"/>
      <c r="D98" s="81"/>
      <c r="E98" s="81"/>
      <c r="F98" s="81"/>
      <c r="G98" s="81"/>
      <c r="H98" s="81"/>
      <c r="I98" s="81"/>
      <c r="J98" s="81"/>
      <c r="K98" s="81"/>
      <c r="L98" s="85"/>
      <c r="M98" s="81"/>
      <c r="N98" s="86"/>
      <c r="O98" s="58"/>
      <c r="P98" s="58"/>
    </row>
    <row r="99">
      <c r="A99" s="82"/>
      <c r="B99" s="82"/>
      <c r="C99" s="82"/>
      <c r="D99" s="82"/>
      <c r="E99" s="82"/>
      <c r="F99" s="82"/>
      <c r="G99" s="82"/>
      <c r="H99" s="82"/>
      <c r="I99" s="82"/>
      <c r="J99" s="82"/>
      <c r="K99" s="82"/>
      <c r="L99" s="83"/>
      <c r="M99" s="82"/>
      <c r="N99" s="82"/>
      <c r="O99" s="58"/>
      <c r="P99" s="58"/>
    </row>
    <row r="100">
      <c r="A100" s="58"/>
      <c r="B100" s="58"/>
      <c r="C100" s="58"/>
      <c r="D100" s="58"/>
      <c r="E100" s="58"/>
      <c r="F100" s="58"/>
      <c r="G100" s="58"/>
      <c r="H100" s="58"/>
      <c r="I100" s="58"/>
      <c r="J100" s="58"/>
      <c r="K100" s="58"/>
      <c r="L100" s="58"/>
      <c r="M100" s="58"/>
      <c r="N100" s="58"/>
      <c r="O100" s="58"/>
      <c r="P100" s="58"/>
    </row>
    <row r="101">
      <c r="A101" s="58"/>
      <c r="B101" s="58"/>
      <c r="C101" s="58"/>
      <c r="D101" s="58"/>
      <c r="E101" s="58"/>
      <c r="F101" s="58"/>
      <c r="G101" s="58"/>
      <c r="H101" s="58"/>
      <c r="I101" s="58"/>
      <c r="J101" s="58"/>
      <c r="K101" s="58"/>
      <c r="L101" s="58"/>
      <c r="M101" s="58"/>
      <c r="N101" s="58"/>
      <c r="O101" s="58"/>
      <c r="P101" s="58"/>
    </row>
    <row r="102">
      <c r="A102" s="58"/>
      <c r="B102" s="58"/>
      <c r="C102" s="58"/>
      <c r="D102" s="58"/>
      <c r="E102" s="58"/>
      <c r="F102" s="58"/>
      <c r="G102" s="58"/>
      <c r="H102" s="58"/>
      <c r="I102" s="58"/>
      <c r="J102" s="58"/>
      <c r="K102" s="58"/>
      <c r="L102" s="58"/>
      <c r="M102" s="58"/>
      <c r="N102" s="58"/>
      <c r="O102" s="58"/>
      <c r="P102" s="58"/>
    </row>
    <row r="103">
      <c r="A103" s="58"/>
      <c r="B103" s="58"/>
      <c r="C103" s="58"/>
      <c r="D103" s="58"/>
      <c r="E103" s="58"/>
      <c r="F103" s="58"/>
      <c r="G103" s="58"/>
      <c r="H103" s="58"/>
      <c r="I103" s="58"/>
      <c r="J103" s="58"/>
      <c r="K103" s="58"/>
      <c r="L103" s="58"/>
      <c r="M103" s="58"/>
      <c r="N103" s="58"/>
      <c r="O103" s="58"/>
      <c r="P103" s="58"/>
    </row>
    <row r="104">
      <c r="A104" s="58"/>
      <c r="B104" s="58"/>
      <c r="C104" s="58"/>
      <c r="D104" s="58"/>
      <c r="E104" s="58"/>
      <c r="F104" s="58"/>
      <c r="G104" s="58"/>
      <c r="H104" s="58"/>
      <c r="I104" s="58"/>
      <c r="J104" s="58"/>
      <c r="K104" s="58"/>
      <c r="L104" s="58"/>
      <c r="M104" s="58"/>
      <c r="N104" s="58"/>
      <c r="O104" s="58"/>
      <c r="P104" s="58"/>
    </row>
    <row r="105">
      <c r="A105" s="58"/>
      <c r="B105" s="58"/>
      <c r="C105" s="58"/>
      <c r="D105" s="58"/>
      <c r="E105" s="58"/>
      <c r="F105" s="58"/>
      <c r="G105" s="58"/>
      <c r="H105" s="58"/>
      <c r="I105" s="58"/>
      <c r="J105" s="58"/>
      <c r="K105" s="58"/>
      <c r="L105" s="58"/>
      <c r="M105" s="58"/>
      <c r="N105" s="58"/>
      <c r="O105" s="58"/>
      <c r="P105" s="58"/>
    </row>
  </sheetData>
  <dataValidations>
    <dataValidation type="list" allowBlank="1" showErrorMessage="1" sqref="K17">
      <formula1>"High,Medium,Low"</formula1>
    </dataValidation>
    <dataValidation type="list" allowBlank="1" showErrorMessage="1" sqref="N15:N95 N97 N99">
      <formula1>"Solved,Unsolved"</formula1>
    </dataValidation>
    <dataValidation type="list" allowBlank="1" showErrorMessage="1" sqref="K15:K16 K18:K95 K97 K99">
      <formula1>"High,Medium,Low,Severity"</formula1>
    </dataValidation>
    <dataValidation type="list" allowBlank="1" showErrorMessage="1" sqref="J15:J95 J97 J99">
      <formula1>"Pass,Fail"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9.88"/>
    <col customWidth="1" min="3" max="3" width="24.63"/>
    <col customWidth="1" min="4" max="4" width="19.13"/>
    <col customWidth="1" min="5" max="5" width="18.38"/>
    <col customWidth="1" min="6" max="6" width="21.13"/>
  </cols>
  <sheetData>
    <row r="1">
      <c r="A1" s="87" t="s">
        <v>17</v>
      </c>
      <c r="B1" s="87" t="s">
        <v>18</v>
      </c>
      <c r="C1" s="88" t="s">
        <v>16</v>
      </c>
      <c r="D1" s="87" t="s">
        <v>277</v>
      </c>
      <c r="E1" s="87" t="s">
        <v>278</v>
      </c>
      <c r="F1" s="89" t="s">
        <v>279</v>
      </c>
      <c r="G1" s="90"/>
      <c r="H1" s="90"/>
      <c r="I1" s="90"/>
      <c r="J1" s="90"/>
      <c r="K1" s="90"/>
      <c r="L1" s="90"/>
      <c r="M1" s="90"/>
      <c r="N1" s="90"/>
      <c r="O1" s="90"/>
      <c r="P1" s="90"/>
      <c r="Q1" s="90"/>
      <c r="R1" s="90"/>
      <c r="S1" s="90"/>
      <c r="T1" s="90"/>
      <c r="U1" s="90"/>
      <c r="V1" s="90"/>
      <c r="W1" s="90"/>
      <c r="X1" s="90"/>
      <c r="Y1" s="90"/>
      <c r="Z1" s="90"/>
      <c r="AA1" s="90"/>
    </row>
    <row r="2">
      <c r="A2" s="91" t="str">
        <f>IFERROR(__xludf.DUMMYFUNCTION("SORT(
  SPLIT(
    UNIQUE(
      FILTER('Main Report'!B11:B1000 &amp; ""♦"" &amp; 'Main Report'!C11:C1000, LEN('Main Report'!C11:C1000))
    ),
    ""♦""
  ),
  1, TRUE, 2, TRUE
)
"),"Account")</f>
        <v>Account</v>
      </c>
      <c r="B2" s="91" t="str">
        <f>IFERROR(__xludf.DUMMYFUNCTION("""COMPUTED_VALUE"""),"Account")</f>
        <v>Account</v>
      </c>
      <c r="C2" s="91" t="str">
        <f>IFERROR(__xludf.DUMMYFUNCTION("TEXTJOIN("", "", TRUE, 
  FILTER('Main Report'!A11:A1000, 
    ('Main Report'!B11:B1000=A2) * ('Main Report'!C11:C1000=B2)
  )
)
"),"BR-001, BR-002, BR-003, BR-004, BR-005, BR-006, BR-007, BR-008")</f>
        <v>BR-001, BR-002, BR-003, BR-004, BR-005, BR-006, BR-007, BR-008</v>
      </c>
      <c r="D2" s="91">
        <f>IFERROR(__xludf.DUMMYFUNCTION("COUNTA(UNIQUE(TRANSPOSE(SPLIT(C2, "", ""))))
"),8.0)</f>
        <v>8</v>
      </c>
      <c r="E2" s="91" t="str">
        <f>IF(D2="", "", TEXT((D2 / 'Main Report'!$E$7), "0.00%"))
</f>
        <v>20.00%</v>
      </c>
      <c r="F2" s="92" t="str">
        <f>IFERROR(__xludf.DUMMYFUNCTION("IF(C2="""", """", 
   TEXTJOIN("", "", TRUE, 
      ""High: "" &amp; COUNTIF(FILTER('Main Report'!K11:K1000, ISNUMBER(MATCH('Main Report'!A11:A1000, SPLIT(C2, "", ""), 0))), ""High"") &amp; CHAR(10) &amp;
      ""Medium: "" &amp; COUNTIF(FILTER('Main Report'!K11:K1000, I"&amp;"SNUMBER(MATCH('Main Report'!A11:A1000, SPLIT(C2, "", ""), 0))), ""Medium"") &amp; CHAR(10) &amp;
      ""Low: "" &amp; COUNTIF(FILTER('Main Report'!K11:K1000, ISNUMBER(MATCH('Main Report'!A11:A1000, SPLIT(C2, "", ""), 0))), ""Low"")
   )
)
"),"High: 6
Medium: 1
Low: 1")</f>
        <v>High: 6
Medium: 1
Low: 1</v>
      </c>
      <c r="G2" s="90"/>
      <c r="H2" s="90"/>
      <c r="I2" s="90"/>
      <c r="J2" s="90"/>
      <c r="K2" s="90"/>
      <c r="L2" s="90"/>
      <c r="M2" s="90"/>
      <c r="N2" s="90"/>
      <c r="O2" s="90"/>
      <c r="P2" s="90"/>
      <c r="Q2" s="90"/>
      <c r="R2" s="90"/>
      <c r="S2" s="90"/>
      <c r="T2" s="90"/>
      <c r="U2" s="90"/>
      <c r="V2" s="90"/>
      <c r="W2" s="90"/>
      <c r="X2" s="90"/>
      <c r="Y2" s="90"/>
      <c r="Z2" s="90"/>
      <c r="AA2" s="90"/>
    </row>
    <row r="3">
      <c r="A3" s="93" t="str">
        <f>IFERROR(__xludf.DUMMYFUNCTION("""COMPUTED_VALUE"""),"Forget Password")</f>
        <v>Forget Password</v>
      </c>
      <c r="B3" s="93" t="str">
        <f>IFERROR(__xludf.DUMMYFUNCTION("""COMPUTED_VALUE"""),"Forget Password")</f>
        <v>Forget Password</v>
      </c>
      <c r="C3" s="91" t="str">
        <f>IFERROR(__xludf.DUMMYFUNCTION("TEXTJOIN("", "", TRUE, 
  FILTER('Main Report'!A12:A1001, 
    ('Main Report'!B12:B1001=A3) * ('Main Report'!C12:C1001=B3)
  )
)
"),"BR-009")</f>
        <v>BR-009</v>
      </c>
      <c r="D3" s="91">
        <f>IFERROR(__xludf.DUMMYFUNCTION("COUNTA(UNIQUE(TRANSPOSE(SPLIT(C3, "", ""))))
"),1.0)</f>
        <v>1</v>
      </c>
      <c r="E3" s="93" t="str">
        <f>IF(D3="", "", TEXT((D3 / 'Main Report'!$E$7), "0.00%"))
</f>
        <v>2.50%</v>
      </c>
      <c r="F3" s="92" t="str">
        <f>IFERROR(__xludf.DUMMYFUNCTION("IF(C3="""", """", 
   TEXTJOIN("", "", TRUE, 
      ""High: "" &amp; COUNTIF(FILTER('Main Report'!K12:K1001, ISNUMBER(MATCH('Main Report'!A12:A1001, SPLIT(C3, "", ""), 0))), ""High"") &amp; CHAR(10) &amp;
      ""Medium: "" &amp; COUNTIF(FILTER('Main Report'!K12:K1001, I"&amp;"SNUMBER(MATCH('Main Report'!A12:A1001, SPLIT(C3, "", ""), 0))), ""Medium"") &amp; CHAR(10) &amp;
      ""Low: "" &amp; COUNTIF(FILTER('Main Report'!K12:K1001, ISNUMBER(MATCH('Main Report'!A12:A1001, SPLIT(C3, "", ""), 0))), ""Low"")
   )
)
"),"High: 0
Medium: 1
Low: 0")</f>
        <v>High: 0
Medium: 1
Low: 0</v>
      </c>
      <c r="G3" s="90"/>
      <c r="H3" s="90"/>
      <c r="I3" s="90"/>
      <c r="J3" s="90"/>
      <c r="K3" s="90"/>
      <c r="L3" s="90"/>
      <c r="M3" s="90"/>
      <c r="N3" s="90"/>
      <c r="O3" s="90"/>
      <c r="P3" s="90"/>
      <c r="Q3" s="90"/>
      <c r="R3" s="90"/>
      <c r="S3" s="90"/>
      <c r="T3" s="90"/>
      <c r="U3" s="90"/>
      <c r="V3" s="90"/>
      <c r="W3" s="90"/>
      <c r="X3" s="90"/>
      <c r="Y3" s="90"/>
      <c r="Z3" s="90"/>
      <c r="AA3" s="90"/>
    </row>
    <row r="4">
      <c r="A4" s="93" t="str">
        <f>IFERROR(__xludf.DUMMYFUNCTION("""COMPUTED_VALUE"""),"History")</f>
        <v>History</v>
      </c>
      <c r="B4" s="93" t="str">
        <f>IFERROR(__xludf.DUMMYFUNCTION("""COMPUTED_VALUE"""),"History")</f>
        <v>History</v>
      </c>
      <c r="C4" s="91" t="str">
        <f>IFERROR(__xludf.DUMMYFUNCTION("TEXTJOIN("", "", TRUE, 
  FILTER('Main Report'!A13:A1002, 
    ('Main Report'!B13:B1002=A4) * ('Main Report'!C13:C1002=B4)
  )
)
"),"BR-010")</f>
        <v>BR-010</v>
      </c>
      <c r="D4" s="91">
        <f>IFERROR(__xludf.DUMMYFUNCTION("COUNTA(UNIQUE(TRANSPOSE(SPLIT(C4, "", ""))))
"),1.0)</f>
        <v>1</v>
      </c>
      <c r="E4" s="93" t="str">
        <f>IF(D4="", "", TEXT((D4 / 'Main Report'!$E$7), "0.00%"))
</f>
        <v>2.50%</v>
      </c>
      <c r="F4" s="92" t="str">
        <f>IFERROR(__xludf.DUMMYFUNCTION("IF(C4="""", """", 
   TEXTJOIN("", "", TRUE, 
      ""High: "" &amp; COUNTIF(FILTER('Main Report'!K13:K1002, ISNUMBER(MATCH('Main Report'!A13:A1002, SPLIT(C4, "", ""), 0))), ""High"") &amp; CHAR(10) &amp;
      ""Medium: "" &amp; COUNTIF(FILTER('Main Report'!K13:K1002, I"&amp;"SNUMBER(MATCH('Main Report'!A13:A1002, SPLIT(C4, "", ""), 0))), ""Medium"") &amp; CHAR(10) &amp;
      ""Low: "" &amp; COUNTIF(FILTER('Main Report'!K13:K1002, ISNUMBER(MATCH('Main Report'!A13:A1002, SPLIT(C4, "", ""), 0))), ""Low"")
   )
)
"),"High: 0
Medium: 1
Low: 0")</f>
        <v>High: 0
Medium: 1
Low: 0</v>
      </c>
      <c r="G4" s="90"/>
      <c r="H4" s="90"/>
      <c r="I4" s="90"/>
      <c r="J4" s="90"/>
      <c r="K4" s="90"/>
      <c r="L4" s="90"/>
      <c r="M4" s="90"/>
      <c r="N4" s="90"/>
      <c r="O4" s="90"/>
      <c r="P4" s="90"/>
      <c r="Q4" s="90"/>
      <c r="R4" s="90"/>
      <c r="S4" s="90"/>
      <c r="T4" s="90"/>
      <c r="U4" s="90"/>
      <c r="V4" s="90"/>
      <c r="W4" s="90"/>
      <c r="X4" s="90"/>
      <c r="Y4" s="90"/>
      <c r="Z4" s="90"/>
      <c r="AA4" s="90"/>
    </row>
    <row r="5">
      <c r="A5" s="93" t="str">
        <f>IFERROR(__xludf.DUMMYFUNCTION("""COMPUTED_VALUE"""),"Home")</f>
        <v>Home</v>
      </c>
      <c r="B5" s="93" t="str">
        <f>IFERROR(__xludf.DUMMYFUNCTION("""COMPUTED_VALUE"""),"Quick Booking")</f>
        <v>Quick Booking</v>
      </c>
      <c r="C5" s="91" t="str">
        <f>IFERROR(__xludf.DUMMYFUNCTION("TEXTJOIN("", "", TRUE, 
  FILTER('Main Report'!A14:A1003, 
    ('Main Report'!B14:B1003=A5) * ('Main Report'!C14:C1003=B5)
  )
)
"),"BR-011, BR-012, BR-013, BR-014, BR-015, BR-016, BR-017, BR-018")</f>
        <v>BR-011, BR-012, BR-013, BR-014, BR-015, BR-016, BR-017, BR-018</v>
      </c>
      <c r="D5" s="91">
        <f>IFERROR(__xludf.DUMMYFUNCTION("COUNTA(UNIQUE(TRANSPOSE(SPLIT(C5, "", ""))))
"),8.0)</f>
        <v>8</v>
      </c>
      <c r="E5" s="93" t="str">
        <f>IF(D5="", "", TEXT((D5 / 'Main Report'!$E$7), "0.00%"))
</f>
        <v>20.00%</v>
      </c>
      <c r="F5" s="92" t="str">
        <f>IFERROR(__xludf.DUMMYFUNCTION("IF(C5="""", """", 
   TEXTJOIN("", "", TRUE, 
      ""High: "" &amp; COUNTIF(FILTER('Main Report'!K14:K1003, ISNUMBER(MATCH('Main Report'!A14:A1003, SPLIT(C5, "", ""), 0))), ""High"") &amp; CHAR(10) &amp;
      ""Medium: "" &amp; COUNTIF(FILTER('Main Report'!K14:K1003, I"&amp;"SNUMBER(MATCH('Main Report'!A14:A1003, SPLIT(C5, "", ""), 0))), ""Medium"") &amp; CHAR(10) &amp;
      ""Low: "" &amp; COUNTIF(FILTER('Main Report'!K14:K1003, ISNUMBER(MATCH('Main Report'!A14:A1003, SPLIT(C5, "", ""), 0))), ""Low"")
   )
)
"),"High: 6
Medium: 2
Low: 0")</f>
        <v>High: 6
Medium: 2
Low: 0</v>
      </c>
      <c r="G5" s="90"/>
      <c r="H5" s="90"/>
      <c r="I5" s="90"/>
      <c r="J5" s="90"/>
      <c r="K5" s="90"/>
      <c r="L5" s="90"/>
      <c r="M5" s="90"/>
      <c r="N5" s="90"/>
      <c r="O5" s="90"/>
      <c r="P5" s="90"/>
      <c r="Q5" s="90"/>
      <c r="R5" s="90"/>
      <c r="S5" s="90"/>
      <c r="T5" s="90"/>
      <c r="U5" s="90"/>
      <c r="V5" s="90"/>
      <c r="W5" s="90"/>
      <c r="X5" s="90"/>
      <c r="Y5" s="90"/>
      <c r="Z5" s="90"/>
      <c r="AA5" s="90"/>
    </row>
    <row r="6">
      <c r="A6" s="93" t="str">
        <f>IFERROR(__xludf.DUMMYFUNCTION("""COMPUTED_VALUE"""),"Landing screen")</f>
        <v>Landing screen</v>
      </c>
      <c r="B6" s="93" t="str">
        <f>IFERROR(__xludf.DUMMYFUNCTION("""COMPUTED_VALUE"""),"Home")</f>
        <v>Home</v>
      </c>
      <c r="C6" s="93" t="str">
        <f>IFERROR(__xludf.DUMMYFUNCTION("TEXTJOIN("", "", TRUE, 
  FILTER('Main Report'!A15:A104, 
    ('Main Report'!B15:B104=A6) * ('Main Report'!C15:C104=B6)
  )
)
"),"BR-019, BR-020, BR-021, BR-022, BR-023, BR-024, BR-025, BR-026")</f>
        <v>BR-019, BR-020, BR-021, BR-022, BR-023, BR-024, BR-025, BR-026</v>
      </c>
      <c r="D6" s="91">
        <f>IFERROR(__xludf.DUMMYFUNCTION("COUNTA(UNIQUE(TRANSPOSE(SPLIT(C6, "", ""))))
"),8.0)</f>
        <v>8</v>
      </c>
      <c r="E6" s="93" t="str">
        <f>IF(D6="", "", TEXT((D6 / 'Main Report'!$E$7), "0.00%"))
</f>
        <v>20.00%</v>
      </c>
      <c r="F6" s="94" t="str">
        <f>IFERROR(__xludf.DUMMYFUNCTION("IF(C6="""", """", 
   TEXTJOIN("", "", TRUE, 
      ""High: "" &amp; COUNTIF(FILTER('Main Report'!K15:K104, ISNUMBER(MATCH('Main Report'!A15:A104, SPLIT(C6, "", ""), 0))), ""High"") &amp; CHAR(10) &amp;
      ""Medium: "" &amp; COUNTIF(FILTER('Main Report'!K15:K104, ISNU"&amp;"MBER(MATCH('Main Report'!A15:A104, SPLIT(C6, "", ""), 0))), ""Medium"") &amp; CHAR(10) &amp;
      ""Low: "" &amp; COUNTIF(FILTER('Main Report'!K15:K104, ISNUMBER(MATCH('Main Report'!A15:A104, SPLIT(C6, "", ""), 0))), ""Low"")
   )
)
"),"High: 3
Medium: 5
Low: 0")</f>
        <v>High: 3
Medium: 5
Low: 0</v>
      </c>
      <c r="G6" s="90"/>
      <c r="H6" s="90"/>
      <c r="I6" s="90"/>
      <c r="J6" s="90"/>
      <c r="K6" s="90"/>
      <c r="L6" s="90"/>
      <c r="M6" s="90"/>
      <c r="N6" s="90"/>
      <c r="O6" s="90"/>
      <c r="P6" s="90"/>
      <c r="Q6" s="90"/>
      <c r="R6" s="90"/>
      <c r="S6" s="90"/>
      <c r="T6" s="90"/>
      <c r="U6" s="90"/>
      <c r="V6" s="90"/>
      <c r="W6" s="90"/>
      <c r="X6" s="90"/>
      <c r="Y6" s="90"/>
      <c r="Z6" s="90"/>
      <c r="AA6" s="90"/>
    </row>
    <row r="7">
      <c r="A7" s="93" t="str">
        <f>IFERROR(__xludf.DUMMYFUNCTION("""COMPUTED_VALUE"""),"OTP")</f>
        <v>OTP</v>
      </c>
      <c r="B7" s="93" t="str">
        <f>IFERROR(__xludf.DUMMYFUNCTION("""COMPUTED_VALUE"""),"OTP")</f>
        <v>OTP</v>
      </c>
      <c r="C7" s="93" t="str">
        <f>IFERROR(__xludf.DUMMYFUNCTION("TEXTJOIN("", "", TRUE, 
  FILTER('Main Report'!A16:A105, 
    ('Main Report'!B16:B105=A7) * ('Main Report'!C16:C105=B7)
  )
)
"),"BR-027, BR-028, BR-029, BR-030")</f>
        <v>BR-027, BR-028, BR-029, BR-030</v>
      </c>
      <c r="D7" s="91">
        <f>IFERROR(__xludf.DUMMYFUNCTION("COUNTA(UNIQUE(TRANSPOSE(SPLIT(C7, "", ""))))
"),4.0)</f>
        <v>4</v>
      </c>
      <c r="E7" s="93" t="str">
        <f>IF(D7="", "", TEXT((D7 / 'Main Report'!$E$7), "0.00%"))
</f>
        <v>10.00%</v>
      </c>
      <c r="F7" s="94" t="str">
        <f>IFERROR(__xludf.DUMMYFUNCTION("IF(C7="""", """", 
   TEXTJOIN("", "", TRUE, 
      ""High: "" &amp; COUNTIF(FILTER('Main Report'!K16:K105, ISNUMBER(MATCH('Main Report'!A16:A105, SPLIT(C7, "", ""), 0))), ""High"") &amp; CHAR(10) &amp;
      ""Medium: "" &amp; COUNTIF(FILTER('Main Report'!K16:K105, ISNU"&amp;"MBER(MATCH('Main Report'!A16:A105, SPLIT(C7, "", ""), 0))), ""Medium"") &amp; CHAR(10) &amp;
      ""Low: "" &amp; COUNTIF(FILTER('Main Report'!K16:K105, ISNUMBER(MATCH('Main Report'!A16:A105, SPLIT(C7, "", ""), 0))), ""Low"")
   )
)
"),"High: 2
Medium: 2
Low: 0")</f>
        <v>High: 2
Medium: 2
Low: 0</v>
      </c>
      <c r="G7" s="90"/>
      <c r="H7" s="90"/>
      <c r="I7" s="90"/>
      <c r="J7" s="90"/>
      <c r="K7" s="90"/>
      <c r="L7" s="90"/>
      <c r="M7" s="90"/>
      <c r="N7" s="90"/>
      <c r="O7" s="90"/>
      <c r="P7" s="90"/>
      <c r="Q7" s="90"/>
      <c r="R7" s="90"/>
      <c r="S7" s="90"/>
      <c r="T7" s="90"/>
      <c r="U7" s="90"/>
      <c r="V7" s="90"/>
      <c r="W7" s="90"/>
      <c r="X7" s="90"/>
      <c r="Y7" s="90"/>
      <c r="Z7" s="90"/>
      <c r="AA7" s="90"/>
    </row>
    <row r="8">
      <c r="A8" s="93" t="str">
        <f>IFERROR(__xludf.DUMMYFUNCTION("""COMPUTED_VALUE"""),"Sign-up")</f>
        <v>Sign-up</v>
      </c>
      <c r="B8" s="93" t="str">
        <f>IFERROR(__xludf.DUMMYFUNCTION("""COMPUTED_VALUE"""),"Sign-up")</f>
        <v>Sign-up</v>
      </c>
      <c r="C8" s="93" t="str">
        <f>IFERROR(__xludf.DUMMYFUNCTION("TEXTJOIN("", "", TRUE, 
  FILTER('Main Report'!A17:A106, 
    ('Main Report'!B17:B106=A8) * ('Main Report'!C17:C106=B8)
  )
)
"),"BR-031, BR-032, BR-033, BR-034")</f>
        <v>BR-031, BR-032, BR-033, BR-034</v>
      </c>
      <c r="D8" s="91">
        <f>IFERROR(__xludf.DUMMYFUNCTION("COUNTA(UNIQUE(TRANSPOSE(SPLIT(C8, "", ""))))
"),4.0)</f>
        <v>4</v>
      </c>
      <c r="E8" s="93" t="str">
        <f>IF(D8="", "", TEXT((D8 / 'Main Report'!$E$7), "0.00%"))
</f>
        <v>10.00%</v>
      </c>
      <c r="F8" s="94" t="str">
        <f>IFERROR(__xludf.DUMMYFUNCTION("IF(C8="""", """", 
   TEXTJOIN("", "", TRUE, 
      ""High: "" &amp; COUNTIF(FILTER('Main Report'!K17:K106, ISNUMBER(MATCH('Main Report'!A17:A106, SPLIT(C8, "", ""), 0))), ""High"") &amp; CHAR(10) &amp;
      ""Medium: "" &amp; COUNTIF(FILTER('Main Report'!K17:K106, ISNU"&amp;"MBER(MATCH('Main Report'!A17:A106, SPLIT(C8, "", ""), 0))), ""Medium"") &amp; CHAR(10) &amp;
      ""Low: "" &amp; COUNTIF(FILTER('Main Report'!K17:K106, ISNUMBER(MATCH('Main Report'!A17:A106, SPLIT(C8, "", ""), 0))), ""Low"")
   )
)
"),"High: 2
Medium: 2
Low: 0")</f>
        <v>High: 2
Medium: 2
Low: 0</v>
      </c>
      <c r="G8" s="90"/>
      <c r="H8" s="90"/>
      <c r="I8" s="90"/>
      <c r="J8" s="90"/>
      <c r="K8" s="90"/>
      <c r="L8" s="90"/>
      <c r="M8" s="90"/>
      <c r="N8" s="90"/>
      <c r="O8" s="90"/>
      <c r="P8" s="90"/>
      <c r="Q8" s="90"/>
      <c r="R8" s="90"/>
      <c r="S8" s="90"/>
      <c r="T8" s="90"/>
      <c r="U8" s="90"/>
      <c r="V8" s="90"/>
      <c r="W8" s="90"/>
      <c r="X8" s="90"/>
      <c r="Y8" s="90"/>
      <c r="Z8" s="90"/>
      <c r="AA8" s="90"/>
    </row>
    <row r="9">
      <c r="A9" s="93" t="str">
        <f>IFERROR(__xludf.DUMMYFUNCTION("""COMPUTED_VALUE"""),"Vehicle Information")</f>
        <v>Vehicle Information</v>
      </c>
      <c r="B9" s="93" t="str">
        <f>IFERROR(__xludf.DUMMYFUNCTION("""COMPUTED_VALUE"""),"Vehicle Information")</f>
        <v>Vehicle Information</v>
      </c>
      <c r="C9" s="93" t="str">
        <f>IFERROR(__xludf.DUMMYFUNCTION("TEXTJOIN("", "", TRUE, 
  FILTER('Main Report'!A18:A107, 
    ('Main Report'!B18:B107=A9) * ('Main Report'!C18:C107=B9)
  )
)
"),"BR-035, BR-036, BR-037, BR-038, BR-039, BR-040")</f>
        <v>BR-035, BR-036, BR-037, BR-038, BR-039, BR-040</v>
      </c>
      <c r="D9" s="91">
        <f>IFERROR(__xludf.DUMMYFUNCTION("COUNTA(UNIQUE(TRANSPOSE(SPLIT(C9, "", ""))))
"),6.0)</f>
        <v>6</v>
      </c>
      <c r="E9" s="93" t="str">
        <f>IF(D9="", "", TEXT((D9 / 'Main Report'!$E$7), "0.00%"))
</f>
        <v>15.00%</v>
      </c>
      <c r="F9" s="94" t="str">
        <f>IFERROR(__xludf.DUMMYFUNCTION("IF(C9="""", """", 
   TEXTJOIN("", "", TRUE, 
      ""High: "" &amp; COUNTIF(FILTER('Main Report'!K18:K107, ISNUMBER(MATCH('Main Report'!A18:A107, SPLIT(C9, "", ""), 0))), ""High"") &amp; CHAR(10) &amp;
      ""Medium: "" &amp; COUNTIF(FILTER('Main Report'!K18:K107, ISNU"&amp;"MBER(MATCH('Main Report'!A18:A107, SPLIT(C9, "", ""), 0))), ""Medium"") &amp; CHAR(10) &amp;
      ""Low: "" &amp; COUNTIF(FILTER('Main Report'!K18:K107, ISNUMBER(MATCH('Main Report'!A18:A107, SPLIT(C9, "", ""), 0))), ""Low"")
   )
)
"),"High: 3
Medium: 3
Low: 0")</f>
        <v>High: 3
Medium: 3
Low: 0</v>
      </c>
      <c r="G9" s="90"/>
      <c r="H9" s="90"/>
      <c r="I9" s="90"/>
      <c r="J9" s="90"/>
      <c r="K9" s="90"/>
      <c r="L9" s="90"/>
      <c r="M9" s="90"/>
      <c r="N9" s="90"/>
      <c r="O9" s="90"/>
      <c r="P9" s="90"/>
      <c r="Q9" s="90"/>
      <c r="R9" s="90"/>
      <c r="S9" s="90"/>
      <c r="T9" s="90"/>
      <c r="U9" s="90"/>
      <c r="V9" s="90"/>
      <c r="W9" s="90"/>
      <c r="X9" s="90"/>
      <c r="Y9" s="90"/>
      <c r="Z9" s="90"/>
      <c r="AA9" s="90"/>
    </row>
    <row r="10">
      <c r="A10" s="93"/>
      <c r="B10" s="93"/>
      <c r="C10" s="93" t="str">
        <f>IFERROR(__xludf.DUMMYFUNCTION("TEXTJOIN("", "", TRUE, 
  FILTER('Main Report'!A19:A108, 
    ('Main Report'!B19:B108=A10) * ('Main Report'!C19:C108=B10)
  )
)
"),"")</f>
        <v/>
      </c>
      <c r="D10" s="93"/>
      <c r="E10" s="93" t="str">
        <f>IF(D10="", "", TEXT((D10 / 'Main Report'!$E$7), "0.00%"))
</f>
        <v/>
      </c>
      <c r="F10" s="94" t="str">
        <f>IFERROR(__xludf.DUMMYFUNCTION("IF(C10="""", """", 
   TEXTJOIN("", "", TRUE, 
      ""High: "" &amp; COUNTIF(FILTER('Main Report'!K19:K108, ISNUMBER(MATCH('Main Report'!A19:A108, SPLIT(C10, "", ""), 0))), ""High"") &amp; CHAR(10) &amp;
      ""Medium: "" &amp; COUNTIF(FILTER('Main Report'!K19:K108, IS"&amp;"NUMBER(MATCH('Main Report'!A19:A108, SPLIT(C10, "", ""), 0))), ""Medium"") &amp; CHAR(10) &amp;
      ""Low: "" &amp; COUNTIF(FILTER('Main Report'!K19:K108, ISNUMBER(MATCH('Main Report'!A19:A108, SPLIT(C10, "", ""), 0))), ""Low"")
   )
)
"),"")</f>
        <v/>
      </c>
      <c r="G10" s="90"/>
      <c r="H10" s="90"/>
      <c r="I10" s="90"/>
      <c r="J10" s="90"/>
      <c r="K10" s="90"/>
      <c r="L10" s="90"/>
      <c r="M10" s="90"/>
      <c r="N10" s="90"/>
      <c r="O10" s="90"/>
      <c r="P10" s="90"/>
      <c r="Q10" s="90"/>
      <c r="R10" s="90"/>
      <c r="S10" s="90"/>
      <c r="T10" s="90"/>
      <c r="U10" s="90"/>
      <c r="V10" s="90"/>
      <c r="W10" s="90"/>
      <c r="X10" s="90"/>
      <c r="Y10" s="90"/>
      <c r="Z10" s="90"/>
      <c r="AA10" s="90"/>
    </row>
    <row r="11">
      <c r="A11" s="93"/>
      <c r="B11" s="93"/>
      <c r="C11" s="93" t="str">
        <f>IFERROR(__xludf.DUMMYFUNCTION("TEXTJOIN("", "", TRUE, 
  FILTER('Main Report'!A20:A109, 
    ('Main Report'!B20:B109=A11) * ('Main Report'!C20:C109=B11)
  )
)
"),"")</f>
        <v/>
      </c>
      <c r="D11" s="93"/>
      <c r="E11" s="93" t="str">
        <f>IF(D11="", "", TEXT((D11 / 'Main Report'!$E$7), "0.00%"))
</f>
        <v/>
      </c>
      <c r="F11" s="94" t="str">
        <f>IFERROR(__xludf.DUMMYFUNCTION("IF(C11="""", """", 
   TEXTJOIN("", "", TRUE, 
      ""High: "" &amp; COUNTIF(FILTER('Main Report'!K20:K109, ISNUMBER(MATCH('Main Report'!A20:A109, SPLIT(C11, "", ""), 0))), ""High"") &amp; CHAR(10) &amp;
      ""Medium: "" &amp; COUNTIF(FILTER('Main Report'!K20:K109, IS"&amp;"NUMBER(MATCH('Main Report'!A20:A109, SPLIT(C11, "", ""), 0))), ""Medium"") &amp; CHAR(10) &amp;
      ""Low: "" &amp; COUNTIF(FILTER('Main Report'!K20:K109, ISNUMBER(MATCH('Main Report'!A20:A109, SPLIT(C11, "", ""), 0))), ""Low"")
   )
)
"),"")</f>
        <v/>
      </c>
      <c r="G11" s="90"/>
      <c r="H11" s="90"/>
      <c r="I11" s="90"/>
      <c r="J11" s="90"/>
      <c r="K11" s="90"/>
      <c r="L11" s="90"/>
      <c r="M11" s="90"/>
      <c r="N11" s="90"/>
      <c r="O11" s="90"/>
      <c r="P11" s="90"/>
      <c r="Q11" s="90"/>
      <c r="R11" s="90"/>
      <c r="S11" s="90"/>
      <c r="T11" s="90"/>
      <c r="U11" s="90"/>
      <c r="V11" s="90"/>
      <c r="W11" s="90"/>
      <c r="X11" s="90"/>
      <c r="Y11" s="90"/>
      <c r="Z11" s="90"/>
      <c r="AA11" s="90"/>
    </row>
    <row r="12">
      <c r="A12" s="93"/>
      <c r="B12" s="93"/>
      <c r="C12" s="93" t="str">
        <f>IFERROR(__xludf.DUMMYFUNCTION("TEXTJOIN("", "", TRUE, 
  FILTER('Main Report'!A21:A110, 
    ('Main Report'!B21:B110=A12) * ('Main Report'!C21:C110=B12)
  )
)
"),"")</f>
        <v/>
      </c>
      <c r="D12" s="93"/>
      <c r="E12" s="93" t="str">
        <f>IF(D12="", "", TEXT((D12 / 'Main Report'!$E$7), "0.00%"))
</f>
        <v/>
      </c>
      <c r="F12" s="94" t="str">
        <f>IFERROR(__xludf.DUMMYFUNCTION("IF(C12="""", """", 
   TEXTJOIN("", "", TRUE, 
      ""High: "" &amp; COUNTIF(FILTER('Main Report'!K21:K110, ISNUMBER(MATCH('Main Report'!A21:A110, SPLIT(C12, "", ""), 0))), ""High"") &amp; CHAR(10) &amp;
      ""Medium: "" &amp; COUNTIF(FILTER('Main Report'!K21:K110, IS"&amp;"NUMBER(MATCH('Main Report'!A21:A110, SPLIT(C12, "", ""), 0))), ""Medium"") &amp; CHAR(10) &amp;
      ""Low: "" &amp; COUNTIF(FILTER('Main Report'!K21:K110, ISNUMBER(MATCH('Main Report'!A21:A110, SPLIT(C12, "", ""), 0))), ""Low"")
   )
)
"),"")</f>
        <v/>
      </c>
      <c r="G12" s="90"/>
      <c r="H12" s="90"/>
      <c r="I12" s="90"/>
      <c r="J12" s="90"/>
      <c r="K12" s="90"/>
      <c r="L12" s="90"/>
      <c r="M12" s="90"/>
      <c r="N12" s="90"/>
      <c r="O12" s="90"/>
      <c r="P12" s="90"/>
      <c r="Q12" s="90"/>
      <c r="R12" s="90"/>
      <c r="S12" s="90"/>
      <c r="T12" s="90"/>
      <c r="U12" s="90"/>
      <c r="V12" s="90"/>
      <c r="W12" s="90"/>
      <c r="X12" s="90"/>
      <c r="Y12" s="90"/>
      <c r="Z12" s="90"/>
      <c r="AA12" s="90"/>
    </row>
    <row r="13">
      <c r="A13" s="93"/>
      <c r="B13" s="93"/>
      <c r="C13" s="93" t="str">
        <f>IFERROR(__xludf.DUMMYFUNCTION("TEXTJOIN("", "", TRUE, 
  FILTER('Main Report'!A22:A111, 
    ('Main Report'!B22:B111=A13) * ('Main Report'!C22:C111=B13)
  )
)
"),"")</f>
        <v/>
      </c>
      <c r="D13" s="93"/>
      <c r="E13" s="93" t="str">
        <f>IF(D13="", "", TEXT((D13 / 'Main Report'!$E$7), "0.00%"))
</f>
        <v/>
      </c>
      <c r="F13" s="94" t="str">
        <f>IFERROR(__xludf.DUMMYFUNCTION("IF(C13="""", """", 
   TEXTJOIN("", "", TRUE, 
      ""High: "" &amp; COUNTIF(FILTER('Main Report'!K22:K111, ISNUMBER(MATCH('Main Report'!A22:A111, SPLIT(C13, "", ""), 0))), ""High"") &amp; CHAR(10) &amp;
      ""Medium: "" &amp; COUNTIF(FILTER('Main Report'!K22:K111, IS"&amp;"NUMBER(MATCH('Main Report'!A22:A111, SPLIT(C13, "", ""), 0))), ""Medium"") &amp; CHAR(10) &amp;
      ""Low: "" &amp; COUNTIF(FILTER('Main Report'!K22:K111, ISNUMBER(MATCH('Main Report'!A22:A111, SPLIT(C13, "", ""), 0))), ""Low"")
   )
)
"),"")</f>
        <v/>
      </c>
      <c r="G13" s="90"/>
      <c r="H13" s="90"/>
      <c r="I13" s="90"/>
      <c r="J13" s="90"/>
      <c r="K13" s="90"/>
      <c r="L13" s="90"/>
      <c r="M13" s="90"/>
      <c r="N13" s="90"/>
      <c r="O13" s="90"/>
      <c r="P13" s="90"/>
      <c r="Q13" s="90"/>
      <c r="R13" s="90"/>
      <c r="S13" s="90"/>
      <c r="T13" s="90"/>
      <c r="U13" s="90"/>
      <c r="V13" s="90"/>
      <c r="W13" s="90"/>
      <c r="X13" s="90"/>
      <c r="Y13" s="90"/>
      <c r="Z13" s="90"/>
      <c r="AA13" s="90"/>
    </row>
    <row r="14">
      <c r="A14" s="93"/>
      <c r="B14" s="93"/>
      <c r="C14" s="93" t="str">
        <f>IFERROR(__xludf.DUMMYFUNCTION("TEXTJOIN("", "", TRUE, 
  FILTER('Main Report'!A23:A112, 
    ('Main Report'!B23:B112=A14) * ('Main Report'!C23:C112=B14)
  )
)
"),"")</f>
        <v/>
      </c>
      <c r="D14" s="93"/>
      <c r="E14" s="93" t="str">
        <f>IF(D14="", "", TEXT((D14 / 'Main Report'!$E$7), "0.00%"))
</f>
        <v/>
      </c>
      <c r="F14" s="94" t="str">
        <f>IFERROR(__xludf.DUMMYFUNCTION("IF(C14="""", """", 
   TEXTJOIN("", "", TRUE, 
      ""High: "" &amp; COUNTIF(FILTER('Main Report'!K23:K112, ISNUMBER(MATCH('Main Report'!A23:A112, SPLIT(C14, "", ""), 0))), ""High"") &amp; CHAR(10) &amp;
      ""Medium: "" &amp; COUNTIF(FILTER('Main Report'!K23:K112, IS"&amp;"NUMBER(MATCH('Main Report'!A23:A112, SPLIT(C14, "", ""), 0))), ""Medium"") &amp; CHAR(10) &amp;
      ""Low: "" &amp; COUNTIF(FILTER('Main Report'!K23:K112, ISNUMBER(MATCH('Main Report'!A23:A112, SPLIT(C14, "", ""), 0))), ""Low"")
   )
)
"),"")</f>
        <v/>
      </c>
      <c r="G14" s="90"/>
      <c r="H14" s="90"/>
      <c r="I14" s="90"/>
      <c r="J14" s="90"/>
      <c r="K14" s="90"/>
      <c r="L14" s="90"/>
      <c r="M14" s="90"/>
      <c r="N14" s="90"/>
      <c r="O14" s="90"/>
      <c r="P14" s="90"/>
      <c r="Q14" s="90"/>
      <c r="R14" s="90"/>
      <c r="S14" s="90"/>
      <c r="T14" s="90"/>
      <c r="U14" s="90"/>
      <c r="V14" s="90"/>
      <c r="W14" s="90"/>
      <c r="X14" s="90"/>
      <c r="Y14" s="90"/>
      <c r="Z14" s="90"/>
      <c r="AA14" s="90"/>
    </row>
    <row r="15">
      <c r="A15" s="93"/>
      <c r="B15" s="93"/>
      <c r="C15" s="93" t="str">
        <f>IFERROR(__xludf.DUMMYFUNCTION("TEXTJOIN("", "", TRUE, 
  FILTER('Main Report'!A24:A113, 
    ('Main Report'!B24:B113=A15) * ('Main Report'!C24:C113=B15)
  )
)
"),"")</f>
        <v/>
      </c>
      <c r="D15" s="93"/>
      <c r="E15" s="93" t="str">
        <f>IF(D15="", "", TEXT((D15 / 'Main Report'!$E$7), "0.00%"))
</f>
        <v/>
      </c>
      <c r="F15" s="94" t="str">
        <f>IFERROR(__xludf.DUMMYFUNCTION("IF(C15="""", """", 
   TEXTJOIN("", "", TRUE, 
      ""High: "" &amp; COUNTIF(FILTER('Main Report'!K24:K113, ISNUMBER(MATCH('Main Report'!A24:A113, SPLIT(C15, "", ""), 0))), ""High"") &amp; CHAR(10) &amp;
      ""Medium: "" &amp; COUNTIF(FILTER('Main Report'!K24:K113, IS"&amp;"NUMBER(MATCH('Main Report'!A24:A113, SPLIT(C15, "", ""), 0))), ""Medium"") &amp; CHAR(10) &amp;
      ""Low: "" &amp; COUNTIF(FILTER('Main Report'!K24:K113, ISNUMBER(MATCH('Main Report'!A24:A113, SPLIT(C15, "", ""), 0))), ""Low"")
   )
)
"),"")</f>
        <v/>
      </c>
      <c r="G15" s="90"/>
      <c r="H15" s="90"/>
      <c r="I15" s="90"/>
      <c r="J15" s="90"/>
      <c r="K15" s="90"/>
      <c r="L15" s="90"/>
      <c r="M15" s="90"/>
      <c r="N15" s="90"/>
      <c r="O15" s="90"/>
      <c r="P15" s="90"/>
      <c r="Q15" s="90"/>
      <c r="R15" s="90"/>
      <c r="S15" s="90"/>
      <c r="T15" s="90"/>
      <c r="U15" s="90"/>
      <c r="V15" s="90"/>
      <c r="W15" s="90"/>
      <c r="X15" s="90"/>
      <c r="Y15" s="90"/>
      <c r="Z15" s="90"/>
      <c r="AA15" s="90"/>
    </row>
    <row r="16">
      <c r="A16" s="93"/>
      <c r="B16" s="93"/>
      <c r="C16" s="93" t="str">
        <f>IFERROR(__xludf.DUMMYFUNCTION("TEXTJOIN("", "", TRUE, 
  FILTER('Main Report'!A25:A114, 
    ('Main Report'!B25:B114=A16) * ('Main Report'!C25:C114=B16)
  )
)
"),"")</f>
        <v/>
      </c>
      <c r="D16" s="93"/>
      <c r="E16" s="93" t="str">
        <f>IF(D16="", "", TEXT((D16 / 'Main Report'!$E$7), "0.00%"))
</f>
        <v/>
      </c>
      <c r="F16" s="94" t="str">
        <f>IFERROR(__xludf.DUMMYFUNCTION("IF(C16="""", """", 
   TEXTJOIN("", "", TRUE, 
      ""High: "" &amp; COUNTIF(FILTER('Main Report'!K25:K114, ISNUMBER(MATCH('Main Report'!A25:A114, SPLIT(C16, "", ""), 0))), ""High"") &amp; CHAR(10) &amp;
      ""Medium: "" &amp; COUNTIF(FILTER('Main Report'!K25:K114, IS"&amp;"NUMBER(MATCH('Main Report'!A25:A114, SPLIT(C16, "", ""), 0))), ""Medium"") &amp; CHAR(10) &amp;
      ""Low: "" &amp; COUNTIF(FILTER('Main Report'!K25:K114, ISNUMBER(MATCH('Main Report'!A25:A114, SPLIT(C16, "", ""), 0))), ""Low"")
   )
)
"),"")</f>
        <v/>
      </c>
      <c r="G16" s="90"/>
      <c r="H16" s="90"/>
      <c r="I16" s="90"/>
      <c r="J16" s="90"/>
      <c r="K16" s="90"/>
      <c r="L16" s="90"/>
      <c r="M16" s="90"/>
      <c r="N16" s="90"/>
      <c r="O16" s="90"/>
      <c r="P16" s="90"/>
      <c r="Q16" s="90"/>
      <c r="R16" s="90"/>
      <c r="S16" s="90"/>
      <c r="T16" s="90"/>
      <c r="U16" s="90"/>
      <c r="V16" s="90"/>
      <c r="W16" s="90"/>
      <c r="X16" s="90"/>
      <c r="Y16" s="90"/>
      <c r="Z16" s="90"/>
      <c r="AA16" s="90"/>
    </row>
    <row r="17">
      <c r="A17" s="93"/>
      <c r="B17" s="93"/>
      <c r="C17" s="93" t="str">
        <f>IFERROR(__xludf.DUMMYFUNCTION("TEXTJOIN("", "", TRUE, 
  FILTER('Main Report'!A26:A115, 
    ('Main Report'!B26:B115=A17) * ('Main Report'!C26:C115=B17)
  )
)
"),"")</f>
        <v/>
      </c>
      <c r="D17" s="93"/>
      <c r="E17" s="93" t="str">
        <f>IF(D17="", "", TEXT((D17 / 'Main Report'!$E$7), "0.00%"))
</f>
        <v/>
      </c>
      <c r="F17" s="94" t="str">
        <f>IFERROR(__xludf.DUMMYFUNCTION("IF(C17="""", """", 
   TEXTJOIN("", "", TRUE, 
      ""High: "" &amp; COUNTIF(FILTER('Main Report'!K26:K115, ISNUMBER(MATCH('Main Report'!A26:A115, SPLIT(C17, "", ""), 0))), ""High"") &amp; CHAR(10) &amp;
      ""Medium: "" &amp; COUNTIF(FILTER('Main Report'!K26:K115, IS"&amp;"NUMBER(MATCH('Main Report'!A26:A115, SPLIT(C17, "", ""), 0))), ""Medium"") &amp; CHAR(10) &amp;
      ""Low: "" &amp; COUNTIF(FILTER('Main Report'!K26:K115, ISNUMBER(MATCH('Main Report'!A26:A115, SPLIT(C17, "", ""), 0))), ""Low"")
   )
)
"),"")</f>
        <v/>
      </c>
      <c r="G17" s="90"/>
      <c r="H17" s="90"/>
      <c r="I17" s="90"/>
      <c r="J17" s="90"/>
      <c r="K17" s="90"/>
      <c r="L17" s="90"/>
      <c r="M17" s="90"/>
      <c r="N17" s="90"/>
      <c r="O17" s="90"/>
      <c r="P17" s="90"/>
      <c r="Q17" s="90"/>
      <c r="R17" s="90"/>
      <c r="S17" s="90"/>
      <c r="T17" s="90"/>
      <c r="U17" s="90"/>
      <c r="V17" s="90"/>
      <c r="W17" s="90"/>
      <c r="X17" s="90"/>
      <c r="Y17" s="90"/>
      <c r="Z17" s="90"/>
      <c r="AA17" s="90"/>
    </row>
    <row r="18">
      <c r="A18" s="93"/>
      <c r="B18" s="93"/>
      <c r="C18" s="93" t="str">
        <f>IFERROR(__xludf.DUMMYFUNCTION("TEXTJOIN("", "", TRUE, 
  FILTER('Main Report'!A27:A116, 
    ('Main Report'!B27:B116=A18) * ('Main Report'!C27:C116=B18)
  )
)
"),"")</f>
        <v/>
      </c>
      <c r="D18" s="93"/>
      <c r="E18" s="93" t="str">
        <f>IF(D18="", "", TEXT((D18 / 'Main Report'!$E$7), "0.00%"))
</f>
        <v/>
      </c>
      <c r="F18" s="94" t="str">
        <f>IFERROR(__xludf.DUMMYFUNCTION("IF(C18="""", """", 
   TEXTJOIN("", "", TRUE, 
      ""High: "" &amp; COUNTIF(FILTER('Main Report'!K27:K116, ISNUMBER(MATCH('Main Report'!A27:A116, SPLIT(C18, "", ""), 0))), ""High"") &amp; CHAR(10) &amp;
      ""Medium: "" &amp; COUNTIF(FILTER('Main Report'!K27:K116, IS"&amp;"NUMBER(MATCH('Main Report'!A27:A116, SPLIT(C18, "", ""), 0))), ""Medium"") &amp; CHAR(10) &amp;
      ""Low: "" &amp; COUNTIF(FILTER('Main Report'!K27:K116, ISNUMBER(MATCH('Main Report'!A27:A116, SPLIT(C18, "", ""), 0))), ""Low"")
   )
)
"),"")</f>
        <v/>
      </c>
      <c r="G18" s="90"/>
      <c r="H18" s="90"/>
      <c r="I18" s="90"/>
      <c r="J18" s="90"/>
      <c r="K18" s="90"/>
      <c r="L18" s="90"/>
      <c r="M18" s="90"/>
      <c r="N18" s="90"/>
      <c r="O18" s="90"/>
      <c r="P18" s="90"/>
      <c r="Q18" s="90"/>
      <c r="R18" s="90"/>
      <c r="S18" s="90"/>
      <c r="T18" s="90"/>
      <c r="U18" s="90"/>
      <c r="V18" s="90"/>
      <c r="W18" s="90"/>
      <c r="X18" s="90"/>
      <c r="Y18" s="90"/>
      <c r="Z18" s="90"/>
      <c r="AA18" s="90"/>
    </row>
    <row r="19">
      <c r="A19" s="93"/>
      <c r="B19" s="93"/>
      <c r="C19" s="93" t="str">
        <f>IFERROR(__xludf.DUMMYFUNCTION("TEXTJOIN("", "", TRUE, 
  FILTER('Main Report'!A28:A117, 
    ('Main Report'!B28:B117=A19) * ('Main Report'!C28:C117=B19)
  )
)
"),"")</f>
        <v/>
      </c>
      <c r="D19" s="93"/>
      <c r="E19" s="93" t="str">
        <f>IF(D19="", "", TEXT((D19 / 'Main Report'!$E$7), "0.00%"))
</f>
        <v/>
      </c>
      <c r="F19" s="94" t="str">
        <f>IFERROR(__xludf.DUMMYFUNCTION("IF(C19="""", """", 
   TEXTJOIN("", "", TRUE, 
      ""High: "" &amp; COUNTIF(FILTER('Main Report'!K28:K117, ISNUMBER(MATCH('Main Report'!A28:A117, SPLIT(C19, "", ""), 0))), ""High"") &amp; CHAR(10) &amp;
      ""Medium: "" &amp; COUNTIF(FILTER('Main Report'!K28:K117, IS"&amp;"NUMBER(MATCH('Main Report'!A28:A117, SPLIT(C19, "", ""), 0))), ""Medium"") &amp; CHAR(10) &amp;
      ""Low: "" &amp; COUNTIF(FILTER('Main Report'!K28:K117, ISNUMBER(MATCH('Main Report'!A28:A117, SPLIT(C19, "", ""), 0))), ""Low"")
   )
)
"),"")</f>
        <v/>
      </c>
      <c r="G19" s="90"/>
      <c r="H19" s="90"/>
      <c r="I19" s="90"/>
      <c r="J19" s="90"/>
      <c r="K19" s="90"/>
      <c r="L19" s="90"/>
      <c r="M19" s="90"/>
      <c r="N19" s="90"/>
      <c r="O19" s="90"/>
      <c r="P19" s="90"/>
      <c r="Q19" s="90"/>
      <c r="R19" s="90"/>
      <c r="S19" s="90"/>
      <c r="T19" s="90"/>
      <c r="U19" s="90"/>
      <c r="V19" s="90"/>
      <c r="W19" s="90"/>
      <c r="X19" s="90"/>
      <c r="Y19" s="90"/>
      <c r="Z19" s="90"/>
      <c r="AA19" s="90"/>
    </row>
    <row r="20">
      <c r="A20" s="91"/>
      <c r="B20" s="91"/>
      <c r="C20" s="93" t="str">
        <f>IFERROR(__xludf.DUMMYFUNCTION("TEXTJOIN("", "", TRUE, 
  FILTER('Main Report'!A29:A118, 
    ('Main Report'!B29:B118=A20) * ('Main Report'!C29:C118=B20)
  )
)
"),"")</f>
        <v/>
      </c>
      <c r="D20" s="93"/>
      <c r="E20" s="93" t="str">
        <f>IF(D20="", "", TEXT((D20 / 'Main Report'!$E$7), "0.00%"))
</f>
        <v/>
      </c>
      <c r="F20" s="94" t="str">
        <f>IFERROR(__xludf.DUMMYFUNCTION("IF(C20="""", """", 
   TEXTJOIN("", "", TRUE, 
      ""High: "" &amp; COUNTIF(FILTER('Main Report'!K29:K118, ISNUMBER(MATCH('Main Report'!A29:A118, SPLIT(C20, "", ""), 0))), ""High"") &amp; CHAR(10) &amp;
      ""Medium: "" &amp; COUNTIF(FILTER('Main Report'!K29:K118, IS"&amp;"NUMBER(MATCH('Main Report'!A29:A118, SPLIT(C20, "", ""), 0))), ""Medium"") &amp; CHAR(10) &amp;
      ""Low: "" &amp; COUNTIF(FILTER('Main Report'!K29:K118, ISNUMBER(MATCH('Main Report'!A29:A118, SPLIT(C20, "", ""), 0))), ""Low"")
   )
)
"),"")</f>
        <v/>
      </c>
      <c r="G20" s="90"/>
      <c r="H20" s="90"/>
      <c r="I20" s="90"/>
      <c r="J20" s="90"/>
      <c r="K20" s="90"/>
      <c r="L20" s="90"/>
      <c r="M20" s="90"/>
      <c r="N20" s="90"/>
      <c r="O20" s="90"/>
      <c r="P20" s="90"/>
      <c r="Q20" s="90"/>
      <c r="R20" s="90"/>
      <c r="S20" s="90"/>
      <c r="T20" s="90"/>
      <c r="U20" s="90"/>
      <c r="V20" s="90"/>
      <c r="W20" s="90"/>
      <c r="X20" s="90"/>
      <c r="Y20" s="90"/>
      <c r="Z20" s="90"/>
      <c r="AA20" s="90"/>
    </row>
    <row r="21">
      <c r="A21" s="93"/>
      <c r="B21" s="93"/>
      <c r="C21" s="93" t="str">
        <f>IFERROR(__xludf.DUMMYFUNCTION("TEXTJOIN("", "", TRUE, 
  FILTER('Main Report'!A30:A119, 
    ('Main Report'!B30:B119=A21) * ('Main Report'!C30:C119=B21)
  )
)
"),"")</f>
        <v/>
      </c>
      <c r="D21" s="93"/>
      <c r="E21" s="93" t="str">
        <f>IF(D21="", "", TEXT((D21 / 'Main Report'!$E$7), "0.00%"))
</f>
        <v/>
      </c>
      <c r="F21" s="94" t="str">
        <f>IFERROR(__xludf.DUMMYFUNCTION("IF(C21="""", """", 
   TEXTJOIN("", "", TRUE, 
      ""High: "" &amp; COUNTIF(FILTER('Main Report'!K30:K119, ISNUMBER(MATCH('Main Report'!A30:A119, SPLIT(C21, "", ""), 0))), ""High"") &amp; CHAR(10) &amp;
      ""Medium: "" &amp; COUNTIF(FILTER('Main Report'!K30:K119, IS"&amp;"NUMBER(MATCH('Main Report'!A30:A119, SPLIT(C21, "", ""), 0))), ""Medium"") &amp; CHAR(10) &amp;
      ""Low: "" &amp; COUNTIF(FILTER('Main Report'!K30:K119, ISNUMBER(MATCH('Main Report'!A30:A119, SPLIT(C21, "", ""), 0))), ""Low"")
   )
)
"),"")</f>
        <v/>
      </c>
      <c r="G21" s="90"/>
      <c r="H21" s="90"/>
      <c r="I21" s="90"/>
      <c r="J21" s="90"/>
      <c r="K21" s="90"/>
      <c r="L21" s="90"/>
      <c r="M21" s="90"/>
      <c r="N21" s="90"/>
      <c r="O21" s="90"/>
      <c r="P21" s="90"/>
      <c r="Q21" s="90"/>
      <c r="R21" s="90"/>
      <c r="S21" s="90"/>
      <c r="T21" s="90"/>
      <c r="U21" s="90"/>
      <c r="V21" s="90"/>
      <c r="W21" s="90"/>
      <c r="X21" s="90"/>
      <c r="Y21" s="90"/>
      <c r="Z21" s="90"/>
      <c r="AA21" s="90"/>
    </row>
    <row r="22">
      <c r="A22" s="93"/>
      <c r="B22" s="93"/>
      <c r="C22" s="93"/>
      <c r="D22" s="93"/>
      <c r="E22" s="93"/>
      <c r="F22" s="93"/>
      <c r="G22" s="90"/>
      <c r="H22" s="90"/>
      <c r="I22" s="90"/>
      <c r="J22" s="90"/>
      <c r="K22" s="90"/>
      <c r="L22" s="90"/>
      <c r="M22" s="90"/>
      <c r="N22" s="90"/>
      <c r="O22" s="90"/>
      <c r="P22" s="90"/>
      <c r="Q22" s="90"/>
      <c r="R22" s="90"/>
      <c r="S22" s="90"/>
      <c r="T22" s="90"/>
      <c r="U22" s="90"/>
      <c r="V22" s="90"/>
      <c r="W22" s="90"/>
      <c r="X22" s="90"/>
      <c r="Y22" s="90"/>
      <c r="Z22" s="90"/>
      <c r="AA22" s="90"/>
    </row>
    <row r="23">
      <c r="A23" s="93"/>
      <c r="B23" s="93"/>
      <c r="C23" s="93"/>
      <c r="D23" s="93"/>
      <c r="E23" s="93"/>
      <c r="F23" s="93"/>
      <c r="G23" s="90"/>
      <c r="H23" s="90"/>
      <c r="I23" s="90"/>
      <c r="J23" s="90"/>
      <c r="K23" s="90"/>
      <c r="L23" s="90"/>
      <c r="M23" s="90"/>
      <c r="N23" s="90"/>
      <c r="O23" s="90"/>
      <c r="P23" s="90"/>
      <c r="Q23" s="90"/>
      <c r="R23" s="90"/>
      <c r="S23" s="90"/>
      <c r="T23" s="90"/>
      <c r="U23" s="90"/>
      <c r="V23" s="90"/>
      <c r="W23" s="90"/>
      <c r="X23" s="90"/>
      <c r="Y23" s="90"/>
      <c r="Z23" s="90"/>
      <c r="AA23" s="90"/>
    </row>
    <row r="24">
      <c r="A24" s="93"/>
      <c r="B24" s="93"/>
      <c r="C24" s="93"/>
      <c r="D24" s="93"/>
      <c r="E24" s="93"/>
      <c r="F24" s="93"/>
      <c r="G24" s="90"/>
      <c r="H24" s="90"/>
      <c r="I24" s="90"/>
      <c r="J24" s="90"/>
      <c r="K24" s="90"/>
      <c r="L24" s="90"/>
      <c r="M24" s="90"/>
      <c r="N24" s="90"/>
      <c r="O24" s="90"/>
      <c r="P24" s="90"/>
      <c r="Q24" s="90"/>
      <c r="R24" s="90"/>
      <c r="S24" s="90"/>
      <c r="T24" s="90"/>
      <c r="U24" s="90"/>
      <c r="V24" s="90"/>
      <c r="W24" s="90"/>
      <c r="X24" s="90"/>
      <c r="Y24" s="90"/>
      <c r="Z24" s="90"/>
      <c r="AA24" s="90"/>
    </row>
    <row r="25">
      <c r="A25" s="90"/>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row>
    <row r="26">
      <c r="A26" s="90"/>
      <c r="B26" s="90"/>
      <c r="C26" s="90"/>
      <c r="D26" s="90"/>
      <c r="E26" s="90"/>
      <c r="F26" s="90"/>
      <c r="G26" s="90"/>
      <c r="H26" s="90"/>
      <c r="I26" s="90"/>
      <c r="J26" s="90"/>
      <c r="K26" s="90"/>
      <c r="L26" s="90"/>
      <c r="M26" s="90"/>
      <c r="N26" s="90"/>
      <c r="O26" s="90"/>
      <c r="P26" s="90"/>
      <c r="Q26" s="90"/>
      <c r="R26" s="90"/>
      <c r="S26" s="90"/>
      <c r="T26" s="90"/>
      <c r="U26" s="90"/>
      <c r="V26" s="90"/>
      <c r="W26" s="90"/>
      <c r="X26" s="90"/>
      <c r="Y26" s="90"/>
      <c r="Z26" s="90"/>
      <c r="AA26" s="90"/>
    </row>
    <row r="27">
      <c r="A27" s="90"/>
      <c r="B27" s="90"/>
      <c r="C27" s="90"/>
      <c r="D27" s="90"/>
      <c r="E27" s="90"/>
      <c r="F27" s="90"/>
      <c r="G27" s="90"/>
      <c r="H27" s="90"/>
      <c r="I27" s="90"/>
      <c r="J27" s="90"/>
      <c r="K27" s="90"/>
      <c r="L27" s="90"/>
      <c r="M27" s="90"/>
      <c r="N27" s="90"/>
      <c r="O27" s="90"/>
      <c r="P27" s="90"/>
      <c r="Q27" s="90"/>
      <c r="R27" s="90"/>
      <c r="S27" s="90"/>
      <c r="T27" s="90"/>
      <c r="U27" s="90"/>
      <c r="V27" s="90"/>
      <c r="W27" s="90"/>
      <c r="X27" s="90"/>
      <c r="Y27" s="90"/>
      <c r="Z27" s="90"/>
      <c r="AA27" s="90"/>
    </row>
    <row r="28">
      <c r="A28" s="90"/>
      <c r="B28" s="90"/>
      <c r="C28" s="90"/>
      <c r="D28" s="90"/>
      <c r="E28" s="90"/>
      <c r="F28" s="90"/>
      <c r="G28" s="90"/>
      <c r="H28" s="90"/>
      <c r="I28" s="90"/>
      <c r="J28" s="90"/>
      <c r="K28" s="90"/>
      <c r="L28" s="90"/>
      <c r="M28" s="90"/>
      <c r="N28" s="90"/>
      <c r="O28" s="90"/>
      <c r="P28" s="90"/>
      <c r="Q28" s="90"/>
      <c r="R28" s="90"/>
      <c r="S28" s="90"/>
      <c r="T28" s="90"/>
      <c r="U28" s="90"/>
      <c r="V28" s="90"/>
      <c r="W28" s="90"/>
      <c r="X28" s="90"/>
      <c r="Y28" s="90"/>
      <c r="Z28" s="90"/>
      <c r="AA28" s="90"/>
    </row>
    <row r="29">
      <c r="A29" s="90"/>
      <c r="B29" s="90"/>
      <c r="C29" s="90"/>
      <c r="D29" s="90"/>
      <c r="E29" s="90"/>
      <c r="F29" s="90"/>
      <c r="G29" s="90"/>
      <c r="H29" s="90"/>
      <c r="I29" s="90"/>
      <c r="J29" s="90"/>
      <c r="K29" s="90"/>
      <c r="L29" s="90"/>
      <c r="M29" s="90"/>
      <c r="N29" s="90"/>
      <c r="O29" s="90"/>
      <c r="P29" s="90"/>
      <c r="Q29" s="90"/>
      <c r="R29" s="90"/>
      <c r="S29" s="90"/>
      <c r="T29" s="90"/>
      <c r="U29" s="90"/>
      <c r="V29" s="90"/>
      <c r="W29" s="90"/>
      <c r="X29" s="90"/>
      <c r="Y29" s="90"/>
      <c r="Z29" s="90"/>
      <c r="AA29" s="90"/>
    </row>
    <row r="30">
      <c r="A30" s="90"/>
      <c r="B30" s="90"/>
      <c r="C30" s="90"/>
      <c r="D30" s="90"/>
      <c r="E30" s="90"/>
      <c r="F30" s="90"/>
      <c r="G30" s="90"/>
      <c r="H30" s="90"/>
      <c r="I30" s="90"/>
      <c r="J30" s="90"/>
      <c r="K30" s="90"/>
      <c r="L30" s="90"/>
      <c r="M30" s="90"/>
      <c r="N30" s="90"/>
      <c r="O30" s="90"/>
      <c r="P30" s="90"/>
      <c r="Q30" s="90"/>
      <c r="R30" s="90"/>
      <c r="S30" s="90"/>
      <c r="T30" s="90"/>
      <c r="U30" s="90"/>
      <c r="V30" s="90"/>
      <c r="W30" s="90"/>
      <c r="X30" s="90"/>
      <c r="Y30" s="90"/>
      <c r="Z30" s="90"/>
      <c r="AA30" s="90"/>
    </row>
    <row r="31">
      <c r="A31" s="90"/>
      <c r="B31" s="90"/>
      <c r="C31" s="90"/>
      <c r="D31" s="90"/>
      <c r="E31" s="90"/>
      <c r="F31" s="90"/>
      <c r="G31" s="90"/>
      <c r="H31" s="90"/>
      <c r="I31" s="90"/>
      <c r="J31" s="90"/>
      <c r="K31" s="90"/>
      <c r="L31" s="90"/>
      <c r="M31" s="90"/>
      <c r="N31" s="90"/>
      <c r="O31" s="90"/>
      <c r="P31" s="90"/>
      <c r="Q31" s="90"/>
      <c r="R31" s="90"/>
      <c r="S31" s="90"/>
      <c r="T31" s="90"/>
      <c r="U31" s="90"/>
      <c r="V31" s="90"/>
      <c r="W31" s="90"/>
      <c r="X31" s="90"/>
      <c r="Y31" s="90"/>
      <c r="Z31" s="90"/>
      <c r="AA31" s="90"/>
    </row>
    <row r="32">
      <c r="A32" s="90"/>
      <c r="B32" s="90"/>
      <c r="C32" s="90"/>
      <c r="D32" s="90"/>
      <c r="E32" s="90"/>
      <c r="F32" s="90"/>
      <c r="G32" s="90"/>
      <c r="H32" s="90"/>
      <c r="I32" s="90"/>
      <c r="J32" s="90"/>
      <c r="K32" s="90"/>
      <c r="L32" s="90"/>
      <c r="M32" s="90"/>
      <c r="N32" s="90"/>
      <c r="O32" s="90"/>
      <c r="P32" s="90"/>
      <c r="Q32" s="90"/>
      <c r="R32" s="90"/>
      <c r="S32" s="90"/>
      <c r="T32" s="90"/>
      <c r="U32" s="90"/>
      <c r="V32" s="90"/>
      <c r="W32" s="90"/>
      <c r="X32" s="90"/>
      <c r="Y32" s="90"/>
      <c r="Z32" s="90"/>
      <c r="AA32" s="90"/>
    </row>
    <row r="33">
      <c r="A33" s="90"/>
      <c r="B33" s="90"/>
      <c r="C33" s="90"/>
      <c r="D33" s="90"/>
      <c r="E33" s="90"/>
      <c r="F33" s="90"/>
      <c r="G33" s="90"/>
      <c r="H33" s="90"/>
      <c r="I33" s="90"/>
      <c r="J33" s="90"/>
      <c r="K33" s="90"/>
      <c r="L33" s="90"/>
      <c r="M33" s="90"/>
      <c r="N33" s="90"/>
      <c r="O33" s="90"/>
      <c r="P33" s="90"/>
      <c r="Q33" s="90"/>
      <c r="R33" s="90"/>
      <c r="S33" s="90"/>
      <c r="T33" s="90"/>
      <c r="U33" s="90"/>
      <c r="V33" s="90"/>
      <c r="W33" s="90"/>
      <c r="X33" s="90"/>
      <c r="Y33" s="90"/>
      <c r="Z33" s="90"/>
      <c r="AA33" s="90"/>
    </row>
    <row r="34">
      <c r="A34" s="90"/>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row>
    <row r="35">
      <c r="A35" s="90"/>
      <c r="B35" s="90"/>
      <c r="C35" s="90"/>
      <c r="D35" s="90"/>
      <c r="E35" s="90"/>
      <c r="F35" s="90"/>
      <c r="G35" s="90"/>
      <c r="H35" s="90"/>
      <c r="I35" s="90"/>
      <c r="J35" s="90"/>
      <c r="K35" s="90"/>
      <c r="L35" s="90"/>
      <c r="M35" s="90"/>
      <c r="N35" s="90"/>
      <c r="O35" s="90"/>
      <c r="P35" s="90"/>
      <c r="Q35" s="90"/>
      <c r="R35" s="90"/>
      <c r="S35" s="90"/>
      <c r="T35" s="90"/>
      <c r="U35" s="90"/>
      <c r="V35" s="90"/>
      <c r="W35" s="90"/>
      <c r="X35" s="90"/>
      <c r="Y35" s="90"/>
      <c r="Z35" s="90"/>
      <c r="AA35" s="90"/>
    </row>
    <row r="36">
      <c r="A36" s="90"/>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row>
    <row r="37">
      <c r="A37" s="90"/>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row>
    <row r="38">
      <c r="A38" s="90"/>
      <c r="B38" s="90"/>
      <c r="C38" s="90"/>
      <c r="D38" s="90"/>
      <c r="E38" s="90"/>
      <c r="F38" s="90"/>
      <c r="G38" s="90"/>
      <c r="H38" s="90"/>
      <c r="I38" s="90"/>
      <c r="J38" s="90"/>
      <c r="K38" s="90"/>
      <c r="L38" s="90"/>
      <c r="M38" s="90"/>
      <c r="N38" s="90"/>
      <c r="O38" s="90"/>
      <c r="P38" s="90"/>
      <c r="Q38" s="90"/>
      <c r="R38" s="90"/>
      <c r="S38" s="90"/>
      <c r="T38" s="90"/>
      <c r="U38" s="90"/>
      <c r="V38" s="90"/>
      <c r="W38" s="90"/>
      <c r="X38" s="90"/>
      <c r="Y38" s="90"/>
      <c r="Z38" s="90"/>
      <c r="AA38" s="90"/>
    </row>
    <row r="39">
      <c r="A39" s="90"/>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row>
    <row r="40">
      <c r="A40" s="90"/>
      <c r="B40" s="90"/>
      <c r="C40" s="90"/>
      <c r="D40" s="90"/>
      <c r="E40" s="90"/>
      <c r="F40" s="90"/>
      <c r="G40" s="90"/>
      <c r="H40" s="90"/>
      <c r="I40" s="90"/>
      <c r="J40" s="90"/>
      <c r="K40" s="90"/>
      <c r="L40" s="90"/>
      <c r="M40" s="90"/>
      <c r="N40" s="90"/>
      <c r="O40" s="90"/>
      <c r="P40" s="90"/>
      <c r="Q40" s="90"/>
      <c r="R40" s="90"/>
      <c r="S40" s="90"/>
      <c r="T40" s="90"/>
      <c r="U40" s="90"/>
      <c r="V40" s="90"/>
      <c r="W40" s="90"/>
      <c r="X40" s="90"/>
      <c r="Y40" s="90"/>
      <c r="Z40" s="90"/>
      <c r="AA40" s="90"/>
    </row>
    <row r="41">
      <c r="A41" s="90"/>
      <c r="B41" s="90"/>
      <c r="C41" s="90"/>
      <c r="D41" s="90"/>
      <c r="E41" s="90"/>
      <c r="F41" s="90"/>
      <c r="G41" s="90"/>
      <c r="H41" s="90"/>
      <c r="I41" s="90"/>
      <c r="J41" s="90"/>
      <c r="K41" s="90"/>
      <c r="L41" s="90"/>
      <c r="M41" s="90"/>
      <c r="N41" s="90"/>
      <c r="O41" s="90"/>
      <c r="P41" s="90"/>
      <c r="Q41" s="90"/>
      <c r="R41" s="90"/>
      <c r="S41" s="90"/>
      <c r="T41" s="90"/>
      <c r="U41" s="90"/>
      <c r="V41" s="90"/>
      <c r="W41" s="90"/>
      <c r="X41" s="90"/>
      <c r="Y41" s="90"/>
      <c r="Z41" s="90"/>
      <c r="AA41" s="90"/>
    </row>
    <row r="42">
      <c r="A42" s="90"/>
      <c r="B42" s="90"/>
      <c r="C42" s="90"/>
      <c r="D42" s="90"/>
      <c r="E42" s="90"/>
      <c r="F42" s="90"/>
      <c r="G42" s="90"/>
      <c r="H42" s="90"/>
      <c r="I42" s="90"/>
      <c r="J42" s="90"/>
      <c r="K42" s="90"/>
      <c r="L42" s="90"/>
      <c r="M42" s="90"/>
      <c r="N42" s="90"/>
      <c r="O42" s="90"/>
      <c r="P42" s="90"/>
      <c r="Q42" s="90"/>
      <c r="R42" s="90"/>
      <c r="S42" s="90"/>
      <c r="T42" s="90"/>
      <c r="U42" s="90"/>
      <c r="V42" s="90"/>
      <c r="W42" s="90"/>
      <c r="X42" s="90"/>
      <c r="Y42" s="90"/>
      <c r="Z42" s="90"/>
      <c r="AA42" s="90"/>
    </row>
    <row r="43">
      <c r="A43" s="90"/>
      <c r="B43" s="90"/>
      <c r="C43" s="90"/>
      <c r="D43" s="90"/>
      <c r="E43" s="90"/>
      <c r="F43" s="90"/>
      <c r="G43" s="90"/>
      <c r="H43" s="90"/>
      <c r="I43" s="90"/>
      <c r="J43" s="90"/>
      <c r="K43" s="90"/>
      <c r="L43" s="90"/>
      <c r="M43" s="90"/>
      <c r="N43" s="90"/>
      <c r="O43" s="90"/>
      <c r="P43" s="90"/>
      <c r="Q43" s="90"/>
      <c r="R43" s="90"/>
      <c r="S43" s="90"/>
      <c r="T43" s="90"/>
      <c r="U43" s="90"/>
      <c r="V43" s="90"/>
      <c r="W43" s="90"/>
      <c r="X43" s="90"/>
      <c r="Y43" s="90"/>
      <c r="Z43" s="90"/>
      <c r="AA43" s="90"/>
    </row>
    <row r="44">
      <c r="A44" s="90"/>
      <c r="B44" s="90"/>
      <c r="C44" s="90"/>
      <c r="D44" s="90"/>
      <c r="E44" s="90"/>
      <c r="F44" s="90"/>
      <c r="G44" s="90"/>
      <c r="H44" s="90"/>
      <c r="I44" s="90"/>
      <c r="J44" s="90"/>
      <c r="K44" s="90"/>
      <c r="L44" s="90"/>
      <c r="M44" s="90"/>
      <c r="N44" s="90"/>
      <c r="O44" s="90"/>
      <c r="P44" s="90"/>
      <c r="Q44" s="90"/>
      <c r="R44" s="90"/>
      <c r="S44" s="90"/>
      <c r="T44" s="90"/>
      <c r="U44" s="90"/>
      <c r="V44" s="90"/>
      <c r="W44" s="90"/>
      <c r="X44" s="90"/>
      <c r="Y44" s="90"/>
      <c r="Z44" s="90"/>
      <c r="AA44" s="90"/>
    </row>
    <row r="45">
      <c r="A45" s="90"/>
      <c r="B45" s="90"/>
      <c r="C45" s="90"/>
      <c r="D45" s="90"/>
      <c r="E45" s="90"/>
      <c r="F45" s="90"/>
      <c r="G45" s="90"/>
      <c r="H45" s="90"/>
      <c r="I45" s="90"/>
      <c r="J45" s="90"/>
      <c r="K45" s="90"/>
      <c r="L45" s="90"/>
      <c r="M45" s="90"/>
      <c r="N45" s="90"/>
      <c r="O45" s="90"/>
      <c r="P45" s="90"/>
      <c r="Q45" s="90"/>
      <c r="R45" s="90"/>
      <c r="S45" s="90"/>
      <c r="T45" s="90"/>
      <c r="U45" s="90"/>
      <c r="V45" s="90"/>
      <c r="W45" s="90"/>
      <c r="X45" s="90"/>
      <c r="Y45" s="90"/>
      <c r="Z45" s="90"/>
      <c r="AA45" s="90"/>
    </row>
    <row r="46">
      <c r="A46" s="90"/>
      <c r="B46" s="90"/>
      <c r="C46" s="90"/>
      <c r="D46" s="90"/>
      <c r="E46" s="90"/>
      <c r="F46" s="90"/>
      <c r="G46" s="90"/>
      <c r="H46" s="90"/>
      <c r="I46" s="90"/>
      <c r="J46" s="90"/>
      <c r="K46" s="90"/>
      <c r="L46" s="90"/>
      <c r="M46" s="90"/>
      <c r="N46" s="90"/>
      <c r="O46" s="90"/>
      <c r="P46" s="90"/>
      <c r="Q46" s="90"/>
      <c r="R46" s="90"/>
      <c r="S46" s="90"/>
      <c r="T46" s="90"/>
      <c r="U46" s="90"/>
      <c r="V46" s="90"/>
      <c r="W46" s="90"/>
      <c r="X46" s="90"/>
      <c r="Y46" s="90"/>
      <c r="Z46" s="90"/>
      <c r="AA46" s="90"/>
    </row>
    <row r="47">
      <c r="A47" s="90"/>
      <c r="B47" s="90"/>
      <c r="C47" s="90"/>
      <c r="D47" s="90"/>
      <c r="E47" s="90"/>
      <c r="F47" s="90"/>
      <c r="G47" s="90"/>
      <c r="H47" s="90"/>
      <c r="I47" s="90"/>
      <c r="J47" s="90"/>
      <c r="K47" s="90"/>
      <c r="L47" s="90"/>
      <c r="M47" s="90"/>
      <c r="N47" s="90"/>
      <c r="O47" s="90"/>
      <c r="P47" s="90"/>
      <c r="Q47" s="90"/>
      <c r="R47" s="90"/>
      <c r="S47" s="90"/>
      <c r="T47" s="90"/>
      <c r="U47" s="90"/>
      <c r="V47" s="90"/>
      <c r="W47" s="90"/>
      <c r="X47" s="90"/>
      <c r="Y47" s="90"/>
      <c r="Z47" s="90"/>
      <c r="AA47" s="90"/>
    </row>
    <row r="48">
      <c r="A48" s="90"/>
      <c r="B48" s="90"/>
      <c r="C48" s="90"/>
      <c r="D48" s="90"/>
      <c r="E48" s="90"/>
      <c r="F48" s="90"/>
      <c r="G48" s="90"/>
      <c r="H48" s="90"/>
      <c r="I48" s="90"/>
      <c r="J48" s="90"/>
      <c r="K48" s="90"/>
      <c r="L48" s="90"/>
      <c r="M48" s="90"/>
      <c r="N48" s="90"/>
      <c r="O48" s="90"/>
      <c r="P48" s="90"/>
      <c r="Q48" s="90"/>
      <c r="R48" s="90"/>
      <c r="S48" s="90"/>
      <c r="T48" s="90"/>
      <c r="U48" s="90"/>
      <c r="V48" s="90"/>
      <c r="W48" s="90"/>
      <c r="X48" s="90"/>
      <c r="Y48" s="90"/>
      <c r="Z48" s="90"/>
      <c r="AA48" s="90"/>
    </row>
    <row r="49">
      <c r="A49" s="90"/>
      <c r="B49" s="90"/>
      <c r="C49" s="90"/>
      <c r="D49" s="90"/>
      <c r="E49" s="90"/>
      <c r="F49" s="90"/>
      <c r="G49" s="90"/>
      <c r="H49" s="90"/>
      <c r="I49" s="90"/>
      <c r="J49" s="90"/>
      <c r="K49" s="90"/>
      <c r="L49" s="90"/>
      <c r="M49" s="90"/>
      <c r="N49" s="90"/>
      <c r="O49" s="90"/>
      <c r="P49" s="90"/>
      <c r="Q49" s="90"/>
      <c r="R49" s="90"/>
      <c r="S49" s="90"/>
      <c r="T49" s="90"/>
      <c r="U49" s="90"/>
      <c r="V49" s="90"/>
      <c r="W49" s="90"/>
      <c r="X49" s="90"/>
      <c r="Y49" s="90"/>
      <c r="Z49" s="90"/>
      <c r="AA49" s="90"/>
    </row>
    <row r="50">
      <c r="A50" s="90"/>
      <c r="B50" s="90"/>
      <c r="C50" s="90"/>
      <c r="D50" s="90"/>
      <c r="E50" s="90"/>
      <c r="F50" s="90"/>
      <c r="G50" s="90"/>
      <c r="H50" s="90"/>
      <c r="I50" s="90"/>
      <c r="J50" s="90"/>
      <c r="K50" s="90"/>
      <c r="L50" s="90"/>
      <c r="M50" s="90"/>
      <c r="N50" s="90"/>
      <c r="O50" s="90"/>
      <c r="P50" s="90"/>
      <c r="Q50" s="90"/>
      <c r="R50" s="90"/>
      <c r="S50" s="90"/>
      <c r="T50" s="90"/>
      <c r="U50" s="90"/>
      <c r="V50" s="90"/>
      <c r="W50" s="90"/>
      <c r="X50" s="90"/>
      <c r="Y50" s="90"/>
      <c r="Z50" s="90"/>
      <c r="AA50" s="90"/>
    </row>
    <row r="51">
      <c r="A51" s="90"/>
      <c r="B51" s="90"/>
      <c r="C51" s="90"/>
      <c r="D51" s="90"/>
      <c r="E51" s="90"/>
      <c r="F51" s="90"/>
      <c r="G51" s="90"/>
      <c r="H51" s="90"/>
      <c r="I51" s="90"/>
      <c r="J51" s="90"/>
      <c r="K51" s="90"/>
      <c r="L51" s="90"/>
      <c r="M51" s="90"/>
      <c r="N51" s="90"/>
      <c r="O51" s="90"/>
      <c r="P51" s="90"/>
      <c r="Q51" s="90"/>
      <c r="R51" s="90"/>
      <c r="S51" s="90"/>
      <c r="T51" s="90"/>
      <c r="U51" s="90"/>
      <c r="V51" s="90"/>
      <c r="W51" s="90"/>
      <c r="X51" s="90"/>
      <c r="Y51" s="90"/>
      <c r="Z51" s="90"/>
      <c r="AA51" s="90"/>
    </row>
    <row r="52">
      <c r="A52" s="90"/>
      <c r="B52" s="90"/>
      <c r="C52" s="90"/>
      <c r="D52" s="90"/>
      <c r="E52" s="90"/>
      <c r="F52" s="90"/>
      <c r="G52" s="90"/>
      <c r="H52" s="90"/>
      <c r="I52" s="90"/>
      <c r="J52" s="90"/>
      <c r="K52" s="90"/>
      <c r="L52" s="90"/>
      <c r="M52" s="90"/>
      <c r="N52" s="90"/>
      <c r="O52" s="90"/>
      <c r="P52" s="90"/>
      <c r="Q52" s="90"/>
      <c r="R52" s="90"/>
      <c r="S52" s="90"/>
      <c r="T52" s="90"/>
      <c r="U52" s="90"/>
      <c r="V52" s="90"/>
      <c r="W52" s="90"/>
      <c r="X52" s="90"/>
      <c r="Y52" s="90"/>
      <c r="Z52" s="90"/>
      <c r="AA52" s="90"/>
    </row>
    <row r="53">
      <c r="A53" s="90"/>
      <c r="B53" s="90"/>
      <c r="C53" s="90"/>
      <c r="D53" s="90"/>
      <c r="E53" s="90"/>
      <c r="F53" s="90"/>
      <c r="G53" s="90"/>
      <c r="H53" s="90"/>
      <c r="I53" s="90"/>
      <c r="J53" s="90"/>
      <c r="K53" s="90"/>
      <c r="L53" s="90"/>
      <c r="M53" s="90"/>
      <c r="N53" s="90"/>
      <c r="O53" s="90"/>
      <c r="P53" s="90"/>
      <c r="Q53" s="90"/>
      <c r="R53" s="90"/>
      <c r="S53" s="90"/>
      <c r="T53" s="90"/>
      <c r="U53" s="90"/>
      <c r="V53" s="90"/>
      <c r="W53" s="90"/>
      <c r="X53" s="90"/>
      <c r="Y53" s="90"/>
      <c r="Z53" s="90"/>
      <c r="AA53" s="90"/>
    </row>
    <row r="54">
      <c r="A54" s="90"/>
      <c r="B54" s="90"/>
      <c r="C54" s="90"/>
      <c r="D54" s="90"/>
      <c r="E54" s="90"/>
      <c r="F54" s="90"/>
      <c r="G54" s="90"/>
      <c r="H54" s="90"/>
      <c r="I54" s="90"/>
      <c r="J54" s="90"/>
      <c r="K54" s="90"/>
      <c r="L54" s="90"/>
      <c r="M54" s="90"/>
      <c r="N54" s="90"/>
      <c r="O54" s="90"/>
      <c r="P54" s="90"/>
      <c r="Q54" s="90"/>
      <c r="R54" s="90"/>
      <c r="S54" s="90"/>
      <c r="T54" s="90"/>
      <c r="U54" s="90"/>
      <c r="V54" s="90"/>
      <c r="W54" s="90"/>
      <c r="X54" s="90"/>
      <c r="Y54" s="90"/>
      <c r="Z54" s="90"/>
      <c r="AA54" s="90"/>
    </row>
    <row r="55">
      <c r="A55" s="90"/>
      <c r="B55" s="90"/>
      <c r="C55" s="90"/>
      <c r="D55" s="90"/>
      <c r="E55" s="90"/>
      <c r="F55" s="90"/>
      <c r="G55" s="90"/>
      <c r="H55" s="90"/>
      <c r="I55" s="90"/>
      <c r="J55" s="90"/>
      <c r="K55" s="90"/>
      <c r="L55" s="90"/>
      <c r="M55" s="90"/>
      <c r="N55" s="90"/>
      <c r="O55" s="90"/>
      <c r="P55" s="90"/>
      <c r="Q55" s="90"/>
      <c r="R55" s="90"/>
      <c r="S55" s="90"/>
      <c r="T55" s="90"/>
      <c r="U55" s="90"/>
      <c r="V55" s="90"/>
      <c r="W55" s="90"/>
      <c r="X55" s="90"/>
      <c r="Y55" s="90"/>
      <c r="Z55" s="90"/>
      <c r="AA55" s="90"/>
    </row>
    <row r="56">
      <c r="A56" s="90"/>
      <c r="B56" s="90"/>
      <c r="C56" s="90"/>
      <c r="D56" s="90"/>
      <c r="E56" s="90"/>
      <c r="F56" s="90"/>
      <c r="G56" s="90"/>
      <c r="H56" s="90"/>
      <c r="I56" s="90"/>
      <c r="J56" s="90"/>
      <c r="K56" s="90"/>
      <c r="L56" s="90"/>
      <c r="M56" s="90"/>
      <c r="N56" s="90"/>
      <c r="O56" s="90"/>
      <c r="P56" s="90"/>
      <c r="Q56" s="90"/>
      <c r="R56" s="90"/>
      <c r="S56" s="90"/>
      <c r="T56" s="90"/>
      <c r="U56" s="90"/>
      <c r="V56" s="90"/>
      <c r="W56" s="90"/>
      <c r="X56" s="90"/>
      <c r="Y56" s="90"/>
      <c r="Z56" s="90"/>
      <c r="AA56" s="90"/>
    </row>
    <row r="57">
      <c r="A57" s="90"/>
      <c r="B57" s="90"/>
      <c r="C57" s="90"/>
      <c r="D57" s="90"/>
      <c r="E57" s="90"/>
      <c r="F57" s="90"/>
      <c r="G57" s="90"/>
      <c r="H57" s="90"/>
      <c r="I57" s="90"/>
      <c r="J57" s="90"/>
      <c r="K57" s="90"/>
      <c r="L57" s="90"/>
      <c r="M57" s="90"/>
      <c r="N57" s="90"/>
      <c r="O57" s="90"/>
      <c r="P57" s="90"/>
      <c r="Q57" s="90"/>
      <c r="R57" s="90"/>
      <c r="S57" s="90"/>
      <c r="T57" s="90"/>
      <c r="U57" s="90"/>
      <c r="V57" s="90"/>
      <c r="W57" s="90"/>
      <c r="X57" s="90"/>
      <c r="Y57" s="90"/>
      <c r="Z57" s="90"/>
      <c r="AA57" s="90"/>
    </row>
    <row r="58">
      <c r="A58" s="90"/>
      <c r="B58" s="90"/>
      <c r="C58" s="90"/>
      <c r="D58" s="90"/>
      <c r="E58" s="90"/>
      <c r="F58" s="90"/>
      <c r="G58" s="90"/>
      <c r="H58" s="90"/>
      <c r="I58" s="90"/>
      <c r="J58" s="90"/>
      <c r="K58" s="90"/>
      <c r="L58" s="90"/>
      <c r="M58" s="90"/>
      <c r="N58" s="90"/>
      <c r="O58" s="90"/>
      <c r="P58" s="90"/>
      <c r="Q58" s="90"/>
      <c r="R58" s="90"/>
      <c r="S58" s="90"/>
      <c r="T58" s="90"/>
      <c r="U58" s="90"/>
      <c r="V58" s="90"/>
      <c r="W58" s="90"/>
      <c r="X58" s="90"/>
      <c r="Y58" s="90"/>
      <c r="Z58" s="90"/>
      <c r="AA58" s="90"/>
    </row>
    <row r="59">
      <c r="A59" s="90"/>
      <c r="B59" s="90"/>
      <c r="C59" s="90"/>
      <c r="D59" s="90"/>
      <c r="E59" s="90"/>
      <c r="F59" s="90"/>
      <c r="G59" s="90"/>
      <c r="H59" s="90"/>
      <c r="I59" s="90"/>
      <c r="J59" s="90"/>
      <c r="K59" s="90"/>
      <c r="L59" s="90"/>
      <c r="M59" s="90"/>
      <c r="N59" s="90"/>
      <c r="O59" s="90"/>
      <c r="P59" s="90"/>
      <c r="Q59" s="90"/>
      <c r="R59" s="90"/>
      <c r="S59" s="90"/>
      <c r="T59" s="90"/>
      <c r="U59" s="90"/>
      <c r="V59" s="90"/>
      <c r="W59" s="90"/>
      <c r="X59" s="90"/>
      <c r="Y59" s="90"/>
      <c r="Z59" s="90"/>
      <c r="AA59" s="90"/>
    </row>
    <row r="60">
      <c r="A60" s="90"/>
      <c r="B60" s="90"/>
      <c r="C60" s="90"/>
      <c r="D60" s="90"/>
      <c r="E60" s="90"/>
      <c r="F60" s="90"/>
      <c r="G60" s="90"/>
      <c r="H60" s="90"/>
      <c r="I60" s="90"/>
      <c r="J60" s="90"/>
      <c r="K60" s="90"/>
      <c r="L60" s="90"/>
      <c r="M60" s="90"/>
      <c r="N60" s="90"/>
      <c r="O60" s="90"/>
      <c r="P60" s="90"/>
      <c r="Q60" s="90"/>
      <c r="R60" s="90"/>
      <c r="S60" s="90"/>
      <c r="T60" s="90"/>
      <c r="U60" s="90"/>
      <c r="V60" s="90"/>
      <c r="W60" s="90"/>
      <c r="X60" s="90"/>
      <c r="Y60" s="90"/>
      <c r="Z60" s="90"/>
      <c r="AA60" s="90"/>
    </row>
    <row r="61">
      <c r="A61" s="90"/>
      <c r="B61" s="90"/>
      <c r="C61" s="90"/>
      <c r="D61" s="90"/>
      <c r="E61" s="90"/>
      <c r="F61" s="90"/>
      <c r="G61" s="90"/>
      <c r="H61" s="90"/>
      <c r="I61" s="90"/>
      <c r="J61" s="90"/>
      <c r="K61" s="90"/>
      <c r="L61" s="90"/>
      <c r="M61" s="90"/>
      <c r="N61" s="90"/>
      <c r="O61" s="90"/>
      <c r="P61" s="90"/>
      <c r="Q61" s="90"/>
      <c r="R61" s="90"/>
      <c r="S61" s="90"/>
      <c r="T61" s="90"/>
      <c r="U61" s="90"/>
      <c r="V61" s="90"/>
      <c r="W61" s="90"/>
      <c r="X61" s="90"/>
      <c r="Y61" s="90"/>
      <c r="Z61" s="90"/>
      <c r="AA61" s="90"/>
    </row>
    <row r="62">
      <c r="A62" s="90"/>
      <c r="B62" s="90"/>
      <c r="C62" s="90"/>
      <c r="D62" s="90"/>
      <c r="E62" s="90"/>
      <c r="F62" s="90"/>
      <c r="G62" s="90"/>
      <c r="H62" s="90"/>
      <c r="I62" s="90"/>
      <c r="J62" s="90"/>
      <c r="K62" s="90"/>
      <c r="L62" s="90"/>
      <c r="M62" s="90"/>
      <c r="N62" s="90"/>
      <c r="O62" s="90"/>
      <c r="P62" s="90"/>
      <c r="Q62" s="90"/>
      <c r="R62" s="90"/>
      <c r="S62" s="90"/>
      <c r="T62" s="90"/>
      <c r="U62" s="90"/>
      <c r="V62" s="90"/>
      <c r="W62" s="90"/>
      <c r="X62" s="90"/>
      <c r="Y62" s="90"/>
      <c r="Z62" s="90"/>
      <c r="AA62" s="90"/>
    </row>
    <row r="63">
      <c r="A63" s="90"/>
      <c r="B63" s="90"/>
      <c r="C63" s="90"/>
      <c r="D63" s="90"/>
      <c r="E63" s="90"/>
      <c r="F63" s="90"/>
      <c r="G63" s="90"/>
      <c r="H63" s="90"/>
      <c r="I63" s="90"/>
      <c r="J63" s="90"/>
      <c r="K63" s="90"/>
      <c r="L63" s="90"/>
      <c r="M63" s="90"/>
      <c r="N63" s="90"/>
      <c r="O63" s="90"/>
      <c r="P63" s="90"/>
      <c r="Q63" s="90"/>
      <c r="R63" s="90"/>
      <c r="S63" s="90"/>
      <c r="T63" s="90"/>
      <c r="U63" s="90"/>
      <c r="V63" s="90"/>
      <c r="W63" s="90"/>
      <c r="X63" s="90"/>
      <c r="Y63" s="90"/>
      <c r="Z63" s="90"/>
      <c r="AA63" s="90"/>
    </row>
    <row r="64">
      <c r="A64" s="90"/>
      <c r="B64" s="90"/>
      <c r="C64" s="90"/>
      <c r="D64" s="90"/>
      <c r="E64" s="90"/>
      <c r="F64" s="90"/>
      <c r="G64" s="90"/>
      <c r="H64" s="90"/>
      <c r="I64" s="90"/>
      <c r="J64" s="90"/>
      <c r="K64" s="90"/>
      <c r="L64" s="90"/>
      <c r="M64" s="90"/>
      <c r="N64" s="90"/>
      <c r="O64" s="90"/>
      <c r="P64" s="90"/>
      <c r="Q64" s="90"/>
      <c r="R64" s="90"/>
      <c r="S64" s="90"/>
      <c r="T64" s="90"/>
      <c r="U64" s="90"/>
      <c r="V64" s="90"/>
      <c r="W64" s="90"/>
      <c r="X64" s="90"/>
      <c r="Y64" s="90"/>
      <c r="Z64" s="90"/>
      <c r="AA64" s="90"/>
    </row>
    <row r="65">
      <c r="A65" s="90"/>
      <c r="B65" s="90"/>
      <c r="C65" s="90"/>
      <c r="D65" s="90"/>
      <c r="E65" s="90"/>
      <c r="F65" s="90"/>
      <c r="G65" s="90"/>
      <c r="H65" s="90"/>
      <c r="I65" s="90"/>
      <c r="J65" s="90"/>
      <c r="K65" s="90"/>
      <c r="L65" s="90"/>
      <c r="M65" s="90"/>
      <c r="N65" s="90"/>
      <c r="O65" s="90"/>
      <c r="P65" s="90"/>
      <c r="Q65" s="90"/>
      <c r="R65" s="90"/>
      <c r="S65" s="90"/>
      <c r="T65" s="90"/>
      <c r="U65" s="90"/>
      <c r="V65" s="90"/>
      <c r="W65" s="90"/>
      <c r="X65" s="90"/>
      <c r="Y65" s="90"/>
      <c r="Z65" s="90"/>
      <c r="AA65" s="90"/>
    </row>
    <row r="66">
      <c r="A66" s="90"/>
      <c r="B66" s="90"/>
      <c r="C66" s="90"/>
      <c r="D66" s="90"/>
      <c r="E66" s="90"/>
      <c r="F66" s="90"/>
      <c r="G66" s="90"/>
      <c r="H66" s="90"/>
      <c r="I66" s="90"/>
      <c r="J66" s="90"/>
      <c r="K66" s="90"/>
      <c r="L66" s="90"/>
      <c r="M66" s="90"/>
      <c r="N66" s="90"/>
      <c r="O66" s="90"/>
      <c r="P66" s="90"/>
      <c r="Q66" s="90"/>
      <c r="R66" s="90"/>
      <c r="S66" s="90"/>
      <c r="T66" s="90"/>
      <c r="U66" s="90"/>
      <c r="V66" s="90"/>
      <c r="W66" s="90"/>
      <c r="X66" s="90"/>
      <c r="Y66" s="90"/>
      <c r="Z66" s="90"/>
      <c r="AA66" s="90"/>
    </row>
    <row r="67">
      <c r="A67" s="90"/>
      <c r="B67" s="90"/>
      <c r="C67" s="90"/>
      <c r="D67" s="90"/>
      <c r="E67" s="90"/>
      <c r="F67" s="90"/>
      <c r="G67" s="90"/>
      <c r="H67" s="90"/>
      <c r="I67" s="90"/>
      <c r="J67" s="90"/>
      <c r="K67" s="90"/>
      <c r="L67" s="90"/>
      <c r="M67" s="90"/>
      <c r="N67" s="90"/>
      <c r="O67" s="90"/>
      <c r="P67" s="90"/>
      <c r="Q67" s="90"/>
      <c r="R67" s="90"/>
      <c r="S67" s="90"/>
      <c r="T67" s="90"/>
      <c r="U67" s="90"/>
      <c r="V67" s="90"/>
      <c r="W67" s="90"/>
      <c r="X67" s="90"/>
      <c r="Y67" s="90"/>
      <c r="Z67" s="90"/>
      <c r="AA67" s="90"/>
    </row>
    <row r="68">
      <c r="A68" s="90"/>
      <c r="B68" s="90"/>
      <c r="C68" s="90"/>
      <c r="D68" s="90"/>
      <c r="E68" s="90"/>
      <c r="F68" s="90"/>
      <c r="G68" s="90"/>
      <c r="H68" s="90"/>
      <c r="I68" s="90"/>
      <c r="J68" s="90"/>
      <c r="K68" s="90"/>
      <c r="L68" s="90"/>
      <c r="M68" s="90"/>
      <c r="N68" s="90"/>
      <c r="O68" s="90"/>
      <c r="P68" s="90"/>
      <c r="Q68" s="90"/>
      <c r="R68" s="90"/>
      <c r="S68" s="90"/>
      <c r="T68" s="90"/>
      <c r="U68" s="90"/>
      <c r="V68" s="90"/>
      <c r="W68" s="90"/>
      <c r="X68" s="90"/>
      <c r="Y68" s="90"/>
      <c r="Z68" s="90"/>
      <c r="AA68" s="90"/>
    </row>
    <row r="69">
      <c r="A69" s="90"/>
      <c r="B69" s="90"/>
      <c r="C69" s="90"/>
      <c r="D69" s="90"/>
      <c r="E69" s="90"/>
      <c r="F69" s="90"/>
      <c r="G69" s="90"/>
      <c r="H69" s="90"/>
      <c r="I69" s="90"/>
      <c r="J69" s="90"/>
      <c r="K69" s="90"/>
      <c r="L69" s="90"/>
      <c r="M69" s="90"/>
      <c r="N69" s="90"/>
      <c r="O69" s="90"/>
      <c r="P69" s="90"/>
      <c r="Q69" s="90"/>
      <c r="R69" s="90"/>
      <c r="S69" s="90"/>
      <c r="T69" s="90"/>
      <c r="U69" s="90"/>
      <c r="V69" s="90"/>
      <c r="W69" s="90"/>
      <c r="X69" s="90"/>
      <c r="Y69" s="90"/>
      <c r="Z69" s="90"/>
      <c r="AA69" s="90"/>
    </row>
    <row r="70">
      <c r="A70" s="90"/>
      <c r="B70" s="90"/>
      <c r="C70" s="90"/>
      <c r="D70" s="90"/>
      <c r="E70" s="90"/>
      <c r="F70" s="90"/>
      <c r="G70" s="90"/>
      <c r="H70" s="90"/>
      <c r="I70" s="90"/>
      <c r="J70" s="90"/>
      <c r="K70" s="90"/>
      <c r="L70" s="90"/>
      <c r="M70" s="90"/>
      <c r="N70" s="90"/>
      <c r="O70" s="90"/>
      <c r="P70" s="90"/>
      <c r="Q70" s="90"/>
      <c r="R70" s="90"/>
      <c r="S70" s="90"/>
      <c r="T70" s="90"/>
      <c r="U70" s="90"/>
      <c r="V70" s="90"/>
      <c r="W70" s="90"/>
      <c r="X70" s="90"/>
      <c r="Y70" s="90"/>
      <c r="Z70" s="90"/>
      <c r="AA70" s="90"/>
    </row>
    <row r="71">
      <c r="A71" s="90"/>
      <c r="B71" s="90"/>
      <c r="C71" s="90"/>
      <c r="D71" s="90"/>
      <c r="E71" s="90"/>
      <c r="F71" s="90"/>
      <c r="G71" s="90"/>
      <c r="H71" s="90"/>
      <c r="I71" s="90"/>
      <c r="J71" s="90"/>
      <c r="K71" s="90"/>
      <c r="L71" s="90"/>
      <c r="M71" s="90"/>
      <c r="N71" s="90"/>
      <c r="O71" s="90"/>
      <c r="P71" s="90"/>
      <c r="Q71" s="90"/>
      <c r="R71" s="90"/>
      <c r="S71" s="90"/>
      <c r="T71" s="90"/>
      <c r="U71" s="90"/>
      <c r="V71" s="90"/>
      <c r="W71" s="90"/>
      <c r="X71" s="90"/>
      <c r="Y71" s="90"/>
      <c r="Z71" s="90"/>
      <c r="AA71" s="90"/>
    </row>
    <row r="72">
      <c r="A72" s="90"/>
      <c r="B72" s="90"/>
      <c r="C72" s="90"/>
      <c r="D72" s="90"/>
      <c r="E72" s="90"/>
      <c r="F72" s="90"/>
      <c r="G72" s="90"/>
      <c r="H72" s="90"/>
      <c r="I72" s="90"/>
      <c r="J72" s="90"/>
      <c r="K72" s="90"/>
      <c r="L72" s="90"/>
      <c r="M72" s="90"/>
      <c r="N72" s="90"/>
      <c r="O72" s="90"/>
      <c r="P72" s="90"/>
      <c r="Q72" s="90"/>
      <c r="R72" s="90"/>
      <c r="S72" s="90"/>
      <c r="T72" s="90"/>
      <c r="U72" s="90"/>
      <c r="V72" s="90"/>
      <c r="W72" s="90"/>
      <c r="X72" s="90"/>
      <c r="Y72" s="90"/>
      <c r="Z72" s="90"/>
      <c r="AA72" s="90"/>
    </row>
    <row r="73">
      <c r="A73" s="90"/>
      <c r="B73" s="90"/>
      <c r="C73" s="90"/>
      <c r="D73" s="90"/>
      <c r="E73" s="90"/>
      <c r="F73" s="90"/>
      <c r="G73" s="90"/>
      <c r="H73" s="90"/>
      <c r="I73" s="90"/>
      <c r="J73" s="90"/>
      <c r="K73" s="90"/>
      <c r="L73" s="90"/>
      <c r="M73" s="90"/>
      <c r="N73" s="90"/>
      <c r="O73" s="90"/>
      <c r="P73" s="90"/>
      <c r="Q73" s="90"/>
      <c r="R73" s="90"/>
      <c r="S73" s="90"/>
      <c r="T73" s="90"/>
      <c r="U73" s="90"/>
      <c r="V73" s="90"/>
      <c r="W73" s="90"/>
      <c r="X73" s="90"/>
      <c r="Y73" s="90"/>
      <c r="Z73" s="90"/>
      <c r="AA73" s="90"/>
    </row>
    <row r="74">
      <c r="A74" s="90"/>
      <c r="B74" s="90"/>
      <c r="C74" s="90"/>
      <c r="D74" s="90"/>
      <c r="E74" s="90"/>
      <c r="F74" s="90"/>
      <c r="G74" s="90"/>
      <c r="H74" s="90"/>
      <c r="I74" s="90"/>
      <c r="J74" s="90"/>
      <c r="K74" s="90"/>
      <c r="L74" s="90"/>
      <c r="M74" s="90"/>
      <c r="N74" s="90"/>
      <c r="O74" s="90"/>
      <c r="P74" s="90"/>
      <c r="Q74" s="90"/>
      <c r="R74" s="90"/>
      <c r="S74" s="90"/>
      <c r="T74" s="90"/>
      <c r="U74" s="90"/>
      <c r="V74" s="90"/>
      <c r="W74" s="90"/>
      <c r="X74" s="90"/>
      <c r="Y74" s="90"/>
      <c r="Z74" s="90"/>
      <c r="AA74" s="90"/>
    </row>
    <row r="75">
      <c r="A75" s="90"/>
      <c r="B75" s="90"/>
      <c r="C75" s="90"/>
      <c r="D75" s="90"/>
      <c r="E75" s="90"/>
      <c r="F75" s="90"/>
      <c r="G75" s="90"/>
      <c r="H75" s="90"/>
      <c r="I75" s="90"/>
      <c r="J75" s="90"/>
      <c r="K75" s="90"/>
      <c r="L75" s="90"/>
      <c r="M75" s="90"/>
      <c r="N75" s="90"/>
      <c r="O75" s="90"/>
      <c r="P75" s="90"/>
      <c r="Q75" s="90"/>
      <c r="R75" s="90"/>
      <c r="S75" s="90"/>
      <c r="T75" s="90"/>
      <c r="U75" s="90"/>
      <c r="V75" s="90"/>
      <c r="W75" s="90"/>
      <c r="X75" s="90"/>
      <c r="Y75" s="90"/>
      <c r="Z75" s="90"/>
      <c r="AA75" s="90"/>
    </row>
    <row r="76">
      <c r="A76" s="90"/>
      <c r="B76" s="90"/>
      <c r="C76" s="90"/>
      <c r="D76" s="90"/>
      <c r="E76" s="90"/>
      <c r="F76" s="90"/>
      <c r="G76" s="90"/>
      <c r="H76" s="90"/>
      <c r="I76" s="90"/>
      <c r="J76" s="90"/>
      <c r="K76" s="90"/>
      <c r="L76" s="90"/>
      <c r="M76" s="90"/>
      <c r="N76" s="90"/>
      <c r="O76" s="90"/>
      <c r="P76" s="90"/>
      <c r="Q76" s="90"/>
      <c r="R76" s="90"/>
      <c r="S76" s="90"/>
      <c r="T76" s="90"/>
      <c r="U76" s="90"/>
      <c r="V76" s="90"/>
      <c r="W76" s="90"/>
      <c r="X76" s="90"/>
      <c r="Y76" s="90"/>
      <c r="Z76" s="90"/>
      <c r="AA76" s="90"/>
    </row>
    <row r="77">
      <c r="A77" s="90"/>
      <c r="B77" s="90"/>
      <c r="C77" s="90"/>
      <c r="D77" s="90"/>
      <c r="E77" s="90"/>
      <c r="F77" s="90"/>
      <c r="G77" s="90"/>
      <c r="H77" s="90"/>
      <c r="I77" s="90"/>
      <c r="J77" s="90"/>
      <c r="K77" s="90"/>
      <c r="L77" s="90"/>
      <c r="M77" s="90"/>
      <c r="N77" s="90"/>
      <c r="O77" s="90"/>
      <c r="P77" s="90"/>
      <c r="Q77" s="90"/>
      <c r="R77" s="90"/>
      <c r="S77" s="90"/>
      <c r="T77" s="90"/>
      <c r="U77" s="90"/>
      <c r="V77" s="90"/>
      <c r="W77" s="90"/>
      <c r="X77" s="90"/>
      <c r="Y77" s="90"/>
      <c r="Z77" s="90"/>
      <c r="AA77" s="90"/>
    </row>
    <row r="78">
      <c r="A78" s="90"/>
      <c r="B78" s="90"/>
      <c r="C78" s="90"/>
      <c r="D78" s="90"/>
      <c r="E78" s="90"/>
      <c r="F78" s="90"/>
      <c r="G78" s="90"/>
      <c r="H78" s="90"/>
      <c r="I78" s="90"/>
      <c r="J78" s="90"/>
      <c r="K78" s="90"/>
      <c r="L78" s="90"/>
      <c r="M78" s="90"/>
      <c r="N78" s="90"/>
      <c r="O78" s="90"/>
      <c r="P78" s="90"/>
      <c r="Q78" s="90"/>
      <c r="R78" s="90"/>
      <c r="S78" s="90"/>
      <c r="T78" s="90"/>
      <c r="U78" s="90"/>
      <c r="V78" s="90"/>
      <c r="W78" s="90"/>
      <c r="X78" s="90"/>
      <c r="Y78" s="90"/>
      <c r="Z78" s="90"/>
      <c r="AA78" s="90"/>
    </row>
    <row r="79">
      <c r="A79" s="90"/>
      <c r="B79" s="90"/>
      <c r="C79" s="90"/>
      <c r="D79" s="90"/>
      <c r="E79" s="90"/>
      <c r="F79" s="90"/>
      <c r="G79" s="90"/>
      <c r="H79" s="90"/>
      <c r="I79" s="90"/>
      <c r="J79" s="90"/>
      <c r="K79" s="90"/>
      <c r="L79" s="90"/>
      <c r="M79" s="90"/>
      <c r="N79" s="90"/>
      <c r="O79" s="90"/>
      <c r="P79" s="90"/>
      <c r="Q79" s="90"/>
      <c r="R79" s="90"/>
      <c r="S79" s="90"/>
      <c r="T79" s="90"/>
      <c r="U79" s="90"/>
      <c r="V79" s="90"/>
      <c r="W79" s="90"/>
      <c r="X79" s="90"/>
      <c r="Y79" s="90"/>
      <c r="Z79" s="90"/>
      <c r="AA79" s="90"/>
    </row>
    <row r="80">
      <c r="A80" s="90"/>
      <c r="B80" s="90"/>
      <c r="C80" s="90"/>
      <c r="D80" s="90"/>
      <c r="E80" s="90"/>
      <c r="F80" s="90"/>
      <c r="G80" s="90"/>
      <c r="H80" s="90"/>
      <c r="I80" s="90"/>
      <c r="J80" s="90"/>
      <c r="K80" s="90"/>
      <c r="L80" s="90"/>
      <c r="M80" s="90"/>
      <c r="N80" s="90"/>
      <c r="O80" s="90"/>
      <c r="P80" s="90"/>
      <c r="Q80" s="90"/>
      <c r="R80" s="90"/>
      <c r="S80" s="90"/>
      <c r="T80" s="90"/>
      <c r="U80" s="90"/>
      <c r="V80" s="90"/>
      <c r="W80" s="90"/>
      <c r="X80" s="90"/>
      <c r="Y80" s="90"/>
      <c r="Z80" s="90"/>
      <c r="AA80" s="90"/>
    </row>
    <row r="81">
      <c r="A81" s="90"/>
      <c r="B81" s="90"/>
      <c r="C81" s="90"/>
      <c r="D81" s="90"/>
      <c r="E81" s="90"/>
      <c r="F81" s="90"/>
      <c r="G81" s="90"/>
      <c r="H81" s="90"/>
      <c r="I81" s="90"/>
      <c r="J81" s="90"/>
      <c r="K81" s="90"/>
      <c r="L81" s="90"/>
      <c r="M81" s="90"/>
      <c r="N81" s="90"/>
      <c r="O81" s="90"/>
      <c r="P81" s="90"/>
      <c r="Q81" s="90"/>
      <c r="R81" s="90"/>
      <c r="S81" s="90"/>
      <c r="T81" s="90"/>
      <c r="U81" s="90"/>
      <c r="V81" s="90"/>
      <c r="W81" s="90"/>
      <c r="X81" s="90"/>
      <c r="Y81" s="90"/>
      <c r="Z81" s="90"/>
      <c r="AA81" s="90"/>
    </row>
    <row r="82">
      <c r="A82" s="90"/>
      <c r="B82" s="90"/>
      <c r="C82" s="90"/>
      <c r="D82" s="90"/>
      <c r="E82" s="90"/>
      <c r="F82" s="90"/>
      <c r="G82" s="90"/>
      <c r="H82" s="90"/>
      <c r="I82" s="90"/>
      <c r="J82" s="90"/>
      <c r="K82" s="90"/>
      <c r="L82" s="90"/>
      <c r="M82" s="90"/>
      <c r="N82" s="90"/>
      <c r="O82" s="90"/>
      <c r="P82" s="90"/>
      <c r="Q82" s="90"/>
      <c r="R82" s="90"/>
      <c r="S82" s="90"/>
      <c r="T82" s="90"/>
      <c r="U82" s="90"/>
      <c r="V82" s="90"/>
      <c r="W82" s="90"/>
      <c r="X82" s="90"/>
      <c r="Y82" s="90"/>
      <c r="Z82" s="90"/>
      <c r="AA82" s="90"/>
    </row>
    <row r="83">
      <c r="A83" s="90"/>
      <c r="B83" s="90"/>
      <c r="C83" s="90"/>
      <c r="D83" s="90"/>
      <c r="E83" s="90"/>
      <c r="F83" s="90"/>
      <c r="G83" s="90"/>
      <c r="H83" s="90"/>
      <c r="I83" s="90"/>
      <c r="J83" s="90"/>
      <c r="K83" s="90"/>
      <c r="L83" s="90"/>
      <c r="M83" s="90"/>
      <c r="N83" s="90"/>
      <c r="O83" s="90"/>
      <c r="P83" s="90"/>
      <c r="Q83" s="90"/>
      <c r="R83" s="90"/>
      <c r="S83" s="90"/>
      <c r="T83" s="90"/>
      <c r="U83" s="90"/>
      <c r="V83" s="90"/>
      <c r="W83" s="90"/>
      <c r="X83" s="90"/>
      <c r="Y83" s="90"/>
      <c r="Z83" s="90"/>
      <c r="AA83" s="90"/>
    </row>
    <row r="84">
      <c r="A84" s="90"/>
      <c r="B84" s="90"/>
      <c r="C84" s="90"/>
      <c r="D84" s="90"/>
      <c r="E84" s="90"/>
      <c r="F84" s="90"/>
      <c r="G84" s="90"/>
      <c r="H84" s="90"/>
      <c r="I84" s="90"/>
      <c r="J84" s="90"/>
      <c r="K84" s="90"/>
      <c r="L84" s="90"/>
      <c r="M84" s="90"/>
      <c r="N84" s="90"/>
      <c r="O84" s="90"/>
      <c r="P84" s="90"/>
      <c r="Q84" s="90"/>
      <c r="R84" s="90"/>
      <c r="S84" s="90"/>
      <c r="T84" s="90"/>
      <c r="U84" s="90"/>
      <c r="V84" s="90"/>
      <c r="W84" s="90"/>
      <c r="X84" s="90"/>
      <c r="Y84" s="90"/>
      <c r="Z84" s="90"/>
      <c r="AA84" s="90"/>
    </row>
    <row r="85">
      <c r="A85" s="90"/>
      <c r="B85" s="90"/>
      <c r="C85" s="90"/>
      <c r="D85" s="90"/>
      <c r="E85" s="90"/>
      <c r="F85" s="90"/>
      <c r="G85" s="90"/>
      <c r="H85" s="90"/>
      <c r="I85" s="90"/>
      <c r="J85" s="90"/>
      <c r="K85" s="90"/>
      <c r="L85" s="90"/>
      <c r="M85" s="90"/>
      <c r="N85" s="90"/>
      <c r="O85" s="90"/>
      <c r="P85" s="90"/>
      <c r="Q85" s="90"/>
      <c r="R85" s="90"/>
      <c r="S85" s="90"/>
      <c r="T85" s="90"/>
      <c r="U85" s="90"/>
      <c r="V85" s="90"/>
      <c r="W85" s="90"/>
      <c r="X85" s="90"/>
      <c r="Y85" s="90"/>
      <c r="Z85" s="90"/>
      <c r="AA85" s="90"/>
    </row>
    <row r="86">
      <c r="A86" s="90"/>
      <c r="B86" s="90"/>
      <c r="C86" s="90"/>
      <c r="D86" s="90"/>
      <c r="E86" s="90"/>
      <c r="F86" s="90"/>
      <c r="G86" s="90"/>
      <c r="H86" s="90"/>
      <c r="I86" s="90"/>
      <c r="J86" s="90"/>
      <c r="K86" s="90"/>
      <c r="L86" s="90"/>
      <c r="M86" s="90"/>
      <c r="N86" s="90"/>
      <c r="O86" s="90"/>
      <c r="P86" s="90"/>
      <c r="Q86" s="90"/>
      <c r="R86" s="90"/>
      <c r="S86" s="90"/>
      <c r="T86" s="90"/>
      <c r="U86" s="90"/>
      <c r="V86" s="90"/>
      <c r="W86" s="90"/>
      <c r="X86" s="90"/>
      <c r="Y86" s="90"/>
      <c r="Z86" s="90"/>
      <c r="AA86" s="90"/>
    </row>
    <row r="87">
      <c r="A87" s="90"/>
      <c r="B87" s="90"/>
      <c r="C87" s="90"/>
      <c r="D87" s="90"/>
      <c r="E87" s="90"/>
      <c r="F87" s="90"/>
      <c r="G87" s="90"/>
      <c r="H87" s="90"/>
      <c r="I87" s="90"/>
      <c r="J87" s="90"/>
      <c r="K87" s="90"/>
      <c r="L87" s="90"/>
      <c r="M87" s="90"/>
      <c r="N87" s="90"/>
      <c r="O87" s="90"/>
      <c r="P87" s="90"/>
      <c r="Q87" s="90"/>
      <c r="R87" s="90"/>
      <c r="S87" s="90"/>
      <c r="T87" s="90"/>
      <c r="U87" s="90"/>
      <c r="V87" s="90"/>
      <c r="W87" s="90"/>
      <c r="X87" s="90"/>
      <c r="Y87" s="90"/>
      <c r="Z87" s="90"/>
      <c r="AA87" s="90"/>
    </row>
    <row r="88">
      <c r="A88" s="90"/>
      <c r="B88" s="90"/>
      <c r="C88" s="90"/>
      <c r="D88" s="90"/>
      <c r="E88" s="90"/>
      <c r="F88" s="90"/>
      <c r="G88" s="90"/>
      <c r="H88" s="90"/>
      <c r="I88" s="90"/>
      <c r="J88" s="90"/>
      <c r="K88" s="90"/>
      <c r="L88" s="90"/>
      <c r="M88" s="90"/>
      <c r="N88" s="90"/>
      <c r="O88" s="90"/>
      <c r="P88" s="90"/>
      <c r="Q88" s="90"/>
      <c r="R88" s="90"/>
      <c r="S88" s="90"/>
      <c r="T88" s="90"/>
      <c r="U88" s="90"/>
      <c r="V88" s="90"/>
      <c r="W88" s="90"/>
      <c r="X88" s="90"/>
      <c r="Y88" s="90"/>
      <c r="Z88" s="90"/>
      <c r="AA88" s="90"/>
    </row>
    <row r="89">
      <c r="A89" s="90"/>
      <c r="B89" s="90"/>
      <c r="C89" s="90"/>
      <c r="D89" s="90"/>
      <c r="E89" s="90"/>
      <c r="F89" s="90"/>
      <c r="G89" s="90"/>
      <c r="H89" s="90"/>
      <c r="I89" s="90"/>
      <c r="J89" s="90"/>
      <c r="K89" s="90"/>
      <c r="L89" s="90"/>
      <c r="M89" s="90"/>
      <c r="N89" s="90"/>
      <c r="O89" s="90"/>
      <c r="P89" s="90"/>
      <c r="Q89" s="90"/>
      <c r="R89" s="90"/>
      <c r="S89" s="90"/>
      <c r="T89" s="90"/>
      <c r="U89" s="90"/>
      <c r="V89" s="90"/>
      <c r="W89" s="90"/>
      <c r="X89" s="90"/>
      <c r="Y89" s="90"/>
      <c r="Z89" s="90"/>
      <c r="AA89" s="90"/>
    </row>
    <row r="90">
      <c r="A90" s="90"/>
      <c r="B90" s="90"/>
      <c r="C90" s="90"/>
      <c r="D90" s="90"/>
      <c r="E90" s="90"/>
      <c r="F90" s="90"/>
      <c r="G90" s="90"/>
      <c r="H90" s="90"/>
      <c r="I90" s="90"/>
      <c r="J90" s="90"/>
      <c r="K90" s="90"/>
      <c r="L90" s="90"/>
      <c r="M90" s="90"/>
      <c r="N90" s="90"/>
      <c r="O90" s="90"/>
      <c r="P90" s="90"/>
      <c r="Q90" s="90"/>
      <c r="R90" s="90"/>
      <c r="S90" s="90"/>
      <c r="T90" s="90"/>
      <c r="U90" s="90"/>
      <c r="V90" s="90"/>
      <c r="W90" s="90"/>
      <c r="X90" s="90"/>
      <c r="Y90" s="90"/>
      <c r="Z90" s="90"/>
      <c r="AA90" s="90"/>
    </row>
    <row r="91">
      <c r="A91" s="90"/>
      <c r="B91" s="90"/>
      <c r="C91" s="90"/>
      <c r="D91" s="90"/>
      <c r="E91" s="90"/>
      <c r="F91" s="90"/>
      <c r="G91" s="90"/>
      <c r="H91" s="90"/>
      <c r="I91" s="90"/>
      <c r="J91" s="90"/>
      <c r="K91" s="90"/>
      <c r="L91" s="90"/>
      <c r="M91" s="90"/>
      <c r="N91" s="90"/>
      <c r="O91" s="90"/>
      <c r="P91" s="90"/>
      <c r="Q91" s="90"/>
      <c r="R91" s="90"/>
      <c r="S91" s="90"/>
      <c r="T91" s="90"/>
      <c r="U91" s="90"/>
      <c r="V91" s="90"/>
      <c r="W91" s="90"/>
      <c r="X91" s="90"/>
      <c r="Y91" s="90"/>
      <c r="Z91" s="90"/>
      <c r="AA91" s="90"/>
    </row>
    <row r="92">
      <c r="A92" s="90"/>
      <c r="B92" s="90"/>
      <c r="C92" s="90"/>
      <c r="D92" s="90"/>
      <c r="E92" s="90"/>
      <c r="F92" s="90"/>
      <c r="G92" s="90"/>
      <c r="H92" s="90"/>
      <c r="I92" s="90"/>
      <c r="J92" s="90"/>
      <c r="K92" s="90"/>
      <c r="L92" s="90"/>
      <c r="M92" s="90"/>
      <c r="N92" s="90"/>
      <c r="O92" s="90"/>
      <c r="P92" s="90"/>
      <c r="Q92" s="90"/>
      <c r="R92" s="90"/>
      <c r="S92" s="90"/>
      <c r="T92" s="90"/>
      <c r="U92" s="90"/>
      <c r="V92" s="90"/>
      <c r="W92" s="90"/>
      <c r="X92" s="90"/>
      <c r="Y92" s="90"/>
      <c r="Z92" s="90"/>
      <c r="AA92" s="90"/>
    </row>
    <row r="93">
      <c r="A93" s="90"/>
      <c r="B93" s="90"/>
      <c r="C93" s="90"/>
      <c r="D93" s="90"/>
      <c r="E93" s="90"/>
      <c r="F93" s="90"/>
      <c r="G93" s="90"/>
      <c r="H93" s="90"/>
      <c r="I93" s="90"/>
      <c r="J93" s="90"/>
      <c r="K93" s="90"/>
      <c r="L93" s="90"/>
      <c r="M93" s="90"/>
      <c r="N93" s="90"/>
      <c r="O93" s="90"/>
      <c r="P93" s="90"/>
      <c r="Q93" s="90"/>
      <c r="R93" s="90"/>
      <c r="S93" s="90"/>
      <c r="T93" s="90"/>
      <c r="U93" s="90"/>
      <c r="V93" s="90"/>
      <c r="W93" s="90"/>
      <c r="X93" s="90"/>
      <c r="Y93" s="90"/>
      <c r="Z93" s="90"/>
      <c r="AA93" s="90"/>
    </row>
    <row r="94">
      <c r="A94" s="90"/>
      <c r="B94" s="90"/>
      <c r="C94" s="90"/>
      <c r="D94" s="90"/>
      <c r="E94" s="90"/>
      <c r="F94" s="90"/>
      <c r="G94" s="90"/>
      <c r="H94" s="90"/>
      <c r="I94" s="90"/>
      <c r="J94" s="90"/>
      <c r="K94" s="90"/>
      <c r="L94" s="90"/>
      <c r="M94" s="90"/>
      <c r="N94" s="90"/>
      <c r="O94" s="90"/>
      <c r="P94" s="90"/>
      <c r="Q94" s="90"/>
      <c r="R94" s="90"/>
      <c r="S94" s="90"/>
      <c r="T94" s="90"/>
      <c r="U94" s="90"/>
      <c r="V94" s="90"/>
      <c r="W94" s="90"/>
      <c r="X94" s="90"/>
      <c r="Y94" s="90"/>
      <c r="Z94" s="90"/>
      <c r="AA94" s="90"/>
    </row>
    <row r="95">
      <c r="A95" s="90"/>
      <c r="B95" s="90"/>
      <c r="C95" s="90"/>
      <c r="D95" s="90"/>
      <c r="E95" s="90"/>
      <c r="F95" s="90"/>
      <c r="G95" s="90"/>
      <c r="H95" s="90"/>
      <c r="I95" s="90"/>
      <c r="J95" s="90"/>
      <c r="K95" s="90"/>
      <c r="L95" s="90"/>
      <c r="M95" s="90"/>
      <c r="N95" s="90"/>
      <c r="O95" s="90"/>
      <c r="P95" s="90"/>
      <c r="Q95" s="90"/>
      <c r="R95" s="90"/>
      <c r="S95" s="90"/>
      <c r="T95" s="90"/>
      <c r="U95" s="90"/>
      <c r="V95" s="90"/>
      <c r="W95" s="90"/>
      <c r="X95" s="90"/>
      <c r="Y95" s="90"/>
      <c r="Z95" s="90"/>
      <c r="AA95" s="90"/>
    </row>
    <row r="96">
      <c r="A96" s="90"/>
      <c r="B96" s="90"/>
      <c r="C96" s="90"/>
      <c r="D96" s="90"/>
      <c r="E96" s="90"/>
      <c r="F96" s="90"/>
      <c r="G96" s="90"/>
      <c r="H96" s="90"/>
      <c r="I96" s="90"/>
      <c r="J96" s="90"/>
      <c r="K96" s="90"/>
      <c r="L96" s="90"/>
      <c r="M96" s="90"/>
      <c r="N96" s="90"/>
      <c r="O96" s="90"/>
      <c r="P96" s="90"/>
      <c r="Q96" s="90"/>
      <c r="R96" s="90"/>
      <c r="S96" s="90"/>
      <c r="T96" s="90"/>
      <c r="U96" s="90"/>
      <c r="V96" s="90"/>
      <c r="W96" s="90"/>
      <c r="X96" s="90"/>
      <c r="Y96" s="90"/>
      <c r="Z96" s="90"/>
      <c r="AA96" s="90"/>
    </row>
    <row r="97">
      <c r="A97" s="90"/>
      <c r="B97" s="90"/>
      <c r="C97" s="90"/>
      <c r="D97" s="90"/>
      <c r="E97" s="90"/>
      <c r="F97" s="90"/>
      <c r="G97" s="90"/>
      <c r="H97" s="90"/>
      <c r="I97" s="90"/>
      <c r="J97" s="90"/>
      <c r="K97" s="90"/>
      <c r="L97" s="90"/>
      <c r="M97" s="90"/>
      <c r="N97" s="90"/>
      <c r="O97" s="90"/>
      <c r="P97" s="90"/>
      <c r="Q97" s="90"/>
      <c r="R97" s="90"/>
      <c r="S97" s="90"/>
      <c r="T97" s="90"/>
      <c r="U97" s="90"/>
      <c r="V97" s="90"/>
      <c r="W97" s="90"/>
      <c r="X97" s="90"/>
      <c r="Y97" s="90"/>
      <c r="Z97" s="90"/>
      <c r="AA97" s="90"/>
    </row>
    <row r="98">
      <c r="A98" s="90"/>
      <c r="B98" s="90"/>
      <c r="C98" s="90"/>
      <c r="D98" s="90"/>
      <c r="E98" s="90"/>
      <c r="F98" s="90"/>
      <c r="G98" s="90"/>
      <c r="H98" s="90"/>
      <c r="I98" s="90"/>
      <c r="J98" s="90"/>
      <c r="K98" s="90"/>
      <c r="L98" s="90"/>
      <c r="M98" s="90"/>
      <c r="N98" s="90"/>
      <c r="O98" s="90"/>
      <c r="P98" s="90"/>
      <c r="Q98" s="90"/>
      <c r="R98" s="90"/>
      <c r="S98" s="90"/>
      <c r="T98" s="90"/>
      <c r="U98" s="90"/>
      <c r="V98" s="90"/>
      <c r="W98" s="90"/>
      <c r="X98" s="90"/>
      <c r="Y98" s="90"/>
      <c r="Z98" s="90"/>
      <c r="AA98" s="90"/>
    </row>
    <row r="99">
      <c r="A99" s="90"/>
      <c r="B99" s="90"/>
      <c r="C99" s="90"/>
      <c r="D99" s="90"/>
      <c r="E99" s="90"/>
      <c r="F99" s="90"/>
      <c r="G99" s="90"/>
      <c r="H99" s="90"/>
      <c r="I99" s="90"/>
      <c r="J99" s="90"/>
      <c r="K99" s="90"/>
      <c r="L99" s="90"/>
      <c r="M99" s="90"/>
      <c r="N99" s="90"/>
      <c r="O99" s="90"/>
      <c r="P99" s="90"/>
      <c r="Q99" s="90"/>
      <c r="R99" s="90"/>
      <c r="S99" s="90"/>
      <c r="T99" s="90"/>
      <c r="U99" s="90"/>
      <c r="V99" s="90"/>
      <c r="W99" s="90"/>
      <c r="X99" s="90"/>
      <c r="Y99" s="90"/>
      <c r="Z99" s="90"/>
      <c r="AA99" s="90"/>
    </row>
    <row r="100">
      <c r="A100" s="90"/>
      <c r="B100" s="90"/>
      <c r="C100" s="90"/>
      <c r="D100" s="90"/>
      <c r="E100" s="90"/>
      <c r="F100" s="90"/>
      <c r="G100" s="90"/>
      <c r="H100" s="90"/>
      <c r="I100" s="90"/>
      <c r="J100" s="90"/>
      <c r="K100" s="90"/>
      <c r="L100" s="90"/>
      <c r="M100" s="90"/>
      <c r="N100" s="90"/>
      <c r="O100" s="90"/>
      <c r="P100" s="90"/>
      <c r="Q100" s="90"/>
      <c r="R100" s="90"/>
      <c r="S100" s="90"/>
      <c r="T100" s="90"/>
      <c r="U100" s="90"/>
      <c r="V100" s="90"/>
      <c r="W100" s="90"/>
      <c r="X100" s="90"/>
      <c r="Y100" s="90"/>
      <c r="Z100" s="90"/>
      <c r="AA100" s="90"/>
    </row>
    <row r="101">
      <c r="A101" s="90"/>
      <c r="B101" s="90"/>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c r="AA101" s="90"/>
    </row>
    <row r="102">
      <c r="A102" s="90"/>
      <c r="B102" s="90"/>
      <c r="C102" s="90"/>
      <c r="D102" s="90"/>
      <c r="E102" s="90"/>
      <c r="F102" s="90"/>
      <c r="G102" s="90"/>
      <c r="H102" s="90"/>
      <c r="I102" s="90"/>
      <c r="J102" s="90"/>
      <c r="K102" s="90"/>
      <c r="L102" s="90"/>
      <c r="M102" s="90"/>
      <c r="N102" s="90"/>
      <c r="O102" s="90"/>
      <c r="P102" s="90"/>
      <c r="Q102" s="90"/>
      <c r="R102" s="90"/>
      <c r="S102" s="90"/>
      <c r="T102" s="90"/>
      <c r="U102" s="90"/>
      <c r="V102" s="90"/>
      <c r="W102" s="90"/>
      <c r="X102" s="90"/>
      <c r="Y102" s="90"/>
      <c r="Z102" s="90"/>
      <c r="AA102" s="90"/>
    </row>
    <row r="103">
      <c r="A103" s="90"/>
      <c r="B103" s="90"/>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c r="AA103" s="90"/>
    </row>
    <row r="104">
      <c r="A104" s="90"/>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c r="AA104" s="90"/>
    </row>
    <row r="105">
      <c r="A105" s="90"/>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c r="AA105" s="90"/>
    </row>
    <row r="106">
      <c r="A106" s="90"/>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c r="AA106" s="90"/>
    </row>
    <row r="107">
      <c r="A107" s="90"/>
      <c r="B107" s="90"/>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c r="AA107" s="90"/>
    </row>
    <row r="108">
      <c r="A108" s="90"/>
      <c r="B108" s="90"/>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c r="AA108" s="90"/>
    </row>
    <row r="109">
      <c r="A109" s="90"/>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c r="AA109" s="90"/>
    </row>
    <row r="110">
      <c r="A110" s="90"/>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c r="AA110" s="90"/>
    </row>
    <row r="111">
      <c r="A111" s="90"/>
      <c r="B111" s="90"/>
      <c r="C111" s="90"/>
      <c r="D111" s="90"/>
      <c r="E111" s="90"/>
      <c r="F111" s="90"/>
      <c r="G111" s="90"/>
      <c r="H111" s="90"/>
      <c r="I111" s="90"/>
      <c r="J111" s="90"/>
      <c r="K111" s="90"/>
      <c r="L111" s="90"/>
      <c r="M111" s="90"/>
      <c r="N111" s="90"/>
      <c r="O111" s="90"/>
      <c r="P111" s="90"/>
      <c r="Q111" s="90"/>
      <c r="R111" s="90"/>
      <c r="S111" s="90"/>
      <c r="T111" s="90"/>
      <c r="U111" s="90"/>
      <c r="V111" s="90"/>
      <c r="W111" s="90"/>
      <c r="X111" s="90"/>
      <c r="Y111" s="90"/>
      <c r="Z111" s="90"/>
      <c r="AA111" s="90"/>
    </row>
    <row r="112">
      <c r="A112" s="90"/>
      <c r="B112" s="90"/>
      <c r="C112" s="90"/>
      <c r="D112" s="90"/>
      <c r="E112" s="90"/>
      <c r="F112" s="90"/>
      <c r="G112" s="90"/>
      <c r="H112" s="90"/>
      <c r="I112" s="90"/>
      <c r="J112" s="90"/>
      <c r="K112" s="90"/>
      <c r="L112" s="90"/>
      <c r="M112" s="90"/>
      <c r="N112" s="90"/>
      <c r="O112" s="90"/>
      <c r="P112" s="90"/>
      <c r="Q112" s="90"/>
      <c r="R112" s="90"/>
      <c r="S112" s="90"/>
      <c r="T112" s="90"/>
      <c r="U112" s="90"/>
      <c r="V112" s="90"/>
      <c r="W112" s="90"/>
      <c r="X112" s="90"/>
      <c r="Y112" s="90"/>
      <c r="Z112" s="90"/>
      <c r="AA112" s="90"/>
    </row>
    <row r="113">
      <c r="A113" s="90"/>
      <c r="B113" s="90"/>
      <c r="C113" s="90"/>
      <c r="D113" s="90"/>
      <c r="E113" s="90"/>
      <c r="F113" s="90"/>
      <c r="G113" s="90"/>
      <c r="H113" s="90"/>
      <c r="I113" s="90"/>
      <c r="J113" s="90"/>
      <c r="K113" s="90"/>
      <c r="L113" s="90"/>
      <c r="M113" s="90"/>
      <c r="N113" s="90"/>
      <c r="O113" s="90"/>
      <c r="P113" s="90"/>
      <c r="Q113" s="90"/>
      <c r="R113" s="90"/>
      <c r="S113" s="90"/>
      <c r="T113" s="90"/>
      <c r="U113" s="90"/>
      <c r="V113" s="90"/>
      <c r="W113" s="90"/>
      <c r="X113" s="90"/>
      <c r="Y113" s="90"/>
      <c r="Z113" s="90"/>
      <c r="AA113" s="90"/>
    </row>
    <row r="114">
      <c r="A114" s="90"/>
      <c r="B114" s="90"/>
      <c r="C114" s="90"/>
      <c r="D114" s="90"/>
      <c r="E114" s="90"/>
      <c r="F114" s="90"/>
      <c r="G114" s="90"/>
      <c r="H114" s="90"/>
      <c r="I114" s="90"/>
      <c r="J114" s="90"/>
      <c r="K114" s="90"/>
      <c r="L114" s="90"/>
      <c r="M114" s="90"/>
      <c r="N114" s="90"/>
      <c r="O114" s="90"/>
      <c r="P114" s="90"/>
      <c r="Q114" s="90"/>
      <c r="R114" s="90"/>
      <c r="S114" s="90"/>
      <c r="T114" s="90"/>
      <c r="U114" s="90"/>
      <c r="V114" s="90"/>
      <c r="W114" s="90"/>
      <c r="X114" s="90"/>
      <c r="Y114" s="90"/>
      <c r="Z114" s="90"/>
      <c r="AA114" s="90"/>
    </row>
    <row r="115">
      <c r="A115" s="90"/>
      <c r="B115" s="90"/>
      <c r="C115" s="90"/>
      <c r="D115" s="90"/>
      <c r="E115" s="90"/>
      <c r="F115" s="90"/>
      <c r="G115" s="90"/>
      <c r="H115" s="90"/>
      <c r="I115" s="90"/>
      <c r="J115" s="90"/>
      <c r="K115" s="90"/>
      <c r="L115" s="90"/>
      <c r="M115" s="90"/>
      <c r="N115" s="90"/>
      <c r="O115" s="90"/>
      <c r="P115" s="90"/>
      <c r="Q115" s="90"/>
      <c r="R115" s="90"/>
      <c r="S115" s="90"/>
      <c r="T115" s="90"/>
      <c r="U115" s="90"/>
      <c r="V115" s="90"/>
      <c r="W115" s="90"/>
      <c r="X115" s="90"/>
      <c r="Y115" s="90"/>
      <c r="Z115" s="90"/>
      <c r="AA115" s="90"/>
    </row>
    <row r="116">
      <c r="A116" s="90"/>
      <c r="B116" s="90"/>
      <c r="C116" s="90"/>
      <c r="D116" s="90"/>
      <c r="E116" s="90"/>
      <c r="F116" s="90"/>
      <c r="G116" s="90"/>
      <c r="H116" s="90"/>
      <c r="I116" s="90"/>
      <c r="J116" s="90"/>
      <c r="K116" s="90"/>
      <c r="L116" s="90"/>
      <c r="M116" s="90"/>
      <c r="N116" s="90"/>
      <c r="O116" s="90"/>
      <c r="P116" s="90"/>
      <c r="Q116" s="90"/>
      <c r="R116" s="90"/>
      <c r="S116" s="90"/>
      <c r="T116" s="90"/>
      <c r="U116" s="90"/>
      <c r="V116" s="90"/>
      <c r="W116" s="90"/>
      <c r="X116" s="90"/>
      <c r="Y116" s="90"/>
      <c r="Z116" s="90"/>
      <c r="AA116" s="90"/>
    </row>
    <row r="117">
      <c r="A117" s="90"/>
      <c r="B117" s="90"/>
      <c r="C117" s="90"/>
      <c r="D117" s="90"/>
      <c r="E117" s="90"/>
      <c r="F117" s="90"/>
      <c r="G117" s="90"/>
      <c r="H117" s="90"/>
      <c r="I117" s="90"/>
      <c r="J117" s="90"/>
      <c r="K117" s="90"/>
      <c r="L117" s="90"/>
      <c r="M117" s="90"/>
      <c r="N117" s="90"/>
      <c r="O117" s="90"/>
      <c r="P117" s="90"/>
      <c r="Q117" s="90"/>
      <c r="R117" s="90"/>
      <c r="S117" s="90"/>
      <c r="T117" s="90"/>
      <c r="U117" s="90"/>
      <c r="V117" s="90"/>
      <c r="W117" s="90"/>
      <c r="X117" s="90"/>
      <c r="Y117" s="90"/>
      <c r="Z117" s="90"/>
      <c r="AA117" s="90"/>
    </row>
    <row r="118">
      <c r="A118" s="90"/>
      <c r="B118" s="90"/>
      <c r="C118" s="90"/>
      <c r="D118" s="90"/>
      <c r="E118" s="90"/>
      <c r="F118" s="90"/>
      <c r="G118" s="90"/>
      <c r="H118" s="90"/>
      <c r="I118" s="90"/>
      <c r="J118" s="90"/>
      <c r="K118" s="90"/>
      <c r="L118" s="90"/>
      <c r="M118" s="90"/>
      <c r="N118" s="90"/>
      <c r="O118" s="90"/>
      <c r="P118" s="90"/>
      <c r="Q118" s="90"/>
      <c r="R118" s="90"/>
      <c r="S118" s="90"/>
      <c r="T118" s="90"/>
      <c r="U118" s="90"/>
      <c r="V118" s="90"/>
      <c r="W118" s="90"/>
      <c r="X118" s="90"/>
      <c r="Y118" s="90"/>
      <c r="Z118" s="90"/>
      <c r="AA118" s="90"/>
    </row>
    <row r="119">
      <c r="A119" s="90"/>
      <c r="B119" s="90"/>
      <c r="C119" s="90"/>
      <c r="D119" s="90"/>
      <c r="E119" s="90"/>
      <c r="F119" s="90"/>
      <c r="G119" s="90"/>
      <c r="H119" s="90"/>
      <c r="I119" s="90"/>
      <c r="J119" s="90"/>
      <c r="K119" s="90"/>
      <c r="L119" s="90"/>
      <c r="M119" s="90"/>
      <c r="N119" s="90"/>
      <c r="O119" s="90"/>
      <c r="P119" s="90"/>
      <c r="Q119" s="90"/>
      <c r="R119" s="90"/>
      <c r="S119" s="90"/>
      <c r="T119" s="90"/>
      <c r="U119" s="90"/>
      <c r="V119" s="90"/>
      <c r="W119" s="90"/>
      <c r="X119" s="90"/>
      <c r="Y119" s="90"/>
      <c r="Z119" s="90"/>
      <c r="AA119" s="90"/>
    </row>
    <row r="120">
      <c r="A120" s="90"/>
      <c r="B120" s="90"/>
      <c r="C120" s="90"/>
      <c r="D120" s="90"/>
      <c r="E120" s="90"/>
      <c r="F120" s="90"/>
      <c r="G120" s="90"/>
      <c r="H120" s="90"/>
      <c r="I120" s="90"/>
      <c r="J120" s="90"/>
      <c r="K120" s="90"/>
      <c r="L120" s="90"/>
      <c r="M120" s="90"/>
      <c r="N120" s="90"/>
      <c r="O120" s="90"/>
      <c r="P120" s="90"/>
      <c r="Q120" s="90"/>
      <c r="R120" s="90"/>
      <c r="S120" s="90"/>
      <c r="T120" s="90"/>
      <c r="U120" s="90"/>
      <c r="V120" s="90"/>
      <c r="W120" s="90"/>
      <c r="X120" s="90"/>
      <c r="Y120" s="90"/>
      <c r="Z120" s="90"/>
      <c r="AA120" s="90"/>
    </row>
    <row r="121">
      <c r="A121" s="90"/>
      <c r="B121" s="90"/>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c r="AA121" s="90"/>
    </row>
    <row r="122">
      <c r="A122" s="90"/>
      <c r="B122" s="90"/>
      <c r="C122" s="90"/>
      <c r="D122" s="90"/>
      <c r="E122" s="90"/>
      <c r="F122" s="90"/>
      <c r="G122" s="90"/>
      <c r="H122" s="90"/>
      <c r="I122" s="90"/>
      <c r="J122" s="90"/>
      <c r="K122" s="90"/>
      <c r="L122" s="90"/>
      <c r="M122" s="90"/>
      <c r="N122" s="90"/>
      <c r="O122" s="90"/>
      <c r="P122" s="90"/>
      <c r="Q122" s="90"/>
      <c r="R122" s="90"/>
      <c r="S122" s="90"/>
      <c r="T122" s="90"/>
      <c r="U122" s="90"/>
      <c r="V122" s="90"/>
      <c r="W122" s="90"/>
      <c r="X122" s="90"/>
      <c r="Y122" s="90"/>
      <c r="Z122" s="90"/>
      <c r="AA122" s="90"/>
    </row>
    <row r="123">
      <c r="A123" s="90"/>
      <c r="B123" s="90"/>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c r="AA123" s="90"/>
    </row>
    <row r="124">
      <c r="A124" s="90"/>
      <c r="B124" s="90"/>
      <c r="C124" s="90"/>
      <c r="D124" s="90"/>
      <c r="E124" s="90"/>
      <c r="F124" s="90"/>
      <c r="G124" s="90"/>
      <c r="H124" s="90"/>
      <c r="I124" s="90"/>
      <c r="J124" s="90"/>
      <c r="K124" s="90"/>
      <c r="L124" s="90"/>
      <c r="M124" s="90"/>
      <c r="N124" s="90"/>
      <c r="O124" s="90"/>
      <c r="P124" s="90"/>
      <c r="Q124" s="90"/>
      <c r="R124" s="90"/>
      <c r="S124" s="90"/>
      <c r="T124" s="90"/>
      <c r="U124" s="90"/>
      <c r="V124" s="90"/>
      <c r="W124" s="90"/>
      <c r="X124" s="90"/>
      <c r="Y124" s="90"/>
      <c r="Z124" s="90"/>
      <c r="AA124" s="90"/>
    </row>
    <row r="125">
      <c r="A125" s="90"/>
      <c r="B125" s="90"/>
      <c r="C125" s="90"/>
      <c r="D125" s="90"/>
      <c r="E125" s="90"/>
      <c r="F125" s="90"/>
      <c r="G125" s="90"/>
      <c r="H125" s="90"/>
      <c r="I125" s="90"/>
      <c r="J125" s="90"/>
      <c r="K125" s="90"/>
      <c r="L125" s="90"/>
      <c r="M125" s="90"/>
      <c r="N125" s="90"/>
      <c r="O125" s="90"/>
      <c r="P125" s="90"/>
      <c r="Q125" s="90"/>
      <c r="R125" s="90"/>
      <c r="S125" s="90"/>
      <c r="T125" s="90"/>
      <c r="U125" s="90"/>
      <c r="V125" s="90"/>
      <c r="W125" s="90"/>
      <c r="X125" s="90"/>
      <c r="Y125" s="90"/>
      <c r="Z125" s="90"/>
      <c r="AA125" s="90"/>
    </row>
    <row r="126">
      <c r="A126" s="90"/>
      <c r="B126" s="90"/>
      <c r="C126" s="90"/>
      <c r="D126" s="90"/>
      <c r="E126" s="90"/>
      <c r="F126" s="90"/>
      <c r="G126" s="90"/>
      <c r="H126" s="90"/>
      <c r="I126" s="90"/>
      <c r="J126" s="90"/>
      <c r="K126" s="90"/>
      <c r="L126" s="90"/>
      <c r="M126" s="90"/>
      <c r="N126" s="90"/>
      <c r="O126" s="90"/>
      <c r="P126" s="90"/>
      <c r="Q126" s="90"/>
      <c r="R126" s="90"/>
      <c r="S126" s="90"/>
      <c r="T126" s="90"/>
      <c r="U126" s="90"/>
      <c r="V126" s="90"/>
      <c r="W126" s="90"/>
      <c r="X126" s="90"/>
      <c r="Y126" s="90"/>
      <c r="Z126" s="90"/>
      <c r="AA126" s="90"/>
    </row>
    <row r="127">
      <c r="A127" s="90"/>
      <c r="B127" s="90"/>
      <c r="C127" s="90"/>
      <c r="D127" s="90"/>
      <c r="E127" s="90"/>
      <c r="F127" s="90"/>
      <c r="G127" s="90"/>
      <c r="H127" s="90"/>
      <c r="I127" s="90"/>
      <c r="J127" s="90"/>
      <c r="K127" s="90"/>
      <c r="L127" s="90"/>
      <c r="M127" s="90"/>
      <c r="N127" s="90"/>
      <c r="O127" s="90"/>
      <c r="P127" s="90"/>
      <c r="Q127" s="90"/>
      <c r="R127" s="90"/>
      <c r="S127" s="90"/>
      <c r="T127" s="90"/>
      <c r="U127" s="90"/>
      <c r="V127" s="90"/>
      <c r="W127" s="90"/>
      <c r="X127" s="90"/>
      <c r="Y127" s="90"/>
      <c r="Z127" s="90"/>
      <c r="AA127" s="90"/>
    </row>
    <row r="128">
      <c r="A128" s="90"/>
      <c r="B128" s="90"/>
      <c r="C128" s="90"/>
      <c r="D128" s="90"/>
      <c r="E128" s="90"/>
      <c r="F128" s="90"/>
      <c r="G128" s="90"/>
      <c r="H128" s="90"/>
      <c r="I128" s="90"/>
      <c r="J128" s="90"/>
      <c r="K128" s="90"/>
      <c r="L128" s="90"/>
      <c r="M128" s="90"/>
      <c r="N128" s="90"/>
      <c r="O128" s="90"/>
      <c r="P128" s="90"/>
      <c r="Q128" s="90"/>
      <c r="R128" s="90"/>
      <c r="S128" s="90"/>
      <c r="T128" s="90"/>
      <c r="U128" s="90"/>
      <c r="V128" s="90"/>
      <c r="W128" s="90"/>
      <c r="X128" s="90"/>
      <c r="Y128" s="90"/>
      <c r="Z128" s="90"/>
      <c r="AA128" s="90"/>
    </row>
    <row r="129">
      <c r="A129" s="90"/>
      <c r="B129" s="90"/>
      <c r="C129" s="90"/>
      <c r="D129" s="90"/>
      <c r="E129" s="90"/>
      <c r="F129" s="90"/>
      <c r="G129" s="90"/>
      <c r="H129" s="90"/>
      <c r="I129" s="90"/>
      <c r="J129" s="90"/>
      <c r="K129" s="90"/>
      <c r="L129" s="90"/>
      <c r="M129" s="90"/>
      <c r="N129" s="90"/>
      <c r="O129" s="90"/>
      <c r="P129" s="90"/>
      <c r="Q129" s="90"/>
      <c r="R129" s="90"/>
      <c r="S129" s="90"/>
      <c r="T129" s="90"/>
      <c r="U129" s="90"/>
      <c r="V129" s="90"/>
      <c r="W129" s="90"/>
      <c r="X129" s="90"/>
      <c r="Y129" s="90"/>
      <c r="Z129" s="90"/>
      <c r="AA129" s="90"/>
    </row>
    <row r="130">
      <c r="A130" s="90"/>
      <c r="B130" s="90"/>
      <c r="C130" s="90"/>
      <c r="D130" s="90"/>
      <c r="E130" s="90"/>
      <c r="F130" s="90"/>
      <c r="G130" s="90"/>
      <c r="H130" s="90"/>
      <c r="I130" s="90"/>
      <c r="J130" s="90"/>
      <c r="K130" s="90"/>
      <c r="L130" s="90"/>
      <c r="M130" s="90"/>
      <c r="N130" s="90"/>
      <c r="O130" s="90"/>
      <c r="P130" s="90"/>
      <c r="Q130" s="90"/>
      <c r="R130" s="90"/>
      <c r="S130" s="90"/>
      <c r="T130" s="90"/>
      <c r="U130" s="90"/>
      <c r="V130" s="90"/>
      <c r="W130" s="90"/>
      <c r="X130" s="90"/>
      <c r="Y130" s="90"/>
      <c r="Z130" s="90"/>
      <c r="AA130" s="90"/>
    </row>
    <row r="131">
      <c r="A131" s="90"/>
      <c r="B131" s="90"/>
      <c r="C131" s="90"/>
      <c r="D131" s="90"/>
      <c r="E131" s="90"/>
      <c r="F131" s="90"/>
      <c r="G131" s="90"/>
      <c r="H131" s="90"/>
      <c r="I131" s="90"/>
      <c r="J131" s="90"/>
      <c r="K131" s="90"/>
      <c r="L131" s="90"/>
      <c r="M131" s="90"/>
      <c r="N131" s="90"/>
      <c r="O131" s="90"/>
      <c r="P131" s="90"/>
      <c r="Q131" s="90"/>
      <c r="R131" s="90"/>
      <c r="S131" s="90"/>
      <c r="T131" s="90"/>
      <c r="U131" s="90"/>
      <c r="V131" s="90"/>
      <c r="W131" s="90"/>
      <c r="X131" s="90"/>
      <c r="Y131" s="90"/>
      <c r="Z131" s="90"/>
      <c r="AA131" s="90"/>
    </row>
    <row r="132">
      <c r="A132" s="90"/>
      <c r="B132" s="90"/>
      <c r="C132" s="90"/>
      <c r="D132" s="90"/>
      <c r="E132" s="90"/>
      <c r="F132" s="90"/>
      <c r="G132" s="90"/>
      <c r="H132" s="90"/>
      <c r="I132" s="90"/>
      <c r="J132" s="90"/>
      <c r="K132" s="90"/>
      <c r="L132" s="90"/>
      <c r="M132" s="90"/>
      <c r="N132" s="90"/>
      <c r="O132" s="90"/>
      <c r="P132" s="90"/>
      <c r="Q132" s="90"/>
      <c r="R132" s="90"/>
      <c r="S132" s="90"/>
      <c r="T132" s="90"/>
      <c r="U132" s="90"/>
      <c r="V132" s="90"/>
      <c r="W132" s="90"/>
      <c r="X132" s="90"/>
      <c r="Y132" s="90"/>
      <c r="Z132" s="90"/>
      <c r="AA132" s="90"/>
    </row>
    <row r="133">
      <c r="A133" s="90"/>
      <c r="B133" s="90"/>
      <c r="C133" s="90"/>
      <c r="D133" s="90"/>
      <c r="E133" s="90"/>
      <c r="F133" s="90"/>
      <c r="G133" s="90"/>
      <c r="H133" s="90"/>
      <c r="I133" s="90"/>
      <c r="J133" s="90"/>
      <c r="K133" s="90"/>
      <c r="L133" s="90"/>
      <c r="M133" s="90"/>
      <c r="N133" s="90"/>
      <c r="O133" s="90"/>
      <c r="P133" s="90"/>
      <c r="Q133" s="90"/>
      <c r="R133" s="90"/>
      <c r="S133" s="90"/>
      <c r="T133" s="90"/>
      <c r="U133" s="90"/>
      <c r="V133" s="90"/>
      <c r="W133" s="90"/>
      <c r="X133" s="90"/>
      <c r="Y133" s="90"/>
      <c r="Z133" s="90"/>
      <c r="AA133" s="90"/>
    </row>
    <row r="134">
      <c r="A134" s="90"/>
      <c r="B134" s="90"/>
      <c r="C134" s="90"/>
      <c r="D134" s="90"/>
      <c r="E134" s="90"/>
      <c r="F134" s="90"/>
      <c r="G134" s="90"/>
      <c r="H134" s="90"/>
      <c r="I134" s="90"/>
      <c r="J134" s="90"/>
      <c r="K134" s="90"/>
      <c r="L134" s="90"/>
      <c r="M134" s="90"/>
      <c r="N134" s="90"/>
      <c r="O134" s="90"/>
      <c r="P134" s="90"/>
      <c r="Q134" s="90"/>
      <c r="R134" s="90"/>
      <c r="S134" s="90"/>
      <c r="T134" s="90"/>
      <c r="U134" s="90"/>
      <c r="V134" s="90"/>
      <c r="W134" s="90"/>
      <c r="X134" s="90"/>
      <c r="Y134" s="90"/>
      <c r="Z134" s="90"/>
      <c r="AA134" s="90"/>
    </row>
    <row r="135">
      <c r="A135" s="90"/>
      <c r="B135" s="90"/>
      <c r="C135" s="90"/>
      <c r="D135" s="90"/>
      <c r="E135" s="90"/>
      <c r="F135" s="90"/>
      <c r="G135" s="90"/>
      <c r="H135" s="90"/>
      <c r="I135" s="90"/>
      <c r="J135" s="90"/>
      <c r="K135" s="90"/>
      <c r="L135" s="90"/>
      <c r="M135" s="90"/>
      <c r="N135" s="90"/>
      <c r="O135" s="90"/>
      <c r="P135" s="90"/>
      <c r="Q135" s="90"/>
      <c r="R135" s="90"/>
      <c r="S135" s="90"/>
      <c r="T135" s="90"/>
      <c r="U135" s="90"/>
      <c r="V135" s="90"/>
      <c r="W135" s="90"/>
      <c r="X135" s="90"/>
      <c r="Y135" s="90"/>
      <c r="Z135" s="90"/>
      <c r="AA135" s="90"/>
    </row>
    <row r="136">
      <c r="A136" s="90"/>
      <c r="B136" s="90"/>
      <c r="C136" s="90"/>
      <c r="D136" s="90"/>
      <c r="E136" s="90"/>
      <c r="F136" s="90"/>
      <c r="G136" s="90"/>
      <c r="H136" s="90"/>
      <c r="I136" s="90"/>
      <c r="J136" s="90"/>
      <c r="K136" s="90"/>
      <c r="L136" s="90"/>
      <c r="M136" s="90"/>
      <c r="N136" s="90"/>
      <c r="O136" s="90"/>
      <c r="P136" s="90"/>
      <c r="Q136" s="90"/>
      <c r="R136" s="90"/>
      <c r="S136" s="90"/>
      <c r="T136" s="90"/>
      <c r="U136" s="90"/>
      <c r="V136" s="90"/>
      <c r="W136" s="90"/>
      <c r="X136" s="90"/>
      <c r="Y136" s="90"/>
      <c r="Z136" s="90"/>
      <c r="AA136" s="90"/>
    </row>
    <row r="137">
      <c r="A137" s="90"/>
      <c r="B137" s="90"/>
      <c r="C137" s="90"/>
      <c r="D137" s="90"/>
      <c r="E137" s="90"/>
      <c r="F137" s="90"/>
      <c r="G137" s="90"/>
      <c r="H137" s="90"/>
      <c r="I137" s="90"/>
      <c r="J137" s="90"/>
      <c r="K137" s="90"/>
      <c r="L137" s="90"/>
      <c r="M137" s="90"/>
      <c r="N137" s="90"/>
      <c r="O137" s="90"/>
      <c r="P137" s="90"/>
      <c r="Q137" s="90"/>
      <c r="R137" s="90"/>
      <c r="S137" s="90"/>
      <c r="T137" s="90"/>
      <c r="U137" s="90"/>
      <c r="V137" s="90"/>
      <c r="W137" s="90"/>
      <c r="X137" s="90"/>
      <c r="Y137" s="90"/>
      <c r="Z137" s="90"/>
      <c r="AA137" s="90"/>
    </row>
    <row r="138">
      <c r="A138" s="90"/>
      <c r="B138" s="90"/>
      <c r="C138" s="90"/>
      <c r="D138" s="90"/>
      <c r="E138" s="90"/>
      <c r="F138" s="90"/>
      <c r="G138" s="90"/>
      <c r="H138" s="90"/>
      <c r="I138" s="90"/>
      <c r="J138" s="90"/>
      <c r="K138" s="90"/>
      <c r="L138" s="90"/>
      <c r="M138" s="90"/>
      <c r="N138" s="90"/>
      <c r="O138" s="90"/>
      <c r="P138" s="90"/>
      <c r="Q138" s="90"/>
      <c r="R138" s="90"/>
      <c r="S138" s="90"/>
      <c r="T138" s="90"/>
      <c r="U138" s="90"/>
      <c r="V138" s="90"/>
      <c r="W138" s="90"/>
      <c r="X138" s="90"/>
      <c r="Y138" s="90"/>
      <c r="Z138" s="90"/>
      <c r="AA138" s="90"/>
    </row>
    <row r="139">
      <c r="A139" s="90"/>
      <c r="B139" s="90"/>
      <c r="C139" s="90"/>
      <c r="D139" s="90"/>
      <c r="E139" s="90"/>
      <c r="F139" s="90"/>
      <c r="G139" s="90"/>
      <c r="H139" s="90"/>
      <c r="I139" s="90"/>
      <c r="J139" s="90"/>
      <c r="K139" s="90"/>
      <c r="L139" s="90"/>
      <c r="M139" s="90"/>
      <c r="N139" s="90"/>
      <c r="O139" s="90"/>
      <c r="P139" s="90"/>
      <c r="Q139" s="90"/>
      <c r="R139" s="90"/>
      <c r="S139" s="90"/>
      <c r="T139" s="90"/>
      <c r="U139" s="90"/>
      <c r="V139" s="90"/>
      <c r="W139" s="90"/>
      <c r="X139" s="90"/>
      <c r="Y139" s="90"/>
      <c r="Z139" s="90"/>
      <c r="AA139" s="90"/>
    </row>
    <row r="140">
      <c r="A140" s="90"/>
      <c r="B140" s="90"/>
      <c r="C140" s="90"/>
      <c r="D140" s="90"/>
      <c r="E140" s="90"/>
      <c r="F140" s="90"/>
      <c r="G140" s="90"/>
      <c r="H140" s="90"/>
      <c r="I140" s="90"/>
      <c r="J140" s="90"/>
      <c r="K140" s="90"/>
      <c r="L140" s="90"/>
      <c r="M140" s="90"/>
      <c r="N140" s="90"/>
      <c r="O140" s="90"/>
      <c r="P140" s="90"/>
      <c r="Q140" s="90"/>
      <c r="R140" s="90"/>
      <c r="S140" s="90"/>
      <c r="T140" s="90"/>
      <c r="U140" s="90"/>
      <c r="V140" s="90"/>
      <c r="W140" s="90"/>
      <c r="X140" s="90"/>
      <c r="Y140" s="90"/>
      <c r="Z140" s="90"/>
      <c r="AA140" s="90"/>
    </row>
    <row r="141">
      <c r="A141" s="90"/>
      <c r="B141" s="90"/>
      <c r="C141" s="90"/>
      <c r="D141" s="90"/>
      <c r="E141" s="90"/>
      <c r="F141" s="90"/>
      <c r="G141" s="90"/>
      <c r="H141" s="90"/>
      <c r="I141" s="90"/>
      <c r="J141" s="90"/>
      <c r="K141" s="90"/>
      <c r="L141" s="90"/>
      <c r="M141" s="90"/>
      <c r="N141" s="90"/>
      <c r="O141" s="90"/>
      <c r="P141" s="90"/>
      <c r="Q141" s="90"/>
      <c r="R141" s="90"/>
      <c r="S141" s="90"/>
      <c r="T141" s="90"/>
      <c r="U141" s="90"/>
      <c r="V141" s="90"/>
      <c r="W141" s="90"/>
      <c r="X141" s="90"/>
      <c r="Y141" s="90"/>
      <c r="Z141" s="90"/>
      <c r="AA141" s="90"/>
    </row>
    <row r="142">
      <c r="A142" s="90"/>
      <c r="B142" s="90"/>
      <c r="C142" s="90"/>
      <c r="D142" s="90"/>
      <c r="E142" s="90"/>
      <c r="F142" s="90"/>
      <c r="G142" s="90"/>
      <c r="H142" s="90"/>
      <c r="I142" s="90"/>
      <c r="J142" s="90"/>
      <c r="K142" s="90"/>
      <c r="L142" s="90"/>
      <c r="M142" s="90"/>
      <c r="N142" s="90"/>
      <c r="O142" s="90"/>
      <c r="P142" s="90"/>
      <c r="Q142" s="90"/>
      <c r="R142" s="90"/>
      <c r="S142" s="90"/>
      <c r="T142" s="90"/>
      <c r="U142" s="90"/>
      <c r="V142" s="90"/>
      <c r="W142" s="90"/>
      <c r="X142" s="90"/>
      <c r="Y142" s="90"/>
      <c r="Z142" s="90"/>
      <c r="AA142" s="90"/>
    </row>
    <row r="143">
      <c r="A143" s="90"/>
      <c r="B143" s="90"/>
      <c r="C143" s="90"/>
      <c r="D143" s="90"/>
      <c r="E143" s="90"/>
      <c r="F143" s="90"/>
      <c r="G143" s="90"/>
      <c r="H143" s="90"/>
      <c r="I143" s="90"/>
      <c r="J143" s="90"/>
      <c r="K143" s="90"/>
      <c r="L143" s="90"/>
      <c r="M143" s="90"/>
      <c r="N143" s="90"/>
      <c r="O143" s="90"/>
      <c r="P143" s="90"/>
      <c r="Q143" s="90"/>
      <c r="R143" s="90"/>
      <c r="S143" s="90"/>
      <c r="T143" s="90"/>
      <c r="U143" s="90"/>
      <c r="V143" s="90"/>
      <c r="W143" s="90"/>
      <c r="X143" s="90"/>
      <c r="Y143" s="90"/>
      <c r="Z143" s="90"/>
      <c r="AA143" s="90"/>
    </row>
    <row r="144">
      <c r="A144" s="90"/>
      <c r="B144" s="90"/>
      <c r="C144" s="90"/>
      <c r="D144" s="90"/>
      <c r="E144" s="90"/>
      <c r="F144" s="90"/>
      <c r="G144" s="90"/>
      <c r="H144" s="90"/>
      <c r="I144" s="90"/>
      <c r="J144" s="90"/>
      <c r="K144" s="90"/>
      <c r="L144" s="90"/>
      <c r="M144" s="90"/>
      <c r="N144" s="90"/>
      <c r="O144" s="90"/>
      <c r="P144" s="90"/>
      <c r="Q144" s="90"/>
      <c r="R144" s="90"/>
      <c r="S144" s="90"/>
      <c r="T144" s="90"/>
      <c r="U144" s="90"/>
      <c r="V144" s="90"/>
      <c r="W144" s="90"/>
      <c r="X144" s="90"/>
      <c r="Y144" s="90"/>
      <c r="Z144" s="90"/>
      <c r="AA144" s="90"/>
    </row>
    <row r="145">
      <c r="A145" s="90"/>
      <c r="B145" s="90"/>
      <c r="C145" s="90"/>
      <c r="D145" s="90"/>
      <c r="E145" s="90"/>
      <c r="F145" s="90"/>
      <c r="G145" s="90"/>
      <c r="H145" s="90"/>
      <c r="I145" s="90"/>
      <c r="J145" s="90"/>
      <c r="K145" s="90"/>
      <c r="L145" s="90"/>
      <c r="M145" s="90"/>
      <c r="N145" s="90"/>
      <c r="O145" s="90"/>
      <c r="P145" s="90"/>
      <c r="Q145" s="90"/>
      <c r="R145" s="90"/>
      <c r="S145" s="90"/>
      <c r="T145" s="90"/>
      <c r="U145" s="90"/>
      <c r="V145" s="90"/>
      <c r="W145" s="90"/>
      <c r="X145" s="90"/>
      <c r="Y145" s="90"/>
      <c r="Z145" s="90"/>
      <c r="AA145" s="90"/>
    </row>
    <row r="146">
      <c r="A146" s="90"/>
      <c r="B146" s="90"/>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c r="AA146" s="90"/>
    </row>
    <row r="147">
      <c r="A147" s="90"/>
      <c r="B147" s="90"/>
      <c r="C147" s="90"/>
      <c r="D147" s="90"/>
      <c r="E147" s="90"/>
      <c r="F147" s="90"/>
      <c r="G147" s="90"/>
      <c r="H147" s="90"/>
      <c r="I147" s="90"/>
      <c r="J147" s="90"/>
      <c r="K147" s="90"/>
      <c r="L147" s="90"/>
      <c r="M147" s="90"/>
      <c r="N147" s="90"/>
      <c r="O147" s="90"/>
      <c r="P147" s="90"/>
      <c r="Q147" s="90"/>
      <c r="R147" s="90"/>
      <c r="S147" s="90"/>
      <c r="T147" s="90"/>
      <c r="U147" s="90"/>
      <c r="V147" s="90"/>
      <c r="W147" s="90"/>
      <c r="X147" s="90"/>
      <c r="Y147" s="90"/>
      <c r="Z147" s="90"/>
      <c r="AA147" s="90"/>
    </row>
    <row r="148">
      <c r="A148" s="90"/>
      <c r="B148" s="90"/>
      <c r="C148" s="90"/>
      <c r="D148" s="90"/>
      <c r="E148" s="90"/>
      <c r="F148" s="90"/>
      <c r="G148" s="90"/>
      <c r="H148" s="90"/>
      <c r="I148" s="90"/>
      <c r="J148" s="90"/>
      <c r="K148" s="90"/>
      <c r="L148" s="90"/>
      <c r="M148" s="90"/>
      <c r="N148" s="90"/>
      <c r="O148" s="90"/>
      <c r="P148" s="90"/>
      <c r="Q148" s="90"/>
      <c r="R148" s="90"/>
      <c r="S148" s="90"/>
      <c r="T148" s="90"/>
      <c r="U148" s="90"/>
      <c r="V148" s="90"/>
      <c r="W148" s="90"/>
      <c r="X148" s="90"/>
      <c r="Y148" s="90"/>
      <c r="Z148" s="90"/>
      <c r="AA148" s="90"/>
    </row>
    <row r="149">
      <c r="A149" s="90"/>
      <c r="B149" s="90"/>
      <c r="C149" s="90"/>
      <c r="D149" s="90"/>
      <c r="E149" s="90"/>
      <c r="F149" s="90"/>
      <c r="G149" s="90"/>
      <c r="H149" s="90"/>
      <c r="I149" s="90"/>
      <c r="J149" s="90"/>
      <c r="K149" s="90"/>
      <c r="L149" s="90"/>
      <c r="M149" s="90"/>
      <c r="N149" s="90"/>
      <c r="O149" s="90"/>
      <c r="P149" s="90"/>
      <c r="Q149" s="90"/>
      <c r="R149" s="90"/>
      <c r="S149" s="90"/>
      <c r="T149" s="90"/>
      <c r="U149" s="90"/>
      <c r="V149" s="90"/>
      <c r="W149" s="90"/>
      <c r="X149" s="90"/>
      <c r="Y149" s="90"/>
      <c r="Z149" s="90"/>
      <c r="AA149" s="90"/>
    </row>
    <row r="150">
      <c r="A150" s="90"/>
      <c r="B150" s="90"/>
      <c r="C150" s="90"/>
      <c r="D150" s="90"/>
      <c r="E150" s="90"/>
      <c r="F150" s="90"/>
      <c r="G150" s="90"/>
      <c r="H150" s="90"/>
      <c r="I150" s="90"/>
      <c r="J150" s="90"/>
      <c r="K150" s="90"/>
      <c r="L150" s="90"/>
      <c r="M150" s="90"/>
      <c r="N150" s="90"/>
      <c r="O150" s="90"/>
      <c r="P150" s="90"/>
      <c r="Q150" s="90"/>
      <c r="R150" s="90"/>
      <c r="S150" s="90"/>
      <c r="T150" s="90"/>
      <c r="U150" s="90"/>
      <c r="V150" s="90"/>
      <c r="W150" s="90"/>
      <c r="X150" s="90"/>
      <c r="Y150" s="90"/>
      <c r="Z150" s="90"/>
      <c r="AA150" s="90"/>
    </row>
    <row r="151">
      <c r="A151" s="90"/>
      <c r="B151" s="90"/>
      <c r="C151" s="90"/>
      <c r="D151" s="90"/>
      <c r="E151" s="90"/>
      <c r="F151" s="90"/>
      <c r="G151" s="90"/>
      <c r="H151" s="90"/>
      <c r="I151" s="90"/>
      <c r="J151" s="90"/>
      <c r="K151" s="90"/>
      <c r="L151" s="90"/>
      <c r="M151" s="90"/>
      <c r="N151" s="90"/>
      <c r="O151" s="90"/>
      <c r="P151" s="90"/>
      <c r="Q151" s="90"/>
      <c r="R151" s="90"/>
      <c r="S151" s="90"/>
      <c r="T151" s="90"/>
      <c r="U151" s="90"/>
      <c r="V151" s="90"/>
      <c r="W151" s="90"/>
      <c r="X151" s="90"/>
      <c r="Y151" s="90"/>
      <c r="Z151" s="90"/>
      <c r="AA151" s="90"/>
    </row>
    <row r="152">
      <c r="A152" s="90"/>
      <c r="B152" s="90"/>
      <c r="C152" s="90"/>
      <c r="D152" s="90"/>
      <c r="E152" s="90"/>
      <c r="F152" s="90"/>
      <c r="G152" s="90"/>
      <c r="H152" s="90"/>
      <c r="I152" s="90"/>
      <c r="J152" s="90"/>
      <c r="K152" s="90"/>
      <c r="L152" s="90"/>
      <c r="M152" s="90"/>
      <c r="N152" s="90"/>
      <c r="O152" s="90"/>
      <c r="P152" s="90"/>
      <c r="Q152" s="90"/>
      <c r="R152" s="90"/>
      <c r="S152" s="90"/>
      <c r="T152" s="90"/>
      <c r="U152" s="90"/>
      <c r="V152" s="90"/>
      <c r="W152" s="90"/>
      <c r="X152" s="90"/>
      <c r="Y152" s="90"/>
      <c r="Z152" s="90"/>
      <c r="AA152" s="90"/>
    </row>
    <row r="153">
      <c r="A153" s="90"/>
      <c r="B153" s="90"/>
      <c r="C153" s="90"/>
      <c r="D153" s="90"/>
      <c r="E153" s="90"/>
      <c r="F153" s="90"/>
      <c r="G153" s="90"/>
      <c r="H153" s="90"/>
      <c r="I153" s="90"/>
      <c r="J153" s="90"/>
      <c r="K153" s="90"/>
      <c r="L153" s="90"/>
      <c r="M153" s="90"/>
      <c r="N153" s="90"/>
      <c r="O153" s="90"/>
      <c r="P153" s="90"/>
      <c r="Q153" s="90"/>
      <c r="R153" s="90"/>
      <c r="S153" s="90"/>
      <c r="T153" s="90"/>
      <c r="U153" s="90"/>
      <c r="V153" s="90"/>
      <c r="W153" s="90"/>
      <c r="X153" s="90"/>
      <c r="Y153" s="90"/>
      <c r="Z153" s="90"/>
      <c r="AA153" s="90"/>
    </row>
    <row r="154">
      <c r="A154" s="90"/>
      <c r="B154" s="90"/>
      <c r="C154" s="90"/>
      <c r="D154" s="90"/>
      <c r="E154" s="90"/>
      <c r="F154" s="90"/>
      <c r="G154" s="90"/>
      <c r="H154" s="90"/>
      <c r="I154" s="90"/>
      <c r="J154" s="90"/>
      <c r="K154" s="90"/>
      <c r="L154" s="90"/>
      <c r="M154" s="90"/>
      <c r="N154" s="90"/>
      <c r="O154" s="90"/>
      <c r="P154" s="90"/>
      <c r="Q154" s="90"/>
      <c r="R154" s="90"/>
      <c r="S154" s="90"/>
      <c r="T154" s="90"/>
      <c r="U154" s="90"/>
      <c r="V154" s="90"/>
      <c r="W154" s="90"/>
      <c r="X154" s="90"/>
      <c r="Y154" s="90"/>
      <c r="Z154" s="90"/>
      <c r="AA154" s="90"/>
    </row>
    <row r="155">
      <c r="A155" s="90"/>
      <c r="B155" s="90"/>
      <c r="C155" s="90"/>
      <c r="D155" s="90"/>
      <c r="E155" s="90"/>
      <c r="F155" s="90"/>
      <c r="G155" s="90"/>
      <c r="H155" s="90"/>
      <c r="I155" s="90"/>
      <c r="J155" s="90"/>
      <c r="K155" s="90"/>
      <c r="L155" s="90"/>
      <c r="M155" s="90"/>
      <c r="N155" s="90"/>
      <c r="O155" s="90"/>
      <c r="P155" s="90"/>
      <c r="Q155" s="90"/>
      <c r="R155" s="90"/>
      <c r="S155" s="90"/>
      <c r="T155" s="90"/>
      <c r="U155" s="90"/>
      <c r="V155" s="90"/>
      <c r="W155" s="90"/>
      <c r="X155" s="90"/>
      <c r="Y155" s="90"/>
      <c r="Z155" s="90"/>
      <c r="AA155" s="90"/>
    </row>
    <row r="156">
      <c r="A156" s="90"/>
      <c r="B156" s="90"/>
      <c r="C156" s="90"/>
      <c r="D156" s="90"/>
      <c r="E156" s="90"/>
      <c r="F156" s="90"/>
      <c r="G156" s="90"/>
      <c r="H156" s="90"/>
      <c r="I156" s="90"/>
      <c r="J156" s="90"/>
      <c r="K156" s="90"/>
      <c r="L156" s="90"/>
      <c r="M156" s="90"/>
      <c r="N156" s="90"/>
      <c r="O156" s="90"/>
      <c r="P156" s="90"/>
      <c r="Q156" s="90"/>
      <c r="R156" s="90"/>
      <c r="S156" s="90"/>
      <c r="T156" s="90"/>
      <c r="U156" s="90"/>
      <c r="V156" s="90"/>
      <c r="W156" s="90"/>
      <c r="X156" s="90"/>
      <c r="Y156" s="90"/>
      <c r="Z156" s="90"/>
      <c r="AA156" s="90"/>
    </row>
    <row r="157">
      <c r="A157" s="90"/>
      <c r="B157" s="90"/>
      <c r="C157" s="90"/>
      <c r="D157" s="90"/>
      <c r="E157" s="90"/>
      <c r="F157" s="90"/>
      <c r="G157" s="90"/>
      <c r="H157" s="90"/>
      <c r="I157" s="90"/>
      <c r="J157" s="90"/>
      <c r="K157" s="90"/>
      <c r="L157" s="90"/>
      <c r="M157" s="90"/>
      <c r="N157" s="90"/>
      <c r="O157" s="90"/>
      <c r="P157" s="90"/>
      <c r="Q157" s="90"/>
      <c r="R157" s="90"/>
      <c r="S157" s="90"/>
      <c r="T157" s="90"/>
      <c r="U157" s="90"/>
      <c r="V157" s="90"/>
      <c r="W157" s="90"/>
      <c r="X157" s="90"/>
      <c r="Y157" s="90"/>
      <c r="Z157" s="90"/>
      <c r="AA157" s="90"/>
    </row>
    <row r="158">
      <c r="A158" s="90"/>
      <c r="B158" s="90"/>
      <c r="C158" s="90"/>
      <c r="D158" s="90"/>
      <c r="E158" s="90"/>
      <c r="F158" s="90"/>
      <c r="G158" s="90"/>
      <c r="H158" s="90"/>
      <c r="I158" s="90"/>
      <c r="J158" s="90"/>
      <c r="K158" s="90"/>
      <c r="L158" s="90"/>
      <c r="M158" s="90"/>
      <c r="N158" s="90"/>
      <c r="O158" s="90"/>
      <c r="P158" s="90"/>
      <c r="Q158" s="90"/>
      <c r="R158" s="90"/>
      <c r="S158" s="90"/>
      <c r="T158" s="90"/>
      <c r="U158" s="90"/>
      <c r="V158" s="90"/>
      <c r="W158" s="90"/>
      <c r="X158" s="90"/>
      <c r="Y158" s="90"/>
      <c r="Z158" s="90"/>
      <c r="AA158" s="90"/>
    </row>
    <row r="159">
      <c r="A159" s="90"/>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c r="AA159" s="90"/>
    </row>
    <row r="160">
      <c r="A160" s="90"/>
      <c r="B160" s="90"/>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c r="AA160" s="90"/>
    </row>
    <row r="161">
      <c r="A161" s="90"/>
      <c r="B161" s="90"/>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c r="AA161" s="90"/>
    </row>
    <row r="162">
      <c r="A162" s="90"/>
      <c r="B162" s="90"/>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c r="AA162" s="90"/>
    </row>
    <row r="163">
      <c r="A163" s="90"/>
      <c r="B163" s="90"/>
      <c r="C163" s="90"/>
      <c r="D163" s="90"/>
      <c r="E163" s="90"/>
      <c r="F163" s="90"/>
      <c r="G163" s="90"/>
      <c r="H163" s="90"/>
      <c r="I163" s="90"/>
      <c r="J163" s="90"/>
      <c r="K163" s="90"/>
      <c r="L163" s="90"/>
      <c r="M163" s="90"/>
      <c r="N163" s="90"/>
      <c r="O163" s="90"/>
      <c r="P163" s="90"/>
      <c r="Q163" s="90"/>
      <c r="R163" s="90"/>
      <c r="S163" s="90"/>
      <c r="T163" s="90"/>
      <c r="U163" s="90"/>
      <c r="V163" s="90"/>
      <c r="W163" s="90"/>
      <c r="X163" s="90"/>
      <c r="Y163" s="90"/>
      <c r="Z163" s="90"/>
      <c r="AA163" s="90"/>
    </row>
    <row r="164">
      <c r="A164" s="90"/>
      <c r="B164" s="90"/>
      <c r="C164" s="90"/>
      <c r="D164" s="90"/>
      <c r="E164" s="90"/>
      <c r="F164" s="90"/>
      <c r="G164" s="90"/>
      <c r="H164" s="90"/>
      <c r="I164" s="90"/>
      <c r="J164" s="90"/>
      <c r="K164" s="90"/>
      <c r="L164" s="90"/>
      <c r="M164" s="90"/>
      <c r="N164" s="90"/>
      <c r="O164" s="90"/>
      <c r="P164" s="90"/>
      <c r="Q164" s="90"/>
      <c r="R164" s="90"/>
      <c r="S164" s="90"/>
      <c r="T164" s="90"/>
      <c r="U164" s="90"/>
      <c r="V164" s="90"/>
      <c r="W164" s="90"/>
      <c r="X164" s="90"/>
      <c r="Y164" s="90"/>
      <c r="Z164" s="90"/>
      <c r="AA164" s="90"/>
    </row>
    <row r="165">
      <c r="A165" s="90"/>
      <c r="B165" s="90"/>
      <c r="C165" s="90"/>
      <c r="D165" s="90"/>
      <c r="E165" s="90"/>
      <c r="F165" s="90"/>
      <c r="G165" s="90"/>
      <c r="H165" s="90"/>
      <c r="I165" s="90"/>
      <c r="J165" s="90"/>
      <c r="K165" s="90"/>
      <c r="L165" s="90"/>
      <c r="M165" s="90"/>
      <c r="N165" s="90"/>
      <c r="O165" s="90"/>
      <c r="P165" s="90"/>
      <c r="Q165" s="90"/>
      <c r="R165" s="90"/>
      <c r="S165" s="90"/>
      <c r="T165" s="90"/>
      <c r="U165" s="90"/>
      <c r="V165" s="90"/>
      <c r="W165" s="90"/>
      <c r="X165" s="90"/>
      <c r="Y165" s="90"/>
      <c r="Z165" s="90"/>
      <c r="AA165" s="90"/>
    </row>
    <row r="166">
      <c r="A166" s="90"/>
      <c r="B166" s="90"/>
      <c r="C166" s="90"/>
      <c r="D166" s="90"/>
      <c r="E166" s="90"/>
      <c r="F166" s="90"/>
      <c r="G166" s="90"/>
      <c r="H166" s="90"/>
      <c r="I166" s="90"/>
      <c r="J166" s="90"/>
      <c r="K166" s="90"/>
      <c r="L166" s="90"/>
      <c r="M166" s="90"/>
      <c r="N166" s="90"/>
      <c r="O166" s="90"/>
      <c r="P166" s="90"/>
      <c r="Q166" s="90"/>
      <c r="R166" s="90"/>
      <c r="S166" s="90"/>
      <c r="T166" s="90"/>
      <c r="U166" s="90"/>
      <c r="V166" s="90"/>
      <c r="W166" s="90"/>
      <c r="X166" s="90"/>
      <c r="Y166" s="90"/>
      <c r="Z166" s="90"/>
      <c r="AA166" s="90"/>
    </row>
    <row r="167">
      <c r="A167" s="90"/>
      <c r="B167" s="90"/>
      <c r="C167" s="90"/>
      <c r="D167" s="90"/>
      <c r="E167" s="90"/>
      <c r="F167" s="90"/>
      <c r="G167" s="90"/>
      <c r="H167" s="90"/>
      <c r="I167" s="90"/>
      <c r="J167" s="90"/>
      <c r="K167" s="90"/>
      <c r="L167" s="90"/>
      <c r="M167" s="90"/>
      <c r="N167" s="90"/>
      <c r="O167" s="90"/>
      <c r="P167" s="90"/>
      <c r="Q167" s="90"/>
      <c r="R167" s="90"/>
      <c r="S167" s="90"/>
      <c r="T167" s="90"/>
      <c r="U167" s="90"/>
      <c r="V167" s="90"/>
      <c r="W167" s="90"/>
      <c r="X167" s="90"/>
      <c r="Y167" s="90"/>
      <c r="Z167" s="90"/>
      <c r="AA167" s="90"/>
    </row>
    <row r="168">
      <c r="A168" s="90"/>
      <c r="B168" s="90"/>
      <c r="C168" s="90"/>
      <c r="D168" s="90"/>
      <c r="E168" s="90"/>
      <c r="F168" s="90"/>
      <c r="G168" s="90"/>
      <c r="H168" s="90"/>
      <c r="I168" s="90"/>
      <c r="J168" s="90"/>
      <c r="K168" s="90"/>
      <c r="L168" s="90"/>
      <c r="M168" s="90"/>
      <c r="N168" s="90"/>
      <c r="O168" s="90"/>
      <c r="P168" s="90"/>
      <c r="Q168" s="90"/>
      <c r="R168" s="90"/>
      <c r="S168" s="90"/>
      <c r="T168" s="90"/>
      <c r="U168" s="90"/>
      <c r="V168" s="90"/>
      <c r="W168" s="90"/>
      <c r="X168" s="90"/>
      <c r="Y168" s="90"/>
      <c r="Z168" s="90"/>
      <c r="AA168" s="90"/>
    </row>
    <row r="169">
      <c r="A169" s="90"/>
      <c r="B169" s="90"/>
      <c r="C169" s="90"/>
      <c r="D169" s="90"/>
      <c r="E169" s="90"/>
      <c r="F169" s="90"/>
      <c r="G169" s="90"/>
      <c r="H169" s="90"/>
      <c r="I169" s="90"/>
      <c r="J169" s="90"/>
      <c r="K169" s="90"/>
      <c r="L169" s="90"/>
      <c r="M169" s="90"/>
      <c r="N169" s="90"/>
      <c r="O169" s="90"/>
      <c r="P169" s="90"/>
      <c r="Q169" s="90"/>
      <c r="R169" s="90"/>
      <c r="S169" s="90"/>
      <c r="T169" s="90"/>
      <c r="U169" s="90"/>
      <c r="V169" s="90"/>
      <c r="W169" s="90"/>
      <c r="X169" s="90"/>
      <c r="Y169" s="90"/>
      <c r="Z169" s="90"/>
      <c r="AA169" s="90"/>
    </row>
    <row r="170">
      <c r="A170" s="90"/>
      <c r="B170" s="90"/>
      <c r="C170" s="90"/>
      <c r="D170" s="90"/>
      <c r="E170" s="90"/>
      <c r="F170" s="90"/>
      <c r="G170" s="90"/>
      <c r="H170" s="90"/>
      <c r="I170" s="90"/>
      <c r="J170" s="90"/>
      <c r="K170" s="90"/>
      <c r="L170" s="90"/>
      <c r="M170" s="90"/>
      <c r="N170" s="90"/>
      <c r="O170" s="90"/>
      <c r="P170" s="90"/>
      <c r="Q170" s="90"/>
      <c r="R170" s="90"/>
      <c r="S170" s="90"/>
      <c r="T170" s="90"/>
      <c r="U170" s="90"/>
      <c r="V170" s="90"/>
      <c r="W170" s="90"/>
      <c r="X170" s="90"/>
      <c r="Y170" s="90"/>
      <c r="Z170" s="90"/>
      <c r="AA170" s="90"/>
    </row>
    <row r="171">
      <c r="A171" s="90"/>
      <c r="B171" s="90"/>
      <c r="C171" s="90"/>
      <c r="D171" s="90"/>
      <c r="E171" s="90"/>
      <c r="F171" s="90"/>
      <c r="G171" s="90"/>
      <c r="H171" s="90"/>
      <c r="I171" s="90"/>
      <c r="J171" s="90"/>
      <c r="K171" s="90"/>
      <c r="L171" s="90"/>
      <c r="M171" s="90"/>
      <c r="N171" s="90"/>
      <c r="O171" s="90"/>
      <c r="P171" s="90"/>
      <c r="Q171" s="90"/>
      <c r="R171" s="90"/>
      <c r="S171" s="90"/>
      <c r="T171" s="90"/>
      <c r="U171" s="90"/>
      <c r="V171" s="90"/>
      <c r="W171" s="90"/>
      <c r="X171" s="90"/>
      <c r="Y171" s="90"/>
      <c r="Z171" s="90"/>
      <c r="AA171" s="90"/>
    </row>
    <row r="172">
      <c r="A172" s="90"/>
      <c r="B172" s="90"/>
      <c r="C172" s="90"/>
      <c r="D172" s="90"/>
      <c r="E172" s="90"/>
      <c r="F172" s="90"/>
      <c r="G172" s="90"/>
      <c r="H172" s="90"/>
      <c r="I172" s="90"/>
      <c r="J172" s="90"/>
      <c r="K172" s="90"/>
      <c r="L172" s="90"/>
      <c r="M172" s="90"/>
      <c r="N172" s="90"/>
      <c r="O172" s="90"/>
      <c r="P172" s="90"/>
      <c r="Q172" s="90"/>
      <c r="R172" s="90"/>
      <c r="S172" s="90"/>
      <c r="T172" s="90"/>
      <c r="U172" s="90"/>
      <c r="V172" s="90"/>
      <c r="W172" s="90"/>
      <c r="X172" s="90"/>
      <c r="Y172" s="90"/>
      <c r="Z172" s="90"/>
      <c r="AA172" s="90"/>
    </row>
    <row r="173">
      <c r="A173" s="90"/>
      <c r="B173" s="90"/>
      <c r="C173" s="90"/>
      <c r="D173" s="90"/>
      <c r="E173" s="90"/>
      <c r="F173" s="90"/>
      <c r="G173" s="90"/>
      <c r="H173" s="90"/>
      <c r="I173" s="90"/>
      <c r="J173" s="90"/>
      <c r="K173" s="90"/>
      <c r="L173" s="90"/>
      <c r="M173" s="90"/>
      <c r="N173" s="90"/>
      <c r="O173" s="90"/>
      <c r="P173" s="90"/>
      <c r="Q173" s="90"/>
      <c r="R173" s="90"/>
      <c r="S173" s="90"/>
      <c r="T173" s="90"/>
      <c r="U173" s="90"/>
      <c r="V173" s="90"/>
      <c r="W173" s="90"/>
      <c r="X173" s="90"/>
      <c r="Y173" s="90"/>
      <c r="Z173" s="90"/>
      <c r="AA173" s="90"/>
    </row>
    <row r="174">
      <c r="A174" s="90"/>
      <c r="B174" s="90"/>
      <c r="C174" s="90"/>
      <c r="D174" s="90"/>
      <c r="E174" s="90"/>
      <c r="F174" s="90"/>
      <c r="G174" s="90"/>
      <c r="H174" s="90"/>
      <c r="I174" s="90"/>
      <c r="J174" s="90"/>
      <c r="K174" s="90"/>
      <c r="L174" s="90"/>
      <c r="M174" s="90"/>
      <c r="N174" s="90"/>
      <c r="O174" s="90"/>
      <c r="P174" s="90"/>
      <c r="Q174" s="90"/>
      <c r="R174" s="90"/>
      <c r="S174" s="90"/>
      <c r="T174" s="90"/>
      <c r="U174" s="90"/>
      <c r="V174" s="90"/>
      <c r="W174" s="90"/>
      <c r="X174" s="90"/>
      <c r="Y174" s="90"/>
      <c r="Z174" s="90"/>
      <c r="AA174" s="90"/>
    </row>
    <row r="175">
      <c r="A175" s="90"/>
      <c r="B175" s="90"/>
      <c r="C175" s="90"/>
      <c r="D175" s="90"/>
      <c r="E175" s="90"/>
      <c r="F175" s="90"/>
      <c r="G175" s="90"/>
      <c r="H175" s="90"/>
      <c r="I175" s="90"/>
      <c r="J175" s="90"/>
      <c r="K175" s="90"/>
      <c r="L175" s="90"/>
      <c r="M175" s="90"/>
      <c r="N175" s="90"/>
      <c r="O175" s="90"/>
      <c r="P175" s="90"/>
      <c r="Q175" s="90"/>
      <c r="R175" s="90"/>
      <c r="S175" s="90"/>
      <c r="T175" s="90"/>
      <c r="U175" s="90"/>
      <c r="V175" s="90"/>
      <c r="W175" s="90"/>
      <c r="X175" s="90"/>
      <c r="Y175" s="90"/>
      <c r="Z175" s="90"/>
      <c r="AA175" s="90"/>
    </row>
    <row r="176">
      <c r="A176" s="90"/>
      <c r="B176" s="90"/>
      <c r="C176" s="90"/>
      <c r="D176" s="90"/>
      <c r="E176" s="90"/>
      <c r="F176" s="90"/>
      <c r="G176" s="90"/>
      <c r="H176" s="90"/>
      <c r="I176" s="90"/>
      <c r="J176" s="90"/>
      <c r="K176" s="90"/>
      <c r="L176" s="90"/>
      <c r="M176" s="90"/>
      <c r="N176" s="90"/>
      <c r="O176" s="90"/>
      <c r="P176" s="90"/>
      <c r="Q176" s="90"/>
      <c r="R176" s="90"/>
      <c r="S176" s="90"/>
      <c r="T176" s="90"/>
      <c r="U176" s="90"/>
      <c r="V176" s="90"/>
      <c r="W176" s="90"/>
      <c r="X176" s="90"/>
      <c r="Y176" s="90"/>
      <c r="Z176" s="90"/>
      <c r="AA176" s="90"/>
    </row>
    <row r="177">
      <c r="A177" s="90"/>
      <c r="B177" s="90"/>
      <c r="C177" s="90"/>
      <c r="D177" s="90"/>
      <c r="E177" s="90"/>
      <c r="F177" s="90"/>
      <c r="G177" s="90"/>
      <c r="H177" s="90"/>
      <c r="I177" s="90"/>
      <c r="J177" s="90"/>
      <c r="K177" s="90"/>
      <c r="L177" s="90"/>
      <c r="M177" s="90"/>
      <c r="N177" s="90"/>
      <c r="O177" s="90"/>
      <c r="P177" s="90"/>
      <c r="Q177" s="90"/>
      <c r="R177" s="90"/>
      <c r="S177" s="90"/>
      <c r="T177" s="90"/>
      <c r="U177" s="90"/>
      <c r="V177" s="90"/>
      <c r="W177" s="90"/>
      <c r="X177" s="90"/>
      <c r="Y177" s="90"/>
      <c r="Z177" s="90"/>
      <c r="AA177" s="90"/>
    </row>
    <row r="178">
      <c r="A178" s="90"/>
      <c r="B178" s="90"/>
      <c r="C178" s="90"/>
      <c r="D178" s="90"/>
      <c r="E178" s="90"/>
      <c r="F178" s="90"/>
      <c r="G178" s="90"/>
      <c r="H178" s="90"/>
      <c r="I178" s="90"/>
      <c r="J178" s="90"/>
      <c r="K178" s="90"/>
      <c r="L178" s="90"/>
      <c r="M178" s="90"/>
      <c r="N178" s="90"/>
      <c r="O178" s="90"/>
      <c r="P178" s="90"/>
      <c r="Q178" s="90"/>
      <c r="R178" s="90"/>
      <c r="S178" s="90"/>
      <c r="T178" s="90"/>
      <c r="U178" s="90"/>
      <c r="V178" s="90"/>
      <c r="W178" s="90"/>
      <c r="X178" s="90"/>
      <c r="Y178" s="90"/>
      <c r="Z178" s="90"/>
      <c r="AA178" s="90"/>
    </row>
    <row r="179">
      <c r="A179" s="90"/>
      <c r="B179" s="90"/>
      <c r="C179" s="90"/>
      <c r="D179" s="90"/>
      <c r="E179" s="90"/>
      <c r="F179" s="90"/>
      <c r="G179" s="90"/>
      <c r="H179" s="90"/>
      <c r="I179" s="90"/>
      <c r="J179" s="90"/>
      <c r="K179" s="90"/>
      <c r="L179" s="90"/>
      <c r="M179" s="90"/>
      <c r="N179" s="90"/>
      <c r="O179" s="90"/>
      <c r="P179" s="90"/>
      <c r="Q179" s="90"/>
      <c r="R179" s="90"/>
      <c r="S179" s="90"/>
      <c r="T179" s="90"/>
      <c r="U179" s="90"/>
      <c r="V179" s="90"/>
      <c r="W179" s="90"/>
      <c r="X179" s="90"/>
      <c r="Y179" s="90"/>
      <c r="Z179" s="90"/>
      <c r="AA179" s="90"/>
    </row>
    <row r="180">
      <c r="A180" s="90"/>
      <c r="B180" s="90"/>
      <c r="C180" s="90"/>
      <c r="D180" s="90"/>
      <c r="E180" s="90"/>
      <c r="F180" s="90"/>
      <c r="G180" s="90"/>
      <c r="H180" s="90"/>
      <c r="I180" s="90"/>
      <c r="J180" s="90"/>
      <c r="K180" s="90"/>
      <c r="L180" s="90"/>
      <c r="M180" s="90"/>
      <c r="N180" s="90"/>
      <c r="O180" s="90"/>
      <c r="P180" s="90"/>
      <c r="Q180" s="90"/>
      <c r="R180" s="90"/>
      <c r="S180" s="90"/>
      <c r="T180" s="90"/>
      <c r="U180" s="90"/>
      <c r="V180" s="90"/>
      <c r="W180" s="90"/>
      <c r="X180" s="90"/>
      <c r="Y180" s="90"/>
      <c r="Z180" s="90"/>
      <c r="AA180" s="90"/>
    </row>
    <row r="181">
      <c r="A181" s="90"/>
      <c r="B181" s="90"/>
      <c r="C181" s="90"/>
      <c r="D181" s="90"/>
      <c r="E181" s="90"/>
      <c r="F181" s="90"/>
      <c r="G181" s="90"/>
      <c r="H181" s="90"/>
      <c r="I181" s="90"/>
      <c r="J181" s="90"/>
      <c r="K181" s="90"/>
      <c r="L181" s="90"/>
      <c r="M181" s="90"/>
      <c r="N181" s="90"/>
      <c r="O181" s="90"/>
      <c r="P181" s="90"/>
      <c r="Q181" s="90"/>
      <c r="R181" s="90"/>
      <c r="S181" s="90"/>
      <c r="T181" s="90"/>
      <c r="U181" s="90"/>
      <c r="V181" s="90"/>
      <c r="W181" s="90"/>
      <c r="X181" s="90"/>
      <c r="Y181" s="90"/>
      <c r="Z181" s="90"/>
      <c r="AA181" s="90"/>
    </row>
    <row r="182">
      <c r="A182" s="90"/>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c r="AA182" s="90"/>
    </row>
    <row r="183">
      <c r="A183" s="90"/>
      <c r="B183" s="90"/>
      <c r="C183" s="90"/>
      <c r="D183" s="90"/>
      <c r="E183" s="90"/>
      <c r="F183" s="90"/>
      <c r="G183" s="90"/>
      <c r="H183" s="90"/>
      <c r="I183" s="90"/>
      <c r="J183" s="90"/>
      <c r="K183" s="90"/>
      <c r="L183" s="90"/>
      <c r="M183" s="90"/>
      <c r="N183" s="90"/>
      <c r="O183" s="90"/>
      <c r="P183" s="90"/>
      <c r="Q183" s="90"/>
      <c r="R183" s="90"/>
      <c r="S183" s="90"/>
      <c r="T183" s="90"/>
      <c r="U183" s="90"/>
      <c r="V183" s="90"/>
      <c r="W183" s="90"/>
      <c r="X183" s="90"/>
      <c r="Y183" s="90"/>
      <c r="Z183" s="90"/>
      <c r="AA183" s="90"/>
    </row>
    <row r="184">
      <c r="A184" s="90"/>
      <c r="B184" s="90"/>
      <c r="C184" s="90"/>
      <c r="D184" s="90"/>
      <c r="E184" s="90"/>
      <c r="F184" s="90"/>
      <c r="G184" s="90"/>
      <c r="H184" s="90"/>
      <c r="I184" s="90"/>
      <c r="J184" s="90"/>
      <c r="K184" s="90"/>
      <c r="L184" s="90"/>
      <c r="M184" s="90"/>
      <c r="N184" s="90"/>
      <c r="O184" s="90"/>
      <c r="P184" s="90"/>
      <c r="Q184" s="90"/>
      <c r="R184" s="90"/>
      <c r="S184" s="90"/>
      <c r="T184" s="90"/>
      <c r="U184" s="90"/>
      <c r="V184" s="90"/>
      <c r="W184" s="90"/>
      <c r="X184" s="90"/>
      <c r="Y184" s="90"/>
      <c r="Z184" s="90"/>
      <c r="AA184" s="90"/>
    </row>
    <row r="185">
      <c r="A185" s="90"/>
      <c r="B185" s="90"/>
      <c r="C185" s="90"/>
      <c r="D185" s="90"/>
      <c r="E185" s="90"/>
      <c r="F185" s="90"/>
      <c r="G185" s="90"/>
      <c r="H185" s="90"/>
      <c r="I185" s="90"/>
      <c r="J185" s="90"/>
      <c r="K185" s="90"/>
      <c r="L185" s="90"/>
      <c r="M185" s="90"/>
      <c r="N185" s="90"/>
      <c r="O185" s="90"/>
      <c r="P185" s="90"/>
      <c r="Q185" s="90"/>
      <c r="R185" s="90"/>
      <c r="S185" s="90"/>
      <c r="T185" s="90"/>
      <c r="U185" s="90"/>
      <c r="V185" s="90"/>
      <c r="W185" s="90"/>
      <c r="X185" s="90"/>
      <c r="Y185" s="90"/>
      <c r="Z185" s="90"/>
      <c r="AA185" s="90"/>
    </row>
    <row r="186">
      <c r="A186" s="90"/>
      <c r="B186" s="90"/>
      <c r="C186" s="90"/>
      <c r="D186" s="90"/>
      <c r="E186" s="90"/>
      <c r="F186" s="90"/>
      <c r="G186" s="90"/>
      <c r="H186" s="90"/>
      <c r="I186" s="90"/>
      <c r="J186" s="90"/>
      <c r="K186" s="90"/>
      <c r="L186" s="90"/>
      <c r="M186" s="90"/>
      <c r="N186" s="90"/>
      <c r="O186" s="90"/>
      <c r="P186" s="90"/>
      <c r="Q186" s="90"/>
      <c r="R186" s="90"/>
      <c r="S186" s="90"/>
      <c r="T186" s="90"/>
      <c r="U186" s="90"/>
      <c r="V186" s="90"/>
      <c r="W186" s="90"/>
      <c r="X186" s="90"/>
      <c r="Y186" s="90"/>
      <c r="Z186" s="90"/>
      <c r="AA186" s="90"/>
    </row>
    <row r="187">
      <c r="A187" s="90"/>
      <c r="B187" s="90"/>
      <c r="C187" s="90"/>
      <c r="D187" s="90"/>
      <c r="E187" s="90"/>
      <c r="F187" s="90"/>
      <c r="G187" s="90"/>
      <c r="H187" s="90"/>
      <c r="I187" s="90"/>
      <c r="J187" s="90"/>
      <c r="K187" s="90"/>
      <c r="L187" s="90"/>
      <c r="M187" s="90"/>
      <c r="N187" s="90"/>
      <c r="O187" s="90"/>
      <c r="P187" s="90"/>
      <c r="Q187" s="90"/>
      <c r="R187" s="90"/>
      <c r="S187" s="90"/>
      <c r="T187" s="90"/>
      <c r="U187" s="90"/>
      <c r="V187" s="90"/>
      <c r="W187" s="90"/>
      <c r="X187" s="90"/>
      <c r="Y187" s="90"/>
      <c r="Z187" s="90"/>
      <c r="AA187" s="90"/>
    </row>
    <row r="188">
      <c r="A188" s="90"/>
      <c r="B188" s="90"/>
      <c r="C188" s="90"/>
      <c r="D188" s="90"/>
      <c r="E188" s="90"/>
      <c r="F188" s="90"/>
      <c r="G188" s="90"/>
      <c r="H188" s="90"/>
      <c r="I188" s="90"/>
      <c r="J188" s="90"/>
      <c r="K188" s="90"/>
      <c r="L188" s="90"/>
      <c r="M188" s="90"/>
      <c r="N188" s="90"/>
      <c r="O188" s="90"/>
      <c r="P188" s="90"/>
      <c r="Q188" s="90"/>
      <c r="R188" s="90"/>
      <c r="S188" s="90"/>
      <c r="T188" s="90"/>
      <c r="U188" s="90"/>
      <c r="V188" s="90"/>
      <c r="W188" s="90"/>
      <c r="X188" s="90"/>
      <c r="Y188" s="90"/>
      <c r="Z188" s="90"/>
      <c r="AA188" s="90"/>
    </row>
    <row r="189">
      <c r="A189" s="90"/>
      <c r="B189" s="90"/>
      <c r="C189" s="90"/>
      <c r="D189" s="90"/>
      <c r="E189" s="90"/>
      <c r="F189" s="90"/>
      <c r="G189" s="90"/>
      <c r="H189" s="90"/>
      <c r="I189" s="90"/>
      <c r="J189" s="90"/>
      <c r="K189" s="90"/>
      <c r="L189" s="90"/>
      <c r="M189" s="90"/>
      <c r="N189" s="90"/>
      <c r="O189" s="90"/>
      <c r="P189" s="90"/>
      <c r="Q189" s="90"/>
      <c r="R189" s="90"/>
      <c r="S189" s="90"/>
      <c r="T189" s="90"/>
      <c r="U189" s="90"/>
      <c r="V189" s="90"/>
      <c r="W189" s="90"/>
      <c r="X189" s="90"/>
      <c r="Y189" s="90"/>
      <c r="Z189" s="90"/>
      <c r="AA189" s="90"/>
    </row>
    <row r="190">
      <c r="A190" s="90"/>
      <c r="B190" s="90"/>
      <c r="C190" s="90"/>
      <c r="D190" s="90"/>
      <c r="E190" s="90"/>
      <c r="F190" s="90"/>
      <c r="G190" s="90"/>
      <c r="H190" s="90"/>
      <c r="I190" s="90"/>
      <c r="J190" s="90"/>
      <c r="K190" s="90"/>
      <c r="L190" s="90"/>
      <c r="M190" s="90"/>
      <c r="N190" s="90"/>
      <c r="O190" s="90"/>
      <c r="P190" s="90"/>
      <c r="Q190" s="90"/>
      <c r="R190" s="90"/>
      <c r="S190" s="90"/>
      <c r="T190" s="90"/>
      <c r="U190" s="90"/>
      <c r="V190" s="90"/>
      <c r="W190" s="90"/>
      <c r="X190" s="90"/>
      <c r="Y190" s="90"/>
      <c r="Z190" s="90"/>
      <c r="AA190" s="90"/>
    </row>
    <row r="191">
      <c r="A191" s="90"/>
      <c r="B191" s="90"/>
      <c r="C191" s="90"/>
      <c r="D191" s="90"/>
      <c r="E191" s="90"/>
      <c r="F191" s="90"/>
      <c r="G191" s="90"/>
      <c r="H191" s="90"/>
      <c r="I191" s="90"/>
      <c r="J191" s="90"/>
      <c r="K191" s="90"/>
      <c r="L191" s="90"/>
      <c r="M191" s="90"/>
      <c r="N191" s="90"/>
      <c r="O191" s="90"/>
      <c r="P191" s="90"/>
      <c r="Q191" s="90"/>
      <c r="R191" s="90"/>
      <c r="S191" s="90"/>
      <c r="T191" s="90"/>
      <c r="U191" s="90"/>
      <c r="V191" s="90"/>
      <c r="W191" s="90"/>
      <c r="X191" s="90"/>
      <c r="Y191" s="90"/>
      <c r="Z191" s="90"/>
      <c r="AA191" s="90"/>
    </row>
    <row r="192">
      <c r="A192" s="90"/>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c r="AA192" s="90"/>
    </row>
    <row r="193">
      <c r="A193" s="90"/>
      <c r="B193" s="90"/>
      <c r="C193" s="90"/>
      <c r="D193" s="90"/>
      <c r="E193" s="90"/>
      <c r="F193" s="90"/>
      <c r="G193" s="90"/>
      <c r="H193" s="90"/>
      <c r="I193" s="90"/>
      <c r="J193" s="90"/>
      <c r="K193" s="90"/>
      <c r="L193" s="90"/>
      <c r="M193" s="90"/>
      <c r="N193" s="90"/>
      <c r="O193" s="90"/>
      <c r="P193" s="90"/>
      <c r="Q193" s="90"/>
      <c r="R193" s="90"/>
      <c r="S193" s="90"/>
      <c r="T193" s="90"/>
      <c r="U193" s="90"/>
      <c r="V193" s="90"/>
      <c r="W193" s="90"/>
      <c r="X193" s="90"/>
      <c r="Y193" s="90"/>
      <c r="Z193" s="90"/>
      <c r="AA193" s="90"/>
    </row>
    <row r="194">
      <c r="A194" s="90"/>
      <c r="B194" s="90"/>
      <c r="C194" s="90"/>
      <c r="D194" s="90"/>
      <c r="E194" s="90"/>
      <c r="F194" s="90"/>
      <c r="G194" s="90"/>
      <c r="H194" s="90"/>
      <c r="I194" s="90"/>
      <c r="J194" s="90"/>
      <c r="K194" s="90"/>
      <c r="L194" s="90"/>
      <c r="M194" s="90"/>
      <c r="N194" s="90"/>
      <c r="O194" s="90"/>
      <c r="P194" s="90"/>
      <c r="Q194" s="90"/>
      <c r="R194" s="90"/>
      <c r="S194" s="90"/>
      <c r="T194" s="90"/>
      <c r="U194" s="90"/>
      <c r="V194" s="90"/>
      <c r="W194" s="90"/>
      <c r="X194" s="90"/>
      <c r="Y194" s="90"/>
      <c r="Z194" s="90"/>
      <c r="AA194" s="90"/>
    </row>
    <row r="195">
      <c r="A195" s="90"/>
      <c r="B195" s="90"/>
      <c r="C195" s="90"/>
      <c r="D195" s="90"/>
      <c r="E195" s="90"/>
      <c r="F195" s="90"/>
      <c r="G195" s="90"/>
      <c r="H195" s="90"/>
      <c r="I195" s="90"/>
      <c r="J195" s="90"/>
      <c r="K195" s="90"/>
      <c r="L195" s="90"/>
      <c r="M195" s="90"/>
      <c r="N195" s="90"/>
      <c r="O195" s="90"/>
      <c r="P195" s="90"/>
      <c r="Q195" s="90"/>
      <c r="R195" s="90"/>
      <c r="S195" s="90"/>
      <c r="T195" s="90"/>
      <c r="U195" s="90"/>
      <c r="V195" s="90"/>
      <c r="W195" s="90"/>
      <c r="X195" s="90"/>
      <c r="Y195" s="90"/>
      <c r="Z195" s="90"/>
      <c r="AA195" s="90"/>
    </row>
    <row r="196">
      <c r="A196" s="90"/>
      <c r="B196" s="90"/>
      <c r="C196" s="90"/>
      <c r="D196" s="90"/>
      <c r="E196" s="90"/>
      <c r="F196" s="90"/>
      <c r="G196" s="90"/>
      <c r="H196" s="90"/>
      <c r="I196" s="90"/>
      <c r="J196" s="90"/>
      <c r="K196" s="90"/>
      <c r="L196" s="90"/>
      <c r="M196" s="90"/>
      <c r="N196" s="90"/>
      <c r="O196" s="90"/>
      <c r="P196" s="90"/>
      <c r="Q196" s="90"/>
      <c r="R196" s="90"/>
      <c r="S196" s="90"/>
      <c r="T196" s="90"/>
      <c r="U196" s="90"/>
      <c r="V196" s="90"/>
      <c r="W196" s="90"/>
      <c r="X196" s="90"/>
      <c r="Y196" s="90"/>
      <c r="Z196" s="90"/>
      <c r="AA196" s="90"/>
    </row>
    <row r="197">
      <c r="A197" s="90"/>
      <c r="B197" s="90"/>
      <c r="C197" s="90"/>
      <c r="D197" s="90"/>
      <c r="E197" s="90"/>
      <c r="F197" s="90"/>
      <c r="G197" s="90"/>
      <c r="H197" s="90"/>
      <c r="I197" s="90"/>
      <c r="J197" s="90"/>
      <c r="K197" s="90"/>
      <c r="L197" s="90"/>
      <c r="M197" s="90"/>
      <c r="N197" s="90"/>
      <c r="O197" s="90"/>
      <c r="P197" s="90"/>
      <c r="Q197" s="90"/>
      <c r="R197" s="90"/>
      <c r="S197" s="90"/>
      <c r="T197" s="90"/>
      <c r="U197" s="90"/>
      <c r="V197" s="90"/>
      <c r="W197" s="90"/>
      <c r="X197" s="90"/>
      <c r="Y197" s="90"/>
      <c r="Z197" s="90"/>
      <c r="AA197" s="90"/>
    </row>
    <row r="198">
      <c r="A198" s="90"/>
      <c r="B198" s="90"/>
      <c r="C198" s="90"/>
      <c r="D198" s="90"/>
      <c r="E198" s="90"/>
      <c r="F198" s="90"/>
      <c r="G198" s="90"/>
      <c r="H198" s="90"/>
      <c r="I198" s="90"/>
      <c r="J198" s="90"/>
      <c r="K198" s="90"/>
      <c r="L198" s="90"/>
      <c r="M198" s="90"/>
      <c r="N198" s="90"/>
      <c r="O198" s="90"/>
      <c r="P198" s="90"/>
      <c r="Q198" s="90"/>
      <c r="R198" s="90"/>
      <c r="S198" s="90"/>
      <c r="T198" s="90"/>
      <c r="U198" s="90"/>
      <c r="V198" s="90"/>
      <c r="W198" s="90"/>
      <c r="X198" s="90"/>
      <c r="Y198" s="90"/>
      <c r="Z198" s="90"/>
      <c r="AA198" s="90"/>
    </row>
    <row r="199">
      <c r="A199" s="90"/>
      <c r="B199" s="90"/>
      <c r="C199" s="90"/>
      <c r="D199" s="90"/>
      <c r="E199" s="90"/>
      <c r="F199" s="90"/>
      <c r="G199" s="90"/>
      <c r="H199" s="90"/>
      <c r="I199" s="90"/>
      <c r="J199" s="90"/>
      <c r="K199" s="90"/>
      <c r="L199" s="90"/>
      <c r="M199" s="90"/>
      <c r="N199" s="90"/>
      <c r="O199" s="90"/>
      <c r="P199" s="90"/>
      <c r="Q199" s="90"/>
      <c r="R199" s="90"/>
      <c r="S199" s="90"/>
      <c r="T199" s="90"/>
      <c r="U199" s="90"/>
      <c r="V199" s="90"/>
      <c r="W199" s="90"/>
      <c r="X199" s="90"/>
      <c r="Y199" s="90"/>
      <c r="Z199" s="90"/>
      <c r="AA199" s="90"/>
    </row>
    <row r="200">
      <c r="A200" s="90"/>
      <c r="B200" s="90"/>
      <c r="C200" s="90"/>
      <c r="D200" s="90"/>
      <c r="E200" s="90"/>
      <c r="F200" s="90"/>
      <c r="G200" s="90"/>
      <c r="H200" s="90"/>
      <c r="I200" s="90"/>
      <c r="J200" s="90"/>
      <c r="K200" s="90"/>
      <c r="L200" s="90"/>
      <c r="M200" s="90"/>
      <c r="N200" s="90"/>
      <c r="O200" s="90"/>
      <c r="P200" s="90"/>
      <c r="Q200" s="90"/>
      <c r="R200" s="90"/>
      <c r="S200" s="90"/>
      <c r="T200" s="90"/>
      <c r="U200" s="90"/>
      <c r="V200" s="90"/>
      <c r="W200" s="90"/>
      <c r="X200" s="90"/>
      <c r="Y200" s="90"/>
      <c r="Z200" s="90"/>
      <c r="AA200" s="90"/>
    </row>
    <row r="201">
      <c r="A201" s="90"/>
      <c r="B201" s="90"/>
      <c r="C201" s="90"/>
      <c r="D201" s="90"/>
      <c r="E201" s="90"/>
      <c r="F201" s="90"/>
      <c r="G201" s="90"/>
      <c r="H201" s="90"/>
      <c r="I201" s="90"/>
      <c r="J201" s="90"/>
      <c r="K201" s="90"/>
      <c r="L201" s="90"/>
      <c r="M201" s="90"/>
      <c r="N201" s="90"/>
      <c r="O201" s="90"/>
      <c r="P201" s="90"/>
      <c r="Q201" s="90"/>
      <c r="R201" s="90"/>
      <c r="S201" s="90"/>
      <c r="T201" s="90"/>
      <c r="U201" s="90"/>
      <c r="V201" s="90"/>
      <c r="W201" s="90"/>
      <c r="X201" s="90"/>
      <c r="Y201" s="90"/>
      <c r="Z201" s="90"/>
      <c r="AA201" s="90"/>
    </row>
    <row r="202">
      <c r="A202" s="90"/>
      <c r="B202" s="90"/>
      <c r="C202" s="90"/>
      <c r="D202" s="90"/>
      <c r="E202" s="90"/>
      <c r="F202" s="90"/>
      <c r="G202" s="90"/>
      <c r="H202" s="90"/>
      <c r="I202" s="90"/>
      <c r="J202" s="90"/>
      <c r="K202" s="90"/>
      <c r="L202" s="90"/>
      <c r="M202" s="90"/>
      <c r="N202" s="90"/>
      <c r="O202" s="90"/>
      <c r="P202" s="90"/>
      <c r="Q202" s="90"/>
      <c r="R202" s="90"/>
      <c r="S202" s="90"/>
      <c r="T202" s="90"/>
      <c r="U202" s="90"/>
      <c r="V202" s="90"/>
      <c r="W202" s="90"/>
      <c r="X202" s="90"/>
      <c r="Y202" s="90"/>
      <c r="Z202" s="90"/>
      <c r="AA202" s="90"/>
    </row>
    <row r="203">
      <c r="A203" s="90"/>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c r="AA203" s="90"/>
    </row>
    <row r="204">
      <c r="A204" s="90"/>
      <c r="B204" s="90"/>
      <c r="C204" s="90"/>
      <c r="D204" s="90"/>
      <c r="E204" s="90"/>
      <c r="F204" s="90"/>
      <c r="G204" s="90"/>
      <c r="H204" s="90"/>
      <c r="I204" s="90"/>
      <c r="J204" s="90"/>
      <c r="K204" s="90"/>
      <c r="L204" s="90"/>
      <c r="M204" s="90"/>
      <c r="N204" s="90"/>
      <c r="O204" s="90"/>
      <c r="P204" s="90"/>
      <c r="Q204" s="90"/>
      <c r="R204" s="90"/>
      <c r="S204" s="90"/>
      <c r="T204" s="90"/>
      <c r="U204" s="90"/>
      <c r="V204" s="90"/>
      <c r="W204" s="90"/>
      <c r="X204" s="90"/>
      <c r="Y204" s="90"/>
      <c r="Z204" s="90"/>
      <c r="AA204" s="90"/>
    </row>
    <row r="205">
      <c r="A205" s="90"/>
      <c r="B205" s="90"/>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c r="AA205" s="90"/>
    </row>
    <row r="206">
      <c r="A206" s="90"/>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c r="AA206" s="90"/>
    </row>
    <row r="207">
      <c r="A207" s="90"/>
      <c r="B207" s="90"/>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c r="AA207" s="90"/>
    </row>
    <row r="208">
      <c r="A208" s="90"/>
      <c r="B208" s="90"/>
      <c r="C208" s="90"/>
      <c r="D208" s="90"/>
      <c r="E208" s="90"/>
      <c r="F208" s="90"/>
      <c r="G208" s="90"/>
      <c r="H208" s="90"/>
      <c r="I208" s="90"/>
      <c r="J208" s="90"/>
      <c r="K208" s="90"/>
      <c r="L208" s="90"/>
      <c r="M208" s="90"/>
      <c r="N208" s="90"/>
      <c r="O208" s="90"/>
      <c r="P208" s="90"/>
      <c r="Q208" s="90"/>
      <c r="R208" s="90"/>
      <c r="S208" s="90"/>
      <c r="T208" s="90"/>
      <c r="U208" s="90"/>
      <c r="V208" s="90"/>
      <c r="W208" s="90"/>
      <c r="X208" s="90"/>
      <c r="Y208" s="90"/>
      <c r="Z208" s="90"/>
      <c r="AA208" s="90"/>
    </row>
    <row r="209">
      <c r="A209" s="90"/>
      <c r="B209" s="90"/>
      <c r="C209" s="90"/>
      <c r="D209" s="90"/>
      <c r="E209" s="90"/>
      <c r="F209" s="90"/>
      <c r="G209" s="90"/>
      <c r="H209" s="90"/>
      <c r="I209" s="90"/>
      <c r="J209" s="90"/>
      <c r="K209" s="90"/>
      <c r="L209" s="90"/>
      <c r="M209" s="90"/>
      <c r="N209" s="90"/>
      <c r="O209" s="90"/>
      <c r="P209" s="90"/>
      <c r="Q209" s="90"/>
      <c r="R209" s="90"/>
      <c r="S209" s="90"/>
      <c r="T209" s="90"/>
      <c r="U209" s="90"/>
      <c r="V209" s="90"/>
      <c r="W209" s="90"/>
      <c r="X209" s="90"/>
      <c r="Y209" s="90"/>
      <c r="Z209" s="90"/>
      <c r="AA209" s="90"/>
    </row>
    <row r="210">
      <c r="A210" s="90"/>
      <c r="B210" s="90"/>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c r="AA210" s="90"/>
    </row>
    <row r="211">
      <c r="A211" s="90"/>
      <c r="B211" s="90"/>
      <c r="C211" s="90"/>
      <c r="D211" s="90"/>
      <c r="E211" s="90"/>
      <c r="F211" s="90"/>
      <c r="G211" s="90"/>
      <c r="H211" s="90"/>
      <c r="I211" s="90"/>
      <c r="J211" s="90"/>
      <c r="K211" s="90"/>
      <c r="L211" s="90"/>
      <c r="M211" s="90"/>
      <c r="N211" s="90"/>
      <c r="O211" s="90"/>
      <c r="P211" s="90"/>
      <c r="Q211" s="90"/>
      <c r="R211" s="90"/>
      <c r="S211" s="90"/>
      <c r="T211" s="90"/>
      <c r="U211" s="90"/>
      <c r="V211" s="90"/>
      <c r="W211" s="90"/>
      <c r="X211" s="90"/>
      <c r="Y211" s="90"/>
      <c r="Z211" s="90"/>
      <c r="AA211" s="90"/>
    </row>
    <row r="212">
      <c r="A212" s="90"/>
      <c r="B212" s="90"/>
      <c r="C212" s="90"/>
      <c r="D212" s="90"/>
      <c r="E212" s="90"/>
      <c r="F212" s="90"/>
      <c r="G212" s="90"/>
      <c r="H212" s="90"/>
      <c r="I212" s="90"/>
      <c r="J212" s="90"/>
      <c r="K212" s="90"/>
      <c r="L212" s="90"/>
      <c r="M212" s="90"/>
      <c r="N212" s="90"/>
      <c r="O212" s="90"/>
      <c r="P212" s="90"/>
      <c r="Q212" s="90"/>
      <c r="R212" s="90"/>
      <c r="S212" s="90"/>
      <c r="T212" s="90"/>
      <c r="U212" s="90"/>
      <c r="V212" s="90"/>
      <c r="W212" s="90"/>
      <c r="X212" s="90"/>
      <c r="Y212" s="90"/>
      <c r="Z212" s="90"/>
      <c r="AA212" s="90"/>
    </row>
    <row r="213">
      <c r="A213" s="90"/>
      <c r="B213" s="90"/>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c r="AA213" s="90"/>
    </row>
    <row r="214">
      <c r="A214" s="90"/>
      <c r="B214" s="90"/>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c r="AA214" s="90"/>
    </row>
    <row r="215">
      <c r="A215" s="90"/>
      <c r="B215" s="90"/>
      <c r="C215" s="90"/>
      <c r="D215" s="90"/>
      <c r="E215" s="90"/>
      <c r="F215" s="90"/>
      <c r="G215" s="90"/>
      <c r="H215" s="90"/>
      <c r="I215" s="90"/>
      <c r="J215" s="90"/>
      <c r="K215" s="90"/>
      <c r="L215" s="90"/>
      <c r="M215" s="90"/>
      <c r="N215" s="90"/>
      <c r="O215" s="90"/>
      <c r="P215" s="90"/>
      <c r="Q215" s="90"/>
      <c r="R215" s="90"/>
      <c r="S215" s="90"/>
      <c r="T215" s="90"/>
      <c r="U215" s="90"/>
      <c r="V215" s="90"/>
      <c r="W215" s="90"/>
      <c r="X215" s="90"/>
      <c r="Y215" s="90"/>
      <c r="Z215" s="90"/>
      <c r="AA215" s="90"/>
    </row>
    <row r="216">
      <c r="A216" s="90"/>
      <c r="B216" s="90"/>
      <c r="C216" s="90"/>
      <c r="D216" s="90"/>
      <c r="E216" s="90"/>
      <c r="F216" s="90"/>
      <c r="G216" s="90"/>
      <c r="H216" s="90"/>
      <c r="I216" s="90"/>
      <c r="J216" s="90"/>
      <c r="K216" s="90"/>
      <c r="L216" s="90"/>
      <c r="M216" s="90"/>
      <c r="N216" s="90"/>
      <c r="O216" s="90"/>
      <c r="P216" s="90"/>
      <c r="Q216" s="90"/>
      <c r="R216" s="90"/>
      <c r="S216" s="90"/>
      <c r="T216" s="90"/>
      <c r="U216" s="90"/>
      <c r="V216" s="90"/>
      <c r="W216" s="90"/>
      <c r="X216" s="90"/>
      <c r="Y216" s="90"/>
      <c r="Z216" s="90"/>
      <c r="AA216" s="90"/>
    </row>
    <row r="217">
      <c r="A217" s="90"/>
      <c r="B217" s="90"/>
      <c r="C217" s="90"/>
      <c r="D217" s="90"/>
      <c r="E217" s="90"/>
      <c r="F217" s="90"/>
      <c r="G217" s="90"/>
      <c r="H217" s="90"/>
      <c r="I217" s="90"/>
      <c r="J217" s="90"/>
      <c r="K217" s="90"/>
      <c r="L217" s="90"/>
      <c r="M217" s="90"/>
      <c r="N217" s="90"/>
      <c r="O217" s="90"/>
      <c r="P217" s="90"/>
      <c r="Q217" s="90"/>
      <c r="R217" s="90"/>
      <c r="S217" s="90"/>
      <c r="T217" s="90"/>
      <c r="U217" s="90"/>
      <c r="V217" s="90"/>
      <c r="W217" s="90"/>
      <c r="X217" s="90"/>
      <c r="Y217" s="90"/>
      <c r="Z217" s="90"/>
      <c r="AA217" s="90"/>
    </row>
    <row r="218">
      <c r="A218" s="90"/>
      <c r="B218" s="90"/>
      <c r="C218" s="90"/>
      <c r="D218" s="90"/>
      <c r="E218" s="90"/>
      <c r="F218" s="90"/>
      <c r="G218" s="90"/>
      <c r="H218" s="90"/>
      <c r="I218" s="90"/>
      <c r="J218" s="90"/>
      <c r="K218" s="90"/>
      <c r="L218" s="90"/>
      <c r="M218" s="90"/>
      <c r="N218" s="90"/>
      <c r="O218" s="90"/>
      <c r="P218" s="90"/>
      <c r="Q218" s="90"/>
      <c r="R218" s="90"/>
      <c r="S218" s="90"/>
      <c r="T218" s="90"/>
      <c r="U218" s="90"/>
      <c r="V218" s="90"/>
      <c r="W218" s="90"/>
      <c r="X218" s="90"/>
      <c r="Y218" s="90"/>
      <c r="Z218" s="90"/>
      <c r="AA218" s="90"/>
    </row>
    <row r="219">
      <c r="A219" s="90"/>
      <c r="B219" s="90"/>
      <c r="C219" s="90"/>
      <c r="D219" s="90"/>
      <c r="E219" s="90"/>
      <c r="F219" s="90"/>
      <c r="G219" s="90"/>
      <c r="H219" s="90"/>
      <c r="I219" s="90"/>
      <c r="J219" s="90"/>
      <c r="K219" s="90"/>
      <c r="L219" s="90"/>
      <c r="M219" s="90"/>
      <c r="N219" s="90"/>
      <c r="O219" s="90"/>
      <c r="P219" s="90"/>
      <c r="Q219" s="90"/>
      <c r="R219" s="90"/>
      <c r="S219" s="90"/>
      <c r="T219" s="90"/>
      <c r="U219" s="90"/>
      <c r="V219" s="90"/>
      <c r="W219" s="90"/>
      <c r="X219" s="90"/>
      <c r="Y219" s="90"/>
      <c r="Z219" s="90"/>
      <c r="AA219" s="90"/>
    </row>
    <row r="220">
      <c r="A220" s="90"/>
      <c r="B220" s="90"/>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c r="AA220" s="90"/>
    </row>
    <row r="221">
      <c r="A221" s="90"/>
      <c r="B221" s="90"/>
      <c r="C221" s="90"/>
      <c r="D221" s="90"/>
      <c r="E221" s="90"/>
      <c r="F221" s="90"/>
      <c r="G221" s="90"/>
      <c r="H221" s="90"/>
      <c r="I221" s="90"/>
      <c r="J221" s="90"/>
      <c r="K221" s="90"/>
      <c r="L221" s="90"/>
      <c r="M221" s="90"/>
      <c r="N221" s="90"/>
      <c r="O221" s="90"/>
      <c r="P221" s="90"/>
      <c r="Q221" s="90"/>
      <c r="R221" s="90"/>
      <c r="S221" s="90"/>
      <c r="T221" s="90"/>
      <c r="U221" s="90"/>
      <c r="V221" s="90"/>
      <c r="W221" s="90"/>
      <c r="X221" s="90"/>
      <c r="Y221" s="90"/>
      <c r="Z221" s="90"/>
      <c r="AA221" s="90"/>
    </row>
    <row r="222">
      <c r="A222" s="90"/>
      <c r="B222" s="90"/>
      <c r="C222" s="90"/>
      <c r="D222" s="90"/>
      <c r="E222" s="90"/>
      <c r="F222" s="90"/>
      <c r="G222" s="90"/>
      <c r="H222" s="90"/>
      <c r="I222" s="90"/>
      <c r="J222" s="90"/>
      <c r="K222" s="90"/>
      <c r="L222" s="90"/>
      <c r="M222" s="90"/>
      <c r="N222" s="90"/>
      <c r="O222" s="90"/>
      <c r="P222" s="90"/>
      <c r="Q222" s="90"/>
      <c r="R222" s="90"/>
      <c r="S222" s="90"/>
      <c r="T222" s="90"/>
      <c r="U222" s="90"/>
      <c r="V222" s="90"/>
      <c r="W222" s="90"/>
      <c r="X222" s="90"/>
      <c r="Y222" s="90"/>
      <c r="Z222" s="90"/>
      <c r="AA222" s="90"/>
    </row>
    <row r="223">
      <c r="A223" s="90"/>
      <c r="B223" s="90"/>
      <c r="C223" s="90"/>
      <c r="D223" s="90"/>
      <c r="E223" s="90"/>
      <c r="F223" s="90"/>
      <c r="G223" s="90"/>
      <c r="H223" s="90"/>
      <c r="I223" s="90"/>
      <c r="J223" s="90"/>
      <c r="K223" s="90"/>
      <c r="L223" s="90"/>
      <c r="M223" s="90"/>
      <c r="N223" s="90"/>
      <c r="O223" s="90"/>
      <c r="P223" s="90"/>
      <c r="Q223" s="90"/>
      <c r="R223" s="90"/>
      <c r="S223" s="90"/>
      <c r="T223" s="90"/>
      <c r="U223" s="90"/>
      <c r="V223" s="90"/>
      <c r="W223" s="90"/>
      <c r="X223" s="90"/>
      <c r="Y223" s="90"/>
      <c r="Z223" s="90"/>
      <c r="AA223" s="90"/>
    </row>
    <row r="224">
      <c r="A224" s="90"/>
      <c r="B224" s="90"/>
      <c r="C224" s="90"/>
      <c r="D224" s="90"/>
      <c r="E224" s="90"/>
      <c r="F224" s="90"/>
      <c r="G224" s="90"/>
      <c r="H224" s="90"/>
      <c r="I224" s="90"/>
      <c r="J224" s="90"/>
      <c r="K224" s="90"/>
      <c r="L224" s="90"/>
      <c r="M224" s="90"/>
      <c r="N224" s="90"/>
      <c r="O224" s="90"/>
      <c r="P224" s="90"/>
      <c r="Q224" s="90"/>
      <c r="R224" s="90"/>
      <c r="S224" s="90"/>
      <c r="T224" s="90"/>
      <c r="U224" s="90"/>
      <c r="V224" s="90"/>
      <c r="W224" s="90"/>
      <c r="X224" s="90"/>
      <c r="Y224" s="90"/>
      <c r="Z224" s="90"/>
      <c r="AA224" s="90"/>
    </row>
    <row r="225">
      <c r="A225" s="90"/>
      <c r="B225" s="90"/>
      <c r="C225" s="90"/>
      <c r="D225" s="90"/>
      <c r="E225" s="90"/>
      <c r="F225" s="90"/>
      <c r="G225" s="90"/>
      <c r="H225" s="90"/>
      <c r="I225" s="90"/>
      <c r="J225" s="90"/>
      <c r="K225" s="90"/>
      <c r="L225" s="90"/>
      <c r="M225" s="90"/>
      <c r="N225" s="90"/>
      <c r="O225" s="90"/>
      <c r="P225" s="90"/>
      <c r="Q225" s="90"/>
      <c r="R225" s="90"/>
      <c r="S225" s="90"/>
      <c r="T225" s="90"/>
      <c r="U225" s="90"/>
      <c r="V225" s="90"/>
      <c r="W225" s="90"/>
      <c r="X225" s="90"/>
      <c r="Y225" s="90"/>
      <c r="Z225" s="90"/>
      <c r="AA225" s="90"/>
    </row>
    <row r="226">
      <c r="A226" s="90"/>
      <c r="B226" s="90"/>
      <c r="C226" s="90"/>
      <c r="D226" s="90"/>
      <c r="E226" s="90"/>
      <c r="F226" s="90"/>
      <c r="G226" s="90"/>
      <c r="H226" s="90"/>
      <c r="I226" s="90"/>
      <c r="J226" s="90"/>
      <c r="K226" s="90"/>
      <c r="L226" s="90"/>
      <c r="M226" s="90"/>
      <c r="N226" s="90"/>
      <c r="O226" s="90"/>
      <c r="P226" s="90"/>
      <c r="Q226" s="90"/>
      <c r="R226" s="90"/>
      <c r="S226" s="90"/>
      <c r="T226" s="90"/>
      <c r="U226" s="90"/>
      <c r="V226" s="90"/>
      <c r="W226" s="90"/>
      <c r="X226" s="90"/>
      <c r="Y226" s="90"/>
      <c r="Z226" s="90"/>
      <c r="AA226" s="90"/>
    </row>
    <row r="227">
      <c r="A227" s="90"/>
      <c r="B227" s="90"/>
      <c r="C227" s="90"/>
      <c r="D227" s="90"/>
      <c r="E227" s="90"/>
      <c r="F227" s="90"/>
      <c r="G227" s="90"/>
      <c r="H227" s="90"/>
      <c r="I227" s="90"/>
      <c r="J227" s="90"/>
      <c r="K227" s="90"/>
      <c r="L227" s="90"/>
      <c r="M227" s="90"/>
      <c r="N227" s="90"/>
      <c r="O227" s="90"/>
      <c r="P227" s="90"/>
      <c r="Q227" s="90"/>
      <c r="R227" s="90"/>
      <c r="S227" s="90"/>
      <c r="T227" s="90"/>
      <c r="U227" s="90"/>
      <c r="V227" s="90"/>
      <c r="W227" s="90"/>
      <c r="X227" s="90"/>
      <c r="Y227" s="90"/>
      <c r="Z227" s="90"/>
      <c r="AA227" s="90"/>
    </row>
    <row r="228">
      <c r="A228" s="90"/>
      <c r="B228" s="90"/>
      <c r="C228" s="90"/>
      <c r="D228" s="90"/>
      <c r="E228" s="90"/>
      <c r="F228" s="90"/>
      <c r="G228" s="90"/>
      <c r="H228" s="90"/>
      <c r="I228" s="90"/>
      <c r="J228" s="90"/>
      <c r="K228" s="90"/>
      <c r="L228" s="90"/>
      <c r="M228" s="90"/>
      <c r="N228" s="90"/>
      <c r="O228" s="90"/>
      <c r="P228" s="90"/>
      <c r="Q228" s="90"/>
      <c r="R228" s="90"/>
      <c r="S228" s="90"/>
      <c r="T228" s="90"/>
      <c r="U228" s="90"/>
      <c r="V228" s="90"/>
      <c r="W228" s="90"/>
      <c r="X228" s="90"/>
      <c r="Y228" s="90"/>
      <c r="Z228" s="90"/>
      <c r="AA228" s="90"/>
    </row>
    <row r="229">
      <c r="A229" s="90"/>
      <c r="B229" s="90"/>
      <c r="C229" s="90"/>
      <c r="D229" s="90"/>
      <c r="E229" s="90"/>
      <c r="F229" s="90"/>
      <c r="G229" s="90"/>
      <c r="H229" s="90"/>
      <c r="I229" s="90"/>
      <c r="J229" s="90"/>
      <c r="K229" s="90"/>
      <c r="L229" s="90"/>
      <c r="M229" s="90"/>
      <c r="N229" s="90"/>
      <c r="O229" s="90"/>
      <c r="P229" s="90"/>
      <c r="Q229" s="90"/>
      <c r="R229" s="90"/>
      <c r="S229" s="90"/>
      <c r="T229" s="90"/>
      <c r="U229" s="90"/>
      <c r="V229" s="90"/>
      <c r="W229" s="90"/>
      <c r="X229" s="90"/>
      <c r="Y229" s="90"/>
      <c r="Z229" s="90"/>
      <c r="AA229" s="90"/>
    </row>
    <row r="230">
      <c r="A230" s="90"/>
      <c r="B230" s="90"/>
      <c r="C230" s="90"/>
      <c r="D230" s="90"/>
      <c r="E230" s="90"/>
      <c r="F230" s="90"/>
      <c r="G230" s="90"/>
      <c r="H230" s="90"/>
      <c r="I230" s="90"/>
      <c r="J230" s="90"/>
      <c r="K230" s="90"/>
      <c r="L230" s="90"/>
      <c r="M230" s="90"/>
      <c r="N230" s="90"/>
      <c r="O230" s="90"/>
      <c r="P230" s="90"/>
      <c r="Q230" s="90"/>
      <c r="R230" s="90"/>
      <c r="S230" s="90"/>
      <c r="T230" s="90"/>
      <c r="U230" s="90"/>
      <c r="V230" s="90"/>
      <c r="W230" s="90"/>
      <c r="X230" s="90"/>
      <c r="Y230" s="90"/>
      <c r="Z230" s="90"/>
      <c r="AA230" s="90"/>
    </row>
    <row r="231">
      <c r="A231" s="90"/>
      <c r="B231" s="90"/>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c r="AA231" s="90"/>
    </row>
    <row r="232">
      <c r="A232" s="90"/>
      <c r="B232" s="90"/>
      <c r="C232" s="90"/>
      <c r="D232" s="90"/>
      <c r="E232" s="90"/>
      <c r="F232" s="90"/>
      <c r="G232" s="90"/>
      <c r="H232" s="90"/>
      <c r="I232" s="90"/>
      <c r="J232" s="90"/>
      <c r="K232" s="90"/>
      <c r="L232" s="90"/>
      <c r="M232" s="90"/>
      <c r="N232" s="90"/>
      <c r="O232" s="90"/>
      <c r="P232" s="90"/>
      <c r="Q232" s="90"/>
      <c r="R232" s="90"/>
      <c r="S232" s="90"/>
      <c r="T232" s="90"/>
      <c r="U232" s="90"/>
      <c r="V232" s="90"/>
      <c r="W232" s="90"/>
      <c r="X232" s="90"/>
      <c r="Y232" s="90"/>
      <c r="Z232" s="90"/>
      <c r="AA232" s="90"/>
    </row>
    <row r="233">
      <c r="A233" s="90"/>
      <c r="B233" s="90"/>
      <c r="C233" s="90"/>
      <c r="D233" s="90"/>
      <c r="E233" s="90"/>
      <c r="F233" s="90"/>
      <c r="G233" s="90"/>
      <c r="H233" s="90"/>
      <c r="I233" s="90"/>
      <c r="J233" s="90"/>
      <c r="K233" s="90"/>
      <c r="L233" s="90"/>
      <c r="M233" s="90"/>
      <c r="N233" s="90"/>
      <c r="O233" s="90"/>
      <c r="P233" s="90"/>
      <c r="Q233" s="90"/>
      <c r="R233" s="90"/>
      <c r="S233" s="90"/>
      <c r="T233" s="90"/>
      <c r="U233" s="90"/>
      <c r="V233" s="90"/>
      <c r="W233" s="90"/>
      <c r="X233" s="90"/>
      <c r="Y233" s="90"/>
      <c r="Z233" s="90"/>
      <c r="AA233" s="90"/>
    </row>
    <row r="234">
      <c r="A234" s="90"/>
      <c r="B234" s="90"/>
      <c r="C234" s="90"/>
      <c r="D234" s="90"/>
      <c r="E234" s="90"/>
      <c r="F234" s="90"/>
      <c r="G234" s="90"/>
      <c r="H234" s="90"/>
      <c r="I234" s="90"/>
      <c r="J234" s="90"/>
      <c r="K234" s="90"/>
      <c r="L234" s="90"/>
      <c r="M234" s="90"/>
      <c r="N234" s="90"/>
      <c r="O234" s="90"/>
      <c r="P234" s="90"/>
      <c r="Q234" s="90"/>
      <c r="R234" s="90"/>
      <c r="S234" s="90"/>
      <c r="T234" s="90"/>
      <c r="U234" s="90"/>
      <c r="V234" s="90"/>
      <c r="W234" s="90"/>
      <c r="X234" s="90"/>
      <c r="Y234" s="90"/>
      <c r="Z234" s="90"/>
      <c r="AA234" s="90"/>
    </row>
    <row r="235">
      <c r="A235" s="90"/>
      <c r="B235" s="90"/>
      <c r="C235" s="90"/>
      <c r="D235" s="90"/>
      <c r="E235" s="90"/>
      <c r="F235" s="90"/>
      <c r="G235" s="90"/>
      <c r="H235" s="90"/>
      <c r="I235" s="90"/>
      <c r="J235" s="90"/>
      <c r="K235" s="90"/>
      <c r="L235" s="90"/>
      <c r="M235" s="90"/>
      <c r="N235" s="90"/>
      <c r="O235" s="90"/>
      <c r="P235" s="90"/>
      <c r="Q235" s="90"/>
      <c r="R235" s="90"/>
      <c r="S235" s="90"/>
      <c r="T235" s="90"/>
      <c r="U235" s="90"/>
      <c r="V235" s="90"/>
      <c r="W235" s="90"/>
      <c r="X235" s="90"/>
      <c r="Y235" s="90"/>
      <c r="Z235" s="90"/>
      <c r="AA235" s="90"/>
    </row>
    <row r="236">
      <c r="A236" s="90"/>
      <c r="B236" s="90"/>
      <c r="C236" s="90"/>
      <c r="D236" s="90"/>
      <c r="E236" s="90"/>
      <c r="F236" s="90"/>
      <c r="G236" s="90"/>
      <c r="H236" s="90"/>
      <c r="I236" s="90"/>
      <c r="J236" s="90"/>
      <c r="K236" s="90"/>
      <c r="L236" s="90"/>
      <c r="M236" s="90"/>
      <c r="N236" s="90"/>
      <c r="O236" s="90"/>
      <c r="P236" s="90"/>
      <c r="Q236" s="90"/>
      <c r="R236" s="90"/>
      <c r="S236" s="90"/>
      <c r="T236" s="90"/>
      <c r="U236" s="90"/>
      <c r="V236" s="90"/>
      <c r="W236" s="90"/>
      <c r="X236" s="90"/>
      <c r="Y236" s="90"/>
      <c r="Z236" s="90"/>
      <c r="AA236" s="90"/>
    </row>
    <row r="237">
      <c r="A237" s="90"/>
      <c r="B237" s="90"/>
      <c r="C237" s="90"/>
      <c r="D237" s="90"/>
      <c r="E237" s="90"/>
      <c r="F237" s="90"/>
      <c r="G237" s="90"/>
      <c r="H237" s="90"/>
      <c r="I237" s="90"/>
      <c r="J237" s="90"/>
      <c r="K237" s="90"/>
      <c r="L237" s="90"/>
      <c r="M237" s="90"/>
      <c r="N237" s="90"/>
      <c r="O237" s="90"/>
      <c r="P237" s="90"/>
      <c r="Q237" s="90"/>
      <c r="R237" s="90"/>
      <c r="S237" s="90"/>
      <c r="T237" s="90"/>
      <c r="U237" s="90"/>
      <c r="V237" s="90"/>
      <c r="W237" s="90"/>
      <c r="X237" s="90"/>
      <c r="Y237" s="90"/>
      <c r="Z237" s="90"/>
      <c r="AA237" s="90"/>
    </row>
    <row r="238">
      <c r="A238" s="90"/>
      <c r="B238" s="90"/>
      <c r="C238" s="90"/>
      <c r="D238" s="90"/>
      <c r="E238" s="90"/>
      <c r="F238" s="90"/>
      <c r="G238" s="90"/>
      <c r="H238" s="90"/>
      <c r="I238" s="90"/>
      <c r="J238" s="90"/>
      <c r="K238" s="90"/>
      <c r="L238" s="90"/>
      <c r="M238" s="90"/>
      <c r="N238" s="90"/>
      <c r="O238" s="90"/>
      <c r="P238" s="90"/>
      <c r="Q238" s="90"/>
      <c r="R238" s="90"/>
      <c r="S238" s="90"/>
      <c r="T238" s="90"/>
      <c r="U238" s="90"/>
      <c r="V238" s="90"/>
      <c r="W238" s="90"/>
      <c r="X238" s="90"/>
      <c r="Y238" s="90"/>
      <c r="Z238" s="90"/>
      <c r="AA238" s="90"/>
    </row>
    <row r="239">
      <c r="A239" s="90"/>
      <c r="B239" s="90"/>
      <c r="C239" s="90"/>
      <c r="D239" s="90"/>
      <c r="E239" s="90"/>
      <c r="F239" s="90"/>
      <c r="G239" s="90"/>
      <c r="H239" s="90"/>
      <c r="I239" s="90"/>
      <c r="J239" s="90"/>
      <c r="K239" s="90"/>
      <c r="L239" s="90"/>
      <c r="M239" s="90"/>
      <c r="N239" s="90"/>
      <c r="O239" s="90"/>
      <c r="P239" s="90"/>
      <c r="Q239" s="90"/>
      <c r="R239" s="90"/>
      <c r="S239" s="90"/>
      <c r="T239" s="90"/>
      <c r="U239" s="90"/>
      <c r="V239" s="90"/>
      <c r="W239" s="90"/>
      <c r="X239" s="90"/>
      <c r="Y239" s="90"/>
      <c r="Z239" s="90"/>
      <c r="AA239" s="90"/>
    </row>
    <row r="240">
      <c r="A240" s="90"/>
      <c r="B240" s="90"/>
      <c r="C240" s="90"/>
      <c r="D240" s="90"/>
      <c r="E240" s="90"/>
      <c r="F240" s="90"/>
      <c r="G240" s="90"/>
      <c r="H240" s="90"/>
      <c r="I240" s="90"/>
      <c r="J240" s="90"/>
      <c r="K240" s="90"/>
      <c r="L240" s="90"/>
      <c r="M240" s="90"/>
      <c r="N240" s="90"/>
      <c r="O240" s="90"/>
      <c r="P240" s="90"/>
      <c r="Q240" s="90"/>
      <c r="R240" s="90"/>
      <c r="S240" s="90"/>
      <c r="T240" s="90"/>
      <c r="U240" s="90"/>
      <c r="V240" s="90"/>
      <c r="W240" s="90"/>
      <c r="X240" s="90"/>
      <c r="Y240" s="90"/>
      <c r="Z240" s="90"/>
      <c r="AA240" s="90"/>
    </row>
    <row r="241">
      <c r="A241" s="90"/>
      <c r="B241" s="90"/>
      <c r="C241" s="90"/>
      <c r="D241" s="90"/>
      <c r="E241" s="90"/>
      <c r="F241" s="90"/>
      <c r="G241" s="90"/>
      <c r="H241" s="90"/>
      <c r="I241" s="90"/>
      <c r="J241" s="90"/>
      <c r="K241" s="90"/>
      <c r="L241" s="90"/>
      <c r="M241" s="90"/>
      <c r="N241" s="90"/>
      <c r="O241" s="90"/>
      <c r="P241" s="90"/>
      <c r="Q241" s="90"/>
      <c r="R241" s="90"/>
      <c r="S241" s="90"/>
      <c r="T241" s="90"/>
      <c r="U241" s="90"/>
      <c r="V241" s="90"/>
      <c r="W241" s="90"/>
      <c r="X241" s="90"/>
      <c r="Y241" s="90"/>
      <c r="Z241" s="90"/>
      <c r="AA241" s="90"/>
    </row>
    <row r="242">
      <c r="A242" s="90"/>
      <c r="B242" s="90"/>
      <c r="C242" s="90"/>
      <c r="D242" s="90"/>
      <c r="E242" s="90"/>
      <c r="F242" s="90"/>
      <c r="G242" s="90"/>
      <c r="H242" s="90"/>
      <c r="I242" s="90"/>
      <c r="J242" s="90"/>
      <c r="K242" s="90"/>
      <c r="L242" s="90"/>
      <c r="M242" s="90"/>
      <c r="N242" s="90"/>
      <c r="O242" s="90"/>
      <c r="P242" s="90"/>
      <c r="Q242" s="90"/>
      <c r="R242" s="90"/>
      <c r="S242" s="90"/>
      <c r="T242" s="90"/>
      <c r="U242" s="90"/>
      <c r="V242" s="90"/>
      <c r="W242" s="90"/>
      <c r="X242" s="90"/>
      <c r="Y242" s="90"/>
      <c r="Z242" s="90"/>
      <c r="AA242" s="90"/>
    </row>
    <row r="243">
      <c r="A243" s="90"/>
      <c r="B243" s="90"/>
      <c r="C243" s="90"/>
      <c r="D243" s="90"/>
      <c r="E243" s="90"/>
      <c r="F243" s="90"/>
      <c r="G243" s="90"/>
      <c r="H243" s="90"/>
      <c r="I243" s="90"/>
      <c r="J243" s="90"/>
      <c r="K243" s="90"/>
      <c r="L243" s="90"/>
      <c r="M243" s="90"/>
      <c r="N243" s="90"/>
      <c r="O243" s="90"/>
      <c r="P243" s="90"/>
      <c r="Q243" s="90"/>
      <c r="R243" s="90"/>
      <c r="S243" s="90"/>
      <c r="T243" s="90"/>
      <c r="U243" s="90"/>
      <c r="V243" s="90"/>
      <c r="W243" s="90"/>
      <c r="X243" s="90"/>
      <c r="Y243" s="90"/>
      <c r="Z243" s="90"/>
      <c r="AA243" s="90"/>
    </row>
    <row r="244">
      <c r="A244" s="90"/>
      <c r="B244" s="90"/>
      <c r="C244" s="90"/>
      <c r="D244" s="90"/>
      <c r="E244" s="90"/>
      <c r="F244" s="90"/>
      <c r="G244" s="90"/>
      <c r="H244" s="90"/>
      <c r="I244" s="90"/>
      <c r="J244" s="90"/>
      <c r="K244" s="90"/>
      <c r="L244" s="90"/>
      <c r="M244" s="90"/>
      <c r="N244" s="90"/>
      <c r="O244" s="90"/>
      <c r="P244" s="90"/>
      <c r="Q244" s="90"/>
      <c r="R244" s="90"/>
      <c r="S244" s="90"/>
      <c r="T244" s="90"/>
      <c r="U244" s="90"/>
      <c r="V244" s="90"/>
      <c r="W244" s="90"/>
      <c r="X244" s="90"/>
      <c r="Y244" s="90"/>
      <c r="Z244" s="90"/>
      <c r="AA244" s="90"/>
    </row>
    <row r="245">
      <c r="A245" s="90"/>
      <c r="B245" s="90"/>
      <c r="C245" s="90"/>
      <c r="D245" s="90"/>
      <c r="E245" s="90"/>
      <c r="F245" s="90"/>
      <c r="G245" s="90"/>
      <c r="H245" s="90"/>
      <c r="I245" s="90"/>
      <c r="J245" s="90"/>
      <c r="K245" s="90"/>
      <c r="L245" s="90"/>
      <c r="M245" s="90"/>
      <c r="N245" s="90"/>
      <c r="O245" s="90"/>
      <c r="P245" s="90"/>
      <c r="Q245" s="90"/>
      <c r="R245" s="90"/>
      <c r="S245" s="90"/>
      <c r="T245" s="90"/>
      <c r="U245" s="90"/>
      <c r="V245" s="90"/>
      <c r="W245" s="90"/>
      <c r="X245" s="90"/>
      <c r="Y245" s="90"/>
      <c r="Z245" s="90"/>
      <c r="AA245" s="90"/>
    </row>
    <row r="246">
      <c r="A246" s="90"/>
      <c r="B246" s="90"/>
      <c r="C246" s="90"/>
      <c r="D246" s="90"/>
      <c r="E246" s="90"/>
      <c r="F246" s="90"/>
      <c r="G246" s="90"/>
      <c r="H246" s="90"/>
      <c r="I246" s="90"/>
      <c r="J246" s="90"/>
      <c r="K246" s="90"/>
      <c r="L246" s="90"/>
      <c r="M246" s="90"/>
      <c r="N246" s="90"/>
      <c r="O246" s="90"/>
      <c r="P246" s="90"/>
      <c r="Q246" s="90"/>
      <c r="R246" s="90"/>
      <c r="S246" s="90"/>
      <c r="T246" s="90"/>
      <c r="U246" s="90"/>
      <c r="V246" s="90"/>
      <c r="W246" s="90"/>
      <c r="X246" s="90"/>
      <c r="Y246" s="90"/>
      <c r="Z246" s="90"/>
      <c r="AA246" s="90"/>
    </row>
    <row r="247">
      <c r="A247" s="90"/>
      <c r="B247" s="90"/>
      <c r="C247" s="90"/>
      <c r="D247" s="90"/>
      <c r="E247" s="90"/>
      <c r="F247" s="90"/>
      <c r="G247" s="90"/>
      <c r="H247" s="90"/>
      <c r="I247" s="90"/>
      <c r="J247" s="90"/>
      <c r="K247" s="90"/>
      <c r="L247" s="90"/>
      <c r="M247" s="90"/>
      <c r="N247" s="90"/>
      <c r="O247" s="90"/>
      <c r="P247" s="90"/>
      <c r="Q247" s="90"/>
      <c r="R247" s="90"/>
      <c r="S247" s="90"/>
      <c r="T247" s="90"/>
      <c r="U247" s="90"/>
      <c r="V247" s="90"/>
      <c r="W247" s="90"/>
      <c r="X247" s="90"/>
      <c r="Y247" s="90"/>
      <c r="Z247" s="90"/>
      <c r="AA247" s="90"/>
    </row>
    <row r="248">
      <c r="A248" s="90"/>
      <c r="B248" s="90"/>
      <c r="C248" s="90"/>
      <c r="D248" s="90"/>
      <c r="E248" s="90"/>
      <c r="F248" s="90"/>
      <c r="G248" s="90"/>
      <c r="H248" s="90"/>
      <c r="I248" s="90"/>
      <c r="J248" s="90"/>
      <c r="K248" s="90"/>
      <c r="L248" s="90"/>
      <c r="M248" s="90"/>
      <c r="N248" s="90"/>
      <c r="O248" s="90"/>
      <c r="P248" s="90"/>
      <c r="Q248" s="90"/>
      <c r="R248" s="90"/>
      <c r="S248" s="90"/>
      <c r="T248" s="90"/>
      <c r="U248" s="90"/>
      <c r="V248" s="90"/>
      <c r="W248" s="90"/>
      <c r="X248" s="90"/>
      <c r="Y248" s="90"/>
      <c r="Z248" s="90"/>
      <c r="AA248" s="90"/>
    </row>
    <row r="249">
      <c r="A249" s="90"/>
      <c r="B249" s="90"/>
      <c r="C249" s="90"/>
      <c r="D249" s="90"/>
      <c r="E249" s="90"/>
      <c r="F249" s="90"/>
      <c r="G249" s="90"/>
      <c r="H249" s="90"/>
      <c r="I249" s="90"/>
      <c r="J249" s="90"/>
      <c r="K249" s="90"/>
      <c r="L249" s="90"/>
      <c r="M249" s="90"/>
      <c r="N249" s="90"/>
      <c r="O249" s="90"/>
      <c r="P249" s="90"/>
      <c r="Q249" s="90"/>
      <c r="R249" s="90"/>
      <c r="S249" s="90"/>
      <c r="T249" s="90"/>
      <c r="U249" s="90"/>
      <c r="V249" s="90"/>
      <c r="W249" s="90"/>
      <c r="X249" s="90"/>
      <c r="Y249" s="90"/>
      <c r="Z249" s="90"/>
      <c r="AA249" s="90"/>
    </row>
    <row r="250">
      <c r="A250" s="90"/>
      <c r="B250" s="90"/>
      <c r="C250" s="90"/>
      <c r="D250" s="90"/>
      <c r="E250" s="90"/>
      <c r="F250" s="90"/>
      <c r="G250" s="90"/>
      <c r="H250" s="90"/>
      <c r="I250" s="90"/>
      <c r="J250" s="90"/>
      <c r="K250" s="90"/>
      <c r="L250" s="90"/>
      <c r="M250" s="90"/>
      <c r="N250" s="90"/>
      <c r="O250" s="90"/>
      <c r="P250" s="90"/>
      <c r="Q250" s="90"/>
      <c r="R250" s="90"/>
      <c r="S250" s="90"/>
      <c r="T250" s="90"/>
      <c r="U250" s="90"/>
      <c r="V250" s="90"/>
      <c r="W250" s="90"/>
      <c r="X250" s="90"/>
      <c r="Y250" s="90"/>
      <c r="Z250" s="90"/>
      <c r="AA250" s="90"/>
    </row>
    <row r="251">
      <c r="A251" s="90"/>
      <c r="B251" s="90"/>
      <c r="C251" s="90"/>
      <c r="D251" s="90"/>
      <c r="E251" s="90"/>
      <c r="F251" s="90"/>
      <c r="G251" s="90"/>
      <c r="H251" s="90"/>
      <c r="I251" s="90"/>
      <c r="J251" s="90"/>
      <c r="K251" s="90"/>
      <c r="L251" s="90"/>
      <c r="M251" s="90"/>
      <c r="N251" s="90"/>
      <c r="O251" s="90"/>
      <c r="P251" s="90"/>
      <c r="Q251" s="90"/>
      <c r="R251" s="90"/>
      <c r="S251" s="90"/>
      <c r="T251" s="90"/>
      <c r="U251" s="90"/>
      <c r="V251" s="90"/>
      <c r="W251" s="90"/>
      <c r="X251" s="90"/>
      <c r="Y251" s="90"/>
      <c r="Z251" s="90"/>
      <c r="AA251" s="90"/>
    </row>
    <row r="252">
      <c r="A252" s="90"/>
      <c r="B252" s="90"/>
      <c r="C252" s="90"/>
      <c r="D252" s="90"/>
      <c r="E252" s="90"/>
      <c r="F252" s="90"/>
      <c r="G252" s="90"/>
      <c r="H252" s="90"/>
      <c r="I252" s="90"/>
      <c r="J252" s="90"/>
      <c r="K252" s="90"/>
      <c r="L252" s="90"/>
      <c r="M252" s="90"/>
      <c r="N252" s="90"/>
      <c r="O252" s="90"/>
      <c r="P252" s="90"/>
      <c r="Q252" s="90"/>
      <c r="R252" s="90"/>
      <c r="S252" s="90"/>
      <c r="T252" s="90"/>
      <c r="U252" s="90"/>
      <c r="V252" s="90"/>
      <c r="W252" s="90"/>
      <c r="X252" s="90"/>
      <c r="Y252" s="90"/>
      <c r="Z252" s="90"/>
      <c r="AA252" s="90"/>
    </row>
    <row r="253">
      <c r="A253" s="90"/>
      <c r="B253" s="90"/>
      <c r="C253" s="90"/>
      <c r="D253" s="90"/>
      <c r="E253" s="90"/>
      <c r="F253" s="90"/>
      <c r="G253" s="90"/>
      <c r="H253" s="90"/>
      <c r="I253" s="90"/>
      <c r="J253" s="90"/>
      <c r="K253" s="90"/>
      <c r="L253" s="90"/>
      <c r="M253" s="90"/>
      <c r="N253" s="90"/>
      <c r="O253" s="90"/>
      <c r="P253" s="90"/>
      <c r="Q253" s="90"/>
      <c r="R253" s="90"/>
      <c r="S253" s="90"/>
      <c r="T253" s="90"/>
      <c r="U253" s="90"/>
      <c r="V253" s="90"/>
      <c r="W253" s="90"/>
      <c r="X253" s="90"/>
      <c r="Y253" s="90"/>
      <c r="Z253" s="90"/>
      <c r="AA253" s="90"/>
    </row>
    <row r="254">
      <c r="A254" s="90"/>
      <c r="B254" s="90"/>
      <c r="C254" s="90"/>
      <c r="D254" s="90"/>
      <c r="E254" s="90"/>
      <c r="F254" s="90"/>
      <c r="G254" s="90"/>
      <c r="H254" s="90"/>
      <c r="I254" s="90"/>
      <c r="J254" s="90"/>
      <c r="K254" s="90"/>
      <c r="L254" s="90"/>
      <c r="M254" s="90"/>
      <c r="N254" s="90"/>
      <c r="O254" s="90"/>
      <c r="P254" s="90"/>
      <c r="Q254" s="90"/>
      <c r="R254" s="90"/>
      <c r="S254" s="90"/>
      <c r="T254" s="90"/>
      <c r="U254" s="90"/>
      <c r="V254" s="90"/>
      <c r="W254" s="90"/>
      <c r="X254" s="90"/>
      <c r="Y254" s="90"/>
      <c r="Z254" s="90"/>
      <c r="AA254" s="90"/>
    </row>
    <row r="255">
      <c r="A255" s="90"/>
      <c r="B255" s="90"/>
      <c r="C255" s="90"/>
      <c r="D255" s="90"/>
      <c r="E255" s="90"/>
      <c r="F255" s="90"/>
      <c r="G255" s="90"/>
      <c r="H255" s="90"/>
      <c r="I255" s="90"/>
      <c r="J255" s="90"/>
      <c r="K255" s="90"/>
      <c r="L255" s="90"/>
      <c r="M255" s="90"/>
      <c r="N255" s="90"/>
      <c r="O255" s="90"/>
      <c r="P255" s="90"/>
      <c r="Q255" s="90"/>
      <c r="R255" s="90"/>
      <c r="S255" s="90"/>
      <c r="T255" s="90"/>
      <c r="U255" s="90"/>
      <c r="V255" s="90"/>
      <c r="W255" s="90"/>
      <c r="X255" s="90"/>
      <c r="Y255" s="90"/>
      <c r="Z255" s="90"/>
      <c r="AA255" s="90"/>
    </row>
    <row r="256">
      <c r="A256" s="90"/>
      <c r="B256" s="90"/>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c r="AA256" s="90"/>
    </row>
    <row r="257">
      <c r="A257" s="90"/>
      <c r="B257" s="90"/>
      <c r="C257" s="90"/>
      <c r="D257" s="90"/>
      <c r="E257" s="90"/>
      <c r="F257" s="90"/>
      <c r="G257" s="90"/>
      <c r="H257" s="90"/>
      <c r="I257" s="90"/>
      <c r="J257" s="90"/>
      <c r="K257" s="90"/>
      <c r="L257" s="90"/>
      <c r="M257" s="90"/>
      <c r="N257" s="90"/>
      <c r="O257" s="90"/>
      <c r="P257" s="90"/>
      <c r="Q257" s="90"/>
      <c r="R257" s="90"/>
      <c r="S257" s="90"/>
      <c r="T257" s="90"/>
      <c r="U257" s="90"/>
      <c r="V257" s="90"/>
      <c r="W257" s="90"/>
      <c r="X257" s="90"/>
      <c r="Y257" s="90"/>
      <c r="Z257" s="90"/>
      <c r="AA257" s="90"/>
    </row>
    <row r="258">
      <c r="A258" s="90"/>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row>
    <row r="259">
      <c r="A259" s="90"/>
      <c r="B259" s="90"/>
      <c r="C259" s="90"/>
      <c r="D259" s="90"/>
      <c r="E259" s="90"/>
      <c r="F259" s="90"/>
      <c r="G259" s="90"/>
      <c r="H259" s="90"/>
      <c r="I259" s="90"/>
      <c r="J259" s="90"/>
      <c r="K259" s="90"/>
      <c r="L259" s="90"/>
      <c r="M259" s="90"/>
      <c r="N259" s="90"/>
      <c r="O259" s="90"/>
      <c r="P259" s="90"/>
      <c r="Q259" s="90"/>
      <c r="R259" s="90"/>
      <c r="S259" s="90"/>
      <c r="T259" s="90"/>
      <c r="U259" s="90"/>
      <c r="V259" s="90"/>
      <c r="W259" s="90"/>
      <c r="X259" s="90"/>
      <c r="Y259" s="90"/>
      <c r="Z259" s="90"/>
      <c r="AA259" s="90"/>
    </row>
    <row r="260">
      <c r="A260" s="90"/>
      <c r="B260" s="90"/>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c r="AA260" s="90"/>
    </row>
    <row r="261">
      <c r="A261" s="90"/>
      <c r="B261" s="90"/>
      <c r="C261" s="90"/>
      <c r="D261" s="90"/>
      <c r="E261" s="90"/>
      <c r="F261" s="90"/>
      <c r="G261" s="90"/>
      <c r="H261" s="90"/>
      <c r="I261" s="90"/>
      <c r="J261" s="90"/>
      <c r="K261" s="90"/>
      <c r="L261" s="90"/>
      <c r="M261" s="90"/>
      <c r="N261" s="90"/>
      <c r="O261" s="90"/>
      <c r="P261" s="90"/>
      <c r="Q261" s="90"/>
      <c r="R261" s="90"/>
      <c r="S261" s="90"/>
      <c r="T261" s="90"/>
      <c r="U261" s="90"/>
      <c r="V261" s="90"/>
      <c r="W261" s="90"/>
      <c r="X261" s="90"/>
      <c r="Y261" s="90"/>
      <c r="Z261" s="90"/>
      <c r="AA261" s="90"/>
    </row>
    <row r="262">
      <c r="A262" s="90"/>
      <c r="B262" s="90"/>
      <c r="C262" s="90"/>
      <c r="D262" s="90"/>
      <c r="E262" s="90"/>
      <c r="F262" s="90"/>
      <c r="G262" s="90"/>
      <c r="H262" s="90"/>
      <c r="I262" s="90"/>
      <c r="J262" s="90"/>
      <c r="K262" s="90"/>
      <c r="L262" s="90"/>
      <c r="M262" s="90"/>
      <c r="N262" s="90"/>
      <c r="O262" s="90"/>
      <c r="P262" s="90"/>
      <c r="Q262" s="90"/>
      <c r="R262" s="90"/>
      <c r="S262" s="90"/>
      <c r="T262" s="90"/>
      <c r="U262" s="90"/>
      <c r="V262" s="90"/>
      <c r="W262" s="90"/>
      <c r="X262" s="90"/>
      <c r="Y262" s="90"/>
      <c r="Z262" s="90"/>
      <c r="AA262" s="90"/>
    </row>
    <row r="263">
      <c r="A263" s="90"/>
      <c r="B263" s="90"/>
      <c r="C263" s="90"/>
      <c r="D263" s="90"/>
      <c r="E263" s="90"/>
      <c r="F263" s="90"/>
      <c r="G263" s="90"/>
      <c r="H263" s="90"/>
      <c r="I263" s="90"/>
      <c r="J263" s="90"/>
      <c r="K263" s="90"/>
      <c r="L263" s="90"/>
      <c r="M263" s="90"/>
      <c r="N263" s="90"/>
      <c r="O263" s="90"/>
      <c r="P263" s="90"/>
      <c r="Q263" s="90"/>
      <c r="R263" s="90"/>
      <c r="S263" s="90"/>
      <c r="T263" s="90"/>
      <c r="U263" s="90"/>
      <c r="V263" s="90"/>
      <c r="W263" s="90"/>
      <c r="X263" s="90"/>
      <c r="Y263" s="90"/>
      <c r="Z263" s="90"/>
      <c r="AA263" s="90"/>
    </row>
    <row r="264">
      <c r="A264" s="90"/>
      <c r="B264" s="90"/>
      <c r="C264" s="90"/>
      <c r="D264" s="90"/>
      <c r="E264" s="90"/>
      <c r="F264" s="90"/>
      <c r="G264" s="90"/>
      <c r="H264" s="90"/>
      <c r="I264" s="90"/>
      <c r="J264" s="90"/>
      <c r="K264" s="90"/>
      <c r="L264" s="90"/>
      <c r="M264" s="90"/>
      <c r="N264" s="90"/>
      <c r="O264" s="90"/>
      <c r="P264" s="90"/>
      <c r="Q264" s="90"/>
      <c r="R264" s="90"/>
      <c r="S264" s="90"/>
      <c r="T264" s="90"/>
      <c r="U264" s="90"/>
      <c r="V264" s="90"/>
      <c r="W264" s="90"/>
      <c r="X264" s="90"/>
      <c r="Y264" s="90"/>
      <c r="Z264" s="90"/>
      <c r="AA264" s="90"/>
    </row>
    <row r="265">
      <c r="A265" s="90"/>
      <c r="B265" s="90"/>
      <c r="C265" s="90"/>
      <c r="D265" s="90"/>
      <c r="E265" s="90"/>
      <c r="F265" s="90"/>
      <c r="G265" s="90"/>
      <c r="H265" s="90"/>
      <c r="I265" s="90"/>
      <c r="J265" s="90"/>
      <c r="K265" s="90"/>
      <c r="L265" s="90"/>
      <c r="M265" s="90"/>
      <c r="N265" s="90"/>
      <c r="O265" s="90"/>
      <c r="P265" s="90"/>
      <c r="Q265" s="90"/>
      <c r="R265" s="90"/>
      <c r="S265" s="90"/>
      <c r="T265" s="90"/>
      <c r="U265" s="90"/>
      <c r="V265" s="90"/>
      <c r="W265" s="90"/>
      <c r="X265" s="90"/>
      <c r="Y265" s="90"/>
      <c r="Z265" s="90"/>
      <c r="AA265" s="90"/>
    </row>
    <row r="266">
      <c r="A266" s="90"/>
      <c r="B266" s="90"/>
      <c r="C266" s="90"/>
      <c r="D266" s="90"/>
      <c r="E266" s="90"/>
      <c r="F266" s="90"/>
      <c r="G266" s="90"/>
      <c r="H266" s="90"/>
      <c r="I266" s="90"/>
      <c r="J266" s="90"/>
      <c r="K266" s="90"/>
      <c r="L266" s="90"/>
      <c r="M266" s="90"/>
      <c r="N266" s="90"/>
      <c r="O266" s="90"/>
      <c r="P266" s="90"/>
      <c r="Q266" s="90"/>
      <c r="R266" s="90"/>
      <c r="S266" s="90"/>
      <c r="T266" s="90"/>
      <c r="U266" s="90"/>
      <c r="V266" s="90"/>
      <c r="W266" s="90"/>
      <c r="X266" s="90"/>
      <c r="Y266" s="90"/>
      <c r="Z266" s="90"/>
      <c r="AA266" s="90"/>
    </row>
    <row r="267">
      <c r="A267" s="90"/>
      <c r="B267" s="90"/>
      <c r="C267" s="90"/>
      <c r="D267" s="90"/>
      <c r="E267" s="90"/>
      <c r="F267" s="90"/>
      <c r="G267" s="90"/>
      <c r="H267" s="90"/>
      <c r="I267" s="90"/>
      <c r="J267" s="90"/>
      <c r="K267" s="90"/>
      <c r="L267" s="90"/>
      <c r="M267" s="90"/>
      <c r="N267" s="90"/>
      <c r="O267" s="90"/>
      <c r="P267" s="90"/>
      <c r="Q267" s="90"/>
      <c r="R267" s="90"/>
      <c r="S267" s="90"/>
      <c r="T267" s="90"/>
      <c r="U267" s="90"/>
      <c r="V267" s="90"/>
      <c r="W267" s="90"/>
      <c r="X267" s="90"/>
      <c r="Y267" s="90"/>
      <c r="Z267" s="90"/>
      <c r="AA267" s="90"/>
    </row>
    <row r="268">
      <c r="A268" s="90"/>
      <c r="B268" s="90"/>
      <c r="C268" s="90"/>
      <c r="D268" s="90"/>
      <c r="E268" s="90"/>
      <c r="F268" s="90"/>
      <c r="G268" s="90"/>
      <c r="H268" s="90"/>
      <c r="I268" s="90"/>
      <c r="J268" s="90"/>
      <c r="K268" s="90"/>
      <c r="L268" s="90"/>
      <c r="M268" s="90"/>
      <c r="N268" s="90"/>
      <c r="O268" s="90"/>
      <c r="P268" s="90"/>
      <c r="Q268" s="90"/>
      <c r="R268" s="90"/>
      <c r="S268" s="90"/>
      <c r="T268" s="90"/>
      <c r="U268" s="90"/>
      <c r="V268" s="90"/>
      <c r="W268" s="90"/>
      <c r="X268" s="90"/>
      <c r="Y268" s="90"/>
      <c r="Z268" s="90"/>
      <c r="AA268" s="90"/>
    </row>
    <row r="269">
      <c r="A269" s="90"/>
      <c r="B269" s="90"/>
      <c r="C269" s="90"/>
      <c r="D269" s="90"/>
      <c r="E269" s="90"/>
      <c r="F269" s="90"/>
      <c r="G269" s="90"/>
      <c r="H269" s="90"/>
      <c r="I269" s="90"/>
      <c r="J269" s="90"/>
      <c r="K269" s="90"/>
      <c r="L269" s="90"/>
      <c r="M269" s="90"/>
      <c r="N269" s="90"/>
      <c r="O269" s="90"/>
      <c r="P269" s="90"/>
      <c r="Q269" s="90"/>
      <c r="R269" s="90"/>
      <c r="S269" s="90"/>
      <c r="T269" s="90"/>
      <c r="U269" s="90"/>
      <c r="V269" s="90"/>
      <c r="W269" s="90"/>
      <c r="X269" s="90"/>
      <c r="Y269" s="90"/>
      <c r="Z269" s="90"/>
      <c r="AA269" s="90"/>
    </row>
    <row r="270">
      <c r="A270" s="90"/>
      <c r="B270" s="90"/>
      <c r="C270" s="90"/>
      <c r="D270" s="90"/>
      <c r="E270" s="90"/>
      <c r="F270" s="90"/>
      <c r="G270" s="90"/>
      <c r="H270" s="90"/>
      <c r="I270" s="90"/>
      <c r="J270" s="90"/>
      <c r="K270" s="90"/>
      <c r="L270" s="90"/>
      <c r="M270" s="90"/>
      <c r="N270" s="90"/>
      <c r="O270" s="90"/>
      <c r="P270" s="90"/>
      <c r="Q270" s="90"/>
      <c r="R270" s="90"/>
      <c r="S270" s="90"/>
      <c r="T270" s="90"/>
      <c r="U270" s="90"/>
      <c r="V270" s="90"/>
      <c r="W270" s="90"/>
      <c r="X270" s="90"/>
      <c r="Y270" s="90"/>
      <c r="Z270" s="90"/>
      <c r="AA270" s="90"/>
    </row>
    <row r="271">
      <c r="A271" s="90"/>
      <c r="B271" s="90"/>
      <c r="C271" s="90"/>
      <c r="D271" s="90"/>
      <c r="E271" s="90"/>
      <c r="F271" s="90"/>
      <c r="G271" s="90"/>
      <c r="H271" s="90"/>
      <c r="I271" s="90"/>
      <c r="J271" s="90"/>
      <c r="K271" s="90"/>
      <c r="L271" s="90"/>
      <c r="M271" s="90"/>
      <c r="N271" s="90"/>
      <c r="O271" s="90"/>
      <c r="P271" s="90"/>
      <c r="Q271" s="90"/>
      <c r="R271" s="90"/>
      <c r="S271" s="90"/>
      <c r="T271" s="90"/>
      <c r="U271" s="90"/>
      <c r="V271" s="90"/>
      <c r="W271" s="90"/>
      <c r="X271" s="90"/>
      <c r="Y271" s="90"/>
      <c r="Z271" s="90"/>
      <c r="AA271" s="90"/>
    </row>
    <row r="272">
      <c r="A272" s="90"/>
      <c r="B272" s="90"/>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c r="AA272" s="90"/>
    </row>
    <row r="273">
      <c r="A273" s="90"/>
      <c r="B273" s="90"/>
      <c r="C273" s="90"/>
      <c r="D273" s="90"/>
      <c r="E273" s="90"/>
      <c r="F273" s="90"/>
      <c r="G273" s="90"/>
      <c r="H273" s="90"/>
      <c r="I273" s="90"/>
      <c r="J273" s="90"/>
      <c r="K273" s="90"/>
      <c r="L273" s="90"/>
      <c r="M273" s="90"/>
      <c r="N273" s="90"/>
      <c r="O273" s="90"/>
      <c r="P273" s="90"/>
      <c r="Q273" s="90"/>
      <c r="R273" s="90"/>
      <c r="S273" s="90"/>
      <c r="T273" s="90"/>
      <c r="U273" s="90"/>
      <c r="V273" s="90"/>
      <c r="W273" s="90"/>
      <c r="X273" s="90"/>
      <c r="Y273" s="90"/>
      <c r="Z273" s="90"/>
      <c r="AA273" s="90"/>
    </row>
    <row r="274">
      <c r="A274" s="90"/>
      <c r="B274" s="90"/>
      <c r="C274" s="90"/>
      <c r="D274" s="90"/>
      <c r="E274" s="90"/>
      <c r="F274" s="90"/>
      <c r="G274" s="90"/>
      <c r="H274" s="90"/>
      <c r="I274" s="90"/>
      <c r="J274" s="90"/>
      <c r="K274" s="90"/>
      <c r="L274" s="90"/>
      <c r="M274" s="90"/>
      <c r="N274" s="90"/>
      <c r="O274" s="90"/>
      <c r="P274" s="90"/>
      <c r="Q274" s="90"/>
      <c r="R274" s="90"/>
      <c r="S274" s="90"/>
      <c r="T274" s="90"/>
      <c r="U274" s="90"/>
      <c r="V274" s="90"/>
      <c r="W274" s="90"/>
      <c r="X274" s="90"/>
      <c r="Y274" s="90"/>
      <c r="Z274" s="90"/>
      <c r="AA274" s="90"/>
    </row>
    <row r="275">
      <c r="A275" s="90"/>
      <c r="B275" s="90"/>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c r="AA275" s="90"/>
    </row>
    <row r="276">
      <c r="A276" s="90"/>
      <c r="B276" s="90"/>
      <c r="C276" s="90"/>
      <c r="D276" s="90"/>
      <c r="E276" s="90"/>
      <c r="F276" s="90"/>
      <c r="G276" s="90"/>
      <c r="H276" s="90"/>
      <c r="I276" s="90"/>
      <c r="J276" s="90"/>
      <c r="K276" s="90"/>
      <c r="L276" s="90"/>
      <c r="M276" s="90"/>
      <c r="N276" s="90"/>
      <c r="O276" s="90"/>
      <c r="P276" s="90"/>
      <c r="Q276" s="90"/>
      <c r="R276" s="90"/>
      <c r="S276" s="90"/>
      <c r="T276" s="90"/>
      <c r="U276" s="90"/>
      <c r="V276" s="90"/>
      <c r="W276" s="90"/>
      <c r="X276" s="90"/>
      <c r="Y276" s="90"/>
      <c r="Z276" s="90"/>
      <c r="AA276" s="90"/>
    </row>
    <row r="277">
      <c r="A277" s="90"/>
      <c r="B277" s="90"/>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c r="AA277" s="90"/>
    </row>
    <row r="278">
      <c r="A278" s="90"/>
      <c r="B278" s="90"/>
      <c r="C278" s="90"/>
      <c r="D278" s="90"/>
      <c r="E278" s="90"/>
      <c r="F278" s="90"/>
      <c r="G278" s="90"/>
      <c r="H278" s="90"/>
      <c r="I278" s="90"/>
      <c r="J278" s="90"/>
      <c r="K278" s="90"/>
      <c r="L278" s="90"/>
      <c r="M278" s="90"/>
      <c r="N278" s="90"/>
      <c r="O278" s="90"/>
      <c r="P278" s="90"/>
      <c r="Q278" s="90"/>
      <c r="R278" s="90"/>
      <c r="S278" s="90"/>
      <c r="T278" s="90"/>
      <c r="U278" s="90"/>
      <c r="V278" s="90"/>
      <c r="W278" s="90"/>
      <c r="X278" s="90"/>
      <c r="Y278" s="90"/>
      <c r="Z278" s="90"/>
      <c r="AA278" s="90"/>
    </row>
    <row r="279">
      <c r="A279" s="90"/>
      <c r="B279" s="90"/>
      <c r="C279" s="90"/>
      <c r="D279" s="90"/>
      <c r="E279" s="90"/>
      <c r="F279" s="90"/>
      <c r="G279" s="90"/>
      <c r="H279" s="90"/>
      <c r="I279" s="90"/>
      <c r="J279" s="90"/>
      <c r="K279" s="90"/>
      <c r="L279" s="90"/>
      <c r="M279" s="90"/>
      <c r="N279" s="90"/>
      <c r="O279" s="90"/>
      <c r="P279" s="90"/>
      <c r="Q279" s="90"/>
      <c r="R279" s="90"/>
      <c r="S279" s="90"/>
      <c r="T279" s="90"/>
      <c r="U279" s="90"/>
      <c r="V279" s="90"/>
      <c r="W279" s="90"/>
      <c r="X279" s="90"/>
      <c r="Y279" s="90"/>
      <c r="Z279" s="90"/>
      <c r="AA279" s="90"/>
    </row>
    <row r="280">
      <c r="A280" s="90"/>
      <c r="B280" s="90"/>
      <c r="C280" s="90"/>
      <c r="D280" s="90"/>
      <c r="E280" s="90"/>
      <c r="F280" s="90"/>
      <c r="G280" s="90"/>
      <c r="H280" s="90"/>
      <c r="I280" s="90"/>
      <c r="J280" s="90"/>
      <c r="K280" s="90"/>
      <c r="L280" s="90"/>
      <c r="M280" s="90"/>
      <c r="N280" s="90"/>
      <c r="O280" s="90"/>
      <c r="P280" s="90"/>
      <c r="Q280" s="90"/>
      <c r="R280" s="90"/>
      <c r="S280" s="90"/>
      <c r="T280" s="90"/>
      <c r="U280" s="90"/>
      <c r="V280" s="90"/>
      <c r="W280" s="90"/>
      <c r="X280" s="90"/>
      <c r="Y280" s="90"/>
      <c r="Z280" s="90"/>
      <c r="AA280" s="90"/>
    </row>
    <row r="281">
      <c r="A281" s="90"/>
      <c r="B281" s="90"/>
      <c r="C281" s="90"/>
      <c r="D281" s="90"/>
      <c r="E281" s="90"/>
      <c r="F281" s="90"/>
      <c r="G281" s="90"/>
      <c r="H281" s="90"/>
      <c r="I281" s="90"/>
      <c r="J281" s="90"/>
      <c r="K281" s="90"/>
      <c r="L281" s="90"/>
      <c r="M281" s="90"/>
      <c r="N281" s="90"/>
      <c r="O281" s="90"/>
      <c r="P281" s="90"/>
      <c r="Q281" s="90"/>
      <c r="R281" s="90"/>
      <c r="S281" s="90"/>
      <c r="T281" s="90"/>
      <c r="U281" s="90"/>
      <c r="V281" s="90"/>
      <c r="W281" s="90"/>
      <c r="X281" s="90"/>
      <c r="Y281" s="90"/>
      <c r="Z281" s="90"/>
      <c r="AA281" s="90"/>
    </row>
    <row r="282">
      <c r="A282" s="90"/>
      <c r="B282" s="90"/>
      <c r="C282" s="90"/>
      <c r="D282" s="90"/>
      <c r="E282" s="90"/>
      <c r="F282" s="90"/>
      <c r="G282" s="90"/>
      <c r="H282" s="90"/>
      <c r="I282" s="90"/>
      <c r="J282" s="90"/>
      <c r="K282" s="90"/>
      <c r="L282" s="90"/>
      <c r="M282" s="90"/>
      <c r="N282" s="90"/>
      <c r="O282" s="90"/>
      <c r="P282" s="90"/>
      <c r="Q282" s="90"/>
      <c r="R282" s="90"/>
      <c r="S282" s="90"/>
      <c r="T282" s="90"/>
      <c r="U282" s="90"/>
      <c r="V282" s="90"/>
      <c r="W282" s="90"/>
      <c r="X282" s="90"/>
      <c r="Y282" s="90"/>
      <c r="Z282" s="90"/>
      <c r="AA282" s="90"/>
    </row>
    <row r="283">
      <c r="A283" s="90"/>
      <c r="B283" s="90"/>
      <c r="C283" s="90"/>
      <c r="D283" s="90"/>
      <c r="E283" s="90"/>
      <c r="F283" s="90"/>
      <c r="G283" s="90"/>
      <c r="H283" s="90"/>
      <c r="I283" s="90"/>
      <c r="J283" s="90"/>
      <c r="K283" s="90"/>
      <c r="L283" s="90"/>
      <c r="M283" s="90"/>
      <c r="N283" s="90"/>
      <c r="O283" s="90"/>
      <c r="P283" s="90"/>
      <c r="Q283" s="90"/>
      <c r="R283" s="90"/>
      <c r="S283" s="90"/>
      <c r="T283" s="90"/>
      <c r="U283" s="90"/>
      <c r="V283" s="90"/>
      <c r="W283" s="90"/>
      <c r="X283" s="90"/>
      <c r="Y283" s="90"/>
      <c r="Z283" s="90"/>
      <c r="AA283" s="90"/>
    </row>
    <row r="284">
      <c r="A284" s="90"/>
      <c r="B284" s="90"/>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c r="AA284" s="90"/>
    </row>
    <row r="285">
      <c r="A285" s="90"/>
      <c r="B285" s="90"/>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c r="AA285" s="90"/>
    </row>
    <row r="286">
      <c r="A286" s="90"/>
      <c r="B286" s="90"/>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c r="AA286" s="90"/>
    </row>
    <row r="287">
      <c r="A287" s="90"/>
      <c r="B287" s="90"/>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c r="AA287" s="90"/>
    </row>
    <row r="288">
      <c r="A288" s="90"/>
      <c r="B288" s="90"/>
      <c r="C288" s="90"/>
      <c r="D288" s="90"/>
      <c r="E288" s="90"/>
      <c r="F288" s="90"/>
      <c r="G288" s="90"/>
      <c r="H288" s="90"/>
      <c r="I288" s="90"/>
      <c r="J288" s="90"/>
      <c r="K288" s="90"/>
      <c r="L288" s="90"/>
      <c r="M288" s="90"/>
      <c r="N288" s="90"/>
      <c r="O288" s="90"/>
      <c r="P288" s="90"/>
      <c r="Q288" s="90"/>
      <c r="R288" s="90"/>
      <c r="S288" s="90"/>
      <c r="T288" s="90"/>
      <c r="U288" s="90"/>
      <c r="V288" s="90"/>
      <c r="W288" s="90"/>
      <c r="X288" s="90"/>
      <c r="Y288" s="90"/>
      <c r="Z288" s="90"/>
      <c r="AA288" s="90"/>
    </row>
    <row r="289">
      <c r="A289" s="90"/>
      <c r="B289" s="90"/>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c r="AA289" s="90"/>
    </row>
    <row r="290">
      <c r="A290" s="90"/>
      <c r="B290" s="90"/>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c r="AA290" s="90"/>
    </row>
    <row r="291">
      <c r="A291" s="90"/>
      <c r="B291" s="90"/>
      <c r="C291" s="90"/>
      <c r="D291" s="90"/>
      <c r="E291" s="90"/>
      <c r="F291" s="90"/>
      <c r="G291" s="90"/>
      <c r="H291" s="90"/>
      <c r="I291" s="90"/>
      <c r="J291" s="90"/>
      <c r="K291" s="90"/>
      <c r="L291" s="90"/>
      <c r="M291" s="90"/>
      <c r="N291" s="90"/>
      <c r="O291" s="90"/>
      <c r="P291" s="90"/>
      <c r="Q291" s="90"/>
      <c r="R291" s="90"/>
      <c r="S291" s="90"/>
      <c r="T291" s="90"/>
      <c r="U291" s="90"/>
      <c r="V291" s="90"/>
      <c r="W291" s="90"/>
      <c r="X291" s="90"/>
      <c r="Y291" s="90"/>
      <c r="Z291" s="90"/>
      <c r="AA291" s="90"/>
    </row>
    <row r="292">
      <c r="A292" s="90"/>
      <c r="B292" s="90"/>
      <c r="C292" s="90"/>
      <c r="D292" s="90"/>
      <c r="E292" s="90"/>
      <c r="F292" s="90"/>
      <c r="G292" s="90"/>
      <c r="H292" s="90"/>
      <c r="I292" s="90"/>
      <c r="J292" s="90"/>
      <c r="K292" s="90"/>
      <c r="L292" s="90"/>
      <c r="M292" s="90"/>
      <c r="N292" s="90"/>
      <c r="O292" s="90"/>
      <c r="P292" s="90"/>
      <c r="Q292" s="90"/>
      <c r="R292" s="90"/>
      <c r="S292" s="90"/>
      <c r="T292" s="90"/>
      <c r="U292" s="90"/>
      <c r="V292" s="90"/>
      <c r="W292" s="90"/>
      <c r="X292" s="90"/>
      <c r="Y292" s="90"/>
      <c r="Z292" s="90"/>
      <c r="AA292" s="90"/>
    </row>
    <row r="293">
      <c r="A293" s="90"/>
      <c r="B293" s="90"/>
      <c r="C293" s="90"/>
      <c r="D293" s="90"/>
      <c r="E293" s="90"/>
      <c r="F293" s="90"/>
      <c r="G293" s="90"/>
      <c r="H293" s="90"/>
      <c r="I293" s="90"/>
      <c r="J293" s="90"/>
      <c r="K293" s="90"/>
      <c r="L293" s="90"/>
      <c r="M293" s="90"/>
      <c r="N293" s="90"/>
      <c r="O293" s="90"/>
      <c r="P293" s="90"/>
      <c r="Q293" s="90"/>
      <c r="R293" s="90"/>
      <c r="S293" s="90"/>
      <c r="T293" s="90"/>
      <c r="U293" s="90"/>
      <c r="V293" s="90"/>
      <c r="W293" s="90"/>
      <c r="X293" s="90"/>
      <c r="Y293" s="90"/>
      <c r="Z293" s="90"/>
      <c r="AA293" s="90"/>
    </row>
    <row r="294">
      <c r="A294" s="90"/>
      <c r="B294" s="90"/>
      <c r="C294" s="90"/>
      <c r="D294" s="90"/>
      <c r="E294" s="90"/>
      <c r="F294" s="90"/>
      <c r="G294" s="90"/>
      <c r="H294" s="90"/>
      <c r="I294" s="90"/>
      <c r="J294" s="90"/>
      <c r="K294" s="90"/>
      <c r="L294" s="90"/>
      <c r="M294" s="90"/>
      <c r="N294" s="90"/>
      <c r="O294" s="90"/>
      <c r="P294" s="90"/>
      <c r="Q294" s="90"/>
      <c r="R294" s="90"/>
      <c r="S294" s="90"/>
      <c r="T294" s="90"/>
      <c r="U294" s="90"/>
      <c r="V294" s="90"/>
      <c r="W294" s="90"/>
      <c r="X294" s="90"/>
      <c r="Y294" s="90"/>
      <c r="Z294" s="90"/>
      <c r="AA294" s="90"/>
    </row>
    <row r="295">
      <c r="A295" s="90"/>
      <c r="B295" s="90"/>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c r="AA295" s="90"/>
    </row>
    <row r="296">
      <c r="A296" s="90"/>
      <c r="B296" s="90"/>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c r="AA296" s="90"/>
    </row>
    <row r="297">
      <c r="A297" s="90"/>
      <c r="B297" s="90"/>
      <c r="C297" s="90"/>
      <c r="D297" s="90"/>
      <c r="E297" s="90"/>
      <c r="F297" s="90"/>
      <c r="G297" s="90"/>
      <c r="H297" s="90"/>
      <c r="I297" s="90"/>
      <c r="J297" s="90"/>
      <c r="K297" s="90"/>
      <c r="L297" s="90"/>
      <c r="M297" s="90"/>
      <c r="N297" s="90"/>
      <c r="O297" s="90"/>
      <c r="P297" s="90"/>
      <c r="Q297" s="90"/>
      <c r="R297" s="90"/>
      <c r="S297" s="90"/>
      <c r="T297" s="90"/>
      <c r="U297" s="90"/>
      <c r="V297" s="90"/>
      <c r="W297" s="90"/>
      <c r="X297" s="90"/>
      <c r="Y297" s="90"/>
      <c r="Z297" s="90"/>
      <c r="AA297" s="90"/>
    </row>
    <row r="298">
      <c r="A298" s="90"/>
      <c r="B298" s="90"/>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c r="AA298" s="90"/>
    </row>
    <row r="299">
      <c r="A299" s="90"/>
      <c r="B299" s="90"/>
      <c r="C299" s="90"/>
      <c r="D299" s="90"/>
      <c r="E299" s="90"/>
      <c r="F299" s="90"/>
      <c r="G299" s="90"/>
      <c r="H299" s="90"/>
      <c r="I299" s="90"/>
      <c r="J299" s="90"/>
      <c r="K299" s="90"/>
      <c r="L299" s="90"/>
      <c r="M299" s="90"/>
      <c r="N299" s="90"/>
      <c r="O299" s="90"/>
      <c r="P299" s="90"/>
      <c r="Q299" s="90"/>
      <c r="R299" s="90"/>
      <c r="S299" s="90"/>
      <c r="T299" s="90"/>
      <c r="U299" s="90"/>
      <c r="V299" s="90"/>
      <c r="W299" s="90"/>
      <c r="X299" s="90"/>
      <c r="Y299" s="90"/>
      <c r="Z299" s="90"/>
      <c r="AA299" s="90"/>
    </row>
    <row r="300">
      <c r="A300" s="90"/>
      <c r="B300" s="90"/>
      <c r="C300" s="90"/>
      <c r="D300" s="90"/>
      <c r="E300" s="90"/>
      <c r="F300" s="90"/>
      <c r="G300" s="90"/>
      <c r="H300" s="90"/>
      <c r="I300" s="90"/>
      <c r="J300" s="90"/>
      <c r="K300" s="90"/>
      <c r="L300" s="90"/>
      <c r="M300" s="90"/>
      <c r="N300" s="90"/>
      <c r="O300" s="90"/>
      <c r="P300" s="90"/>
      <c r="Q300" s="90"/>
      <c r="R300" s="90"/>
      <c r="S300" s="90"/>
      <c r="T300" s="90"/>
      <c r="U300" s="90"/>
      <c r="V300" s="90"/>
      <c r="W300" s="90"/>
      <c r="X300" s="90"/>
      <c r="Y300" s="90"/>
      <c r="Z300" s="90"/>
      <c r="AA300" s="90"/>
    </row>
    <row r="301">
      <c r="A301" s="90"/>
      <c r="B301" s="90"/>
      <c r="C301" s="90"/>
      <c r="D301" s="90"/>
      <c r="E301" s="90"/>
      <c r="F301" s="90"/>
      <c r="G301" s="90"/>
      <c r="H301" s="90"/>
      <c r="I301" s="90"/>
      <c r="J301" s="90"/>
      <c r="K301" s="90"/>
      <c r="L301" s="90"/>
      <c r="M301" s="90"/>
      <c r="N301" s="90"/>
      <c r="O301" s="90"/>
      <c r="P301" s="90"/>
      <c r="Q301" s="90"/>
      <c r="R301" s="90"/>
      <c r="S301" s="90"/>
      <c r="T301" s="90"/>
      <c r="U301" s="90"/>
      <c r="V301" s="90"/>
      <c r="W301" s="90"/>
      <c r="X301" s="90"/>
      <c r="Y301" s="90"/>
      <c r="Z301" s="90"/>
      <c r="AA301" s="90"/>
    </row>
    <row r="302">
      <c r="A302" s="90"/>
      <c r="B302" s="90"/>
      <c r="C302" s="90"/>
      <c r="D302" s="90"/>
      <c r="E302" s="90"/>
      <c r="F302" s="90"/>
      <c r="G302" s="90"/>
      <c r="H302" s="90"/>
      <c r="I302" s="90"/>
      <c r="J302" s="90"/>
      <c r="K302" s="90"/>
      <c r="L302" s="90"/>
      <c r="M302" s="90"/>
      <c r="N302" s="90"/>
      <c r="O302" s="90"/>
      <c r="P302" s="90"/>
      <c r="Q302" s="90"/>
      <c r="R302" s="90"/>
      <c r="S302" s="90"/>
      <c r="T302" s="90"/>
      <c r="U302" s="90"/>
      <c r="V302" s="90"/>
      <c r="W302" s="90"/>
      <c r="X302" s="90"/>
      <c r="Y302" s="90"/>
      <c r="Z302" s="90"/>
      <c r="AA302" s="90"/>
    </row>
    <row r="303">
      <c r="A303" s="90"/>
      <c r="B303" s="90"/>
      <c r="C303" s="90"/>
      <c r="D303" s="90"/>
      <c r="E303" s="90"/>
      <c r="F303" s="90"/>
      <c r="G303" s="90"/>
      <c r="H303" s="90"/>
      <c r="I303" s="90"/>
      <c r="J303" s="90"/>
      <c r="K303" s="90"/>
      <c r="L303" s="90"/>
      <c r="M303" s="90"/>
      <c r="N303" s="90"/>
      <c r="O303" s="90"/>
      <c r="P303" s="90"/>
      <c r="Q303" s="90"/>
      <c r="R303" s="90"/>
      <c r="S303" s="90"/>
      <c r="T303" s="90"/>
      <c r="U303" s="90"/>
      <c r="V303" s="90"/>
      <c r="W303" s="90"/>
      <c r="X303" s="90"/>
      <c r="Y303" s="90"/>
      <c r="Z303" s="90"/>
      <c r="AA303" s="90"/>
    </row>
    <row r="304">
      <c r="A304" s="90"/>
      <c r="B304" s="90"/>
      <c r="C304" s="90"/>
      <c r="D304" s="90"/>
      <c r="E304" s="90"/>
      <c r="F304" s="90"/>
      <c r="G304" s="90"/>
      <c r="H304" s="90"/>
      <c r="I304" s="90"/>
      <c r="J304" s="90"/>
      <c r="K304" s="90"/>
      <c r="L304" s="90"/>
      <c r="M304" s="90"/>
      <c r="N304" s="90"/>
      <c r="O304" s="90"/>
      <c r="P304" s="90"/>
      <c r="Q304" s="90"/>
      <c r="R304" s="90"/>
      <c r="S304" s="90"/>
      <c r="T304" s="90"/>
      <c r="U304" s="90"/>
      <c r="V304" s="90"/>
      <c r="W304" s="90"/>
      <c r="X304" s="90"/>
      <c r="Y304" s="90"/>
      <c r="Z304" s="90"/>
      <c r="AA304" s="90"/>
    </row>
    <row r="305">
      <c r="A305" s="90"/>
      <c r="B305" s="90"/>
      <c r="C305" s="90"/>
      <c r="D305" s="90"/>
      <c r="E305" s="90"/>
      <c r="F305" s="90"/>
      <c r="G305" s="90"/>
      <c r="H305" s="90"/>
      <c r="I305" s="90"/>
      <c r="J305" s="90"/>
      <c r="K305" s="90"/>
      <c r="L305" s="90"/>
      <c r="M305" s="90"/>
      <c r="N305" s="90"/>
      <c r="O305" s="90"/>
      <c r="P305" s="90"/>
      <c r="Q305" s="90"/>
      <c r="R305" s="90"/>
      <c r="S305" s="90"/>
      <c r="T305" s="90"/>
      <c r="U305" s="90"/>
      <c r="V305" s="90"/>
      <c r="W305" s="90"/>
      <c r="X305" s="90"/>
      <c r="Y305" s="90"/>
      <c r="Z305" s="90"/>
      <c r="AA305" s="90"/>
    </row>
    <row r="306">
      <c r="A306" s="90"/>
      <c r="B306" s="90"/>
      <c r="C306" s="90"/>
      <c r="D306" s="90"/>
      <c r="E306" s="90"/>
      <c r="F306" s="90"/>
      <c r="G306" s="90"/>
      <c r="H306" s="90"/>
      <c r="I306" s="90"/>
      <c r="J306" s="90"/>
      <c r="K306" s="90"/>
      <c r="L306" s="90"/>
      <c r="M306" s="90"/>
      <c r="N306" s="90"/>
      <c r="O306" s="90"/>
      <c r="P306" s="90"/>
      <c r="Q306" s="90"/>
      <c r="R306" s="90"/>
      <c r="S306" s="90"/>
      <c r="T306" s="90"/>
      <c r="U306" s="90"/>
      <c r="V306" s="90"/>
      <c r="W306" s="90"/>
      <c r="X306" s="90"/>
      <c r="Y306" s="90"/>
      <c r="Z306" s="90"/>
      <c r="AA306" s="90"/>
    </row>
    <row r="307">
      <c r="A307" s="90"/>
      <c r="B307" s="90"/>
      <c r="C307" s="90"/>
      <c r="D307" s="90"/>
      <c r="E307" s="90"/>
      <c r="F307" s="90"/>
      <c r="G307" s="90"/>
      <c r="H307" s="90"/>
      <c r="I307" s="90"/>
      <c r="J307" s="90"/>
      <c r="K307" s="90"/>
      <c r="L307" s="90"/>
      <c r="M307" s="90"/>
      <c r="N307" s="90"/>
      <c r="O307" s="90"/>
      <c r="P307" s="90"/>
      <c r="Q307" s="90"/>
      <c r="R307" s="90"/>
      <c r="S307" s="90"/>
      <c r="T307" s="90"/>
      <c r="U307" s="90"/>
      <c r="V307" s="90"/>
      <c r="W307" s="90"/>
      <c r="X307" s="90"/>
      <c r="Y307" s="90"/>
      <c r="Z307" s="90"/>
      <c r="AA307" s="90"/>
    </row>
    <row r="308">
      <c r="A308" s="90"/>
      <c r="B308" s="90"/>
      <c r="C308" s="90"/>
      <c r="D308" s="90"/>
      <c r="E308" s="90"/>
      <c r="F308" s="90"/>
      <c r="G308" s="90"/>
      <c r="H308" s="90"/>
      <c r="I308" s="90"/>
      <c r="J308" s="90"/>
      <c r="K308" s="90"/>
      <c r="L308" s="90"/>
      <c r="M308" s="90"/>
      <c r="N308" s="90"/>
      <c r="O308" s="90"/>
      <c r="P308" s="90"/>
      <c r="Q308" s="90"/>
      <c r="R308" s="90"/>
      <c r="S308" s="90"/>
      <c r="T308" s="90"/>
      <c r="U308" s="90"/>
      <c r="V308" s="90"/>
      <c r="W308" s="90"/>
      <c r="X308" s="90"/>
      <c r="Y308" s="90"/>
      <c r="Z308" s="90"/>
      <c r="AA308" s="90"/>
    </row>
    <row r="309">
      <c r="A309" s="90"/>
      <c r="B309" s="90"/>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c r="AA309" s="90"/>
    </row>
    <row r="310">
      <c r="A310" s="90"/>
      <c r="B310" s="90"/>
      <c r="C310" s="90"/>
      <c r="D310" s="90"/>
      <c r="E310" s="90"/>
      <c r="F310" s="90"/>
      <c r="G310" s="90"/>
      <c r="H310" s="90"/>
      <c r="I310" s="90"/>
      <c r="J310" s="90"/>
      <c r="K310" s="90"/>
      <c r="L310" s="90"/>
      <c r="M310" s="90"/>
      <c r="N310" s="90"/>
      <c r="O310" s="90"/>
      <c r="P310" s="90"/>
      <c r="Q310" s="90"/>
      <c r="R310" s="90"/>
      <c r="S310" s="90"/>
      <c r="T310" s="90"/>
      <c r="U310" s="90"/>
      <c r="V310" s="90"/>
      <c r="W310" s="90"/>
      <c r="X310" s="90"/>
      <c r="Y310" s="90"/>
      <c r="Z310" s="90"/>
      <c r="AA310" s="90"/>
    </row>
    <row r="311">
      <c r="A311" s="90"/>
      <c r="B311" s="90"/>
      <c r="C311" s="90"/>
      <c r="D311" s="90"/>
      <c r="E311" s="90"/>
      <c r="F311" s="90"/>
      <c r="G311" s="90"/>
      <c r="H311" s="90"/>
      <c r="I311" s="90"/>
      <c r="J311" s="90"/>
      <c r="K311" s="90"/>
      <c r="L311" s="90"/>
      <c r="M311" s="90"/>
      <c r="N311" s="90"/>
      <c r="O311" s="90"/>
      <c r="P311" s="90"/>
      <c r="Q311" s="90"/>
      <c r="R311" s="90"/>
      <c r="S311" s="90"/>
      <c r="T311" s="90"/>
      <c r="U311" s="90"/>
      <c r="V311" s="90"/>
      <c r="W311" s="90"/>
      <c r="X311" s="90"/>
      <c r="Y311" s="90"/>
      <c r="Z311" s="90"/>
      <c r="AA311" s="90"/>
    </row>
    <row r="312">
      <c r="A312" s="90"/>
      <c r="B312" s="90"/>
      <c r="C312" s="90"/>
      <c r="D312" s="90"/>
      <c r="E312" s="90"/>
      <c r="F312" s="90"/>
      <c r="G312" s="90"/>
      <c r="H312" s="90"/>
      <c r="I312" s="90"/>
      <c r="J312" s="90"/>
      <c r="K312" s="90"/>
      <c r="L312" s="90"/>
      <c r="M312" s="90"/>
      <c r="N312" s="90"/>
      <c r="O312" s="90"/>
      <c r="P312" s="90"/>
      <c r="Q312" s="90"/>
      <c r="R312" s="90"/>
      <c r="S312" s="90"/>
      <c r="T312" s="90"/>
      <c r="U312" s="90"/>
      <c r="V312" s="90"/>
      <c r="W312" s="90"/>
      <c r="X312" s="90"/>
      <c r="Y312" s="90"/>
      <c r="Z312" s="90"/>
      <c r="AA312" s="90"/>
    </row>
    <row r="313">
      <c r="A313" s="90"/>
      <c r="B313" s="90"/>
      <c r="C313" s="90"/>
      <c r="D313" s="90"/>
      <c r="E313" s="90"/>
      <c r="F313" s="90"/>
      <c r="G313" s="90"/>
      <c r="H313" s="90"/>
      <c r="I313" s="90"/>
      <c r="J313" s="90"/>
      <c r="K313" s="90"/>
      <c r="L313" s="90"/>
      <c r="M313" s="90"/>
      <c r="N313" s="90"/>
      <c r="O313" s="90"/>
      <c r="P313" s="90"/>
      <c r="Q313" s="90"/>
      <c r="R313" s="90"/>
      <c r="S313" s="90"/>
      <c r="T313" s="90"/>
      <c r="U313" s="90"/>
      <c r="V313" s="90"/>
      <c r="W313" s="90"/>
      <c r="X313" s="90"/>
      <c r="Y313" s="90"/>
      <c r="Z313" s="90"/>
      <c r="AA313" s="90"/>
    </row>
    <row r="314">
      <c r="A314" s="90"/>
      <c r="B314" s="90"/>
      <c r="C314" s="90"/>
      <c r="D314" s="90"/>
      <c r="E314" s="90"/>
      <c r="F314" s="90"/>
      <c r="G314" s="90"/>
      <c r="H314" s="90"/>
      <c r="I314" s="90"/>
      <c r="J314" s="90"/>
      <c r="K314" s="90"/>
      <c r="L314" s="90"/>
      <c r="M314" s="90"/>
      <c r="N314" s="90"/>
      <c r="O314" s="90"/>
      <c r="P314" s="90"/>
      <c r="Q314" s="90"/>
      <c r="R314" s="90"/>
      <c r="S314" s="90"/>
      <c r="T314" s="90"/>
      <c r="U314" s="90"/>
      <c r="V314" s="90"/>
      <c r="W314" s="90"/>
      <c r="X314" s="90"/>
      <c r="Y314" s="90"/>
      <c r="Z314" s="90"/>
      <c r="AA314" s="90"/>
    </row>
    <row r="315">
      <c r="A315" s="90"/>
      <c r="B315" s="90"/>
      <c r="C315" s="90"/>
      <c r="D315" s="90"/>
      <c r="E315" s="90"/>
      <c r="F315" s="90"/>
      <c r="G315" s="90"/>
      <c r="H315" s="90"/>
      <c r="I315" s="90"/>
      <c r="J315" s="90"/>
      <c r="K315" s="90"/>
      <c r="L315" s="90"/>
      <c r="M315" s="90"/>
      <c r="N315" s="90"/>
      <c r="O315" s="90"/>
      <c r="P315" s="90"/>
      <c r="Q315" s="90"/>
      <c r="R315" s="90"/>
      <c r="S315" s="90"/>
      <c r="T315" s="90"/>
      <c r="U315" s="90"/>
      <c r="V315" s="90"/>
      <c r="W315" s="90"/>
      <c r="X315" s="90"/>
      <c r="Y315" s="90"/>
      <c r="Z315" s="90"/>
      <c r="AA315" s="90"/>
    </row>
    <row r="316">
      <c r="A316" s="90"/>
      <c r="B316" s="90"/>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c r="AA316" s="90"/>
    </row>
    <row r="317">
      <c r="A317" s="90"/>
      <c r="B317" s="90"/>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c r="AA317" s="90"/>
    </row>
    <row r="318">
      <c r="A318" s="90"/>
      <c r="B318" s="90"/>
      <c r="C318" s="90"/>
      <c r="D318" s="90"/>
      <c r="E318" s="90"/>
      <c r="F318" s="90"/>
      <c r="G318" s="90"/>
      <c r="H318" s="90"/>
      <c r="I318" s="90"/>
      <c r="J318" s="90"/>
      <c r="K318" s="90"/>
      <c r="L318" s="90"/>
      <c r="M318" s="90"/>
      <c r="N318" s="90"/>
      <c r="O318" s="90"/>
      <c r="P318" s="90"/>
      <c r="Q318" s="90"/>
      <c r="R318" s="90"/>
      <c r="S318" s="90"/>
      <c r="T318" s="90"/>
      <c r="U318" s="90"/>
      <c r="V318" s="90"/>
      <c r="W318" s="90"/>
      <c r="X318" s="90"/>
      <c r="Y318" s="90"/>
      <c r="Z318" s="90"/>
      <c r="AA318" s="90"/>
    </row>
    <row r="319">
      <c r="A319" s="90"/>
      <c r="B319" s="90"/>
      <c r="C319" s="90"/>
      <c r="D319" s="90"/>
      <c r="E319" s="90"/>
      <c r="F319" s="90"/>
      <c r="G319" s="90"/>
      <c r="H319" s="90"/>
      <c r="I319" s="90"/>
      <c r="J319" s="90"/>
      <c r="K319" s="90"/>
      <c r="L319" s="90"/>
      <c r="M319" s="90"/>
      <c r="N319" s="90"/>
      <c r="O319" s="90"/>
      <c r="P319" s="90"/>
      <c r="Q319" s="90"/>
      <c r="R319" s="90"/>
      <c r="S319" s="90"/>
      <c r="T319" s="90"/>
      <c r="U319" s="90"/>
      <c r="V319" s="90"/>
      <c r="W319" s="90"/>
      <c r="X319" s="90"/>
      <c r="Y319" s="90"/>
      <c r="Z319" s="90"/>
      <c r="AA319" s="90"/>
    </row>
    <row r="320">
      <c r="A320" s="90"/>
      <c r="B320" s="90"/>
      <c r="C320" s="90"/>
      <c r="D320" s="90"/>
      <c r="E320" s="90"/>
      <c r="F320" s="90"/>
      <c r="G320" s="90"/>
      <c r="H320" s="90"/>
      <c r="I320" s="90"/>
      <c r="J320" s="90"/>
      <c r="K320" s="90"/>
      <c r="L320" s="90"/>
      <c r="M320" s="90"/>
      <c r="N320" s="90"/>
      <c r="O320" s="90"/>
      <c r="P320" s="90"/>
      <c r="Q320" s="90"/>
      <c r="R320" s="90"/>
      <c r="S320" s="90"/>
      <c r="T320" s="90"/>
      <c r="U320" s="90"/>
      <c r="V320" s="90"/>
      <c r="W320" s="90"/>
      <c r="X320" s="90"/>
      <c r="Y320" s="90"/>
      <c r="Z320" s="90"/>
      <c r="AA320" s="90"/>
    </row>
    <row r="321">
      <c r="A321" s="90"/>
      <c r="B321" s="90"/>
      <c r="C321" s="90"/>
      <c r="D321" s="90"/>
      <c r="E321" s="90"/>
      <c r="F321" s="90"/>
      <c r="G321" s="90"/>
      <c r="H321" s="90"/>
      <c r="I321" s="90"/>
      <c r="J321" s="90"/>
      <c r="K321" s="90"/>
      <c r="L321" s="90"/>
      <c r="M321" s="90"/>
      <c r="N321" s="90"/>
      <c r="O321" s="90"/>
      <c r="P321" s="90"/>
      <c r="Q321" s="90"/>
      <c r="R321" s="90"/>
      <c r="S321" s="90"/>
      <c r="T321" s="90"/>
      <c r="U321" s="90"/>
      <c r="V321" s="90"/>
      <c r="W321" s="90"/>
      <c r="X321" s="90"/>
      <c r="Y321" s="90"/>
      <c r="Z321" s="90"/>
      <c r="AA321" s="90"/>
    </row>
    <row r="322">
      <c r="A322" s="90"/>
      <c r="B322" s="90"/>
      <c r="C322" s="90"/>
      <c r="D322" s="90"/>
      <c r="E322" s="90"/>
      <c r="F322" s="90"/>
      <c r="G322" s="90"/>
      <c r="H322" s="90"/>
      <c r="I322" s="90"/>
      <c r="J322" s="90"/>
      <c r="K322" s="90"/>
      <c r="L322" s="90"/>
      <c r="M322" s="90"/>
      <c r="N322" s="90"/>
      <c r="O322" s="90"/>
      <c r="P322" s="90"/>
      <c r="Q322" s="90"/>
      <c r="R322" s="90"/>
      <c r="S322" s="90"/>
      <c r="T322" s="90"/>
      <c r="U322" s="90"/>
      <c r="V322" s="90"/>
      <c r="W322" s="90"/>
      <c r="X322" s="90"/>
      <c r="Y322" s="90"/>
      <c r="Z322" s="90"/>
      <c r="AA322" s="90"/>
    </row>
    <row r="323">
      <c r="A323" s="90"/>
      <c r="B323" s="90"/>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c r="AA323" s="90"/>
    </row>
    <row r="324">
      <c r="A324" s="90"/>
      <c r="B324" s="90"/>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c r="AA324" s="90"/>
    </row>
    <row r="325">
      <c r="A325" s="90"/>
      <c r="B325" s="90"/>
      <c r="C325" s="90"/>
      <c r="D325" s="90"/>
      <c r="E325" s="90"/>
      <c r="F325" s="90"/>
      <c r="G325" s="90"/>
      <c r="H325" s="90"/>
      <c r="I325" s="90"/>
      <c r="J325" s="90"/>
      <c r="K325" s="90"/>
      <c r="L325" s="90"/>
      <c r="M325" s="90"/>
      <c r="N325" s="90"/>
      <c r="O325" s="90"/>
      <c r="P325" s="90"/>
      <c r="Q325" s="90"/>
      <c r="R325" s="90"/>
      <c r="S325" s="90"/>
      <c r="T325" s="90"/>
      <c r="U325" s="90"/>
      <c r="V325" s="90"/>
      <c r="W325" s="90"/>
      <c r="X325" s="90"/>
      <c r="Y325" s="90"/>
      <c r="Z325" s="90"/>
      <c r="AA325" s="90"/>
    </row>
    <row r="326">
      <c r="A326" s="90"/>
      <c r="B326" s="90"/>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c r="AA326" s="90"/>
    </row>
    <row r="327">
      <c r="A327" s="90"/>
      <c r="B327" s="90"/>
      <c r="C327" s="90"/>
      <c r="D327" s="90"/>
      <c r="E327" s="90"/>
      <c r="F327" s="90"/>
      <c r="G327" s="90"/>
      <c r="H327" s="90"/>
      <c r="I327" s="90"/>
      <c r="J327" s="90"/>
      <c r="K327" s="90"/>
      <c r="L327" s="90"/>
      <c r="M327" s="90"/>
      <c r="N327" s="90"/>
      <c r="O327" s="90"/>
      <c r="P327" s="90"/>
      <c r="Q327" s="90"/>
      <c r="R327" s="90"/>
      <c r="S327" s="90"/>
      <c r="T327" s="90"/>
      <c r="U327" s="90"/>
      <c r="V327" s="90"/>
      <c r="W327" s="90"/>
      <c r="X327" s="90"/>
      <c r="Y327" s="90"/>
      <c r="Z327" s="90"/>
      <c r="AA327" s="90"/>
    </row>
    <row r="328">
      <c r="A328" s="90"/>
      <c r="B328" s="90"/>
      <c r="C328" s="90"/>
      <c r="D328" s="90"/>
      <c r="E328" s="90"/>
      <c r="F328" s="90"/>
      <c r="G328" s="90"/>
      <c r="H328" s="90"/>
      <c r="I328" s="90"/>
      <c r="J328" s="90"/>
      <c r="K328" s="90"/>
      <c r="L328" s="90"/>
      <c r="M328" s="90"/>
      <c r="N328" s="90"/>
      <c r="O328" s="90"/>
      <c r="P328" s="90"/>
      <c r="Q328" s="90"/>
      <c r="R328" s="90"/>
      <c r="S328" s="90"/>
      <c r="T328" s="90"/>
      <c r="U328" s="90"/>
      <c r="V328" s="90"/>
      <c r="W328" s="90"/>
      <c r="X328" s="90"/>
      <c r="Y328" s="90"/>
      <c r="Z328" s="90"/>
      <c r="AA328" s="90"/>
    </row>
    <row r="329">
      <c r="A329" s="90"/>
      <c r="B329" s="90"/>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c r="AA329" s="90"/>
    </row>
    <row r="330">
      <c r="A330" s="90"/>
      <c r="B330" s="90"/>
      <c r="C330" s="90"/>
      <c r="D330" s="90"/>
      <c r="E330" s="90"/>
      <c r="F330" s="90"/>
      <c r="G330" s="90"/>
      <c r="H330" s="90"/>
      <c r="I330" s="90"/>
      <c r="J330" s="90"/>
      <c r="K330" s="90"/>
      <c r="L330" s="90"/>
      <c r="M330" s="90"/>
      <c r="N330" s="90"/>
      <c r="O330" s="90"/>
      <c r="P330" s="90"/>
      <c r="Q330" s="90"/>
      <c r="R330" s="90"/>
      <c r="S330" s="90"/>
      <c r="T330" s="90"/>
      <c r="U330" s="90"/>
      <c r="V330" s="90"/>
      <c r="W330" s="90"/>
      <c r="X330" s="90"/>
      <c r="Y330" s="90"/>
      <c r="Z330" s="90"/>
      <c r="AA330" s="90"/>
    </row>
    <row r="331">
      <c r="A331" s="90"/>
      <c r="B331" s="90"/>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c r="AA331" s="90"/>
    </row>
    <row r="332">
      <c r="A332" s="90"/>
      <c r="B332" s="90"/>
      <c r="C332" s="90"/>
      <c r="D332" s="90"/>
      <c r="E332" s="90"/>
      <c r="F332" s="90"/>
      <c r="G332" s="90"/>
      <c r="H332" s="90"/>
      <c r="I332" s="90"/>
      <c r="J332" s="90"/>
      <c r="K332" s="90"/>
      <c r="L332" s="90"/>
      <c r="M332" s="90"/>
      <c r="N332" s="90"/>
      <c r="O332" s="90"/>
      <c r="P332" s="90"/>
      <c r="Q332" s="90"/>
      <c r="R332" s="90"/>
      <c r="S332" s="90"/>
      <c r="T332" s="90"/>
      <c r="U332" s="90"/>
      <c r="V332" s="90"/>
      <c r="W332" s="90"/>
      <c r="X332" s="90"/>
      <c r="Y332" s="90"/>
      <c r="Z332" s="90"/>
      <c r="AA332" s="90"/>
    </row>
    <row r="333">
      <c r="A333" s="90"/>
      <c r="B333" s="90"/>
      <c r="C333" s="90"/>
      <c r="D333" s="90"/>
      <c r="E333" s="90"/>
      <c r="F333" s="90"/>
      <c r="G333" s="90"/>
      <c r="H333" s="90"/>
      <c r="I333" s="90"/>
      <c r="J333" s="90"/>
      <c r="K333" s="90"/>
      <c r="L333" s="90"/>
      <c r="M333" s="90"/>
      <c r="N333" s="90"/>
      <c r="O333" s="90"/>
      <c r="P333" s="90"/>
      <c r="Q333" s="90"/>
      <c r="R333" s="90"/>
      <c r="S333" s="90"/>
      <c r="T333" s="90"/>
      <c r="U333" s="90"/>
      <c r="V333" s="90"/>
      <c r="W333" s="90"/>
      <c r="X333" s="90"/>
      <c r="Y333" s="90"/>
      <c r="Z333" s="90"/>
      <c r="AA333" s="90"/>
    </row>
    <row r="334">
      <c r="A334" s="90"/>
      <c r="B334" s="90"/>
      <c r="C334" s="90"/>
      <c r="D334" s="90"/>
      <c r="E334" s="90"/>
      <c r="F334" s="90"/>
      <c r="G334" s="90"/>
      <c r="H334" s="90"/>
      <c r="I334" s="90"/>
      <c r="J334" s="90"/>
      <c r="K334" s="90"/>
      <c r="L334" s="90"/>
      <c r="M334" s="90"/>
      <c r="N334" s="90"/>
      <c r="O334" s="90"/>
      <c r="P334" s="90"/>
      <c r="Q334" s="90"/>
      <c r="R334" s="90"/>
      <c r="S334" s="90"/>
      <c r="T334" s="90"/>
      <c r="U334" s="90"/>
      <c r="V334" s="90"/>
      <c r="W334" s="90"/>
      <c r="X334" s="90"/>
      <c r="Y334" s="90"/>
      <c r="Z334" s="90"/>
      <c r="AA334" s="90"/>
    </row>
    <row r="335">
      <c r="A335" s="90"/>
      <c r="B335" s="90"/>
      <c r="C335" s="90"/>
      <c r="D335" s="90"/>
      <c r="E335" s="90"/>
      <c r="F335" s="90"/>
      <c r="G335" s="90"/>
      <c r="H335" s="90"/>
      <c r="I335" s="90"/>
      <c r="J335" s="90"/>
      <c r="K335" s="90"/>
      <c r="L335" s="90"/>
      <c r="M335" s="90"/>
      <c r="N335" s="90"/>
      <c r="O335" s="90"/>
      <c r="P335" s="90"/>
      <c r="Q335" s="90"/>
      <c r="R335" s="90"/>
      <c r="S335" s="90"/>
      <c r="T335" s="90"/>
      <c r="U335" s="90"/>
      <c r="V335" s="90"/>
      <c r="W335" s="90"/>
      <c r="X335" s="90"/>
      <c r="Y335" s="90"/>
      <c r="Z335" s="90"/>
      <c r="AA335" s="90"/>
    </row>
    <row r="336">
      <c r="A336" s="90"/>
      <c r="B336" s="90"/>
      <c r="C336" s="90"/>
      <c r="D336" s="90"/>
      <c r="E336" s="90"/>
      <c r="F336" s="90"/>
      <c r="G336" s="90"/>
      <c r="H336" s="90"/>
      <c r="I336" s="90"/>
      <c r="J336" s="90"/>
      <c r="K336" s="90"/>
      <c r="L336" s="90"/>
      <c r="M336" s="90"/>
      <c r="N336" s="90"/>
      <c r="O336" s="90"/>
      <c r="P336" s="90"/>
      <c r="Q336" s="90"/>
      <c r="R336" s="90"/>
      <c r="S336" s="90"/>
      <c r="T336" s="90"/>
      <c r="U336" s="90"/>
      <c r="V336" s="90"/>
      <c r="W336" s="90"/>
      <c r="X336" s="90"/>
      <c r="Y336" s="90"/>
      <c r="Z336" s="90"/>
      <c r="AA336" s="90"/>
    </row>
    <row r="337">
      <c r="A337" s="90"/>
      <c r="B337" s="90"/>
      <c r="C337" s="90"/>
      <c r="D337" s="90"/>
      <c r="E337" s="90"/>
      <c r="F337" s="90"/>
      <c r="G337" s="90"/>
      <c r="H337" s="90"/>
      <c r="I337" s="90"/>
      <c r="J337" s="90"/>
      <c r="K337" s="90"/>
      <c r="L337" s="90"/>
      <c r="M337" s="90"/>
      <c r="N337" s="90"/>
      <c r="O337" s="90"/>
      <c r="P337" s="90"/>
      <c r="Q337" s="90"/>
      <c r="R337" s="90"/>
      <c r="S337" s="90"/>
      <c r="T337" s="90"/>
      <c r="U337" s="90"/>
      <c r="V337" s="90"/>
      <c r="W337" s="90"/>
      <c r="X337" s="90"/>
      <c r="Y337" s="90"/>
      <c r="Z337" s="90"/>
      <c r="AA337" s="90"/>
    </row>
    <row r="338">
      <c r="A338" s="90"/>
      <c r="B338" s="90"/>
      <c r="C338" s="90"/>
      <c r="D338" s="90"/>
      <c r="E338" s="90"/>
      <c r="F338" s="90"/>
      <c r="G338" s="90"/>
      <c r="H338" s="90"/>
      <c r="I338" s="90"/>
      <c r="J338" s="90"/>
      <c r="K338" s="90"/>
      <c r="L338" s="90"/>
      <c r="M338" s="90"/>
      <c r="N338" s="90"/>
      <c r="O338" s="90"/>
      <c r="P338" s="90"/>
      <c r="Q338" s="90"/>
      <c r="R338" s="90"/>
      <c r="S338" s="90"/>
      <c r="T338" s="90"/>
      <c r="U338" s="90"/>
      <c r="V338" s="90"/>
      <c r="W338" s="90"/>
      <c r="X338" s="90"/>
      <c r="Y338" s="90"/>
      <c r="Z338" s="90"/>
      <c r="AA338" s="90"/>
    </row>
    <row r="339">
      <c r="A339" s="90"/>
      <c r="B339" s="90"/>
      <c r="C339" s="90"/>
      <c r="D339" s="90"/>
      <c r="E339" s="90"/>
      <c r="F339" s="90"/>
      <c r="G339" s="90"/>
      <c r="H339" s="90"/>
      <c r="I339" s="90"/>
      <c r="J339" s="90"/>
      <c r="K339" s="90"/>
      <c r="L339" s="90"/>
      <c r="M339" s="90"/>
      <c r="N339" s="90"/>
      <c r="O339" s="90"/>
      <c r="P339" s="90"/>
      <c r="Q339" s="90"/>
      <c r="R339" s="90"/>
      <c r="S339" s="90"/>
      <c r="T339" s="90"/>
      <c r="U339" s="90"/>
      <c r="V339" s="90"/>
      <c r="W339" s="90"/>
      <c r="X339" s="90"/>
      <c r="Y339" s="90"/>
      <c r="Z339" s="90"/>
      <c r="AA339" s="90"/>
    </row>
    <row r="340">
      <c r="A340" s="90"/>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row>
    <row r="341">
      <c r="A341" s="90"/>
      <c r="B341" s="90"/>
      <c r="C341" s="90"/>
      <c r="D341" s="90"/>
      <c r="E341" s="90"/>
      <c r="F341" s="90"/>
      <c r="G341" s="90"/>
      <c r="H341" s="90"/>
      <c r="I341" s="90"/>
      <c r="J341" s="90"/>
      <c r="K341" s="90"/>
      <c r="L341" s="90"/>
      <c r="M341" s="90"/>
      <c r="N341" s="90"/>
      <c r="O341" s="90"/>
      <c r="P341" s="90"/>
      <c r="Q341" s="90"/>
      <c r="R341" s="90"/>
      <c r="S341" s="90"/>
      <c r="T341" s="90"/>
      <c r="U341" s="90"/>
      <c r="V341" s="90"/>
      <c r="W341" s="90"/>
      <c r="X341" s="90"/>
      <c r="Y341" s="90"/>
      <c r="Z341" s="90"/>
      <c r="AA341" s="90"/>
    </row>
    <row r="342">
      <c r="A342" s="90"/>
      <c r="B342" s="90"/>
      <c r="C342" s="90"/>
      <c r="D342" s="90"/>
      <c r="E342" s="90"/>
      <c r="F342" s="90"/>
      <c r="G342" s="90"/>
      <c r="H342" s="90"/>
      <c r="I342" s="90"/>
      <c r="J342" s="90"/>
      <c r="K342" s="90"/>
      <c r="L342" s="90"/>
      <c r="M342" s="90"/>
      <c r="N342" s="90"/>
      <c r="O342" s="90"/>
      <c r="P342" s="90"/>
      <c r="Q342" s="90"/>
      <c r="R342" s="90"/>
      <c r="S342" s="90"/>
      <c r="T342" s="90"/>
      <c r="U342" s="90"/>
      <c r="V342" s="90"/>
      <c r="W342" s="90"/>
      <c r="X342" s="90"/>
      <c r="Y342" s="90"/>
      <c r="Z342" s="90"/>
      <c r="AA342" s="90"/>
    </row>
    <row r="343">
      <c r="A343" s="90"/>
      <c r="B343" s="90"/>
      <c r="C343" s="90"/>
      <c r="D343" s="90"/>
      <c r="E343" s="90"/>
      <c r="F343" s="90"/>
      <c r="G343" s="90"/>
      <c r="H343" s="90"/>
      <c r="I343" s="90"/>
      <c r="J343" s="90"/>
      <c r="K343" s="90"/>
      <c r="L343" s="90"/>
      <c r="M343" s="90"/>
      <c r="N343" s="90"/>
      <c r="O343" s="90"/>
      <c r="P343" s="90"/>
      <c r="Q343" s="90"/>
      <c r="R343" s="90"/>
      <c r="S343" s="90"/>
      <c r="T343" s="90"/>
      <c r="U343" s="90"/>
      <c r="V343" s="90"/>
      <c r="W343" s="90"/>
      <c r="X343" s="90"/>
      <c r="Y343" s="90"/>
      <c r="Z343" s="90"/>
      <c r="AA343" s="90"/>
    </row>
    <row r="344">
      <c r="A344" s="90"/>
      <c r="B344" s="90"/>
      <c r="C344" s="90"/>
      <c r="D344" s="90"/>
      <c r="E344" s="90"/>
      <c r="F344" s="90"/>
      <c r="G344" s="90"/>
      <c r="H344" s="90"/>
      <c r="I344" s="90"/>
      <c r="J344" s="90"/>
      <c r="K344" s="90"/>
      <c r="L344" s="90"/>
      <c r="M344" s="90"/>
      <c r="N344" s="90"/>
      <c r="O344" s="90"/>
      <c r="P344" s="90"/>
      <c r="Q344" s="90"/>
      <c r="R344" s="90"/>
      <c r="S344" s="90"/>
      <c r="T344" s="90"/>
      <c r="U344" s="90"/>
      <c r="V344" s="90"/>
      <c r="W344" s="90"/>
      <c r="X344" s="90"/>
      <c r="Y344" s="90"/>
      <c r="Z344" s="90"/>
      <c r="AA344" s="90"/>
    </row>
    <row r="345">
      <c r="A345" s="90"/>
      <c r="B345" s="90"/>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c r="AA345" s="90"/>
    </row>
    <row r="346">
      <c r="A346" s="90"/>
      <c r="B346" s="90"/>
      <c r="C346" s="90"/>
      <c r="D346" s="90"/>
      <c r="E346" s="90"/>
      <c r="F346" s="90"/>
      <c r="G346" s="90"/>
      <c r="H346" s="90"/>
      <c r="I346" s="90"/>
      <c r="J346" s="90"/>
      <c r="K346" s="90"/>
      <c r="L346" s="90"/>
      <c r="M346" s="90"/>
      <c r="N346" s="90"/>
      <c r="O346" s="90"/>
      <c r="P346" s="90"/>
      <c r="Q346" s="90"/>
      <c r="R346" s="90"/>
      <c r="S346" s="90"/>
      <c r="T346" s="90"/>
      <c r="U346" s="90"/>
      <c r="V346" s="90"/>
      <c r="W346" s="90"/>
      <c r="X346" s="90"/>
      <c r="Y346" s="90"/>
      <c r="Z346" s="90"/>
      <c r="AA346" s="90"/>
    </row>
    <row r="347">
      <c r="A347" s="90"/>
      <c r="B347" s="90"/>
      <c r="C347" s="90"/>
      <c r="D347" s="90"/>
      <c r="E347" s="90"/>
      <c r="F347" s="90"/>
      <c r="G347" s="90"/>
      <c r="H347" s="90"/>
      <c r="I347" s="90"/>
      <c r="J347" s="90"/>
      <c r="K347" s="90"/>
      <c r="L347" s="90"/>
      <c r="M347" s="90"/>
      <c r="N347" s="90"/>
      <c r="O347" s="90"/>
      <c r="P347" s="90"/>
      <c r="Q347" s="90"/>
      <c r="R347" s="90"/>
      <c r="S347" s="90"/>
      <c r="T347" s="90"/>
      <c r="U347" s="90"/>
      <c r="V347" s="90"/>
      <c r="W347" s="90"/>
      <c r="X347" s="90"/>
      <c r="Y347" s="90"/>
      <c r="Z347" s="90"/>
      <c r="AA347" s="90"/>
    </row>
    <row r="348">
      <c r="A348" s="90"/>
      <c r="B348" s="90"/>
      <c r="C348" s="90"/>
      <c r="D348" s="90"/>
      <c r="E348" s="90"/>
      <c r="F348" s="90"/>
      <c r="G348" s="90"/>
      <c r="H348" s="90"/>
      <c r="I348" s="90"/>
      <c r="J348" s="90"/>
      <c r="K348" s="90"/>
      <c r="L348" s="90"/>
      <c r="M348" s="90"/>
      <c r="N348" s="90"/>
      <c r="O348" s="90"/>
      <c r="P348" s="90"/>
      <c r="Q348" s="90"/>
      <c r="R348" s="90"/>
      <c r="S348" s="90"/>
      <c r="T348" s="90"/>
      <c r="U348" s="90"/>
      <c r="V348" s="90"/>
      <c r="W348" s="90"/>
      <c r="X348" s="90"/>
      <c r="Y348" s="90"/>
      <c r="Z348" s="90"/>
      <c r="AA348" s="90"/>
    </row>
    <row r="349">
      <c r="A349" s="90"/>
      <c r="B349" s="90"/>
      <c r="C349" s="90"/>
      <c r="D349" s="90"/>
      <c r="E349" s="90"/>
      <c r="F349" s="90"/>
      <c r="G349" s="90"/>
      <c r="H349" s="90"/>
      <c r="I349" s="90"/>
      <c r="J349" s="90"/>
      <c r="K349" s="90"/>
      <c r="L349" s="90"/>
      <c r="M349" s="90"/>
      <c r="N349" s="90"/>
      <c r="O349" s="90"/>
      <c r="P349" s="90"/>
      <c r="Q349" s="90"/>
      <c r="R349" s="90"/>
      <c r="S349" s="90"/>
      <c r="T349" s="90"/>
      <c r="U349" s="90"/>
      <c r="V349" s="90"/>
      <c r="W349" s="90"/>
      <c r="X349" s="90"/>
      <c r="Y349" s="90"/>
      <c r="Z349" s="90"/>
      <c r="AA349" s="90"/>
    </row>
    <row r="350">
      <c r="A350" s="90"/>
      <c r="B350" s="90"/>
      <c r="C350" s="90"/>
      <c r="D350" s="90"/>
      <c r="E350" s="90"/>
      <c r="F350" s="90"/>
      <c r="G350" s="90"/>
      <c r="H350" s="90"/>
      <c r="I350" s="90"/>
      <c r="J350" s="90"/>
      <c r="K350" s="90"/>
      <c r="L350" s="90"/>
      <c r="M350" s="90"/>
      <c r="N350" s="90"/>
      <c r="O350" s="90"/>
      <c r="P350" s="90"/>
      <c r="Q350" s="90"/>
      <c r="R350" s="90"/>
      <c r="S350" s="90"/>
      <c r="T350" s="90"/>
      <c r="U350" s="90"/>
      <c r="V350" s="90"/>
      <c r="W350" s="90"/>
      <c r="X350" s="90"/>
      <c r="Y350" s="90"/>
      <c r="Z350" s="90"/>
      <c r="AA350" s="90"/>
    </row>
    <row r="351">
      <c r="A351" s="90"/>
      <c r="B351" s="90"/>
      <c r="C351" s="90"/>
      <c r="D351" s="90"/>
      <c r="E351" s="90"/>
      <c r="F351" s="90"/>
      <c r="G351" s="90"/>
      <c r="H351" s="90"/>
      <c r="I351" s="90"/>
      <c r="J351" s="90"/>
      <c r="K351" s="90"/>
      <c r="L351" s="90"/>
      <c r="M351" s="90"/>
      <c r="N351" s="90"/>
      <c r="O351" s="90"/>
      <c r="P351" s="90"/>
      <c r="Q351" s="90"/>
      <c r="R351" s="90"/>
      <c r="S351" s="90"/>
      <c r="T351" s="90"/>
      <c r="U351" s="90"/>
      <c r="V351" s="90"/>
      <c r="W351" s="90"/>
      <c r="X351" s="90"/>
      <c r="Y351" s="90"/>
      <c r="Z351" s="90"/>
      <c r="AA351" s="90"/>
    </row>
    <row r="352">
      <c r="A352" s="90"/>
      <c r="B352" s="90"/>
      <c r="C352" s="90"/>
      <c r="D352" s="90"/>
      <c r="E352" s="90"/>
      <c r="F352" s="90"/>
      <c r="G352" s="90"/>
      <c r="H352" s="90"/>
      <c r="I352" s="90"/>
      <c r="J352" s="90"/>
      <c r="K352" s="90"/>
      <c r="L352" s="90"/>
      <c r="M352" s="90"/>
      <c r="N352" s="90"/>
      <c r="O352" s="90"/>
      <c r="P352" s="90"/>
      <c r="Q352" s="90"/>
      <c r="R352" s="90"/>
      <c r="S352" s="90"/>
      <c r="T352" s="90"/>
      <c r="U352" s="90"/>
      <c r="V352" s="90"/>
      <c r="W352" s="90"/>
      <c r="X352" s="90"/>
      <c r="Y352" s="90"/>
      <c r="Z352" s="90"/>
      <c r="AA352" s="90"/>
    </row>
    <row r="353">
      <c r="A353" s="90"/>
      <c r="B353" s="90"/>
      <c r="C353" s="90"/>
      <c r="D353" s="90"/>
      <c r="E353" s="90"/>
      <c r="F353" s="90"/>
      <c r="G353" s="90"/>
      <c r="H353" s="90"/>
      <c r="I353" s="90"/>
      <c r="J353" s="90"/>
      <c r="K353" s="90"/>
      <c r="L353" s="90"/>
      <c r="M353" s="90"/>
      <c r="N353" s="90"/>
      <c r="O353" s="90"/>
      <c r="P353" s="90"/>
      <c r="Q353" s="90"/>
      <c r="R353" s="90"/>
      <c r="S353" s="90"/>
      <c r="T353" s="90"/>
      <c r="U353" s="90"/>
      <c r="V353" s="90"/>
      <c r="W353" s="90"/>
      <c r="X353" s="90"/>
      <c r="Y353" s="90"/>
      <c r="Z353" s="90"/>
      <c r="AA353" s="90"/>
    </row>
    <row r="354">
      <c r="A354" s="90"/>
      <c r="B354" s="90"/>
      <c r="C354" s="90"/>
      <c r="D354" s="90"/>
      <c r="E354" s="90"/>
      <c r="F354" s="90"/>
      <c r="G354" s="90"/>
      <c r="H354" s="90"/>
      <c r="I354" s="90"/>
      <c r="J354" s="90"/>
      <c r="K354" s="90"/>
      <c r="L354" s="90"/>
      <c r="M354" s="90"/>
      <c r="N354" s="90"/>
      <c r="O354" s="90"/>
      <c r="P354" s="90"/>
      <c r="Q354" s="90"/>
      <c r="R354" s="90"/>
      <c r="S354" s="90"/>
      <c r="T354" s="90"/>
      <c r="U354" s="90"/>
      <c r="V354" s="90"/>
      <c r="W354" s="90"/>
      <c r="X354" s="90"/>
      <c r="Y354" s="90"/>
      <c r="Z354" s="90"/>
      <c r="AA354" s="90"/>
    </row>
    <row r="355">
      <c r="A355" s="90"/>
      <c r="B355" s="90"/>
      <c r="C355" s="90"/>
      <c r="D355" s="90"/>
      <c r="E355" s="90"/>
      <c r="F355" s="90"/>
      <c r="G355" s="90"/>
      <c r="H355" s="90"/>
      <c r="I355" s="90"/>
      <c r="J355" s="90"/>
      <c r="K355" s="90"/>
      <c r="L355" s="90"/>
      <c r="M355" s="90"/>
      <c r="N355" s="90"/>
      <c r="O355" s="90"/>
      <c r="P355" s="90"/>
      <c r="Q355" s="90"/>
      <c r="R355" s="90"/>
      <c r="S355" s="90"/>
      <c r="T355" s="90"/>
      <c r="U355" s="90"/>
      <c r="V355" s="90"/>
      <c r="W355" s="90"/>
      <c r="X355" s="90"/>
      <c r="Y355" s="90"/>
      <c r="Z355" s="90"/>
      <c r="AA355" s="90"/>
    </row>
    <row r="356">
      <c r="A356" s="90"/>
      <c r="B356" s="90"/>
      <c r="C356" s="90"/>
      <c r="D356" s="90"/>
      <c r="E356" s="90"/>
      <c r="F356" s="90"/>
      <c r="G356" s="90"/>
      <c r="H356" s="90"/>
      <c r="I356" s="90"/>
      <c r="J356" s="90"/>
      <c r="K356" s="90"/>
      <c r="L356" s="90"/>
      <c r="M356" s="90"/>
      <c r="N356" s="90"/>
      <c r="O356" s="90"/>
      <c r="P356" s="90"/>
      <c r="Q356" s="90"/>
      <c r="R356" s="90"/>
      <c r="S356" s="90"/>
      <c r="T356" s="90"/>
      <c r="U356" s="90"/>
      <c r="V356" s="90"/>
      <c r="W356" s="90"/>
      <c r="X356" s="90"/>
      <c r="Y356" s="90"/>
      <c r="Z356" s="90"/>
      <c r="AA356" s="90"/>
    </row>
    <row r="357">
      <c r="A357" s="90"/>
      <c r="B357" s="90"/>
      <c r="C357" s="90"/>
      <c r="D357" s="90"/>
      <c r="E357" s="90"/>
      <c r="F357" s="90"/>
      <c r="G357" s="90"/>
      <c r="H357" s="90"/>
      <c r="I357" s="90"/>
      <c r="J357" s="90"/>
      <c r="K357" s="90"/>
      <c r="L357" s="90"/>
      <c r="M357" s="90"/>
      <c r="N357" s="90"/>
      <c r="O357" s="90"/>
      <c r="P357" s="90"/>
      <c r="Q357" s="90"/>
      <c r="R357" s="90"/>
      <c r="S357" s="90"/>
      <c r="T357" s="90"/>
      <c r="U357" s="90"/>
      <c r="V357" s="90"/>
      <c r="W357" s="90"/>
      <c r="X357" s="90"/>
      <c r="Y357" s="90"/>
      <c r="Z357" s="90"/>
      <c r="AA357" s="90"/>
    </row>
    <row r="358">
      <c r="A358" s="90"/>
      <c r="B358" s="90"/>
      <c r="C358" s="90"/>
      <c r="D358" s="90"/>
      <c r="E358" s="90"/>
      <c r="F358" s="90"/>
      <c r="G358" s="90"/>
      <c r="H358" s="90"/>
      <c r="I358" s="90"/>
      <c r="J358" s="90"/>
      <c r="K358" s="90"/>
      <c r="L358" s="90"/>
      <c r="M358" s="90"/>
      <c r="N358" s="90"/>
      <c r="O358" s="90"/>
      <c r="P358" s="90"/>
      <c r="Q358" s="90"/>
      <c r="R358" s="90"/>
      <c r="S358" s="90"/>
      <c r="T358" s="90"/>
      <c r="U358" s="90"/>
      <c r="V358" s="90"/>
      <c r="W358" s="90"/>
      <c r="X358" s="90"/>
      <c r="Y358" s="90"/>
      <c r="Z358" s="90"/>
      <c r="AA358" s="90"/>
    </row>
    <row r="359">
      <c r="A359" s="90"/>
      <c r="B359" s="90"/>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c r="AA359" s="90"/>
    </row>
    <row r="360">
      <c r="A360" s="90"/>
      <c r="B360" s="90"/>
      <c r="C360" s="90"/>
      <c r="D360" s="90"/>
      <c r="E360" s="90"/>
      <c r="F360" s="90"/>
      <c r="G360" s="90"/>
      <c r="H360" s="90"/>
      <c r="I360" s="90"/>
      <c r="J360" s="90"/>
      <c r="K360" s="90"/>
      <c r="L360" s="90"/>
      <c r="M360" s="90"/>
      <c r="N360" s="90"/>
      <c r="O360" s="90"/>
      <c r="P360" s="90"/>
      <c r="Q360" s="90"/>
      <c r="R360" s="90"/>
      <c r="S360" s="90"/>
      <c r="T360" s="90"/>
      <c r="U360" s="90"/>
      <c r="V360" s="90"/>
      <c r="W360" s="90"/>
      <c r="X360" s="90"/>
      <c r="Y360" s="90"/>
      <c r="Z360" s="90"/>
      <c r="AA360" s="90"/>
    </row>
    <row r="361">
      <c r="A361" s="90"/>
      <c r="B361" s="90"/>
      <c r="C361" s="90"/>
      <c r="D361" s="90"/>
      <c r="E361" s="90"/>
      <c r="F361" s="90"/>
      <c r="G361" s="90"/>
      <c r="H361" s="90"/>
      <c r="I361" s="90"/>
      <c r="J361" s="90"/>
      <c r="K361" s="90"/>
      <c r="L361" s="90"/>
      <c r="M361" s="90"/>
      <c r="N361" s="90"/>
      <c r="O361" s="90"/>
      <c r="P361" s="90"/>
      <c r="Q361" s="90"/>
      <c r="R361" s="90"/>
      <c r="S361" s="90"/>
      <c r="T361" s="90"/>
      <c r="U361" s="90"/>
      <c r="V361" s="90"/>
      <c r="W361" s="90"/>
      <c r="X361" s="90"/>
      <c r="Y361" s="90"/>
      <c r="Z361" s="90"/>
      <c r="AA361" s="90"/>
    </row>
    <row r="362">
      <c r="A362" s="90"/>
      <c r="B362" s="90"/>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c r="AA362" s="90"/>
    </row>
    <row r="363">
      <c r="A363" s="90"/>
      <c r="B363" s="90"/>
      <c r="C363" s="90"/>
      <c r="D363" s="90"/>
      <c r="E363" s="90"/>
      <c r="F363" s="90"/>
      <c r="G363" s="90"/>
      <c r="H363" s="90"/>
      <c r="I363" s="90"/>
      <c r="J363" s="90"/>
      <c r="K363" s="90"/>
      <c r="L363" s="90"/>
      <c r="M363" s="90"/>
      <c r="N363" s="90"/>
      <c r="O363" s="90"/>
      <c r="P363" s="90"/>
      <c r="Q363" s="90"/>
      <c r="R363" s="90"/>
      <c r="S363" s="90"/>
      <c r="T363" s="90"/>
      <c r="U363" s="90"/>
      <c r="V363" s="90"/>
      <c r="W363" s="90"/>
      <c r="X363" s="90"/>
      <c r="Y363" s="90"/>
      <c r="Z363" s="90"/>
      <c r="AA363" s="90"/>
    </row>
    <row r="364">
      <c r="A364" s="90"/>
      <c r="B364" s="90"/>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c r="AA364" s="90"/>
    </row>
    <row r="365">
      <c r="A365" s="90"/>
      <c r="B365" s="90"/>
      <c r="C365" s="90"/>
      <c r="D365" s="90"/>
      <c r="E365" s="90"/>
      <c r="F365" s="90"/>
      <c r="G365" s="90"/>
      <c r="H365" s="90"/>
      <c r="I365" s="90"/>
      <c r="J365" s="90"/>
      <c r="K365" s="90"/>
      <c r="L365" s="90"/>
      <c r="M365" s="90"/>
      <c r="N365" s="90"/>
      <c r="O365" s="90"/>
      <c r="P365" s="90"/>
      <c r="Q365" s="90"/>
      <c r="R365" s="90"/>
      <c r="S365" s="90"/>
      <c r="T365" s="90"/>
      <c r="U365" s="90"/>
      <c r="V365" s="90"/>
      <c r="W365" s="90"/>
      <c r="X365" s="90"/>
      <c r="Y365" s="90"/>
      <c r="Z365" s="90"/>
      <c r="AA365" s="90"/>
    </row>
    <row r="366">
      <c r="A366" s="90"/>
      <c r="B366" s="90"/>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c r="AA366" s="90"/>
    </row>
    <row r="367">
      <c r="A367" s="90"/>
      <c r="B367" s="90"/>
      <c r="C367" s="90"/>
      <c r="D367" s="90"/>
      <c r="E367" s="90"/>
      <c r="F367" s="90"/>
      <c r="G367" s="90"/>
      <c r="H367" s="90"/>
      <c r="I367" s="90"/>
      <c r="J367" s="90"/>
      <c r="K367" s="90"/>
      <c r="L367" s="90"/>
      <c r="M367" s="90"/>
      <c r="N367" s="90"/>
      <c r="O367" s="90"/>
      <c r="P367" s="90"/>
      <c r="Q367" s="90"/>
      <c r="R367" s="90"/>
      <c r="S367" s="90"/>
      <c r="T367" s="90"/>
      <c r="U367" s="90"/>
      <c r="V367" s="90"/>
      <c r="W367" s="90"/>
      <c r="X367" s="90"/>
      <c r="Y367" s="90"/>
      <c r="Z367" s="90"/>
      <c r="AA367" s="90"/>
    </row>
    <row r="368">
      <c r="A368" s="90"/>
      <c r="B368" s="90"/>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c r="AA368" s="90"/>
    </row>
    <row r="369">
      <c r="A369" s="90"/>
      <c r="B369" s="90"/>
      <c r="C369" s="90"/>
      <c r="D369" s="90"/>
      <c r="E369" s="90"/>
      <c r="F369" s="90"/>
      <c r="G369" s="90"/>
      <c r="H369" s="90"/>
      <c r="I369" s="90"/>
      <c r="J369" s="90"/>
      <c r="K369" s="90"/>
      <c r="L369" s="90"/>
      <c r="M369" s="90"/>
      <c r="N369" s="90"/>
      <c r="O369" s="90"/>
      <c r="P369" s="90"/>
      <c r="Q369" s="90"/>
      <c r="R369" s="90"/>
      <c r="S369" s="90"/>
      <c r="T369" s="90"/>
      <c r="U369" s="90"/>
      <c r="V369" s="90"/>
      <c r="W369" s="90"/>
      <c r="X369" s="90"/>
      <c r="Y369" s="90"/>
      <c r="Z369" s="90"/>
      <c r="AA369" s="90"/>
    </row>
    <row r="370">
      <c r="A370" s="90"/>
      <c r="B370" s="90"/>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c r="AA370" s="90"/>
    </row>
    <row r="371">
      <c r="A371" s="90"/>
      <c r="B371" s="90"/>
      <c r="C371" s="90"/>
      <c r="D371" s="90"/>
      <c r="E371" s="90"/>
      <c r="F371" s="90"/>
      <c r="G371" s="90"/>
      <c r="H371" s="90"/>
      <c r="I371" s="90"/>
      <c r="J371" s="90"/>
      <c r="K371" s="90"/>
      <c r="L371" s="90"/>
      <c r="M371" s="90"/>
      <c r="N371" s="90"/>
      <c r="O371" s="90"/>
      <c r="P371" s="90"/>
      <c r="Q371" s="90"/>
      <c r="R371" s="90"/>
      <c r="S371" s="90"/>
      <c r="T371" s="90"/>
      <c r="U371" s="90"/>
      <c r="V371" s="90"/>
      <c r="W371" s="90"/>
      <c r="X371" s="90"/>
      <c r="Y371" s="90"/>
      <c r="Z371" s="90"/>
      <c r="AA371" s="90"/>
    </row>
    <row r="372">
      <c r="A372" s="90"/>
      <c r="B372" s="90"/>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c r="AA372" s="90"/>
    </row>
    <row r="373">
      <c r="A373" s="90"/>
      <c r="B373" s="90"/>
      <c r="C373" s="90"/>
      <c r="D373" s="90"/>
      <c r="E373" s="90"/>
      <c r="F373" s="90"/>
      <c r="G373" s="90"/>
      <c r="H373" s="90"/>
      <c r="I373" s="90"/>
      <c r="J373" s="90"/>
      <c r="K373" s="90"/>
      <c r="L373" s="90"/>
      <c r="M373" s="90"/>
      <c r="N373" s="90"/>
      <c r="O373" s="90"/>
      <c r="P373" s="90"/>
      <c r="Q373" s="90"/>
      <c r="R373" s="90"/>
      <c r="S373" s="90"/>
      <c r="T373" s="90"/>
      <c r="U373" s="90"/>
      <c r="V373" s="90"/>
      <c r="W373" s="90"/>
      <c r="X373" s="90"/>
      <c r="Y373" s="90"/>
      <c r="Z373" s="90"/>
      <c r="AA373" s="90"/>
    </row>
    <row r="374">
      <c r="A374" s="90"/>
      <c r="B374" s="90"/>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c r="AA374" s="90"/>
    </row>
    <row r="375">
      <c r="A375" s="90"/>
      <c r="B375" s="90"/>
      <c r="C375" s="90"/>
      <c r="D375" s="90"/>
      <c r="E375" s="90"/>
      <c r="F375" s="90"/>
      <c r="G375" s="90"/>
      <c r="H375" s="90"/>
      <c r="I375" s="90"/>
      <c r="J375" s="90"/>
      <c r="K375" s="90"/>
      <c r="L375" s="90"/>
      <c r="M375" s="90"/>
      <c r="N375" s="90"/>
      <c r="O375" s="90"/>
      <c r="P375" s="90"/>
      <c r="Q375" s="90"/>
      <c r="R375" s="90"/>
      <c r="S375" s="90"/>
      <c r="T375" s="90"/>
      <c r="U375" s="90"/>
      <c r="V375" s="90"/>
      <c r="W375" s="90"/>
      <c r="X375" s="90"/>
      <c r="Y375" s="90"/>
      <c r="Z375" s="90"/>
      <c r="AA375" s="90"/>
    </row>
    <row r="376">
      <c r="A376" s="90"/>
      <c r="B376" s="90"/>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c r="AA376" s="90"/>
    </row>
    <row r="377">
      <c r="A377" s="90"/>
      <c r="B377" s="90"/>
      <c r="C377" s="90"/>
      <c r="D377" s="90"/>
      <c r="E377" s="90"/>
      <c r="F377" s="90"/>
      <c r="G377" s="90"/>
      <c r="H377" s="90"/>
      <c r="I377" s="90"/>
      <c r="J377" s="90"/>
      <c r="K377" s="90"/>
      <c r="L377" s="90"/>
      <c r="M377" s="90"/>
      <c r="N377" s="90"/>
      <c r="O377" s="90"/>
      <c r="P377" s="90"/>
      <c r="Q377" s="90"/>
      <c r="R377" s="90"/>
      <c r="S377" s="90"/>
      <c r="T377" s="90"/>
      <c r="U377" s="90"/>
      <c r="V377" s="90"/>
      <c r="W377" s="90"/>
      <c r="X377" s="90"/>
      <c r="Y377" s="90"/>
      <c r="Z377" s="90"/>
      <c r="AA377" s="90"/>
    </row>
    <row r="378">
      <c r="A378" s="90"/>
      <c r="B378" s="90"/>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c r="AA378" s="90"/>
    </row>
    <row r="379">
      <c r="A379" s="90"/>
      <c r="B379" s="90"/>
      <c r="C379" s="90"/>
      <c r="D379" s="90"/>
      <c r="E379" s="90"/>
      <c r="F379" s="90"/>
      <c r="G379" s="90"/>
      <c r="H379" s="90"/>
      <c r="I379" s="90"/>
      <c r="J379" s="90"/>
      <c r="K379" s="90"/>
      <c r="L379" s="90"/>
      <c r="M379" s="90"/>
      <c r="N379" s="90"/>
      <c r="O379" s="90"/>
      <c r="P379" s="90"/>
      <c r="Q379" s="90"/>
      <c r="R379" s="90"/>
      <c r="S379" s="90"/>
      <c r="T379" s="90"/>
      <c r="U379" s="90"/>
      <c r="V379" s="90"/>
      <c r="W379" s="90"/>
      <c r="X379" s="90"/>
      <c r="Y379" s="90"/>
      <c r="Z379" s="90"/>
      <c r="AA379" s="90"/>
    </row>
    <row r="380">
      <c r="A380" s="90"/>
      <c r="B380" s="90"/>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c r="AA380" s="90"/>
    </row>
    <row r="381">
      <c r="A381" s="90"/>
      <c r="B381" s="90"/>
      <c r="C381" s="90"/>
      <c r="D381" s="90"/>
      <c r="E381" s="90"/>
      <c r="F381" s="90"/>
      <c r="G381" s="90"/>
      <c r="H381" s="90"/>
      <c r="I381" s="90"/>
      <c r="J381" s="90"/>
      <c r="K381" s="90"/>
      <c r="L381" s="90"/>
      <c r="M381" s="90"/>
      <c r="N381" s="90"/>
      <c r="O381" s="90"/>
      <c r="P381" s="90"/>
      <c r="Q381" s="90"/>
      <c r="R381" s="90"/>
      <c r="S381" s="90"/>
      <c r="T381" s="90"/>
      <c r="U381" s="90"/>
      <c r="V381" s="90"/>
      <c r="W381" s="90"/>
      <c r="X381" s="90"/>
      <c r="Y381" s="90"/>
      <c r="Z381" s="90"/>
      <c r="AA381" s="90"/>
    </row>
    <row r="382">
      <c r="A382" s="90"/>
      <c r="B382" s="90"/>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c r="AA382" s="90"/>
    </row>
    <row r="383">
      <c r="A383" s="90"/>
      <c r="B383" s="90"/>
      <c r="C383" s="90"/>
      <c r="D383" s="90"/>
      <c r="E383" s="90"/>
      <c r="F383" s="90"/>
      <c r="G383" s="90"/>
      <c r="H383" s="90"/>
      <c r="I383" s="90"/>
      <c r="J383" s="90"/>
      <c r="K383" s="90"/>
      <c r="L383" s="90"/>
      <c r="M383" s="90"/>
      <c r="N383" s="90"/>
      <c r="O383" s="90"/>
      <c r="P383" s="90"/>
      <c r="Q383" s="90"/>
      <c r="R383" s="90"/>
      <c r="S383" s="90"/>
      <c r="T383" s="90"/>
      <c r="U383" s="90"/>
      <c r="V383" s="90"/>
      <c r="W383" s="90"/>
      <c r="X383" s="90"/>
      <c r="Y383" s="90"/>
      <c r="Z383" s="90"/>
      <c r="AA383" s="90"/>
    </row>
    <row r="384">
      <c r="A384" s="90"/>
      <c r="B384" s="90"/>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c r="AA384" s="90"/>
    </row>
    <row r="385">
      <c r="A385" s="90"/>
      <c r="B385" s="90"/>
      <c r="C385" s="90"/>
      <c r="D385" s="90"/>
      <c r="E385" s="90"/>
      <c r="F385" s="90"/>
      <c r="G385" s="90"/>
      <c r="H385" s="90"/>
      <c r="I385" s="90"/>
      <c r="J385" s="90"/>
      <c r="K385" s="90"/>
      <c r="L385" s="90"/>
      <c r="M385" s="90"/>
      <c r="N385" s="90"/>
      <c r="O385" s="90"/>
      <c r="P385" s="90"/>
      <c r="Q385" s="90"/>
      <c r="R385" s="90"/>
      <c r="S385" s="90"/>
      <c r="T385" s="90"/>
      <c r="U385" s="90"/>
      <c r="V385" s="90"/>
      <c r="W385" s="90"/>
      <c r="X385" s="90"/>
      <c r="Y385" s="90"/>
      <c r="Z385" s="90"/>
      <c r="AA385" s="90"/>
    </row>
    <row r="386">
      <c r="A386" s="90"/>
      <c r="B386" s="90"/>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c r="AA386" s="90"/>
    </row>
    <row r="387">
      <c r="A387" s="90"/>
      <c r="B387" s="90"/>
      <c r="C387" s="90"/>
      <c r="D387" s="90"/>
      <c r="E387" s="90"/>
      <c r="F387" s="90"/>
      <c r="G387" s="90"/>
      <c r="H387" s="90"/>
      <c r="I387" s="90"/>
      <c r="J387" s="90"/>
      <c r="K387" s="90"/>
      <c r="L387" s="90"/>
      <c r="M387" s="90"/>
      <c r="N387" s="90"/>
      <c r="O387" s="90"/>
      <c r="P387" s="90"/>
      <c r="Q387" s="90"/>
      <c r="R387" s="90"/>
      <c r="S387" s="90"/>
      <c r="T387" s="90"/>
      <c r="U387" s="90"/>
      <c r="V387" s="90"/>
      <c r="W387" s="90"/>
      <c r="X387" s="90"/>
      <c r="Y387" s="90"/>
      <c r="Z387" s="90"/>
      <c r="AA387" s="90"/>
    </row>
    <row r="388">
      <c r="A388" s="90"/>
      <c r="B388" s="90"/>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c r="AA388" s="90"/>
    </row>
    <row r="389">
      <c r="A389" s="90"/>
      <c r="B389" s="90"/>
      <c r="C389" s="90"/>
      <c r="D389" s="90"/>
      <c r="E389" s="90"/>
      <c r="F389" s="90"/>
      <c r="G389" s="90"/>
      <c r="H389" s="90"/>
      <c r="I389" s="90"/>
      <c r="J389" s="90"/>
      <c r="K389" s="90"/>
      <c r="L389" s="90"/>
      <c r="M389" s="90"/>
      <c r="N389" s="90"/>
      <c r="O389" s="90"/>
      <c r="P389" s="90"/>
      <c r="Q389" s="90"/>
      <c r="R389" s="90"/>
      <c r="S389" s="90"/>
      <c r="T389" s="90"/>
      <c r="U389" s="90"/>
      <c r="V389" s="90"/>
      <c r="W389" s="90"/>
      <c r="X389" s="90"/>
      <c r="Y389" s="90"/>
      <c r="Z389" s="90"/>
      <c r="AA389" s="90"/>
    </row>
    <row r="390">
      <c r="A390" s="90"/>
      <c r="B390" s="90"/>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c r="AA390" s="90"/>
    </row>
    <row r="391">
      <c r="A391" s="90"/>
      <c r="B391" s="90"/>
      <c r="C391" s="90"/>
      <c r="D391" s="90"/>
      <c r="E391" s="90"/>
      <c r="F391" s="90"/>
      <c r="G391" s="90"/>
      <c r="H391" s="90"/>
      <c r="I391" s="90"/>
      <c r="J391" s="90"/>
      <c r="K391" s="90"/>
      <c r="L391" s="90"/>
      <c r="M391" s="90"/>
      <c r="N391" s="90"/>
      <c r="O391" s="90"/>
      <c r="P391" s="90"/>
      <c r="Q391" s="90"/>
      <c r="R391" s="90"/>
      <c r="S391" s="90"/>
      <c r="T391" s="90"/>
      <c r="U391" s="90"/>
      <c r="V391" s="90"/>
      <c r="W391" s="90"/>
      <c r="X391" s="90"/>
      <c r="Y391" s="90"/>
      <c r="Z391" s="90"/>
      <c r="AA391" s="90"/>
    </row>
    <row r="392">
      <c r="A392" s="90"/>
      <c r="B392" s="90"/>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c r="AA392" s="90"/>
    </row>
    <row r="393">
      <c r="A393" s="90"/>
      <c r="B393" s="90"/>
      <c r="C393" s="90"/>
      <c r="D393" s="90"/>
      <c r="E393" s="90"/>
      <c r="F393" s="90"/>
      <c r="G393" s="90"/>
      <c r="H393" s="90"/>
      <c r="I393" s="90"/>
      <c r="J393" s="90"/>
      <c r="K393" s="90"/>
      <c r="L393" s="90"/>
      <c r="M393" s="90"/>
      <c r="N393" s="90"/>
      <c r="O393" s="90"/>
      <c r="P393" s="90"/>
      <c r="Q393" s="90"/>
      <c r="R393" s="90"/>
      <c r="S393" s="90"/>
      <c r="T393" s="90"/>
      <c r="U393" s="90"/>
      <c r="V393" s="90"/>
      <c r="W393" s="90"/>
      <c r="X393" s="90"/>
      <c r="Y393" s="90"/>
      <c r="Z393" s="90"/>
      <c r="AA393" s="90"/>
    </row>
    <row r="394">
      <c r="A394" s="90"/>
      <c r="B394" s="90"/>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c r="AA394" s="90"/>
    </row>
    <row r="395">
      <c r="A395" s="90"/>
      <c r="B395" s="90"/>
      <c r="C395" s="90"/>
      <c r="D395" s="90"/>
      <c r="E395" s="90"/>
      <c r="F395" s="90"/>
      <c r="G395" s="90"/>
      <c r="H395" s="90"/>
      <c r="I395" s="90"/>
      <c r="J395" s="90"/>
      <c r="K395" s="90"/>
      <c r="L395" s="90"/>
      <c r="M395" s="90"/>
      <c r="N395" s="90"/>
      <c r="O395" s="90"/>
      <c r="P395" s="90"/>
      <c r="Q395" s="90"/>
      <c r="R395" s="90"/>
      <c r="S395" s="90"/>
      <c r="T395" s="90"/>
      <c r="U395" s="90"/>
      <c r="V395" s="90"/>
      <c r="W395" s="90"/>
      <c r="X395" s="90"/>
      <c r="Y395" s="90"/>
      <c r="Z395" s="90"/>
      <c r="AA395" s="90"/>
    </row>
    <row r="396">
      <c r="A396" s="90"/>
      <c r="B396" s="90"/>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c r="AA396" s="90"/>
    </row>
    <row r="397">
      <c r="A397" s="90"/>
      <c r="B397" s="90"/>
      <c r="C397" s="90"/>
      <c r="D397" s="90"/>
      <c r="E397" s="90"/>
      <c r="F397" s="90"/>
      <c r="G397" s="90"/>
      <c r="H397" s="90"/>
      <c r="I397" s="90"/>
      <c r="J397" s="90"/>
      <c r="K397" s="90"/>
      <c r="L397" s="90"/>
      <c r="M397" s="90"/>
      <c r="N397" s="90"/>
      <c r="O397" s="90"/>
      <c r="P397" s="90"/>
      <c r="Q397" s="90"/>
      <c r="R397" s="90"/>
      <c r="S397" s="90"/>
      <c r="T397" s="90"/>
      <c r="U397" s="90"/>
      <c r="V397" s="90"/>
      <c r="W397" s="90"/>
      <c r="X397" s="90"/>
      <c r="Y397" s="90"/>
      <c r="Z397" s="90"/>
      <c r="AA397" s="90"/>
    </row>
    <row r="398">
      <c r="A398" s="90"/>
      <c r="B398" s="90"/>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c r="AA398" s="90"/>
    </row>
    <row r="399">
      <c r="A399" s="90"/>
      <c r="B399" s="90"/>
      <c r="C399" s="90"/>
      <c r="D399" s="90"/>
      <c r="E399" s="90"/>
      <c r="F399" s="90"/>
      <c r="G399" s="90"/>
      <c r="H399" s="90"/>
      <c r="I399" s="90"/>
      <c r="J399" s="90"/>
      <c r="K399" s="90"/>
      <c r="L399" s="90"/>
      <c r="M399" s="90"/>
      <c r="N399" s="90"/>
      <c r="O399" s="90"/>
      <c r="P399" s="90"/>
      <c r="Q399" s="90"/>
      <c r="R399" s="90"/>
      <c r="S399" s="90"/>
      <c r="T399" s="90"/>
      <c r="U399" s="90"/>
      <c r="V399" s="90"/>
      <c r="W399" s="90"/>
      <c r="X399" s="90"/>
      <c r="Y399" s="90"/>
      <c r="Z399" s="90"/>
      <c r="AA399" s="90"/>
    </row>
    <row r="400">
      <c r="A400" s="90"/>
      <c r="B400" s="90"/>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c r="AA400" s="90"/>
    </row>
    <row r="401">
      <c r="A401" s="90"/>
      <c r="B401" s="90"/>
      <c r="C401" s="90"/>
      <c r="D401" s="90"/>
      <c r="E401" s="90"/>
      <c r="F401" s="90"/>
      <c r="G401" s="90"/>
      <c r="H401" s="90"/>
      <c r="I401" s="90"/>
      <c r="J401" s="90"/>
      <c r="K401" s="90"/>
      <c r="L401" s="90"/>
      <c r="M401" s="90"/>
      <c r="N401" s="90"/>
      <c r="O401" s="90"/>
      <c r="P401" s="90"/>
      <c r="Q401" s="90"/>
      <c r="R401" s="90"/>
      <c r="S401" s="90"/>
      <c r="T401" s="90"/>
      <c r="U401" s="90"/>
      <c r="V401" s="90"/>
      <c r="W401" s="90"/>
      <c r="X401" s="90"/>
      <c r="Y401" s="90"/>
      <c r="Z401" s="90"/>
      <c r="AA401" s="90"/>
    </row>
    <row r="402">
      <c r="A402" s="90"/>
      <c r="B402" s="90"/>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c r="AA402" s="90"/>
    </row>
    <row r="403">
      <c r="A403" s="90"/>
      <c r="B403" s="90"/>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c r="AA403" s="90"/>
    </row>
    <row r="404">
      <c r="A404" s="90"/>
      <c r="B404" s="90"/>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c r="AA404" s="90"/>
    </row>
    <row r="405">
      <c r="A405" s="90"/>
      <c r="B405" s="90"/>
      <c r="C405" s="90"/>
      <c r="D405" s="90"/>
      <c r="E405" s="90"/>
      <c r="F405" s="90"/>
      <c r="G405" s="90"/>
      <c r="H405" s="90"/>
      <c r="I405" s="90"/>
      <c r="J405" s="90"/>
      <c r="K405" s="90"/>
      <c r="L405" s="90"/>
      <c r="M405" s="90"/>
      <c r="N405" s="90"/>
      <c r="O405" s="90"/>
      <c r="P405" s="90"/>
      <c r="Q405" s="90"/>
      <c r="R405" s="90"/>
      <c r="S405" s="90"/>
      <c r="T405" s="90"/>
      <c r="U405" s="90"/>
      <c r="V405" s="90"/>
      <c r="W405" s="90"/>
      <c r="X405" s="90"/>
      <c r="Y405" s="90"/>
      <c r="Z405" s="90"/>
      <c r="AA405" s="90"/>
    </row>
    <row r="406">
      <c r="A406" s="90"/>
      <c r="B406" s="90"/>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c r="AA406" s="90"/>
    </row>
    <row r="407">
      <c r="A407" s="90"/>
      <c r="B407" s="90"/>
      <c r="C407" s="90"/>
      <c r="D407" s="90"/>
      <c r="E407" s="90"/>
      <c r="F407" s="90"/>
      <c r="G407" s="90"/>
      <c r="H407" s="90"/>
      <c r="I407" s="90"/>
      <c r="J407" s="90"/>
      <c r="K407" s="90"/>
      <c r="L407" s="90"/>
      <c r="M407" s="90"/>
      <c r="N407" s="90"/>
      <c r="O407" s="90"/>
      <c r="P407" s="90"/>
      <c r="Q407" s="90"/>
      <c r="R407" s="90"/>
      <c r="S407" s="90"/>
      <c r="T407" s="90"/>
      <c r="U407" s="90"/>
      <c r="V407" s="90"/>
      <c r="W407" s="90"/>
      <c r="X407" s="90"/>
      <c r="Y407" s="90"/>
      <c r="Z407" s="90"/>
      <c r="AA407" s="90"/>
    </row>
    <row r="408">
      <c r="A408" s="90"/>
      <c r="B408" s="90"/>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c r="AA408" s="90"/>
    </row>
    <row r="409">
      <c r="A409" s="90"/>
      <c r="B409" s="90"/>
      <c r="C409" s="90"/>
      <c r="D409" s="90"/>
      <c r="E409" s="90"/>
      <c r="F409" s="90"/>
      <c r="G409" s="90"/>
      <c r="H409" s="90"/>
      <c r="I409" s="90"/>
      <c r="J409" s="90"/>
      <c r="K409" s="90"/>
      <c r="L409" s="90"/>
      <c r="M409" s="90"/>
      <c r="N409" s="90"/>
      <c r="O409" s="90"/>
      <c r="P409" s="90"/>
      <c r="Q409" s="90"/>
      <c r="R409" s="90"/>
      <c r="S409" s="90"/>
      <c r="T409" s="90"/>
      <c r="U409" s="90"/>
      <c r="V409" s="90"/>
      <c r="W409" s="90"/>
      <c r="X409" s="90"/>
      <c r="Y409" s="90"/>
      <c r="Z409" s="90"/>
      <c r="AA409" s="90"/>
    </row>
    <row r="410">
      <c r="A410" s="90"/>
      <c r="B410" s="90"/>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c r="AA410" s="90"/>
    </row>
    <row r="411">
      <c r="A411" s="90"/>
      <c r="B411" s="90"/>
      <c r="C411" s="90"/>
      <c r="D411" s="90"/>
      <c r="E411" s="90"/>
      <c r="F411" s="90"/>
      <c r="G411" s="90"/>
      <c r="H411" s="90"/>
      <c r="I411" s="90"/>
      <c r="J411" s="90"/>
      <c r="K411" s="90"/>
      <c r="L411" s="90"/>
      <c r="M411" s="90"/>
      <c r="N411" s="90"/>
      <c r="O411" s="90"/>
      <c r="P411" s="90"/>
      <c r="Q411" s="90"/>
      <c r="R411" s="90"/>
      <c r="S411" s="90"/>
      <c r="T411" s="90"/>
      <c r="U411" s="90"/>
      <c r="V411" s="90"/>
      <c r="W411" s="90"/>
      <c r="X411" s="90"/>
      <c r="Y411" s="90"/>
      <c r="Z411" s="90"/>
      <c r="AA411" s="90"/>
    </row>
    <row r="412">
      <c r="A412" s="90"/>
      <c r="B412" s="90"/>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c r="AA412" s="90"/>
    </row>
    <row r="413">
      <c r="A413" s="90"/>
      <c r="B413" s="90"/>
      <c r="C413" s="90"/>
      <c r="D413" s="90"/>
      <c r="E413" s="90"/>
      <c r="F413" s="90"/>
      <c r="G413" s="90"/>
      <c r="H413" s="90"/>
      <c r="I413" s="90"/>
      <c r="J413" s="90"/>
      <c r="K413" s="90"/>
      <c r="L413" s="90"/>
      <c r="M413" s="90"/>
      <c r="N413" s="90"/>
      <c r="O413" s="90"/>
      <c r="P413" s="90"/>
      <c r="Q413" s="90"/>
      <c r="R413" s="90"/>
      <c r="S413" s="90"/>
      <c r="T413" s="90"/>
      <c r="U413" s="90"/>
      <c r="V413" s="90"/>
      <c r="W413" s="90"/>
      <c r="X413" s="90"/>
      <c r="Y413" s="90"/>
      <c r="Z413" s="90"/>
      <c r="AA413" s="90"/>
    </row>
    <row r="414">
      <c r="A414" s="90"/>
      <c r="B414" s="90"/>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c r="AA414" s="90"/>
    </row>
    <row r="415">
      <c r="A415" s="90"/>
      <c r="B415" s="90"/>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90"/>
      <c r="AA415" s="90"/>
    </row>
    <row r="416">
      <c r="A416" s="90"/>
      <c r="B416" s="90"/>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c r="AA416" s="90"/>
    </row>
    <row r="417">
      <c r="A417" s="90"/>
      <c r="B417" s="90"/>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c r="AA417" s="90"/>
    </row>
    <row r="418">
      <c r="A418" s="90"/>
      <c r="B418" s="90"/>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c r="AA418" s="90"/>
    </row>
    <row r="419">
      <c r="A419" s="90"/>
      <c r="B419" s="90"/>
      <c r="C419" s="90"/>
      <c r="D419" s="90"/>
      <c r="E419" s="90"/>
      <c r="F419" s="90"/>
      <c r="G419" s="90"/>
      <c r="H419" s="90"/>
      <c r="I419" s="90"/>
      <c r="J419" s="90"/>
      <c r="K419" s="90"/>
      <c r="L419" s="90"/>
      <c r="M419" s="90"/>
      <c r="N419" s="90"/>
      <c r="O419" s="90"/>
      <c r="P419" s="90"/>
      <c r="Q419" s="90"/>
      <c r="R419" s="90"/>
      <c r="S419" s="90"/>
      <c r="T419" s="90"/>
      <c r="U419" s="90"/>
      <c r="V419" s="90"/>
      <c r="W419" s="90"/>
      <c r="X419" s="90"/>
      <c r="Y419" s="90"/>
      <c r="Z419" s="90"/>
      <c r="AA419" s="90"/>
    </row>
    <row r="420">
      <c r="A420" s="90"/>
      <c r="B420" s="90"/>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c r="AA420" s="90"/>
    </row>
    <row r="421">
      <c r="A421" s="90"/>
      <c r="B421" s="90"/>
      <c r="C421" s="90"/>
      <c r="D421" s="90"/>
      <c r="E421" s="90"/>
      <c r="F421" s="90"/>
      <c r="G421" s="90"/>
      <c r="H421" s="90"/>
      <c r="I421" s="90"/>
      <c r="J421" s="90"/>
      <c r="K421" s="90"/>
      <c r="L421" s="90"/>
      <c r="M421" s="90"/>
      <c r="N421" s="90"/>
      <c r="O421" s="90"/>
      <c r="P421" s="90"/>
      <c r="Q421" s="90"/>
      <c r="R421" s="90"/>
      <c r="S421" s="90"/>
      <c r="T421" s="90"/>
      <c r="U421" s="90"/>
      <c r="V421" s="90"/>
      <c r="W421" s="90"/>
      <c r="X421" s="90"/>
      <c r="Y421" s="90"/>
      <c r="Z421" s="90"/>
      <c r="AA421" s="90"/>
    </row>
    <row r="422">
      <c r="A422" s="90"/>
      <c r="B422" s="90"/>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c r="AA422" s="90"/>
    </row>
    <row r="423">
      <c r="A423" s="90"/>
      <c r="B423" s="90"/>
      <c r="C423" s="90"/>
      <c r="D423" s="90"/>
      <c r="E423" s="90"/>
      <c r="F423" s="90"/>
      <c r="G423" s="90"/>
      <c r="H423" s="90"/>
      <c r="I423" s="90"/>
      <c r="J423" s="90"/>
      <c r="K423" s="90"/>
      <c r="L423" s="90"/>
      <c r="M423" s="90"/>
      <c r="N423" s="90"/>
      <c r="O423" s="90"/>
      <c r="P423" s="90"/>
      <c r="Q423" s="90"/>
      <c r="R423" s="90"/>
      <c r="S423" s="90"/>
      <c r="T423" s="90"/>
      <c r="U423" s="90"/>
      <c r="V423" s="90"/>
      <c r="W423" s="90"/>
      <c r="X423" s="90"/>
      <c r="Y423" s="90"/>
      <c r="Z423" s="90"/>
      <c r="AA423" s="90"/>
    </row>
    <row r="424">
      <c r="A424" s="90"/>
      <c r="B424" s="90"/>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c r="AA424" s="90"/>
    </row>
    <row r="425">
      <c r="A425" s="90"/>
      <c r="B425" s="90"/>
      <c r="C425" s="90"/>
      <c r="D425" s="90"/>
      <c r="E425" s="90"/>
      <c r="F425" s="90"/>
      <c r="G425" s="90"/>
      <c r="H425" s="90"/>
      <c r="I425" s="90"/>
      <c r="J425" s="90"/>
      <c r="K425" s="90"/>
      <c r="L425" s="90"/>
      <c r="M425" s="90"/>
      <c r="N425" s="90"/>
      <c r="O425" s="90"/>
      <c r="P425" s="90"/>
      <c r="Q425" s="90"/>
      <c r="R425" s="90"/>
      <c r="S425" s="90"/>
      <c r="T425" s="90"/>
      <c r="U425" s="90"/>
      <c r="V425" s="90"/>
      <c r="W425" s="90"/>
      <c r="X425" s="90"/>
      <c r="Y425" s="90"/>
      <c r="Z425" s="90"/>
      <c r="AA425" s="90"/>
    </row>
    <row r="426">
      <c r="A426" s="90"/>
      <c r="B426" s="90"/>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c r="AA426" s="90"/>
    </row>
    <row r="427">
      <c r="A427" s="90"/>
      <c r="B427" s="90"/>
      <c r="C427" s="90"/>
      <c r="D427" s="90"/>
      <c r="E427" s="90"/>
      <c r="F427" s="90"/>
      <c r="G427" s="90"/>
      <c r="H427" s="90"/>
      <c r="I427" s="90"/>
      <c r="J427" s="90"/>
      <c r="K427" s="90"/>
      <c r="L427" s="90"/>
      <c r="M427" s="90"/>
      <c r="N427" s="90"/>
      <c r="O427" s="90"/>
      <c r="P427" s="90"/>
      <c r="Q427" s="90"/>
      <c r="R427" s="90"/>
      <c r="S427" s="90"/>
      <c r="T427" s="90"/>
      <c r="U427" s="90"/>
      <c r="V427" s="90"/>
      <c r="W427" s="90"/>
      <c r="X427" s="90"/>
      <c r="Y427" s="90"/>
      <c r="Z427" s="90"/>
      <c r="AA427" s="90"/>
    </row>
    <row r="428">
      <c r="A428" s="90"/>
      <c r="B428" s="90"/>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c r="AA428" s="90"/>
    </row>
    <row r="429">
      <c r="A429" s="90"/>
      <c r="B429" s="90"/>
      <c r="C429" s="90"/>
      <c r="D429" s="90"/>
      <c r="E429" s="90"/>
      <c r="F429" s="90"/>
      <c r="G429" s="90"/>
      <c r="H429" s="90"/>
      <c r="I429" s="90"/>
      <c r="J429" s="90"/>
      <c r="K429" s="90"/>
      <c r="L429" s="90"/>
      <c r="M429" s="90"/>
      <c r="N429" s="90"/>
      <c r="O429" s="90"/>
      <c r="P429" s="90"/>
      <c r="Q429" s="90"/>
      <c r="R429" s="90"/>
      <c r="S429" s="90"/>
      <c r="T429" s="90"/>
      <c r="U429" s="90"/>
      <c r="V429" s="90"/>
      <c r="W429" s="90"/>
      <c r="X429" s="90"/>
      <c r="Y429" s="90"/>
      <c r="Z429" s="90"/>
      <c r="AA429" s="90"/>
    </row>
    <row r="430">
      <c r="A430" s="90"/>
      <c r="B430" s="90"/>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c r="AA430" s="90"/>
    </row>
    <row r="431">
      <c r="A431" s="90"/>
      <c r="B431" s="90"/>
      <c r="C431" s="90"/>
      <c r="D431" s="90"/>
      <c r="E431" s="90"/>
      <c r="F431" s="90"/>
      <c r="G431" s="90"/>
      <c r="H431" s="90"/>
      <c r="I431" s="90"/>
      <c r="J431" s="90"/>
      <c r="K431" s="90"/>
      <c r="L431" s="90"/>
      <c r="M431" s="90"/>
      <c r="N431" s="90"/>
      <c r="O431" s="90"/>
      <c r="P431" s="90"/>
      <c r="Q431" s="90"/>
      <c r="R431" s="90"/>
      <c r="S431" s="90"/>
      <c r="T431" s="90"/>
      <c r="U431" s="90"/>
      <c r="V431" s="90"/>
      <c r="W431" s="90"/>
      <c r="X431" s="90"/>
      <c r="Y431" s="90"/>
      <c r="Z431" s="90"/>
      <c r="AA431" s="90"/>
    </row>
    <row r="432">
      <c r="A432" s="90"/>
      <c r="B432" s="90"/>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c r="AA432" s="90"/>
    </row>
    <row r="433">
      <c r="A433" s="90"/>
      <c r="B433" s="90"/>
      <c r="C433" s="90"/>
      <c r="D433" s="90"/>
      <c r="E433" s="90"/>
      <c r="F433" s="90"/>
      <c r="G433" s="90"/>
      <c r="H433" s="90"/>
      <c r="I433" s="90"/>
      <c r="J433" s="90"/>
      <c r="K433" s="90"/>
      <c r="L433" s="90"/>
      <c r="M433" s="90"/>
      <c r="N433" s="90"/>
      <c r="O433" s="90"/>
      <c r="P433" s="90"/>
      <c r="Q433" s="90"/>
      <c r="R433" s="90"/>
      <c r="S433" s="90"/>
      <c r="T433" s="90"/>
      <c r="U433" s="90"/>
      <c r="V433" s="90"/>
      <c r="W433" s="90"/>
      <c r="X433" s="90"/>
      <c r="Y433" s="90"/>
      <c r="Z433" s="90"/>
      <c r="AA433" s="90"/>
    </row>
    <row r="434">
      <c r="A434" s="90"/>
      <c r="B434" s="90"/>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c r="AA434" s="90"/>
    </row>
    <row r="435">
      <c r="A435" s="90"/>
      <c r="B435" s="90"/>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c r="AA435" s="90"/>
    </row>
    <row r="436">
      <c r="A436" s="90"/>
      <c r="B436" s="90"/>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c r="AA436" s="90"/>
    </row>
    <row r="437">
      <c r="A437" s="90"/>
      <c r="B437" s="90"/>
      <c r="C437" s="90"/>
      <c r="D437" s="90"/>
      <c r="E437" s="90"/>
      <c r="F437" s="90"/>
      <c r="G437" s="90"/>
      <c r="H437" s="90"/>
      <c r="I437" s="90"/>
      <c r="J437" s="90"/>
      <c r="K437" s="90"/>
      <c r="L437" s="90"/>
      <c r="M437" s="90"/>
      <c r="N437" s="90"/>
      <c r="O437" s="90"/>
      <c r="P437" s="90"/>
      <c r="Q437" s="90"/>
      <c r="R437" s="90"/>
      <c r="S437" s="90"/>
      <c r="T437" s="90"/>
      <c r="U437" s="90"/>
      <c r="V437" s="90"/>
      <c r="W437" s="90"/>
      <c r="X437" s="90"/>
      <c r="Y437" s="90"/>
      <c r="Z437" s="90"/>
      <c r="AA437" s="90"/>
    </row>
    <row r="438">
      <c r="A438" s="90"/>
      <c r="B438" s="90"/>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c r="AA438" s="90"/>
    </row>
    <row r="439">
      <c r="A439" s="90"/>
      <c r="B439" s="90"/>
      <c r="C439" s="90"/>
      <c r="D439" s="90"/>
      <c r="E439" s="90"/>
      <c r="F439" s="90"/>
      <c r="G439" s="90"/>
      <c r="H439" s="90"/>
      <c r="I439" s="90"/>
      <c r="J439" s="90"/>
      <c r="K439" s="90"/>
      <c r="L439" s="90"/>
      <c r="M439" s="90"/>
      <c r="N439" s="90"/>
      <c r="O439" s="90"/>
      <c r="P439" s="90"/>
      <c r="Q439" s="90"/>
      <c r="R439" s="90"/>
      <c r="S439" s="90"/>
      <c r="T439" s="90"/>
      <c r="U439" s="90"/>
      <c r="V439" s="90"/>
      <c r="W439" s="90"/>
      <c r="X439" s="90"/>
      <c r="Y439" s="90"/>
      <c r="Z439" s="90"/>
      <c r="AA439" s="90"/>
    </row>
    <row r="440">
      <c r="A440" s="90"/>
      <c r="B440" s="90"/>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c r="AA440" s="90"/>
    </row>
    <row r="441">
      <c r="A441" s="90"/>
      <c r="B441" s="90"/>
      <c r="C441" s="90"/>
      <c r="D441" s="90"/>
      <c r="E441" s="90"/>
      <c r="F441" s="90"/>
      <c r="G441" s="90"/>
      <c r="H441" s="90"/>
      <c r="I441" s="90"/>
      <c r="J441" s="90"/>
      <c r="K441" s="90"/>
      <c r="L441" s="90"/>
      <c r="M441" s="90"/>
      <c r="N441" s="90"/>
      <c r="O441" s="90"/>
      <c r="P441" s="90"/>
      <c r="Q441" s="90"/>
      <c r="R441" s="90"/>
      <c r="S441" s="90"/>
      <c r="T441" s="90"/>
      <c r="U441" s="90"/>
      <c r="V441" s="90"/>
      <c r="W441" s="90"/>
      <c r="X441" s="90"/>
      <c r="Y441" s="90"/>
      <c r="Z441" s="90"/>
      <c r="AA441" s="90"/>
    </row>
    <row r="442">
      <c r="A442" s="90"/>
      <c r="B442" s="90"/>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c r="AA442" s="90"/>
    </row>
    <row r="443">
      <c r="A443" s="90"/>
      <c r="B443" s="90"/>
      <c r="C443" s="90"/>
      <c r="D443" s="90"/>
      <c r="E443" s="90"/>
      <c r="F443" s="90"/>
      <c r="G443" s="90"/>
      <c r="H443" s="90"/>
      <c r="I443" s="90"/>
      <c r="J443" s="90"/>
      <c r="K443" s="90"/>
      <c r="L443" s="90"/>
      <c r="M443" s="90"/>
      <c r="N443" s="90"/>
      <c r="O443" s="90"/>
      <c r="P443" s="90"/>
      <c r="Q443" s="90"/>
      <c r="R443" s="90"/>
      <c r="S443" s="90"/>
      <c r="T443" s="90"/>
      <c r="U443" s="90"/>
      <c r="V443" s="90"/>
      <c r="W443" s="90"/>
      <c r="X443" s="90"/>
      <c r="Y443" s="90"/>
      <c r="Z443" s="90"/>
      <c r="AA443" s="90"/>
    </row>
    <row r="444">
      <c r="A444" s="90"/>
      <c r="B444" s="90"/>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c r="AA444" s="90"/>
    </row>
    <row r="445">
      <c r="A445" s="90"/>
      <c r="B445" s="90"/>
      <c r="C445" s="90"/>
      <c r="D445" s="90"/>
      <c r="E445" s="90"/>
      <c r="F445" s="90"/>
      <c r="G445" s="90"/>
      <c r="H445" s="90"/>
      <c r="I445" s="90"/>
      <c r="J445" s="90"/>
      <c r="K445" s="90"/>
      <c r="L445" s="90"/>
      <c r="M445" s="90"/>
      <c r="N445" s="90"/>
      <c r="O445" s="90"/>
      <c r="P445" s="90"/>
      <c r="Q445" s="90"/>
      <c r="R445" s="90"/>
      <c r="S445" s="90"/>
      <c r="T445" s="90"/>
      <c r="U445" s="90"/>
      <c r="V445" s="90"/>
      <c r="W445" s="90"/>
      <c r="X445" s="90"/>
      <c r="Y445" s="90"/>
      <c r="Z445" s="90"/>
      <c r="AA445" s="90"/>
    </row>
    <row r="446">
      <c r="A446" s="90"/>
      <c r="B446" s="90"/>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c r="AA446" s="90"/>
    </row>
    <row r="447">
      <c r="A447" s="90"/>
      <c r="B447" s="90"/>
      <c r="C447" s="90"/>
      <c r="D447" s="90"/>
      <c r="E447" s="90"/>
      <c r="F447" s="90"/>
      <c r="G447" s="90"/>
      <c r="H447" s="90"/>
      <c r="I447" s="90"/>
      <c r="J447" s="90"/>
      <c r="K447" s="90"/>
      <c r="L447" s="90"/>
      <c r="M447" s="90"/>
      <c r="N447" s="90"/>
      <c r="O447" s="90"/>
      <c r="P447" s="90"/>
      <c r="Q447" s="90"/>
      <c r="R447" s="90"/>
      <c r="S447" s="90"/>
      <c r="T447" s="90"/>
      <c r="U447" s="90"/>
      <c r="V447" s="90"/>
      <c r="W447" s="90"/>
      <c r="X447" s="90"/>
      <c r="Y447" s="90"/>
      <c r="Z447" s="90"/>
      <c r="AA447" s="90"/>
    </row>
    <row r="448">
      <c r="A448" s="90"/>
      <c r="B448" s="90"/>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c r="AA448" s="90"/>
    </row>
    <row r="449">
      <c r="A449" s="90"/>
      <c r="B449" s="90"/>
      <c r="C449" s="90"/>
      <c r="D449" s="90"/>
      <c r="E449" s="90"/>
      <c r="F449" s="90"/>
      <c r="G449" s="90"/>
      <c r="H449" s="90"/>
      <c r="I449" s="90"/>
      <c r="J449" s="90"/>
      <c r="K449" s="90"/>
      <c r="L449" s="90"/>
      <c r="M449" s="90"/>
      <c r="N449" s="90"/>
      <c r="O449" s="90"/>
      <c r="P449" s="90"/>
      <c r="Q449" s="90"/>
      <c r="R449" s="90"/>
      <c r="S449" s="90"/>
      <c r="T449" s="90"/>
      <c r="U449" s="90"/>
      <c r="V449" s="90"/>
      <c r="W449" s="90"/>
      <c r="X449" s="90"/>
      <c r="Y449" s="90"/>
      <c r="Z449" s="90"/>
      <c r="AA449" s="90"/>
    </row>
    <row r="450">
      <c r="A450" s="90"/>
      <c r="B450" s="90"/>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c r="AA450" s="90"/>
    </row>
    <row r="451">
      <c r="A451" s="90"/>
      <c r="B451" s="90"/>
      <c r="C451" s="90"/>
      <c r="D451" s="90"/>
      <c r="E451" s="90"/>
      <c r="F451" s="90"/>
      <c r="G451" s="90"/>
      <c r="H451" s="90"/>
      <c r="I451" s="90"/>
      <c r="J451" s="90"/>
      <c r="K451" s="90"/>
      <c r="L451" s="90"/>
      <c r="M451" s="90"/>
      <c r="N451" s="90"/>
      <c r="O451" s="90"/>
      <c r="P451" s="90"/>
      <c r="Q451" s="90"/>
      <c r="R451" s="90"/>
      <c r="S451" s="90"/>
      <c r="T451" s="90"/>
      <c r="U451" s="90"/>
      <c r="V451" s="90"/>
      <c r="W451" s="90"/>
      <c r="X451" s="90"/>
      <c r="Y451" s="90"/>
      <c r="Z451" s="90"/>
      <c r="AA451" s="90"/>
    </row>
    <row r="452">
      <c r="A452" s="90"/>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row>
    <row r="453">
      <c r="A453" s="90"/>
      <c r="B453" s="90"/>
      <c r="C453" s="90"/>
      <c r="D453" s="90"/>
      <c r="E453" s="90"/>
      <c r="F453" s="90"/>
      <c r="G453" s="90"/>
      <c r="H453" s="90"/>
      <c r="I453" s="90"/>
      <c r="J453" s="90"/>
      <c r="K453" s="90"/>
      <c r="L453" s="90"/>
      <c r="M453" s="90"/>
      <c r="N453" s="90"/>
      <c r="O453" s="90"/>
      <c r="P453" s="90"/>
      <c r="Q453" s="90"/>
      <c r="R453" s="90"/>
      <c r="S453" s="90"/>
      <c r="T453" s="90"/>
      <c r="U453" s="90"/>
      <c r="V453" s="90"/>
      <c r="W453" s="90"/>
      <c r="X453" s="90"/>
      <c r="Y453" s="90"/>
      <c r="Z453" s="90"/>
      <c r="AA453" s="90"/>
    </row>
    <row r="454">
      <c r="A454" s="90"/>
      <c r="B454" s="90"/>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c r="AA454" s="90"/>
    </row>
    <row r="455">
      <c r="A455" s="90"/>
      <c r="B455" s="90"/>
      <c r="C455" s="90"/>
      <c r="D455" s="90"/>
      <c r="E455" s="90"/>
      <c r="F455" s="90"/>
      <c r="G455" s="90"/>
      <c r="H455" s="90"/>
      <c r="I455" s="90"/>
      <c r="J455" s="90"/>
      <c r="K455" s="90"/>
      <c r="L455" s="90"/>
      <c r="M455" s="90"/>
      <c r="N455" s="90"/>
      <c r="O455" s="90"/>
      <c r="P455" s="90"/>
      <c r="Q455" s="90"/>
      <c r="R455" s="90"/>
      <c r="S455" s="90"/>
      <c r="T455" s="90"/>
      <c r="U455" s="90"/>
      <c r="V455" s="90"/>
      <c r="W455" s="90"/>
      <c r="X455" s="90"/>
      <c r="Y455" s="90"/>
      <c r="Z455" s="90"/>
      <c r="AA455" s="90"/>
    </row>
    <row r="456">
      <c r="A456" s="90"/>
      <c r="B456" s="90"/>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c r="AA456" s="90"/>
    </row>
    <row r="457">
      <c r="A457" s="90"/>
      <c r="B457" s="90"/>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c r="AA457" s="90"/>
    </row>
    <row r="458">
      <c r="A458" s="90"/>
      <c r="B458" s="90"/>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c r="AA458" s="90"/>
    </row>
    <row r="459">
      <c r="A459" s="90"/>
      <c r="B459" s="90"/>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c r="AA459" s="90"/>
    </row>
    <row r="460">
      <c r="A460" s="90"/>
      <c r="B460" s="90"/>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c r="AA460" s="90"/>
    </row>
    <row r="461">
      <c r="A461" s="90"/>
      <c r="B461" s="90"/>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c r="AA461" s="90"/>
    </row>
    <row r="462">
      <c r="A462" s="90"/>
      <c r="B462" s="90"/>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c r="AA462" s="90"/>
    </row>
    <row r="463">
      <c r="A463" s="90"/>
      <c r="B463" s="90"/>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c r="AA463" s="90"/>
    </row>
    <row r="464">
      <c r="A464" s="90"/>
      <c r="B464" s="90"/>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c r="AA464" s="90"/>
    </row>
    <row r="465">
      <c r="A465" s="90"/>
      <c r="B465" s="90"/>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c r="AA465" s="90"/>
    </row>
    <row r="466">
      <c r="A466" s="90"/>
      <c r="B466" s="90"/>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c r="AA466" s="90"/>
    </row>
    <row r="467">
      <c r="A467" s="90"/>
      <c r="B467" s="90"/>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c r="AA467" s="90"/>
    </row>
    <row r="468">
      <c r="A468" s="90"/>
      <c r="B468" s="90"/>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c r="AA468" s="90"/>
    </row>
    <row r="469">
      <c r="A469" s="90"/>
      <c r="B469" s="90"/>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c r="AA469" s="90"/>
    </row>
    <row r="470">
      <c r="A470" s="90"/>
      <c r="B470" s="90"/>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c r="AA470" s="90"/>
    </row>
    <row r="471">
      <c r="A471" s="90"/>
      <c r="B471" s="90"/>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c r="AA471" s="90"/>
    </row>
    <row r="472">
      <c r="A472" s="90"/>
      <c r="B472" s="90"/>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c r="AA472" s="90"/>
    </row>
    <row r="473">
      <c r="A473" s="90"/>
      <c r="B473" s="90"/>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c r="AA473" s="90"/>
    </row>
    <row r="474">
      <c r="A474" s="90"/>
      <c r="B474" s="90"/>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c r="AA474" s="90"/>
    </row>
    <row r="475">
      <c r="A475" s="90"/>
      <c r="B475" s="90"/>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c r="AA475" s="90"/>
    </row>
    <row r="476">
      <c r="A476" s="90"/>
      <c r="B476" s="90"/>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c r="AA476" s="90"/>
    </row>
    <row r="477">
      <c r="A477" s="90"/>
      <c r="B477" s="90"/>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c r="AA477" s="90"/>
    </row>
    <row r="478">
      <c r="A478" s="90"/>
      <c r="B478" s="90"/>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c r="AA478" s="90"/>
    </row>
    <row r="479">
      <c r="A479" s="90"/>
      <c r="B479" s="90"/>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c r="AA479" s="90"/>
    </row>
    <row r="480">
      <c r="A480" s="90"/>
      <c r="B480" s="90"/>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c r="AA480" s="90"/>
    </row>
    <row r="481">
      <c r="A481" s="90"/>
      <c r="B481" s="90"/>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c r="AA481" s="90"/>
    </row>
    <row r="482">
      <c r="A482" s="90"/>
      <c r="B482" s="90"/>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c r="AA482" s="90"/>
    </row>
    <row r="483">
      <c r="A483" s="90"/>
      <c r="B483" s="90"/>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c r="AA483" s="90"/>
    </row>
    <row r="484">
      <c r="A484" s="90"/>
      <c r="B484" s="90"/>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c r="AA484" s="90"/>
    </row>
    <row r="485">
      <c r="A485" s="90"/>
      <c r="B485" s="90"/>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c r="AA485" s="90"/>
    </row>
    <row r="486">
      <c r="A486" s="90"/>
      <c r="B486" s="90"/>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c r="AA486" s="90"/>
    </row>
    <row r="487">
      <c r="A487" s="90"/>
      <c r="B487" s="90"/>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c r="AA487" s="90"/>
    </row>
    <row r="488">
      <c r="A488" s="90"/>
      <c r="B488" s="90"/>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c r="AA488" s="90"/>
    </row>
    <row r="489">
      <c r="A489" s="90"/>
      <c r="B489" s="90"/>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c r="AA489" s="90"/>
    </row>
    <row r="490">
      <c r="A490" s="90"/>
      <c r="B490" s="90"/>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c r="AA490" s="90"/>
    </row>
    <row r="491">
      <c r="A491" s="90"/>
      <c r="B491" s="90"/>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c r="AA491" s="90"/>
    </row>
    <row r="492">
      <c r="A492" s="90"/>
      <c r="B492" s="90"/>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c r="AA492" s="90"/>
    </row>
    <row r="493">
      <c r="A493" s="90"/>
      <c r="B493" s="90"/>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c r="AA493" s="90"/>
    </row>
    <row r="494">
      <c r="A494" s="90"/>
      <c r="B494" s="90"/>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c r="AA494" s="90"/>
    </row>
    <row r="495">
      <c r="A495" s="90"/>
      <c r="B495" s="90"/>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c r="AA495" s="90"/>
    </row>
    <row r="496">
      <c r="A496" s="90"/>
      <c r="B496" s="90"/>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c r="AA496" s="90"/>
    </row>
    <row r="497">
      <c r="A497" s="90"/>
      <c r="B497" s="90"/>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c r="AA497" s="90"/>
    </row>
    <row r="498">
      <c r="A498" s="90"/>
      <c r="B498" s="90"/>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c r="AA498" s="90"/>
    </row>
    <row r="499">
      <c r="A499" s="90"/>
      <c r="B499" s="90"/>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c r="AA499" s="90"/>
    </row>
    <row r="500">
      <c r="A500" s="90"/>
      <c r="B500" s="90"/>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c r="AA500" s="90"/>
    </row>
    <row r="501">
      <c r="A501" s="90"/>
      <c r="B501" s="90"/>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c r="AA501" s="90"/>
    </row>
    <row r="502">
      <c r="A502" s="90"/>
      <c r="B502" s="90"/>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c r="AA502" s="90"/>
    </row>
    <row r="503">
      <c r="A503" s="90"/>
      <c r="B503" s="90"/>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c r="AA503" s="90"/>
    </row>
    <row r="504">
      <c r="A504" s="90"/>
      <c r="B504" s="90"/>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c r="AA504" s="90"/>
    </row>
    <row r="505">
      <c r="A505" s="90"/>
      <c r="B505" s="90"/>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c r="AA505" s="90"/>
    </row>
    <row r="506">
      <c r="A506" s="90"/>
      <c r="B506" s="90"/>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c r="AA506" s="90"/>
    </row>
    <row r="507">
      <c r="A507" s="90"/>
      <c r="B507" s="90"/>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c r="AA507" s="90"/>
    </row>
    <row r="508">
      <c r="A508" s="90"/>
      <c r="B508" s="90"/>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c r="AA508" s="90"/>
    </row>
    <row r="509">
      <c r="A509" s="90"/>
      <c r="B509" s="90"/>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c r="AA509" s="90"/>
    </row>
    <row r="510">
      <c r="A510" s="90"/>
      <c r="B510" s="90"/>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c r="AA510" s="90"/>
    </row>
    <row r="511">
      <c r="A511" s="90"/>
      <c r="B511" s="90"/>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c r="AA511" s="90"/>
    </row>
    <row r="512">
      <c r="A512" s="90"/>
      <c r="B512" s="90"/>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c r="AA512" s="90"/>
    </row>
    <row r="513">
      <c r="A513" s="90"/>
      <c r="B513" s="90"/>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c r="AA513" s="90"/>
    </row>
    <row r="514">
      <c r="A514" s="90"/>
      <c r="B514" s="90"/>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c r="AA514" s="90"/>
    </row>
    <row r="515">
      <c r="A515" s="90"/>
      <c r="B515" s="90"/>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c r="AA515" s="90"/>
    </row>
    <row r="516">
      <c r="A516" s="90"/>
      <c r="B516" s="90"/>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c r="AA516" s="90"/>
    </row>
    <row r="517">
      <c r="A517" s="90"/>
      <c r="B517" s="90"/>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c r="AA517" s="90"/>
    </row>
    <row r="518">
      <c r="A518" s="90"/>
      <c r="B518" s="90"/>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c r="AA518" s="90"/>
    </row>
    <row r="519">
      <c r="A519" s="90"/>
      <c r="B519" s="90"/>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c r="AA519" s="90"/>
    </row>
    <row r="520">
      <c r="A520" s="90"/>
      <c r="B520" s="90"/>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c r="AA520" s="90"/>
    </row>
    <row r="521">
      <c r="A521" s="90"/>
      <c r="B521" s="90"/>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c r="AA521" s="90"/>
    </row>
    <row r="522">
      <c r="A522" s="90"/>
      <c r="B522" s="90"/>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c r="AA522" s="90"/>
    </row>
    <row r="523">
      <c r="A523" s="90"/>
      <c r="B523" s="90"/>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c r="AA523" s="90"/>
    </row>
    <row r="524">
      <c r="A524" s="90"/>
      <c r="B524" s="90"/>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c r="AA524" s="90"/>
    </row>
    <row r="525">
      <c r="A525" s="90"/>
      <c r="B525" s="90"/>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c r="AA525" s="90"/>
    </row>
    <row r="526">
      <c r="A526" s="90"/>
      <c r="B526" s="90"/>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c r="AA526" s="90"/>
    </row>
    <row r="527">
      <c r="A527" s="90"/>
      <c r="B527" s="90"/>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c r="AA527" s="90"/>
    </row>
    <row r="528">
      <c r="A528" s="90"/>
      <c r="B528" s="90"/>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c r="AA528" s="90"/>
    </row>
    <row r="529">
      <c r="A529" s="90"/>
      <c r="B529" s="90"/>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c r="AA529" s="90"/>
    </row>
    <row r="530">
      <c r="A530" s="90"/>
      <c r="B530" s="90"/>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c r="AA530" s="90"/>
    </row>
    <row r="531">
      <c r="A531" s="90"/>
      <c r="B531" s="90"/>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c r="AA531" s="90"/>
    </row>
    <row r="532">
      <c r="A532" s="90"/>
      <c r="B532" s="90"/>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c r="AA532" s="90"/>
    </row>
    <row r="533">
      <c r="A533" s="90"/>
      <c r="B533" s="90"/>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c r="AA533" s="90"/>
    </row>
    <row r="534">
      <c r="A534" s="90"/>
      <c r="B534" s="90"/>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c r="AA534" s="90"/>
    </row>
    <row r="535">
      <c r="A535" s="90"/>
      <c r="B535" s="90"/>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c r="AA535" s="90"/>
    </row>
    <row r="536">
      <c r="A536" s="90"/>
      <c r="B536" s="90"/>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c r="AA536" s="90"/>
    </row>
    <row r="537">
      <c r="A537" s="90"/>
      <c r="B537" s="90"/>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c r="AA537" s="90"/>
    </row>
    <row r="538">
      <c r="A538" s="90"/>
      <c r="B538" s="90"/>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c r="AA538" s="90"/>
    </row>
    <row r="539">
      <c r="A539" s="90"/>
      <c r="B539" s="90"/>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c r="AA539" s="90"/>
    </row>
    <row r="540">
      <c r="A540" s="90"/>
      <c r="B540" s="90"/>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c r="AA540" s="90"/>
    </row>
    <row r="541">
      <c r="A541" s="90"/>
      <c r="B541" s="90"/>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c r="AA541" s="90"/>
    </row>
    <row r="542">
      <c r="A542" s="90"/>
      <c r="B542" s="90"/>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c r="AA542" s="90"/>
    </row>
    <row r="543">
      <c r="A543" s="90"/>
      <c r="B543" s="90"/>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c r="AA543" s="90"/>
    </row>
    <row r="544">
      <c r="A544" s="90"/>
      <c r="B544" s="90"/>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c r="AA544" s="90"/>
    </row>
    <row r="545">
      <c r="A545" s="90"/>
      <c r="B545" s="90"/>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c r="AA545" s="90"/>
    </row>
    <row r="546">
      <c r="A546" s="90"/>
      <c r="B546" s="90"/>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c r="AA546" s="90"/>
    </row>
    <row r="547">
      <c r="A547" s="90"/>
      <c r="B547" s="90"/>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c r="AA547" s="90"/>
    </row>
    <row r="548">
      <c r="A548" s="90"/>
      <c r="B548" s="90"/>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c r="AA548" s="90"/>
    </row>
    <row r="549">
      <c r="A549" s="90"/>
      <c r="B549" s="90"/>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c r="AA549" s="90"/>
    </row>
    <row r="550">
      <c r="A550" s="90"/>
      <c r="B550" s="90"/>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c r="AA550" s="90"/>
    </row>
    <row r="551">
      <c r="A551" s="90"/>
      <c r="B551" s="90"/>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c r="AA551" s="90"/>
    </row>
    <row r="552">
      <c r="A552" s="90"/>
      <c r="B552" s="90"/>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c r="AA552" s="90"/>
    </row>
    <row r="553">
      <c r="A553" s="90"/>
      <c r="B553" s="90"/>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c r="AA553" s="90"/>
    </row>
    <row r="554">
      <c r="A554" s="90"/>
      <c r="B554" s="90"/>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c r="AA554" s="90"/>
    </row>
    <row r="555">
      <c r="A555" s="90"/>
      <c r="B555" s="90"/>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c r="AA555" s="90"/>
    </row>
    <row r="556">
      <c r="A556" s="90"/>
      <c r="B556" s="90"/>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c r="AA556" s="90"/>
    </row>
    <row r="557">
      <c r="A557" s="90"/>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row>
    <row r="558">
      <c r="A558" s="90"/>
      <c r="B558" s="90"/>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c r="AA558" s="90"/>
    </row>
    <row r="559">
      <c r="A559" s="90"/>
      <c r="B559" s="90"/>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c r="AA559" s="90"/>
    </row>
    <row r="560">
      <c r="A560" s="90"/>
      <c r="B560" s="90"/>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c r="AA560" s="90"/>
    </row>
    <row r="561">
      <c r="A561" s="90"/>
      <c r="B561" s="90"/>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c r="AA561" s="90"/>
    </row>
    <row r="562">
      <c r="A562" s="90"/>
      <c r="B562" s="90"/>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c r="AA562" s="90"/>
    </row>
    <row r="563">
      <c r="A563" s="90"/>
      <c r="B563" s="90"/>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c r="AA563" s="90"/>
    </row>
    <row r="564">
      <c r="A564" s="90"/>
      <c r="B564" s="90"/>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c r="AA564" s="90"/>
    </row>
    <row r="565">
      <c r="A565" s="90"/>
      <c r="B565" s="90"/>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c r="AA565" s="90"/>
    </row>
    <row r="566">
      <c r="A566" s="90"/>
      <c r="B566" s="90"/>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c r="AA566" s="90"/>
    </row>
    <row r="567">
      <c r="A567" s="90"/>
      <c r="B567" s="90"/>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c r="AA567" s="90"/>
    </row>
    <row r="568">
      <c r="A568" s="90"/>
      <c r="B568" s="90"/>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c r="AA568" s="90"/>
    </row>
    <row r="569">
      <c r="A569" s="90"/>
      <c r="B569" s="90"/>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c r="AA569" s="90"/>
    </row>
    <row r="570">
      <c r="A570" s="90"/>
      <c r="B570" s="90"/>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c r="AA570" s="90"/>
    </row>
    <row r="571">
      <c r="A571" s="90"/>
      <c r="B571" s="90"/>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c r="AA571" s="90"/>
    </row>
    <row r="572">
      <c r="A572" s="90"/>
      <c r="B572" s="90"/>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c r="AA572" s="90"/>
    </row>
    <row r="573">
      <c r="A573" s="90"/>
      <c r="B573" s="90"/>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c r="AA573" s="90"/>
    </row>
    <row r="574">
      <c r="A574" s="90"/>
      <c r="B574" s="90"/>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c r="AA574" s="90"/>
    </row>
    <row r="575">
      <c r="A575" s="90"/>
      <c r="B575" s="90"/>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c r="AA575" s="90"/>
    </row>
    <row r="576">
      <c r="A576" s="90"/>
      <c r="B576" s="90"/>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c r="AA576" s="90"/>
    </row>
    <row r="577">
      <c r="A577" s="90"/>
      <c r="B577" s="90"/>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c r="AA577" s="90"/>
    </row>
    <row r="578">
      <c r="A578" s="90"/>
      <c r="B578" s="90"/>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c r="AA578" s="90"/>
    </row>
    <row r="579">
      <c r="A579" s="90"/>
      <c r="B579" s="90"/>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c r="AA579" s="90"/>
    </row>
    <row r="580">
      <c r="A580" s="90"/>
      <c r="B580" s="90"/>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c r="AA580" s="90"/>
    </row>
    <row r="581">
      <c r="A581" s="90"/>
      <c r="B581" s="90"/>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c r="AA581" s="90"/>
    </row>
    <row r="582">
      <c r="A582" s="90"/>
      <c r="B582" s="90"/>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c r="AA582" s="90"/>
    </row>
    <row r="583">
      <c r="A583" s="90"/>
      <c r="B583" s="90"/>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c r="AA583" s="90"/>
    </row>
    <row r="584">
      <c r="A584" s="90"/>
      <c r="B584" s="90"/>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c r="AA584" s="90"/>
    </row>
    <row r="585">
      <c r="A585" s="90"/>
      <c r="B585" s="90"/>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c r="AA585" s="90"/>
    </row>
    <row r="586">
      <c r="A586" s="90"/>
      <c r="B586" s="90"/>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c r="AA586" s="90"/>
    </row>
    <row r="587">
      <c r="A587" s="90"/>
      <c r="B587" s="90"/>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c r="AA587" s="90"/>
    </row>
    <row r="588">
      <c r="A588" s="90"/>
      <c r="B588" s="90"/>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c r="AA588" s="90"/>
    </row>
    <row r="589">
      <c r="A589" s="90"/>
      <c r="B589" s="90"/>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c r="AA589" s="90"/>
    </row>
    <row r="590">
      <c r="A590" s="90"/>
      <c r="B590" s="90"/>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c r="AA590" s="90"/>
    </row>
    <row r="591">
      <c r="A591" s="90"/>
      <c r="B591" s="90"/>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c r="AA591" s="90"/>
    </row>
    <row r="592">
      <c r="A592" s="90"/>
      <c r="B592" s="90"/>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c r="AA592" s="90"/>
    </row>
    <row r="593">
      <c r="A593" s="90"/>
      <c r="B593" s="90"/>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c r="AA593" s="90"/>
    </row>
    <row r="594">
      <c r="A594" s="90"/>
      <c r="B594" s="90"/>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c r="AA594" s="90"/>
    </row>
    <row r="595">
      <c r="A595" s="90"/>
      <c r="B595" s="90"/>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c r="AA595" s="90"/>
    </row>
    <row r="596">
      <c r="A596" s="90"/>
      <c r="B596" s="90"/>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c r="AA596" s="90"/>
    </row>
    <row r="597">
      <c r="A597" s="90"/>
      <c r="B597" s="90"/>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c r="AA597" s="90"/>
    </row>
    <row r="598">
      <c r="A598" s="90"/>
      <c r="B598" s="90"/>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c r="AA598" s="90"/>
    </row>
    <row r="599">
      <c r="A599" s="90"/>
      <c r="B599" s="90"/>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c r="AA599" s="90"/>
    </row>
    <row r="600">
      <c r="A600" s="90"/>
      <c r="B600" s="90"/>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c r="AA600" s="90"/>
    </row>
    <row r="601">
      <c r="A601" s="90"/>
      <c r="B601" s="90"/>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c r="AA601" s="90"/>
    </row>
    <row r="602">
      <c r="A602" s="90"/>
      <c r="B602" s="90"/>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c r="AA602" s="90"/>
    </row>
    <row r="603">
      <c r="A603" s="90"/>
      <c r="B603" s="90"/>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c r="AA603" s="90"/>
    </row>
    <row r="604">
      <c r="A604" s="90"/>
      <c r="B604" s="90"/>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c r="AA604" s="90"/>
    </row>
    <row r="605">
      <c r="A605" s="90"/>
      <c r="B605" s="90"/>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c r="AA605" s="90"/>
    </row>
    <row r="606">
      <c r="A606" s="90"/>
      <c r="B606" s="90"/>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c r="AA606" s="90"/>
    </row>
    <row r="607">
      <c r="A607" s="90"/>
      <c r="B607" s="90"/>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c r="AA607" s="90"/>
    </row>
    <row r="608">
      <c r="A608" s="90"/>
      <c r="B608" s="90"/>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c r="AA608" s="90"/>
    </row>
    <row r="609">
      <c r="A609" s="90"/>
      <c r="B609" s="90"/>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c r="AA609" s="90"/>
    </row>
    <row r="610">
      <c r="A610" s="90"/>
      <c r="B610" s="90"/>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c r="AA610" s="90"/>
    </row>
    <row r="611">
      <c r="A611" s="90"/>
      <c r="B611" s="90"/>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c r="AA611" s="90"/>
    </row>
    <row r="612">
      <c r="A612" s="90"/>
      <c r="B612" s="90"/>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c r="AA612" s="90"/>
    </row>
    <row r="613">
      <c r="A613" s="90"/>
      <c r="B613" s="90"/>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c r="AA613" s="90"/>
    </row>
    <row r="614">
      <c r="A614" s="90"/>
      <c r="B614" s="90"/>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c r="AA614" s="90"/>
    </row>
    <row r="615">
      <c r="A615" s="90"/>
      <c r="B615" s="90"/>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c r="AA615" s="90"/>
    </row>
    <row r="616">
      <c r="A616" s="90"/>
      <c r="B616" s="90"/>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c r="AA616" s="90"/>
    </row>
    <row r="617">
      <c r="A617" s="90"/>
      <c r="B617" s="90"/>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c r="AA617" s="90"/>
    </row>
    <row r="618">
      <c r="A618" s="90"/>
      <c r="B618" s="90"/>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c r="AA618" s="90"/>
    </row>
    <row r="619">
      <c r="A619" s="90"/>
      <c r="B619" s="90"/>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c r="AA619" s="90"/>
    </row>
    <row r="620">
      <c r="A620" s="90"/>
      <c r="B620" s="90"/>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c r="AA620" s="90"/>
    </row>
    <row r="621">
      <c r="A621" s="90"/>
      <c r="B621" s="90"/>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c r="AA621" s="90"/>
    </row>
    <row r="622">
      <c r="A622" s="90"/>
      <c r="B622" s="90"/>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c r="AA622" s="90"/>
    </row>
    <row r="623">
      <c r="A623" s="90"/>
      <c r="B623" s="90"/>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c r="AA623" s="90"/>
    </row>
    <row r="624">
      <c r="A624" s="90"/>
      <c r="B624" s="90"/>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c r="AA624" s="90"/>
    </row>
    <row r="625">
      <c r="A625" s="90"/>
      <c r="B625" s="90"/>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c r="AA625" s="90"/>
    </row>
    <row r="626">
      <c r="A626" s="90"/>
      <c r="B626" s="90"/>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c r="AA626" s="90"/>
    </row>
    <row r="627">
      <c r="A627" s="90"/>
      <c r="B627" s="90"/>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c r="AA627" s="90"/>
    </row>
    <row r="628">
      <c r="A628" s="90"/>
      <c r="B628" s="90"/>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c r="AA628" s="90"/>
    </row>
    <row r="629">
      <c r="A629" s="90"/>
      <c r="B629" s="90"/>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c r="AA629" s="90"/>
    </row>
    <row r="630">
      <c r="A630" s="90"/>
      <c r="B630" s="90"/>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c r="AA630" s="90"/>
    </row>
    <row r="631">
      <c r="A631" s="90"/>
      <c r="B631" s="90"/>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c r="AA631" s="90"/>
    </row>
    <row r="632">
      <c r="A632" s="90"/>
      <c r="B632" s="90"/>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c r="AA632" s="90"/>
    </row>
    <row r="633">
      <c r="A633" s="90"/>
      <c r="B633" s="90"/>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c r="AA633" s="90"/>
    </row>
    <row r="634">
      <c r="A634" s="90"/>
      <c r="B634" s="90"/>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c r="AA634" s="90"/>
    </row>
    <row r="635">
      <c r="A635" s="90"/>
      <c r="B635" s="90"/>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c r="AA635" s="90"/>
    </row>
    <row r="636">
      <c r="A636" s="90"/>
      <c r="B636" s="90"/>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c r="AA636" s="90"/>
    </row>
    <row r="637">
      <c r="A637" s="90"/>
      <c r="B637" s="90"/>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c r="AA637" s="90"/>
    </row>
    <row r="638">
      <c r="A638" s="90"/>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row>
    <row r="639">
      <c r="A639" s="90"/>
      <c r="B639" s="90"/>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c r="AA639" s="90"/>
    </row>
    <row r="640">
      <c r="A640" s="90"/>
      <c r="B640" s="90"/>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c r="AA640" s="90"/>
    </row>
    <row r="641">
      <c r="A641" s="90"/>
      <c r="B641" s="90"/>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c r="AA641" s="90"/>
    </row>
    <row r="642">
      <c r="A642" s="90"/>
      <c r="B642" s="90"/>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c r="AA642" s="90"/>
    </row>
    <row r="643">
      <c r="A643" s="90"/>
      <c r="B643" s="90"/>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c r="AA643" s="90"/>
    </row>
    <row r="644">
      <c r="A644" s="90"/>
      <c r="B644" s="90"/>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c r="AA644" s="90"/>
    </row>
    <row r="645">
      <c r="A645" s="90"/>
      <c r="B645" s="90"/>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c r="AA645" s="90"/>
    </row>
    <row r="646">
      <c r="A646" s="90"/>
      <c r="B646" s="90"/>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c r="AA646" s="90"/>
    </row>
    <row r="647">
      <c r="A647" s="90"/>
      <c r="B647" s="90"/>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c r="AA647" s="90"/>
    </row>
    <row r="648">
      <c r="A648" s="90"/>
      <c r="B648" s="90"/>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c r="AA648" s="90"/>
    </row>
    <row r="649">
      <c r="A649" s="90"/>
      <c r="B649" s="90"/>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c r="AA649" s="90"/>
    </row>
    <row r="650">
      <c r="A650" s="90"/>
      <c r="B650" s="90"/>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c r="AA650" s="90"/>
    </row>
    <row r="651">
      <c r="A651" s="90"/>
      <c r="B651" s="90"/>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c r="AA651" s="90"/>
    </row>
    <row r="652">
      <c r="A652" s="90"/>
      <c r="B652" s="90"/>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c r="AA652" s="90"/>
    </row>
    <row r="653">
      <c r="A653" s="90"/>
      <c r="B653" s="90"/>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row>
    <row r="654">
      <c r="A654" s="90"/>
      <c r="B654" s="90"/>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row>
    <row r="655">
      <c r="A655" s="90"/>
      <c r="B655" s="90"/>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row>
    <row r="656">
      <c r="A656" s="90"/>
      <c r="B656" s="90"/>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c r="AA656" s="90"/>
    </row>
    <row r="657">
      <c r="A657" s="90"/>
      <c r="B657" s="90"/>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c r="AA657" s="90"/>
    </row>
    <row r="658">
      <c r="A658" s="90"/>
      <c r="B658" s="90"/>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c r="AA658" s="90"/>
    </row>
    <row r="659">
      <c r="A659" s="90"/>
      <c r="B659" s="90"/>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c r="AA659" s="90"/>
    </row>
    <row r="660">
      <c r="A660" s="90"/>
      <c r="B660" s="90"/>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c r="AA660" s="90"/>
    </row>
    <row r="661">
      <c r="A661" s="90"/>
      <c r="B661" s="90"/>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c r="AA661" s="90"/>
    </row>
    <row r="662">
      <c r="A662" s="90"/>
      <c r="B662" s="90"/>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c r="AA662" s="90"/>
    </row>
    <row r="663">
      <c r="A663" s="90"/>
      <c r="B663" s="90"/>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c r="AA663" s="90"/>
    </row>
    <row r="664">
      <c r="A664" s="90"/>
      <c r="B664" s="90"/>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c r="AA664" s="90"/>
    </row>
    <row r="665">
      <c r="A665" s="90"/>
      <c r="B665" s="90"/>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c r="AA665" s="90"/>
    </row>
    <row r="666">
      <c r="A666" s="90"/>
      <c r="B666" s="90"/>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c r="AA666" s="90"/>
    </row>
    <row r="667">
      <c r="A667" s="90"/>
      <c r="B667" s="90"/>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c r="AA667" s="90"/>
    </row>
    <row r="668">
      <c r="A668" s="90"/>
      <c r="B668" s="90"/>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c r="AA668" s="90"/>
    </row>
    <row r="669">
      <c r="A669" s="90"/>
      <c r="B669" s="90"/>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c r="AA669" s="90"/>
    </row>
    <row r="670">
      <c r="A670" s="90"/>
      <c r="B670" s="90"/>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c r="AA670" s="90"/>
    </row>
    <row r="671">
      <c r="A671" s="90"/>
      <c r="B671" s="90"/>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c r="AA671" s="90"/>
    </row>
    <row r="672">
      <c r="A672" s="90"/>
      <c r="B672" s="90"/>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c r="AA672" s="90"/>
    </row>
    <row r="673">
      <c r="A673" s="90"/>
      <c r="B673" s="90"/>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c r="AA673" s="90"/>
    </row>
    <row r="674">
      <c r="A674" s="90"/>
      <c r="B674" s="90"/>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c r="AA674" s="90"/>
    </row>
    <row r="675">
      <c r="A675" s="90"/>
      <c r="B675" s="90"/>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c r="AA675" s="90"/>
    </row>
    <row r="676">
      <c r="A676" s="90"/>
      <c r="B676" s="90"/>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c r="AA676" s="90"/>
    </row>
    <row r="677">
      <c r="A677" s="90"/>
      <c r="B677" s="90"/>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c r="AA677" s="90"/>
    </row>
    <row r="678">
      <c r="A678" s="90"/>
      <c r="B678" s="90"/>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c r="AA678" s="90"/>
    </row>
    <row r="679">
      <c r="A679" s="90"/>
      <c r="B679" s="90"/>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c r="AA679" s="90"/>
    </row>
    <row r="680">
      <c r="A680" s="90"/>
      <c r="B680" s="90"/>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c r="AA680" s="90"/>
    </row>
    <row r="681">
      <c r="A681" s="90"/>
      <c r="B681" s="90"/>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c r="AA681" s="90"/>
    </row>
    <row r="682">
      <c r="A682" s="90"/>
      <c r="B682" s="90"/>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c r="AA682" s="90"/>
    </row>
    <row r="683">
      <c r="A683" s="90"/>
      <c r="B683" s="90"/>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c r="AA683" s="90"/>
    </row>
    <row r="684">
      <c r="A684" s="90"/>
      <c r="B684" s="90"/>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c r="AA684" s="90"/>
    </row>
    <row r="685">
      <c r="A685" s="90"/>
      <c r="B685" s="90"/>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c r="AA685" s="90"/>
    </row>
    <row r="686">
      <c r="A686" s="90"/>
      <c r="B686" s="90"/>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c r="AA686" s="90"/>
    </row>
    <row r="687">
      <c r="A687" s="90"/>
      <c r="B687" s="90"/>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c r="AA687" s="90"/>
    </row>
    <row r="688">
      <c r="A688" s="90"/>
      <c r="B688" s="90"/>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c r="AA688" s="90"/>
    </row>
    <row r="689">
      <c r="A689" s="90"/>
      <c r="B689" s="90"/>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c r="AA689" s="90"/>
    </row>
    <row r="690">
      <c r="A690" s="90"/>
      <c r="B690" s="90"/>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c r="AA690" s="90"/>
    </row>
    <row r="691">
      <c r="A691" s="90"/>
      <c r="B691" s="90"/>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c r="AA691" s="90"/>
    </row>
    <row r="692">
      <c r="A692" s="90"/>
      <c r="B692" s="90"/>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c r="AA692" s="90"/>
    </row>
    <row r="693">
      <c r="A693" s="90"/>
      <c r="B693" s="90"/>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c r="AA693" s="90"/>
    </row>
    <row r="694">
      <c r="A694" s="90"/>
      <c r="B694" s="90"/>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c r="AA694" s="90"/>
    </row>
    <row r="695">
      <c r="A695" s="90"/>
      <c r="B695" s="90"/>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c r="AA695" s="90"/>
    </row>
    <row r="696">
      <c r="A696" s="90"/>
      <c r="B696" s="90"/>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c r="AA696" s="90"/>
    </row>
    <row r="697">
      <c r="A697" s="90"/>
      <c r="B697" s="90"/>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c r="AA697" s="90"/>
    </row>
    <row r="698">
      <c r="A698" s="90"/>
      <c r="B698" s="90"/>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c r="AA698" s="90"/>
    </row>
    <row r="699">
      <c r="A699" s="90"/>
      <c r="B699" s="90"/>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c r="AA699" s="90"/>
    </row>
    <row r="700">
      <c r="A700" s="90"/>
      <c r="B700" s="90"/>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c r="AA700" s="90"/>
    </row>
    <row r="701">
      <c r="A701" s="90"/>
      <c r="B701" s="90"/>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c r="AA701" s="90"/>
    </row>
    <row r="702">
      <c r="A702" s="90"/>
      <c r="B702" s="90"/>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c r="AA702" s="90"/>
    </row>
    <row r="703">
      <c r="A703" s="90"/>
      <c r="B703" s="90"/>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c r="AA703" s="90"/>
    </row>
    <row r="704">
      <c r="A704" s="90"/>
      <c r="B704" s="90"/>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c r="AA704" s="90"/>
    </row>
    <row r="705">
      <c r="A705" s="90"/>
      <c r="B705" s="90"/>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c r="AA705" s="90"/>
    </row>
    <row r="706">
      <c r="A706" s="90"/>
      <c r="B706" s="90"/>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c r="AA706" s="90"/>
    </row>
    <row r="707">
      <c r="A707" s="90"/>
      <c r="B707" s="90"/>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c r="AA707" s="90"/>
    </row>
    <row r="708">
      <c r="A708" s="90"/>
      <c r="B708" s="90"/>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c r="AA708" s="90"/>
    </row>
    <row r="709">
      <c r="A709" s="90"/>
      <c r="B709" s="90"/>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c r="AA709" s="90"/>
    </row>
    <row r="710">
      <c r="A710" s="90"/>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row>
    <row r="711">
      <c r="A711" s="90"/>
      <c r="B711" s="90"/>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c r="AA711" s="90"/>
    </row>
    <row r="712">
      <c r="A712" s="90"/>
      <c r="B712" s="90"/>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c r="AA712" s="90"/>
    </row>
    <row r="713">
      <c r="A713" s="90"/>
      <c r="B713" s="90"/>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c r="AA713" s="90"/>
    </row>
    <row r="714">
      <c r="A714" s="90"/>
      <c r="B714" s="90"/>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c r="AA714" s="90"/>
    </row>
    <row r="715">
      <c r="A715" s="90"/>
      <c r="B715" s="90"/>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c r="AA715" s="90"/>
    </row>
    <row r="716">
      <c r="A716" s="90"/>
      <c r="B716" s="90"/>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c r="AA716" s="90"/>
    </row>
    <row r="717">
      <c r="A717" s="90"/>
      <c r="B717" s="90"/>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c r="AA717" s="90"/>
    </row>
    <row r="718">
      <c r="A718" s="90"/>
      <c r="B718" s="90"/>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c r="AA718" s="90"/>
    </row>
    <row r="719">
      <c r="A719" s="90"/>
      <c r="B719" s="90"/>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c r="AA719" s="90"/>
    </row>
    <row r="720">
      <c r="A720" s="90"/>
      <c r="B720" s="90"/>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c r="AA720" s="90"/>
    </row>
    <row r="721">
      <c r="A721" s="90"/>
      <c r="B721" s="90"/>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c r="AA721" s="90"/>
    </row>
    <row r="722">
      <c r="A722" s="90"/>
      <c r="B722" s="90"/>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c r="AA722" s="90"/>
    </row>
    <row r="723">
      <c r="A723" s="90"/>
      <c r="B723" s="90"/>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c r="AA723" s="90"/>
    </row>
    <row r="724">
      <c r="A724" s="90"/>
      <c r="B724" s="90"/>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c r="AA724" s="90"/>
    </row>
    <row r="725">
      <c r="A725" s="90"/>
      <c r="B725" s="90"/>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c r="AA725" s="90"/>
    </row>
    <row r="726">
      <c r="A726" s="90"/>
      <c r="B726" s="90"/>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c r="AA726" s="90"/>
    </row>
    <row r="727">
      <c r="A727" s="90"/>
      <c r="B727" s="90"/>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c r="AA727" s="90"/>
    </row>
    <row r="728">
      <c r="A728" s="90"/>
      <c r="B728" s="90"/>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c r="AA728" s="90"/>
    </row>
    <row r="729">
      <c r="A729" s="90"/>
      <c r="B729" s="90"/>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c r="AA729" s="90"/>
    </row>
    <row r="730">
      <c r="A730" s="90"/>
      <c r="B730" s="90"/>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c r="AA730" s="90"/>
    </row>
    <row r="731">
      <c r="A731" s="90"/>
      <c r="B731" s="90"/>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c r="AA731" s="90"/>
    </row>
    <row r="732">
      <c r="A732" s="90"/>
      <c r="B732" s="90"/>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c r="AA732" s="90"/>
    </row>
    <row r="733">
      <c r="A733" s="90"/>
      <c r="B733" s="90"/>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c r="AA733" s="90"/>
    </row>
    <row r="734">
      <c r="A734" s="90"/>
      <c r="B734" s="90"/>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c r="AA734" s="90"/>
    </row>
    <row r="735">
      <c r="A735" s="90"/>
      <c r="B735" s="90"/>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c r="AA735" s="90"/>
    </row>
    <row r="736">
      <c r="A736" s="90"/>
      <c r="B736" s="90"/>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c r="AA736" s="90"/>
    </row>
    <row r="737">
      <c r="A737" s="90"/>
      <c r="B737" s="90"/>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c r="AA737" s="90"/>
    </row>
    <row r="738">
      <c r="A738" s="90"/>
      <c r="B738" s="90"/>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c r="AA738" s="90"/>
    </row>
    <row r="739">
      <c r="A739" s="90"/>
      <c r="B739" s="90"/>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c r="AA739" s="90"/>
    </row>
    <row r="740">
      <c r="A740" s="90"/>
      <c r="B740" s="90"/>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c r="AA740" s="90"/>
    </row>
    <row r="741">
      <c r="A741" s="90"/>
      <c r="B741" s="90"/>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c r="AA741" s="90"/>
    </row>
    <row r="742">
      <c r="A742" s="90"/>
      <c r="B742" s="90"/>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c r="AA742" s="90"/>
    </row>
    <row r="743">
      <c r="A743" s="90"/>
      <c r="B743" s="90"/>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c r="AA743" s="90"/>
    </row>
    <row r="744">
      <c r="A744" s="90"/>
      <c r="B744" s="90"/>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c r="AA744" s="90"/>
    </row>
    <row r="745">
      <c r="A745" s="90"/>
      <c r="B745" s="90"/>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c r="AA745" s="90"/>
    </row>
    <row r="746">
      <c r="A746" s="90"/>
      <c r="B746" s="90"/>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c r="AA746" s="90"/>
    </row>
    <row r="747">
      <c r="A747" s="90"/>
      <c r="B747" s="90"/>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c r="AA747" s="90"/>
    </row>
    <row r="748">
      <c r="A748" s="90"/>
      <c r="B748" s="90"/>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c r="AA748" s="90"/>
    </row>
    <row r="749">
      <c r="A749" s="90"/>
      <c r="B749" s="90"/>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c r="AA749" s="90"/>
    </row>
    <row r="750">
      <c r="A750" s="90"/>
      <c r="B750" s="90"/>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c r="AA750" s="90"/>
    </row>
    <row r="751">
      <c r="A751" s="90"/>
      <c r="B751" s="90"/>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c r="AA751" s="90"/>
    </row>
    <row r="752">
      <c r="A752" s="90"/>
      <c r="B752" s="90"/>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c r="AA752" s="90"/>
    </row>
    <row r="753">
      <c r="A753" s="90"/>
      <c r="B753" s="90"/>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c r="AA753" s="90"/>
    </row>
    <row r="754">
      <c r="A754" s="90"/>
      <c r="B754" s="90"/>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c r="AA754" s="90"/>
    </row>
    <row r="755">
      <c r="A755" s="90"/>
      <c r="B755" s="90"/>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c r="AA755" s="90"/>
    </row>
    <row r="756">
      <c r="A756" s="90"/>
      <c r="B756" s="90"/>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c r="AA756" s="90"/>
    </row>
    <row r="757">
      <c r="A757" s="90"/>
      <c r="B757" s="90"/>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c r="AA757" s="90"/>
    </row>
    <row r="758">
      <c r="A758" s="90"/>
      <c r="B758" s="90"/>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c r="AA758" s="90"/>
    </row>
    <row r="759">
      <c r="A759" s="90"/>
      <c r="B759" s="90"/>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c r="AA759" s="90"/>
    </row>
    <row r="760">
      <c r="A760" s="90"/>
      <c r="B760" s="90"/>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c r="AA760" s="90"/>
    </row>
    <row r="761">
      <c r="A761" s="90"/>
      <c r="B761" s="90"/>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c r="AA761" s="90"/>
    </row>
    <row r="762">
      <c r="A762" s="90"/>
      <c r="B762" s="90"/>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c r="AA762" s="90"/>
    </row>
    <row r="763">
      <c r="A763" s="90"/>
      <c r="B763" s="90"/>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c r="AA763" s="90"/>
    </row>
    <row r="764">
      <c r="A764" s="90"/>
      <c r="B764" s="90"/>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c r="AA764" s="90"/>
    </row>
    <row r="765">
      <c r="A765" s="90"/>
      <c r="B765" s="90"/>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c r="AA765" s="90"/>
    </row>
    <row r="766">
      <c r="A766" s="90"/>
      <c r="B766" s="90"/>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c r="AA766" s="90"/>
    </row>
    <row r="767">
      <c r="A767" s="90"/>
      <c r="B767" s="90"/>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c r="AA767" s="90"/>
    </row>
    <row r="768">
      <c r="A768" s="90"/>
      <c r="B768" s="90"/>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c r="AA768" s="90"/>
    </row>
    <row r="769">
      <c r="A769" s="90"/>
      <c r="B769" s="90"/>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c r="AA769" s="90"/>
    </row>
    <row r="770">
      <c r="A770" s="90"/>
      <c r="B770" s="90"/>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c r="AA770" s="90"/>
    </row>
    <row r="771">
      <c r="A771" s="90"/>
      <c r="B771" s="90"/>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c r="AA771" s="90"/>
    </row>
    <row r="772">
      <c r="A772" s="90"/>
      <c r="B772" s="90"/>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c r="AA772" s="90"/>
    </row>
    <row r="773">
      <c r="A773" s="90"/>
      <c r="B773" s="90"/>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c r="AA773" s="90"/>
    </row>
    <row r="774">
      <c r="A774" s="90"/>
      <c r="B774" s="90"/>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c r="AA774" s="90"/>
    </row>
    <row r="775">
      <c r="A775" s="90"/>
      <c r="B775" s="90"/>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c r="AA775" s="90"/>
    </row>
    <row r="776">
      <c r="A776" s="90"/>
      <c r="B776" s="90"/>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c r="AA776" s="90"/>
    </row>
    <row r="777">
      <c r="A777" s="90"/>
      <c r="B777" s="90"/>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c r="AA777" s="90"/>
    </row>
    <row r="778">
      <c r="A778" s="90"/>
      <c r="B778" s="90"/>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c r="AA778" s="90"/>
    </row>
    <row r="779">
      <c r="A779" s="90"/>
      <c r="B779" s="90"/>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c r="AA779" s="90"/>
    </row>
    <row r="780">
      <c r="A780" s="90"/>
      <c r="B780" s="90"/>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c r="AA780" s="90"/>
    </row>
    <row r="781">
      <c r="A781" s="90"/>
      <c r="B781" s="90"/>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c r="AA781" s="90"/>
    </row>
    <row r="782">
      <c r="A782" s="90"/>
      <c r="B782" s="90"/>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c r="AA782" s="90"/>
    </row>
    <row r="783">
      <c r="A783" s="90"/>
      <c r="B783" s="90"/>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c r="AA783" s="90"/>
    </row>
    <row r="784">
      <c r="A784" s="90"/>
      <c r="B784" s="90"/>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c r="AA784" s="90"/>
    </row>
    <row r="785">
      <c r="A785" s="90"/>
      <c r="B785" s="90"/>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c r="AA785" s="90"/>
    </row>
    <row r="786">
      <c r="A786" s="90"/>
      <c r="B786" s="90"/>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c r="AA786" s="90"/>
    </row>
    <row r="787">
      <c r="A787" s="90"/>
      <c r="B787" s="90"/>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c r="AA787" s="90"/>
    </row>
    <row r="788">
      <c r="A788" s="90"/>
      <c r="B788" s="90"/>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c r="AA788" s="90"/>
    </row>
    <row r="789">
      <c r="A789" s="90"/>
      <c r="B789" s="90"/>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c r="AA789" s="90"/>
    </row>
    <row r="790">
      <c r="A790" s="90"/>
      <c r="B790" s="90"/>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c r="AA790" s="90"/>
    </row>
    <row r="791">
      <c r="A791" s="90"/>
      <c r="B791" s="90"/>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c r="AA791" s="90"/>
    </row>
    <row r="792">
      <c r="A792" s="90"/>
      <c r="B792" s="90"/>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c r="AA792" s="90"/>
    </row>
    <row r="793">
      <c r="A793" s="90"/>
      <c r="B793" s="90"/>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c r="AA793" s="90"/>
    </row>
    <row r="794">
      <c r="A794" s="90"/>
      <c r="B794" s="90"/>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c r="AA794" s="90"/>
    </row>
    <row r="795">
      <c r="A795" s="90"/>
      <c r="B795" s="90"/>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c r="AA795" s="90"/>
    </row>
    <row r="796">
      <c r="A796" s="90"/>
      <c r="B796" s="90"/>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c r="AA796" s="90"/>
    </row>
    <row r="797">
      <c r="A797" s="90"/>
      <c r="B797" s="90"/>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c r="AA797" s="90"/>
    </row>
    <row r="798">
      <c r="A798" s="90"/>
      <c r="B798" s="90"/>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c r="AA798" s="90"/>
    </row>
    <row r="799">
      <c r="A799" s="90"/>
      <c r="B799" s="90"/>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c r="AA799" s="90"/>
    </row>
    <row r="800">
      <c r="A800" s="90"/>
      <c r="B800" s="90"/>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c r="AA800" s="90"/>
    </row>
    <row r="801">
      <c r="A801" s="90"/>
      <c r="B801" s="90"/>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c r="AA801" s="90"/>
    </row>
    <row r="802">
      <c r="A802" s="90"/>
      <c r="B802" s="90"/>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c r="AA802" s="90"/>
    </row>
    <row r="803">
      <c r="A803" s="90"/>
      <c r="B803" s="90"/>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c r="AA803" s="90"/>
    </row>
    <row r="804">
      <c r="A804" s="90"/>
      <c r="B804" s="90"/>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c r="AA804" s="90"/>
    </row>
    <row r="805">
      <c r="A805" s="90"/>
      <c r="B805" s="90"/>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c r="AA805" s="90"/>
    </row>
    <row r="806">
      <c r="A806" s="90"/>
      <c r="B806" s="90"/>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c r="AA806" s="90"/>
    </row>
    <row r="807">
      <c r="A807" s="90"/>
      <c r="B807" s="90"/>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c r="AA807" s="90"/>
    </row>
    <row r="808">
      <c r="A808" s="90"/>
      <c r="B808" s="90"/>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c r="AA808" s="90"/>
    </row>
    <row r="809">
      <c r="A809" s="90"/>
      <c r="B809" s="90"/>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c r="AA809" s="90"/>
    </row>
    <row r="810">
      <c r="A810" s="90"/>
      <c r="B810" s="90"/>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c r="AA810" s="90"/>
    </row>
    <row r="811">
      <c r="A811" s="90"/>
      <c r="B811" s="90"/>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c r="AA811" s="90"/>
    </row>
    <row r="812">
      <c r="A812" s="90"/>
      <c r="B812" s="90"/>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c r="AA812" s="90"/>
    </row>
    <row r="813">
      <c r="A813" s="90"/>
      <c r="B813" s="90"/>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c r="AA813" s="90"/>
    </row>
    <row r="814">
      <c r="A814" s="90"/>
      <c r="B814" s="90"/>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c r="AA814" s="90"/>
    </row>
    <row r="815">
      <c r="A815" s="90"/>
      <c r="B815" s="90"/>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c r="AA815" s="90"/>
    </row>
    <row r="816">
      <c r="A816" s="90"/>
      <c r="B816" s="90"/>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c r="AA816" s="90"/>
    </row>
    <row r="817">
      <c r="A817" s="90"/>
      <c r="B817" s="90"/>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c r="AA817" s="90"/>
    </row>
    <row r="818">
      <c r="A818" s="90"/>
      <c r="B818" s="90"/>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c r="AA818" s="90"/>
    </row>
    <row r="819">
      <c r="A819" s="90"/>
      <c r="B819" s="90"/>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c r="AA819" s="90"/>
    </row>
    <row r="820">
      <c r="A820" s="90"/>
      <c r="B820" s="90"/>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c r="AA820" s="90"/>
    </row>
    <row r="821">
      <c r="A821" s="90"/>
      <c r="B821" s="90"/>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c r="AA821" s="90"/>
    </row>
    <row r="822">
      <c r="A822" s="90"/>
      <c r="B822" s="90"/>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c r="AA822" s="90"/>
    </row>
    <row r="823">
      <c r="A823" s="90"/>
      <c r="B823" s="90"/>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c r="AA823" s="90"/>
    </row>
    <row r="824">
      <c r="A824" s="90"/>
      <c r="B824" s="90"/>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c r="AA824" s="90"/>
    </row>
    <row r="825">
      <c r="A825" s="90"/>
      <c r="B825" s="90"/>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c r="AA825" s="90"/>
    </row>
    <row r="826">
      <c r="A826" s="90"/>
      <c r="B826" s="90"/>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c r="AA826" s="90"/>
    </row>
    <row r="827">
      <c r="A827" s="90"/>
      <c r="B827" s="90"/>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c r="AA827" s="90"/>
    </row>
    <row r="828">
      <c r="A828" s="90"/>
      <c r="B828" s="90"/>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c r="AA828" s="90"/>
    </row>
    <row r="829">
      <c r="A829" s="90"/>
      <c r="B829" s="90"/>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c r="AA829" s="90"/>
    </row>
    <row r="830">
      <c r="A830" s="90"/>
      <c r="B830" s="90"/>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c r="AA830" s="90"/>
    </row>
    <row r="831">
      <c r="A831" s="90"/>
      <c r="B831" s="90"/>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c r="AA831" s="90"/>
    </row>
    <row r="832">
      <c r="A832" s="90"/>
      <c r="B832" s="90"/>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c r="AA832" s="90"/>
    </row>
    <row r="833">
      <c r="A833" s="90"/>
      <c r="B833" s="90"/>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c r="AA833" s="90"/>
    </row>
    <row r="834">
      <c r="A834" s="90"/>
      <c r="B834" s="90"/>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c r="AA834" s="90"/>
    </row>
    <row r="835">
      <c r="A835" s="90"/>
      <c r="B835" s="90"/>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c r="AA835" s="90"/>
    </row>
    <row r="836">
      <c r="A836" s="90"/>
      <c r="B836" s="90"/>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c r="AA836" s="90"/>
    </row>
    <row r="837">
      <c r="A837" s="90"/>
      <c r="B837" s="90"/>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c r="AA837" s="90"/>
    </row>
    <row r="838">
      <c r="A838" s="90"/>
      <c r="B838" s="90"/>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c r="AA838" s="90"/>
    </row>
    <row r="839">
      <c r="A839" s="90"/>
      <c r="B839" s="90"/>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c r="AA839" s="90"/>
    </row>
    <row r="840">
      <c r="A840" s="90"/>
      <c r="B840" s="90"/>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c r="AA840" s="90"/>
    </row>
    <row r="841">
      <c r="A841" s="90"/>
      <c r="B841" s="90"/>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c r="AA841" s="90"/>
    </row>
    <row r="842">
      <c r="A842" s="90"/>
      <c r="B842" s="90"/>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c r="AA842" s="90"/>
    </row>
    <row r="843">
      <c r="A843" s="90"/>
      <c r="B843" s="90"/>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c r="AA843" s="90"/>
    </row>
    <row r="844">
      <c r="A844" s="90"/>
      <c r="B844" s="90"/>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c r="AA844" s="90"/>
    </row>
    <row r="845">
      <c r="A845" s="90"/>
      <c r="B845" s="90"/>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c r="AA845" s="90"/>
    </row>
    <row r="846">
      <c r="A846" s="90"/>
      <c r="B846" s="90"/>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c r="AA846" s="90"/>
    </row>
    <row r="847">
      <c r="A847" s="90"/>
      <c r="B847" s="90"/>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c r="AA847" s="90"/>
    </row>
    <row r="848">
      <c r="A848" s="90"/>
      <c r="B848" s="90"/>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c r="AA848" s="90"/>
    </row>
    <row r="849">
      <c r="A849" s="90"/>
      <c r="B849" s="90"/>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c r="AA849" s="90"/>
    </row>
    <row r="850">
      <c r="A850" s="90"/>
      <c r="B850" s="90"/>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c r="AA850" s="90"/>
    </row>
    <row r="851">
      <c r="A851" s="90"/>
      <c r="B851" s="90"/>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c r="AA851" s="90"/>
    </row>
    <row r="852">
      <c r="A852" s="90"/>
      <c r="B852" s="90"/>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c r="AA852" s="90"/>
    </row>
    <row r="853">
      <c r="A853" s="90"/>
      <c r="B853" s="90"/>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c r="AA853" s="90"/>
    </row>
    <row r="854">
      <c r="A854" s="90"/>
      <c r="B854" s="90"/>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c r="AA854" s="90"/>
    </row>
    <row r="855">
      <c r="A855" s="90"/>
      <c r="B855" s="90"/>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c r="AA855" s="90"/>
    </row>
    <row r="856">
      <c r="A856" s="90"/>
      <c r="B856" s="90"/>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c r="AA856" s="90"/>
    </row>
    <row r="857">
      <c r="A857" s="90"/>
      <c r="B857" s="90"/>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c r="AA857" s="90"/>
    </row>
    <row r="858">
      <c r="A858" s="90"/>
      <c r="B858" s="90"/>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c r="AA858" s="90"/>
    </row>
    <row r="859">
      <c r="A859" s="90"/>
      <c r="B859" s="90"/>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c r="AA859" s="90"/>
    </row>
    <row r="860">
      <c r="A860" s="90"/>
      <c r="B860" s="90"/>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c r="AA860" s="90"/>
    </row>
    <row r="861">
      <c r="A861" s="90"/>
      <c r="B861" s="90"/>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c r="AA861" s="90"/>
    </row>
    <row r="862">
      <c r="A862" s="90"/>
      <c r="B862" s="90"/>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c r="AA862" s="90"/>
    </row>
    <row r="863">
      <c r="A863" s="90"/>
      <c r="B863" s="90"/>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c r="AA863" s="90"/>
    </row>
    <row r="864">
      <c r="A864" s="90"/>
      <c r="B864" s="90"/>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c r="AA864" s="90"/>
    </row>
    <row r="865">
      <c r="A865" s="90"/>
      <c r="B865" s="90"/>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c r="AA865" s="90"/>
    </row>
    <row r="866">
      <c r="A866" s="90"/>
      <c r="B866" s="90"/>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c r="AA866" s="90"/>
    </row>
    <row r="867">
      <c r="A867" s="90"/>
      <c r="B867" s="90"/>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c r="AA867" s="90"/>
    </row>
    <row r="868">
      <c r="A868" s="90"/>
      <c r="B868" s="90"/>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c r="AA868" s="90"/>
    </row>
    <row r="869">
      <c r="A869" s="90"/>
      <c r="B869" s="90"/>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c r="AA869" s="90"/>
    </row>
    <row r="870">
      <c r="A870" s="90"/>
      <c r="B870" s="90"/>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c r="AA870" s="90"/>
    </row>
    <row r="871">
      <c r="A871" s="90"/>
      <c r="B871" s="90"/>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c r="AA871" s="90"/>
    </row>
    <row r="872">
      <c r="A872" s="90"/>
      <c r="B872" s="90"/>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c r="AA872" s="90"/>
    </row>
    <row r="873">
      <c r="A873" s="90"/>
      <c r="B873" s="90"/>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c r="AA873" s="90"/>
    </row>
    <row r="874">
      <c r="A874" s="90"/>
      <c r="B874" s="90"/>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c r="AA874" s="90"/>
    </row>
    <row r="875">
      <c r="A875" s="90"/>
      <c r="B875" s="90"/>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c r="AA875" s="90"/>
    </row>
    <row r="876">
      <c r="A876" s="90"/>
      <c r="B876" s="90"/>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c r="AA876" s="90"/>
    </row>
    <row r="877">
      <c r="A877" s="90"/>
      <c r="B877" s="90"/>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c r="AA877" s="90"/>
    </row>
    <row r="878">
      <c r="A878" s="90"/>
      <c r="B878" s="90"/>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c r="AA878" s="90"/>
    </row>
    <row r="879">
      <c r="A879" s="90"/>
      <c r="B879" s="90"/>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c r="AA879" s="90"/>
    </row>
    <row r="880">
      <c r="A880" s="90"/>
      <c r="B880" s="90"/>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c r="AA880" s="90"/>
    </row>
    <row r="881">
      <c r="A881" s="90"/>
      <c r="B881" s="90"/>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c r="AA881" s="90"/>
    </row>
    <row r="882">
      <c r="A882" s="90"/>
      <c r="B882" s="90"/>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c r="AA882" s="90"/>
    </row>
    <row r="883">
      <c r="A883" s="90"/>
      <c r="B883" s="90"/>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c r="AA883" s="90"/>
    </row>
    <row r="884">
      <c r="A884" s="90"/>
      <c r="B884" s="90"/>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c r="AA884" s="90"/>
    </row>
    <row r="885">
      <c r="A885" s="90"/>
      <c r="B885" s="90"/>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c r="AA885" s="90"/>
    </row>
    <row r="886">
      <c r="A886" s="90"/>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row>
    <row r="887">
      <c r="A887" s="90"/>
      <c r="B887" s="90"/>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c r="AA887" s="90"/>
    </row>
    <row r="888">
      <c r="A888" s="90"/>
      <c r="B888" s="90"/>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c r="AA888" s="90"/>
    </row>
    <row r="889">
      <c r="A889" s="90"/>
      <c r="B889" s="90"/>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c r="AA889" s="90"/>
    </row>
    <row r="890">
      <c r="A890" s="90"/>
      <c r="B890" s="90"/>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c r="AA890" s="90"/>
    </row>
    <row r="891">
      <c r="A891" s="90"/>
      <c r="B891" s="90"/>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c r="AA891" s="90"/>
    </row>
    <row r="892">
      <c r="A892" s="90"/>
      <c r="B892" s="90"/>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c r="AA892" s="90"/>
    </row>
    <row r="893">
      <c r="A893" s="90"/>
      <c r="B893" s="90"/>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c r="AA893" s="90"/>
    </row>
    <row r="894">
      <c r="A894" s="90"/>
      <c r="B894" s="90"/>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c r="AA894" s="90"/>
    </row>
    <row r="895">
      <c r="A895" s="90"/>
      <c r="B895" s="90"/>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c r="AA895" s="90"/>
    </row>
    <row r="896">
      <c r="A896" s="90"/>
      <c r="B896" s="90"/>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c r="AA896" s="90"/>
    </row>
    <row r="897">
      <c r="A897" s="90"/>
      <c r="B897" s="90"/>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c r="AA897" s="90"/>
    </row>
    <row r="898">
      <c r="A898" s="90"/>
      <c r="B898" s="90"/>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c r="AA898" s="90"/>
    </row>
    <row r="899">
      <c r="A899" s="90"/>
      <c r="B899" s="90"/>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c r="AA899" s="90"/>
    </row>
    <row r="900">
      <c r="A900" s="90"/>
      <c r="B900" s="90"/>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c r="AA900" s="90"/>
    </row>
    <row r="901">
      <c r="A901" s="90"/>
      <c r="B901" s="90"/>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c r="AA901" s="90"/>
    </row>
    <row r="902">
      <c r="A902" s="90"/>
      <c r="B902" s="90"/>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c r="AA902" s="90"/>
    </row>
    <row r="903">
      <c r="A903" s="90"/>
      <c r="B903" s="90"/>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c r="AA903" s="90"/>
    </row>
    <row r="904">
      <c r="A904" s="90"/>
      <c r="B904" s="90"/>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c r="AA904" s="90"/>
    </row>
    <row r="905">
      <c r="A905" s="90"/>
      <c r="B905" s="90"/>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c r="AA905" s="90"/>
    </row>
    <row r="906">
      <c r="A906" s="90"/>
      <c r="B906" s="90"/>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c r="AA906" s="90"/>
    </row>
    <row r="907">
      <c r="A907" s="90"/>
      <c r="B907" s="90"/>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c r="AA907" s="90"/>
    </row>
    <row r="908">
      <c r="A908" s="90"/>
      <c r="B908" s="90"/>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c r="AA908" s="90"/>
    </row>
    <row r="909">
      <c r="A909" s="90"/>
      <c r="B909" s="90"/>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c r="AA909" s="90"/>
    </row>
    <row r="910">
      <c r="A910" s="90"/>
      <c r="B910" s="90"/>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c r="AA910" s="90"/>
    </row>
    <row r="911">
      <c r="A911" s="90"/>
      <c r="B911" s="90"/>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c r="AA911" s="90"/>
    </row>
    <row r="912">
      <c r="A912" s="90"/>
      <c r="B912" s="90"/>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c r="AA912" s="90"/>
    </row>
    <row r="913">
      <c r="A913" s="90"/>
      <c r="B913" s="90"/>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c r="AA913" s="90"/>
    </row>
    <row r="914">
      <c r="A914" s="90"/>
      <c r="B914" s="90"/>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c r="AA914" s="90"/>
    </row>
    <row r="915">
      <c r="A915" s="90"/>
      <c r="B915" s="90"/>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c r="AA915" s="90"/>
    </row>
    <row r="916">
      <c r="A916" s="90"/>
      <c r="B916" s="90"/>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c r="AA916" s="90"/>
    </row>
    <row r="917">
      <c r="A917" s="90"/>
      <c r="B917" s="90"/>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c r="AA917" s="90"/>
    </row>
    <row r="918">
      <c r="A918" s="90"/>
      <c r="B918" s="90"/>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c r="AA918" s="90"/>
    </row>
    <row r="919">
      <c r="A919" s="90"/>
      <c r="B919" s="90"/>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c r="AA919" s="90"/>
    </row>
    <row r="920">
      <c r="A920" s="90"/>
      <c r="B920" s="90"/>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c r="AA920" s="90"/>
    </row>
    <row r="921">
      <c r="A921" s="90"/>
      <c r="B921" s="90"/>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c r="AA921" s="90"/>
    </row>
    <row r="922">
      <c r="A922" s="90"/>
      <c r="B922" s="90"/>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c r="AA922" s="90"/>
    </row>
    <row r="923">
      <c r="A923" s="90"/>
      <c r="B923" s="90"/>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c r="AA923" s="90"/>
    </row>
    <row r="924">
      <c r="A924" s="90"/>
      <c r="B924" s="90"/>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c r="AA924" s="90"/>
    </row>
    <row r="925">
      <c r="A925" s="90"/>
      <c r="B925" s="90"/>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c r="AA925" s="90"/>
    </row>
    <row r="926">
      <c r="A926" s="90"/>
      <c r="B926" s="90"/>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c r="AA926" s="90"/>
    </row>
    <row r="927">
      <c r="A927" s="90"/>
      <c r="B927" s="90"/>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c r="AA927" s="90"/>
    </row>
    <row r="928">
      <c r="A928" s="90"/>
      <c r="B928" s="90"/>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c r="AA928" s="90"/>
    </row>
    <row r="929">
      <c r="A929" s="90"/>
      <c r="B929" s="90"/>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c r="AA929" s="90"/>
    </row>
    <row r="930">
      <c r="A930" s="90"/>
      <c r="B930" s="90"/>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c r="AA930" s="90"/>
    </row>
    <row r="931">
      <c r="A931" s="90"/>
      <c r="B931" s="90"/>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c r="AA931" s="90"/>
    </row>
    <row r="932">
      <c r="A932" s="90"/>
      <c r="B932" s="90"/>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c r="AA932" s="90"/>
    </row>
    <row r="933">
      <c r="A933" s="90"/>
      <c r="B933" s="90"/>
      <c r="C933" s="90"/>
      <c r="D933" s="90"/>
      <c r="E933" s="90"/>
      <c r="F933" s="90"/>
      <c r="G933" s="90"/>
      <c r="H933" s="90"/>
      <c r="I933" s="90"/>
      <c r="J933" s="90"/>
      <c r="K933" s="90"/>
      <c r="L933" s="90"/>
      <c r="M933" s="90"/>
      <c r="N933" s="90"/>
      <c r="O933" s="90"/>
      <c r="P933" s="90"/>
      <c r="Q933" s="90"/>
      <c r="R933" s="90"/>
      <c r="S933" s="90"/>
      <c r="T933" s="90"/>
      <c r="U933" s="90"/>
      <c r="V933" s="90"/>
      <c r="W933" s="90"/>
      <c r="X933" s="90"/>
      <c r="Y933" s="90"/>
      <c r="Z933" s="90"/>
      <c r="AA933" s="90"/>
    </row>
    <row r="934">
      <c r="A934" s="90"/>
      <c r="B934" s="90"/>
      <c r="C934" s="90"/>
      <c r="D934" s="90"/>
      <c r="E934" s="90"/>
      <c r="F934" s="90"/>
      <c r="G934" s="90"/>
      <c r="H934" s="90"/>
      <c r="I934" s="90"/>
      <c r="J934" s="90"/>
      <c r="K934" s="90"/>
      <c r="L934" s="90"/>
      <c r="M934" s="90"/>
      <c r="N934" s="90"/>
      <c r="O934" s="90"/>
      <c r="P934" s="90"/>
      <c r="Q934" s="90"/>
      <c r="R934" s="90"/>
      <c r="S934" s="90"/>
      <c r="T934" s="90"/>
      <c r="U934" s="90"/>
      <c r="V934" s="90"/>
      <c r="W934" s="90"/>
      <c r="X934" s="90"/>
      <c r="Y934" s="90"/>
      <c r="Z934" s="90"/>
      <c r="AA934" s="90"/>
    </row>
    <row r="935">
      <c r="A935" s="90"/>
      <c r="B935" s="90"/>
      <c r="C935" s="90"/>
      <c r="D935" s="90"/>
      <c r="E935" s="90"/>
      <c r="F935" s="90"/>
      <c r="G935" s="90"/>
      <c r="H935" s="90"/>
      <c r="I935" s="90"/>
      <c r="J935" s="90"/>
      <c r="K935" s="90"/>
      <c r="L935" s="90"/>
      <c r="M935" s="90"/>
      <c r="N935" s="90"/>
      <c r="O935" s="90"/>
      <c r="P935" s="90"/>
      <c r="Q935" s="90"/>
      <c r="R935" s="90"/>
      <c r="S935" s="90"/>
      <c r="T935" s="90"/>
      <c r="U935" s="90"/>
      <c r="V935" s="90"/>
      <c r="W935" s="90"/>
      <c r="X935" s="90"/>
      <c r="Y935" s="90"/>
      <c r="Z935" s="90"/>
      <c r="AA935" s="90"/>
    </row>
    <row r="936">
      <c r="A936" s="90"/>
      <c r="B936" s="90"/>
      <c r="C936" s="90"/>
      <c r="D936" s="90"/>
      <c r="E936" s="90"/>
      <c r="F936" s="90"/>
      <c r="G936" s="90"/>
      <c r="H936" s="90"/>
      <c r="I936" s="90"/>
      <c r="J936" s="90"/>
      <c r="K936" s="90"/>
      <c r="L936" s="90"/>
      <c r="M936" s="90"/>
      <c r="N936" s="90"/>
      <c r="O936" s="90"/>
      <c r="P936" s="90"/>
      <c r="Q936" s="90"/>
      <c r="R936" s="90"/>
      <c r="S936" s="90"/>
      <c r="T936" s="90"/>
      <c r="U936" s="90"/>
      <c r="V936" s="90"/>
      <c r="W936" s="90"/>
      <c r="X936" s="90"/>
      <c r="Y936" s="90"/>
      <c r="Z936" s="90"/>
      <c r="AA936" s="90"/>
    </row>
    <row r="937">
      <c r="A937" s="90"/>
      <c r="B937" s="90"/>
      <c r="C937" s="90"/>
      <c r="D937" s="90"/>
      <c r="E937" s="90"/>
      <c r="F937" s="90"/>
      <c r="G937" s="90"/>
      <c r="H937" s="90"/>
      <c r="I937" s="90"/>
      <c r="J937" s="90"/>
      <c r="K937" s="90"/>
      <c r="L937" s="90"/>
      <c r="M937" s="90"/>
      <c r="N937" s="90"/>
      <c r="O937" s="90"/>
      <c r="P937" s="90"/>
      <c r="Q937" s="90"/>
      <c r="R937" s="90"/>
      <c r="S937" s="90"/>
      <c r="T937" s="90"/>
      <c r="U937" s="90"/>
      <c r="V937" s="90"/>
      <c r="W937" s="90"/>
      <c r="X937" s="90"/>
      <c r="Y937" s="90"/>
      <c r="Z937" s="90"/>
      <c r="AA937" s="90"/>
    </row>
    <row r="938">
      <c r="A938" s="90"/>
      <c r="B938" s="90"/>
      <c r="C938" s="90"/>
      <c r="D938" s="90"/>
      <c r="E938" s="90"/>
      <c r="F938" s="90"/>
      <c r="G938" s="90"/>
      <c r="H938" s="90"/>
      <c r="I938" s="90"/>
      <c r="J938" s="90"/>
      <c r="K938" s="90"/>
      <c r="L938" s="90"/>
      <c r="M938" s="90"/>
      <c r="N938" s="90"/>
      <c r="O938" s="90"/>
      <c r="P938" s="90"/>
      <c r="Q938" s="90"/>
      <c r="R938" s="90"/>
      <c r="S938" s="90"/>
      <c r="T938" s="90"/>
      <c r="U938" s="90"/>
      <c r="V938" s="90"/>
      <c r="W938" s="90"/>
      <c r="X938" s="90"/>
      <c r="Y938" s="90"/>
      <c r="Z938" s="90"/>
      <c r="AA938" s="90"/>
    </row>
    <row r="939">
      <c r="A939" s="90"/>
      <c r="B939" s="90"/>
      <c r="C939" s="90"/>
      <c r="D939" s="90"/>
      <c r="E939" s="90"/>
      <c r="F939" s="90"/>
      <c r="G939" s="90"/>
      <c r="H939" s="90"/>
      <c r="I939" s="90"/>
      <c r="J939" s="90"/>
      <c r="K939" s="90"/>
      <c r="L939" s="90"/>
      <c r="M939" s="90"/>
      <c r="N939" s="90"/>
      <c r="O939" s="90"/>
      <c r="P939" s="90"/>
      <c r="Q939" s="90"/>
      <c r="R939" s="90"/>
      <c r="S939" s="90"/>
      <c r="T939" s="90"/>
      <c r="U939" s="90"/>
      <c r="V939" s="90"/>
      <c r="W939" s="90"/>
      <c r="X939" s="90"/>
      <c r="Y939" s="90"/>
      <c r="Z939" s="90"/>
      <c r="AA939" s="90"/>
    </row>
    <row r="940">
      <c r="A940" s="90"/>
      <c r="B940" s="90"/>
      <c r="C940" s="90"/>
      <c r="D940" s="90"/>
      <c r="E940" s="90"/>
      <c r="F940" s="90"/>
      <c r="G940" s="90"/>
      <c r="H940" s="90"/>
      <c r="I940" s="90"/>
      <c r="J940" s="90"/>
      <c r="K940" s="90"/>
      <c r="L940" s="90"/>
      <c r="M940" s="90"/>
      <c r="N940" s="90"/>
      <c r="O940" s="90"/>
      <c r="P940" s="90"/>
      <c r="Q940" s="90"/>
      <c r="R940" s="90"/>
      <c r="S940" s="90"/>
      <c r="T940" s="90"/>
      <c r="U940" s="90"/>
      <c r="V940" s="90"/>
      <c r="W940" s="90"/>
      <c r="X940" s="90"/>
      <c r="Y940" s="90"/>
      <c r="Z940" s="90"/>
      <c r="AA940" s="90"/>
    </row>
    <row r="941">
      <c r="A941" s="90"/>
      <c r="B941" s="90"/>
      <c r="C941" s="90"/>
      <c r="D941" s="90"/>
      <c r="E941" s="90"/>
      <c r="F941" s="90"/>
      <c r="G941" s="90"/>
      <c r="H941" s="90"/>
      <c r="I941" s="90"/>
      <c r="J941" s="90"/>
      <c r="K941" s="90"/>
      <c r="L941" s="90"/>
      <c r="M941" s="90"/>
      <c r="N941" s="90"/>
      <c r="O941" s="90"/>
      <c r="P941" s="90"/>
      <c r="Q941" s="90"/>
      <c r="R941" s="90"/>
      <c r="S941" s="90"/>
      <c r="T941" s="90"/>
      <c r="U941" s="90"/>
      <c r="V941" s="90"/>
      <c r="W941" s="90"/>
      <c r="X941" s="90"/>
      <c r="Y941" s="90"/>
      <c r="Z941" s="90"/>
      <c r="AA941" s="90"/>
    </row>
    <row r="942">
      <c r="A942" s="90"/>
      <c r="B942" s="90"/>
      <c r="C942" s="90"/>
      <c r="D942" s="90"/>
      <c r="E942" s="90"/>
      <c r="F942" s="90"/>
      <c r="G942" s="90"/>
      <c r="H942" s="90"/>
      <c r="I942" s="90"/>
      <c r="J942" s="90"/>
      <c r="K942" s="90"/>
      <c r="L942" s="90"/>
      <c r="M942" s="90"/>
      <c r="N942" s="90"/>
      <c r="O942" s="90"/>
      <c r="P942" s="90"/>
      <c r="Q942" s="90"/>
      <c r="R942" s="90"/>
      <c r="S942" s="90"/>
      <c r="T942" s="90"/>
      <c r="U942" s="90"/>
      <c r="V942" s="90"/>
      <c r="W942" s="90"/>
      <c r="X942" s="90"/>
      <c r="Y942" s="90"/>
      <c r="Z942" s="90"/>
      <c r="AA942" s="90"/>
    </row>
    <row r="943">
      <c r="A943" s="90"/>
      <c r="B943" s="90"/>
      <c r="C943" s="90"/>
      <c r="D943" s="90"/>
      <c r="E943" s="90"/>
      <c r="F943" s="90"/>
      <c r="G943" s="90"/>
      <c r="H943" s="90"/>
      <c r="I943" s="90"/>
      <c r="J943" s="90"/>
      <c r="K943" s="90"/>
      <c r="L943" s="90"/>
      <c r="M943" s="90"/>
      <c r="N943" s="90"/>
      <c r="O943" s="90"/>
      <c r="P943" s="90"/>
      <c r="Q943" s="90"/>
      <c r="R943" s="90"/>
      <c r="S943" s="90"/>
      <c r="T943" s="90"/>
      <c r="U943" s="90"/>
      <c r="V943" s="90"/>
      <c r="W943" s="90"/>
      <c r="X943" s="90"/>
      <c r="Y943" s="90"/>
      <c r="Z943" s="90"/>
      <c r="AA943" s="90"/>
    </row>
    <row r="944">
      <c r="A944" s="90"/>
      <c r="B944" s="90"/>
      <c r="C944" s="90"/>
      <c r="D944" s="90"/>
      <c r="E944" s="90"/>
      <c r="F944" s="90"/>
      <c r="G944" s="90"/>
      <c r="H944" s="90"/>
      <c r="I944" s="90"/>
      <c r="J944" s="90"/>
      <c r="K944" s="90"/>
      <c r="L944" s="90"/>
      <c r="M944" s="90"/>
      <c r="N944" s="90"/>
      <c r="O944" s="90"/>
      <c r="P944" s="90"/>
      <c r="Q944" s="90"/>
      <c r="R944" s="90"/>
      <c r="S944" s="90"/>
      <c r="T944" s="90"/>
      <c r="U944" s="90"/>
      <c r="V944" s="90"/>
      <c r="W944" s="90"/>
      <c r="X944" s="90"/>
      <c r="Y944" s="90"/>
      <c r="Z944" s="90"/>
      <c r="AA944" s="90"/>
    </row>
    <row r="945">
      <c r="A945" s="90"/>
      <c r="B945" s="90"/>
      <c r="C945" s="90"/>
      <c r="D945" s="90"/>
      <c r="E945" s="90"/>
      <c r="F945" s="90"/>
      <c r="G945" s="90"/>
      <c r="H945" s="90"/>
      <c r="I945" s="90"/>
      <c r="J945" s="90"/>
      <c r="K945" s="90"/>
      <c r="L945" s="90"/>
      <c r="M945" s="90"/>
      <c r="N945" s="90"/>
      <c r="O945" s="90"/>
      <c r="P945" s="90"/>
      <c r="Q945" s="90"/>
      <c r="R945" s="90"/>
      <c r="S945" s="90"/>
      <c r="T945" s="90"/>
      <c r="U945" s="90"/>
      <c r="V945" s="90"/>
      <c r="W945" s="90"/>
      <c r="X945" s="90"/>
      <c r="Y945" s="90"/>
      <c r="Z945" s="90"/>
      <c r="AA945" s="90"/>
    </row>
    <row r="946">
      <c r="A946" s="90"/>
      <c r="B946" s="90"/>
      <c r="C946" s="90"/>
      <c r="D946" s="90"/>
      <c r="E946" s="90"/>
      <c r="F946" s="90"/>
      <c r="G946" s="90"/>
      <c r="H946" s="90"/>
      <c r="I946" s="90"/>
      <c r="J946" s="90"/>
      <c r="K946" s="90"/>
      <c r="L946" s="90"/>
      <c r="M946" s="90"/>
      <c r="N946" s="90"/>
      <c r="O946" s="90"/>
      <c r="P946" s="90"/>
      <c r="Q946" s="90"/>
      <c r="R946" s="90"/>
      <c r="S946" s="90"/>
      <c r="T946" s="90"/>
      <c r="U946" s="90"/>
      <c r="V946" s="90"/>
      <c r="W946" s="90"/>
      <c r="X946" s="90"/>
      <c r="Y946" s="90"/>
      <c r="Z946" s="90"/>
      <c r="AA946" s="90"/>
    </row>
    <row r="947">
      <c r="A947" s="90"/>
      <c r="B947" s="90"/>
      <c r="C947" s="90"/>
      <c r="D947" s="90"/>
      <c r="E947" s="90"/>
      <c r="F947" s="90"/>
      <c r="G947" s="90"/>
      <c r="H947" s="90"/>
      <c r="I947" s="90"/>
      <c r="J947" s="90"/>
      <c r="K947" s="90"/>
      <c r="L947" s="90"/>
      <c r="M947" s="90"/>
      <c r="N947" s="90"/>
      <c r="O947" s="90"/>
      <c r="P947" s="90"/>
      <c r="Q947" s="90"/>
      <c r="R947" s="90"/>
      <c r="S947" s="90"/>
      <c r="T947" s="90"/>
      <c r="U947" s="90"/>
      <c r="V947" s="90"/>
      <c r="W947" s="90"/>
      <c r="X947" s="90"/>
      <c r="Y947" s="90"/>
      <c r="Z947" s="90"/>
      <c r="AA947" s="90"/>
    </row>
    <row r="948">
      <c r="A948" s="90"/>
      <c r="B948" s="90"/>
      <c r="C948" s="90"/>
      <c r="D948" s="90"/>
      <c r="E948" s="90"/>
      <c r="F948" s="90"/>
      <c r="G948" s="90"/>
      <c r="H948" s="90"/>
      <c r="I948" s="90"/>
      <c r="J948" s="90"/>
      <c r="K948" s="90"/>
      <c r="L948" s="90"/>
      <c r="M948" s="90"/>
      <c r="N948" s="90"/>
      <c r="O948" s="90"/>
      <c r="P948" s="90"/>
      <c r="Q948" s="90"/>
      <c r="R948" s="90"/>
      <c r="S948" s="90"/>
      <c r="T948" s="90"/>
      <c r="U948" s="90"/>
      <c r="V948" s="90"/>
      <c r="W948" s="90"/>
      <c r="X948" s="90"/>
      <c r="Y948" s="90"/>
      <c r="Z948" s="90"/>
      <c r="AA948" s="90"/>
    </row>
    <row r="949">
      <c r="A949" s="90"/>
      <c r="B949" s="90"/>
      <c r="C949" s="90"/>
      <c r="D949" s="90"/>
      <c r="E949" s="90"/>
      <c r="F949" s="90"/>
      <c r="G949" s="90"/>
      <c r="H949" s="90"/>
      <c r="I949" s="90"/>
      <c r="J949" s="90"/>
      <c r="K949" s="90"/>
      <c r="L949" s="90"/>
      <c r="M949" s="90"/>
      <c r="N949" s="90"/>
      <c r="O949" s="90"/>
      <c r="P949" s="90"/>
      <c r="Q949" s="90"/>
      <c r="R949" s="90"/>
      <c r="S949" s="90"/>
      <c r="T949" s="90"/>
      <c r="U949" s="90"/>
      <c r="V949" s="90"/>
      <c r="W949" s="90"/>
      <c r="X949" s="90"/>
      <c r="Y949" s="90"/>
      <c r="Z949" s="90"/>
      <c r="AA949" s="90"/>
    </row>
    <row r="950">
      <c r="A950" s="90"/>
      <c r="B950" s="90"/>
      <c r="C950" s="90"/>
      <c r="D950" s="90"/>
      <c r="E950" s="90"/>
      <c r="F950" s="90"/>
      <c r="G950" s="90"/>
      <c r="H950" s="90"/>
      <c r="I950" s="90"/>
      <c r="J950" s="90"/>
      <c r="K950" s="90"/>
      <c r="L950" s="90"/>
      <c r="M950" s="90"/>
      <c r="N950" s="90"/>
      <c r="O950" s="90"/>
      <c r="P950" s="90"/>
      <c r="Q950" s="90"/>
      <c r="R950" s="90"/>
      <c r="S950" s="90"/>
      <c r="T950" s="90"/>
      <c r="U950" s="90"/>
      <c r="V950" s="90"/>
      <c r="W950" s="90"/>
      <c r="X950" s="90"/>
      <c r="Y950" s="90"/>
      <c r="Z950" s="90"/>
      <c r="AA950" s="90"/>
    </row>
    <row r="951">
      <c r="A951" s="90"/>
      <c r="B951" s="90"/>
      <c r="C951" s="90"/>
      <c r="D951" s="90"/>
      <c r="E951" s="90"/>
      <c r="F951" s="90"/>
      <c r="G951" s="90"/>
      <c r="H951" s="90"/>
      <c r="I951" s="90"/>
      <c r="J951" s="90"/>
      <c r="K951" s="90"/>
      <c r="L951" s="90"/>
      <c r="M951" s="90"/>
      <c r="N951" s="90"/>
      <c r="O951" s="90"/>
      <c r="P951" s="90"/>
      <c r="Q951" s="90"/>
      <c r="R951" s="90"/>
      <c r="S951" s="90"/>
      <c r="T951" s="90"/>
      <c r="U951" s="90"/>
      <c r="V951" s="90"/>
      <c r="W951" s="90"/>
      <c r="X951" s="90"/>
      <c r="Y951" s="90"/>
      <c r="Z951" s="90"/>
      <c r="AA951" s="90"/>
    </row>
    <row r="952">
      <c r="A952" s="90"/>
      <c r="B952" s="90"/>
      <c r="C952" s="90"/>
      <c r="D952" s="90"/>
      <c r="E952" s="90"/>
      <c r="F952" s="90"/>
      <c r="G952" s="90"/>
      <c r="H952" s="90"/>
      <c r="I952" s="90"/>
      <c r="J952" s="90"/>
      <c r="K952" s="90"/>
      <c r="L952" s="90"/>
      <c r="M952" s="90"/>
      <c r="N952" s="90"/>
      <c r="O952" s="90"/>
      <c r="P952" s="90"/>
      <c r="Q952" s="90"/>
      <c r="R952" s="90"/>
      <c r="S952" s="90"/>
      <c r="T952" s="90"/>
      <c r="U952" s="90"/>
      <c r="V952" s="90"/>
      <c r="W952" s="90"/>
      <c r="X952" s="90"/>
      <c r="Y952" s="90"/>
      <c r="Z952" s="90"/>
      <c r="AA952" s="90"/>
    </row>
    <row r="953">
      <c r="A953" s="90"/>
      <c r="B953" s="90"/>
      <c r="C953" s="90"/>
      <c r="D953" s="90"/>
      <c r="E953" s="90"/>
      <c r="F953" s="90"/>
      <c r="G953" s="90"/>
      <c r="H953" s="90"/>
      <c r="I953" s="90"/>
      <c r="J953" s="90"/>
      <c r="K953" s="90"/>
      <c r="L953" s="90"/>
      <c r="M953" s="90"/>
      <c r="N953" s="90"/>
      <c r="O953" s="90"/>
      <c r="P953" s="90"/>
      <c r="Q953" s="90"/>
      <c r="R953" s="90"/>
      <c r="S953" s="90"/>
      <c r="T953" s="90"/>
      <c r="U953" s="90"/>
      <c r="V953" s="90"/>
      <c r="W953" s="90"/>
      <c r="X953" s="90"/>
      <c r="Y953" s="90"/>
      <c r="Z953" s="90"/>
      <c r="AA953" s="90"/>
    </row>
    <row r="954">
      <c r="A954" s="90"/>
      <c r="B954" s="90"/>
      <c r="C954" s="90"/>
      <c r="D954" s="90"/>
      <c r="E954" s="90"/>
      <c r="F954" s="90"/>
      <c r="G954" s="90"/>
      <c r="H954" s="90"/>
      <c r="I954" s="90"/>
      <c r="J954" s="90"/>
      <c r="K954" s="90"/>
      <c r="L954" s="90"/>
      <c r="M954" s="90"/>
      <c r="N954" s="90"/>
      <c r="O954" s="90"/>
      <c r="P954" s="90"/>
      <c r="Q954" s="90"/>
      <c r="R954" s="90"/>
      <c r="S954" s="90"/>
      <c r="T954" s="90"/>
      <c r="U954" s="90"/>
      <c r="V954" s="90"/>
      <c r="W954" s="90"/>
      <c r="X954" s="90"/>
      <c r="Y954" s="90"/>
      <c r="Z954" s="90"/>
      <c r="AA954" s="90"/>
    </row>
    <row r="955">
      <c r="A955" s="90"/>
      <c r="B955" s="90"/>
      <c r="C955" s="90"/>
      <c r="D955" s="90"/>
      <c r="E955" s="90"/>
      <c r="F955" s="90"/>
      <c r="G955" s="90"/>
      <c r="H955" s="90"/>
      <c r="I955" s="90"/>
      <c r="J955" s="90"/>
      <c r="K955" s="90"/>
      <c r="L955" s="90"/>
      <c r="M955" s="90"/>
      <c r="N955" s="90"/>
      <c r="O955" s="90"/>
      <c r="P955" s="90"/>
      <c r="Q955" s="90"/>
      <c r="R955" s="90"/>
      <c r="S955" s="90"/>
      <c r="T955" s="90"/>
      <c r="U955" s="90"/>
      <c r="V955" s="90"/>
      <c r="W955" s="90"/>
      <c r="X955" s="90"/>
      <c r="Y955" s="90"/>
      <c r="Z955" s="90"/>
      <c r="AA955" s="90"/>
    </row>
    <row r="956">
      <c r="A956" s="90"/>
      <c r="B956" s="90"/>
      <c r="C956" s="90"/>
      <c r="D956" s="90"/>
      <c r="E956" s="90"/>
      <c r="F956" s="90"/>
      <c r="G956" s="90"/>
      <c r="H956" s="90"/>
      <c r="I956" s="90"/>
      <c r="J956" s="90"/>
      <c r="K956" s="90"/>
      <c r="L956" s="90"/>
      <c r="M956" s="90"/>
      <c r="N956" s="90"/>
      <c r="O956" s="90"/>
      <c r="P956" s="90"/>
      <c r="Q956" s="90"/>
      <c r="R956" s="90"/>
      <c r="S956" s="90"/>
      <c r="T956" s="90"/>
      <c r="U956" s="90"/>
      <c r="V956" s="90"/>
      <c r="W956" s="90"/>
      <c r="X956" s="90"/>
      <c r="Y956" s="90"/>
      <c r="Z956" s="90"/>
      <c r="AA956" s="90"/>
    </row>
    <row r="957">
      <c r="A957" s="90"/>
      <c r="B957" s="90"/>
      <c r="C957" s="90"/>
      <c r="D957" s="90"/>
      <c r="E957" s="90"/>
      <c r="F957" s="90"/>
      <c r="G957" s="90"/>
      <c r="H957" s="90"/>
      <c r="I957" s="90"/>
      <c r="J957" s="90"/>
      <c r="K957" s="90"/>
      <c r="L957" s="90"/>
      <c r="M957" s="90"/>
      <c r="N957" s="90"/>
      <c r="O957" s="90"/>
      <c r="P957" s="90"/>
      <c r="Q957" s="90"/>
      <c r="R957" s="90"/>
      <c r="S957" s="90"/>
      <c r="T957" s="90"/>
      <c r="U957" s="90"/>
      <c r="V957" s="90"/>
      <c r="W957" s="90"/>
      <c r="X957" s="90"/>
      <c r="Y957" s="90"/>
      <c r="Z957" s="90"/>
      <c r="AA957" s="90"/>
    </row>
    <row r="958">
      <c r="A958" s="90"/>
      <c r="B958" s="90"/>
      <c r="C958" s="90"/>
      <c r="D958" s="90"/>
      <c r="E958" s="90"/>
      <c r="F958" s="90"/>
      <c r="G958" s="90"/>
      <c r="H958" s="90"/>
      <c r="I958" s="90"/>
      <c r="J958" s="90"/>
      <c r="K958" s="90"/>
      <c r="L958" s="90"/>
      <c r="M958" s="90"/>
      <c r="N958" s="90"/>
      <c r="O958" s="90"/>
      <c r="P958" s="90"/>
      <c r="Q958" s="90"/>
      <c r="R958" s="90"/>
      <c r="S958" s="90"/>
      <c r="T958" s="90"/>
      <c r="U958" s="90"/>
      <c r="V958" s="90"/>
      <c r="W958" s="90"/>
      <c r="X958" s="90"/>
      <c r="Y958" s="90"/>
      <c r="Z958" s="90"/>
      <c r="AA958" s="90"/>
    </row>
    <row r="959">
      <c r="A959" s="90"/>
      <c r="B959" s="90"/>
      <c r="C959" s="90"/>
      <c r="D959" s="90"/>
      <c r="E959" s="90"/>
      <c r="F959" s="90"/>
      <c r="G959" s="90"/>
      <c r="H959" s="90"/>
      <c r="I959" s="90"/>
      <c r="J959" s="90"/>
      <c r="K959" s="90"/>
      <c r="L959" s="90"/>
      <c r="M959" s="90"/>
      <c r="N959" s="90"/>
      <c r="O959" s="90"/>
      <c r="P959" s="90"/>
      <c r="Q959" s="90"/>
      <c r="R959" s="90"/>
      <c r="S959" s="90"/>
      <c r="T959" s="90"/>
      <c r="U959" s="90"/>
      <c r="V959" s="90"/>
      <c r="W959" s="90"/>
      <c r="X959" s="90"/>
      <c r="Y959" s="90"/>
      <c r="Z959" s="90"/>
      <c r="AA959" s="90"/>
    </row>
    <row r="960">
      <c r="A960" s="90"/>
      <c r="B960" s="90"/>
      <c r="C960" s="90"/>
      <c r="D960" s="90"/>
      <c r="E960" s="90"/>
      <c r="F960" s="90"/>
      <c r="G960" s="90"/>
      <c r="H960" s="90"/>
      <c r="I960" s="90"/>
      <c r="J960" s="90"/>
      <c r="K960" s="90"/>
      <c r="L960" s="90"/>
      <c r="M960" s="90"/>
      <c r="N960" s="90"/>
      <c r="O960" s="90"/>
      <c r="P960" s="90"/>
      <c r="Q960" s="90"/>
      <c r="R960" s="90"/>
      <c r="S960" s="90"/>
      <c r="T960" s="90"/>
      <c r="U960" s="90"/>
      <c r="V960" s="90"/>
      <c r="W960" s="90"/>
      <c r="X960" s="90"/>
      <c r="Y960" s="90"/>
      <c r="Z960" s="90"/>
      <c r="AA960" s="90"/>
    </row>
    <row r="961">
      <c r="A961" s="90"/>
      <c r="B961" s="90"/>
      <c r="C961" s="90"/>
      <c r="D961" s="90"/>
      <c r="E961" s="90"/>
      <c r="F961" s="90"/>
      <c r="G961" s="90"/>
      <c r="H961" s="90"/>
      <c r="I961" s="90"/>
      <c r="J961" s="90"/>
      <c r="K961" s="90"/>
      <c r="L961" s="90"/>
      <c r="M961" s="90"/>
      <c r="N961" s="90"/>
      <c r="O961" s="90"/>
      <c r="P961" s="90"/>
      <c r="Q961" s="90"/>
      <c r="R961" s="90"/>
      <c r="S961" s="90"/>
      <c r="T961" s="90"/>
      <c r="U961" s="90"/>
      <c r="V961" s="90"/>
      <c r="W961" s="90"/>
      <c r="X961" s="90"/>
      <c r="Y961" s="90"/>
      <c r="Z961" s="90"/>
      <c r="AA961" s="90"/>
    </row>
    <row r="962">
      <c r="A962" s="90"/>
      <c r="B962" s="90"/>
      <c r="C962" s="90"/>
      <c r="D962" s="90"/>
      <c r="E962" s="90"/>
      <c r="F962" s="90"/>
      <c r="G962" s="90"/>
      <c r="H962" s="90"/>
      <c r="I962" s="90"/>
      <c r="J962" s="90"/>
      <c r="K962" s="90"/>
      <c r="L962" s="90"/>
      <c r="M962" s="90"/>
      <c r="N962" s="90"/>
      <c r="O962" s="90"/>
      <c r="P962" s="90"/>
      <c r="Q962" s="90"/>
      <c r="R962" s="90"/>
      <c r="S962" s="90"/>
      <c r="T962" s="90"/>
      <c r="U962" s="90"/>
      <c r="V962" s="90"/>
      <c r="W962" s="90"/>
      <c r="X962" s="90"/>
      <c r="Y962" s="90"/>
      <c r="Z962" s="90"/>
      <c r="AA962" s="90"/>
    </row>
    <row r="963">
      <c r="A963" s="90"/>
      <c r="B963" s="90"/>
      <c r="C963" s="90"/>
      <c r="D963" s="90"/>
      <c r="E963" s="90"/>
      <c r="F963" s="90"/>
      <c r="G963" s="90"/>
      <c r="H963" s="90"/>
      <c r="I963" s="90"/>
      <c r="J963" s="90"/>
      <c r="K963" s="90"/>
      <c r="L963" s="90"/>
      <c r="M963" s="90"/>
      <c r="N963" s="90"/>
      <c r="O963" s="90"/>
      <c r="P963" s="90"/>
      <c r="Q963" s="90"/>
      <c r="R963" s="90"/>
      <c r="S963" s="90"/>
      <c r="T963" s="90"/>
      <c r="U963" s="90"/>
      <c r="V963" s="90"/>
      <c r="W963" s="90"/>
      <c r="X963" s="90"/>
      <c r="Y963" s="90"/>
      <c r="Z963" s="90"/>
      <c r="AA963" s="90"/>
    </row>
    <row r="964">
      <c r="A964" s="90"/>
      <c r="B964" s="90"/>
      <c r="C964" s="90"/>
      <c r="D964" s="90"/>
      <c r="E964" s="90"/>
      <c r="F964" s="90"/>
      <c r="G964" s="90"/>
      <c r="H964" s="90"/>
      <c r="I964" s="90"/>
      <c r="J964" s="90"/>
      <c r="K964" s="90"/>
      <c r="L964" s="90"/>
      <c r="M964" s="90"/>
      <c r="N964" s="90"/>
      <c r="O964" s="90"/>
      <c r="P964" s="90"/>
      <c r="Q964" s="90"/>
      <c r="R964" s="90"/>
      <c r="S964" s="90"/>
      <c r="T964" s="90"/>
      <c r="U964" s="90"/>
      <c r="V964" s="90"/>
      <c r="W964" s="90"/>
      <c r="X964" s="90"/>
      <c r="Y964" s="90"/>
      <c r="Z964" s="90"/>
      <c r="AA964" s="90"/>
    </row>
    <row r="965">
      <c r="A965" s="90"/>
      <c r="B965" s="90"/>
      <c r="C965" s="90"/>
      <c r="D965" s="90"/>
      <c r="E965" s="90"/>
      <c r="F965" s="90"/>
      <c r="G965" s="90"/>
      <c r="H965" s="90"/>
      <c r="I965" s="90"/>
      <c r="J965" s="90"/>
      <c r="K965" s="90"/>
      <c r="L965" s="90"/>
      <c r="M965" s="90"/>
      <c r="N965" s="90"/>
      <c r="O965" s="90"/>
      <c r="P965" s="90"/>
      <c r="Q965" s="90"/>
      <c r="R965" s="90"/>
      <c r="S965" s="90"/>
      <c r="T965" s="90"/>
      <c r="U965" s="90"/>
      <c r="V965" s="90"/>
      <c r="W965" s="90"/>
      <c r="X965" s="90"/>
      <c r="Y965" s="90"/>
      <c r="Z965" s="90"/>
      <c r="AA965" s="90"/>
    </row>
    <row r="966">
      <c r="A966" s="90"/>
      <c r="B966" s="90"/>
      <c r="C966" s="90"/>
      <c r="D966" s="90"/>
      <c r="E966" s="90"/>
      <c r="F966" s="90"/>
      <c r="G966" s="90"/>
      <c r="H966" s="90"/>
      <c r="I966" s="90"/>
      <c r="J966" s="90"/>
      <c r="K966" s="90"/>
      <c r="L966" s="90"/>
      <c r="M966" s="90"/>
      <c r="N966" s="90"/>
      <c r="O966" s="90"/>
      <c r="P966" s="90"/>
      <c r="Q966" s="90"/>
      <c r="R966" s="90"/>
      <c r="S966" s="90"/>
      <c r="T966" s="90"/>
      <c r="U966" s="90"/>
      <c r="V966" s="90"/>
      <c r="W966" s="90"/>
      <c r="X966" s="90"/>
      <c r="Y966" s="90"/>
      <c r="Z966" s="90"/>
      <c r="AA966" s="90"/>
    </row>
    <row r="967">
      <c r="A967" s="90"/>
      <c r="B967" s="90"/>
      <c r="C967" s="90"/>
      <c r="D967" s="90"/>
      <c r="E967" s="90"/>
      <c r="F967" s="90"/>
      <c r="G967" s="90"/>
      <c r="H967" s="90"/>
      <c r="I967" s="90"/>
      <c r="J967" s="90"/>
      <c r="K967" s="90"/>
      <c r="L967" s="90"/>
      <c r="M967" s="90"/>
      <c r="N967" s="90"/>
      <c r="O967" s="90"/>
      <c r="P967" s="90"/>
      <c r="Q967" s="90"/>
      <c r="R967" s="90"/>
      <c r="S967" s="90"/>
      <c r="T967" s="90"/>
      <c r="U967" s="90"/>
      <c r="V967" s="90"/>
      <c r="W967" s="90"/>
      <c r="X967" s="90"/>
      <c r="Y967" s="90"/>
      <c r="Z967" s="90"/>
      <c r="AA967" s="90"/>
    </row>
    <row r="968">
      <c r="A968" s="90"/>
      <c r="B968" s="90"/>
      <c r="C968" s="90"/>
      <c r="D968" s="90"/>
      <c r="E968" s="90"/>
      <c r="F968" s="90"/>
      <c r="G968" s="90"/>
      <c r="H968" s="90"/>
      <c r="I968" s="90"/>
      <c r="J968" s="90"/>
      <c r="K968" s="90"/>
      <c r="L968" s="90"/>
      <c r="M968" s="90"/>
      <c r="N968" s="90"/>
      <c r="O968" s="90"/>
      <c r="P968" s="90"/>
      <c r="Q968" s="90"/>
      <c r="R968" s="90"/>
      <c r="S968" s="90"/>
      <c r="T968" s="90"/>
      <c r="U968" s="90"/>
      <c r="V968" s="90"/>
      <c r="W968" s="90"/>
      <c r="X968" s="90"/>
      <c r="Y968" s="90"/>
      <c r="Z968" s="90"/>
      <c r="AA968" s="90"/>
    </row>
    <row r="969">
      <c r="A969" s="90"/>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row>
    <row r="970">
      <c r="A970" s="90"/>
      <c r="B970" s="90"/>
      <c r="C970" s="90"/>
      <c r="D970" s="90"/>
      <c r="E970" s="90"/>
      <c r="F970" s="90"/>
      <c r="G970" s="90"/>
      <c r="H970" s="90"/>
      <c r="I970" s="90"/>
      <c r="J970" s="90"/>
      <c r="K970" s="90"/>
      <c r="L970" s="90"/>
      <c r="M970" s="90"/>
      <c r="N970" s="90"/>
      <c r="O970" s="90"/>
      <c r="P970" s="90"/>
      <c r="Q970" s="90"/>
      <c r="R970" s="90"/>
      <c r="S970" s="90"/>
      <c r="T970" s="90"/>
      <c r="U970" s="90"/>
      <c r="V970" s="90"/>
      <c r="W970" s="90"/>
      <c r="X970" s="90"/>
      <c r="Y970" s="90"/>
      <c r="Z970" s="90"/>
      <c r="AA970" s="90"/>
    </row>
    <row r="971">
      <c r="A971" s="90"/>
      <c r="B971" s="90"/>
      <c r="C971" s="90"/>
      <c r="D971" s="90"/>
      <c r="E971" s="90"/>
      <c r="F971" s="90"/>
      <c r="G971" s="90"/>
      <c r="H971" s="90"/>
      <c r="I971" s="90"/>
      <c r="J971" s="90"/>
      <c r="K971" s="90"/>
      <c r="L971" s="90"/>
      <c r="M971" s="90"/>
      <c r="N971" s="90"/>
      <c r="O971" s="90"/>
      <c r="P971" s="90"/>
      <c r="Q971" s="90"/>
      <c r="R971" s="90"/>
      <c r="S971" s="90"/>
      <c r="T971" s="90"/>
      <c r="U971" s="90"/>
      <c r="V971" s="90"/>
      <c r="W971" s="90"/>
      <c r="X971" s="90"/>
      <c r="Y971" s="90"/>
      <c r="Z971" s="90"/>
      <c r="AA971" s="90"/>
    </row>
    <row r="972">
      <c r="A972" s="90"/>
      <c r="B972" s="90"/>
      <c r="C972" s="90"/>
      <c r="D972" s="90"/>
      <c r="E972" s="90"/>
      <c r="F972" s="90"/>
      <c r="G972" s="90"/>
      <c r="H972" s="90"/>
      <c r="I972" s="90"/>
      <c r="J972" s="90"/>
      <c r="K972" s="90"/>
      <c r="L972" s="90"/>
      <c r="M972" s="90"/>
      <c r="N972" s="90"/>
      <c r="O972" s="90"/>
      <c r="P972" s="90"/>
      <c r="Q972" s="90"/>
      <c r="R972" s="90"/>
      <c r="S972" s="90"/>
      <c r="T972" s="90"/>
      <c r="U972" s="90"/>
      <c r="V972" s="90"/>
      <c r="W972" s="90"/>
      <c r="X972" s="90"/>
      <c r="Y972" s="90"/>
      <c r="Z972" s="90"/>
      <c r="AA972" s="90"/>
    </row>
    <row r="973">
      <c r="A973" s="90"/>
      <c r="B973" s="90"/>
      <c r="C973" s="90"/>
      <c r="D973" s="90"/>
      <c r="E973" s="90"/>
      <c r="F973" s="90"/>
      <c r="G973" s="90"/>
      <c r="H973" s="90"/>
      <c r="I973" s="90"/>
      <c r="J973" s="90"/>
      <c r="K973" s="90"/>
      <c r="L973" s="90"/>
      <c r="M973" s="90"/>
      <c r="N973" s="90"/>
      <c r="O973" s="90"/>
      <c r="P973" s="90"/>
      <c r="Q973" s="90"/>
      <c r="R973" s="90"/>
      <c r="S973" s="90"/>
      <c r="T973" s="90"/>
      <c r="U973" s="90"/>
      <c r="V973" s="90"/>
      <c r="W973" s="90"/>
      <c r="X973" s="90"/>
      <c r="Y973" s="90"/>
      <c r="Z973" s="90"/>
      <c r="AA973" s="90"/>
    </row>
    <row r="974">
      <c r="A974" s="90"/>
      <c r="B974" s="90"/>
      <c r="C974" s="90"/>
      <c r="D974" s="90"/>
      <c r="E974" s="90"/>
      <c r="F974" s="90"/>
      <c r="G974" s="90"/>
      <c r="H974" s="90"/>
      <c r="I974" s="90"/>
      <c r="J974" s="90"/>
      <c r="K974" s="90"/>
      <c r="L974" s="90"/>
      <c r="M974" s="90"/>
      <c r="N974" s="90"/>
      <c r="O974" s="90"/>
      <c r="P974" s="90"/>
      <c r="Q974" s="90"/>
      <c r="R974" s="90"/>
      <c r="S974" s="90"/>
      <c r="T974" s="90"/>
      <c r="U974" s="90"/>
      <c r="V974" s="90"/>
      <c r="W974" s="90"/>
      <c r="X974" s="90"/>
      <c r="Y974" s="90"/>
      <c r="Z974" s="90"/>
      <c r="AA974" s="90"/>
    </row>
    <row r="975">
      <c r="A975" s="90"/>
      <c r="B975" s="90"/>
      <c r="C975" s="90"/>
      <c r="D975" s="90"/>
      <c r="E975" s="90"/>
      <c r="F975" s="90"/>
      <c r="G975" s="90"/>
      <c r="H975" s="90"/>
      <c r="I975" s="90"/>
      <c r="J975" s="90"/>
      <c r="K975" s="90"/>
      <c r="L975" s="90"/>
      <c r="M975" s="90"/>
      <c r="N975" s="90"/>
      <c r="O975" s="90"/>
      <c r="P975" s="90"/>
      <c r="Q975" s="90"/>
      <c r="R975" s="90"/>
      <c r="S975" s="90"/>
      <c r="T975" s="90"/>
      <c r="U975" s="90"/>
      <c r="V975" s="90"/>
      <c r="W975" s="90"/>
      <c r="X975" s="90"/>
      <c r="Y975" s="90"/>
      <c r="Z975" s="90"/>
      <c r="AA975" s="90"/>
    </row>
    <row r="976">
      <c r="A976" s="90"/>
      <c r="B976" s="90"/>
      <c r="C976" s="90"/>
      <c r="D976" s="90"/>
      <c r="E976" s="90"/>
      <c r="F976" s="90"/>
      <c r="G976" s="90"/>
      <c r="H976" s="90"/>
      <c r="I976" s="90"/>
      <c r="J976" s="90"/>
      <c r="K976" s="90"/>
      <c r="L976" s="90"/>
      <c r="M976" s="90"/>
      <c r="N976" s="90"/>
      <c r="O976" s="90"/>
      <c r="P976" s="90"/>
      <c r="Q976" s="90"/>
      <c r="R976" s="90"/>
      <c r="S976" s="90"/>
      <c r="T976" s="90"/>
      <c r="U976" s="90"/>
      <c r="V976" s="90"/>
      <c r="W976" s="90"/>
      <c r="X976" s="90"/>
      <c r="Y976" s="90"/>
      <c r="Z976" s="90"/>
      <c r="AA976" s="90"/>
    </row>
    <row r="977">
      <c r="A977" s="90"/>
      <c r="B977" s="90"/>
      <c r="C977" s="90"/>
      <c r="D977" s="90"/>
      <c r="E977" s="90"/>
      <c r="F977" s="90"/>
      <c r="G977" s="90"/>
      <c r="H977" s="90"/>
      <c r="I977" s="90"/>
      <c r="J977" s="90"/>
      <c r="K977" s="90"/>
      <c r="L977" s="90"/>
      <c r="M977" s="90"/>
      <c r="N977" s="90"/>
      <c r="O977" s="90"/>
      <c r="P977" s="90"/>
      <c r="Q977" s="90"/>
      <c r="R977" s="90"/>
      <c r="S977" s="90"/>
      <c r="T977" s="90"/>
      <c r="U977" s="90"/>
      <c r="V977" s="90"/>
      <c r="W977" s="90"/>
      <c r="X977" s="90"/>
      <c r="Y977" s="90"/>
      <c r="Z977" s="90"/>
      <c r="AA977" s="90"/>
    </row>
    <row r="978">
      <c r="A978" s="90"/>
      <c r="B978" s="90"/>
      <c r="C978" s="90"/>
      <c r="D978" s="90"/>
      <c r="E978" s="90"/>
      <c r="F978" s="90"/>
      <c r="G978" s="90"/>
      <c r="H978" s="90"/>
      <c r="I978" s="90"/>
      <c r="J978" s="90"/>
      <c r="K978" s="90"/>
      <c r="L978" s="90"/>
      <c r="M978" s="90"/>
      <c r="N978" s="90"/>
      <c r="O978" s="90"/>
      <c r="P978" s="90"/>
      <c r="Q978" s="90"/>
      <c r="R978" s="90"/>
      <c r="S978" s="90"/>
      <c r="T978" s="90"/>
      <c r="U978" s="90"/>
      <c r="V978" s="90"/>
      <c r="W978" s="90"/>
      <c r="X978" s="90"/>
      <c r="Y978" s="90"/>
      <c r="Z978" s="90"/>
      <c r="AA978" s="90"/>
    </row>
    <row r="979">
      <c r="A979" s="90"/>
      <c r="B979" s="90"/>
      <c r="C979" s="90"/>
      <c r="D979" s="90"/>
      <c r="E979" s="90"/>
      <c r="F979" s="90"/>
      <c r="G979" s="90"/>
      <c r="H979" s="90"/>
      <c r="I979" s="90"/>
      <c r="J979" s="90"/>
      <c r="K979" s="90"/>
      <c r="L979" s="90"/>
      <c r="M979" s="90"/>
      <c r="N979" s="90"/>
      <c r="O979" s="90"/>
      <c r="P979" s="90"/>
      <c r="Q979" s="90"/>
      <c r="R979" s="90"/>
      <c r="S979" s="90"/>
      <c r="T979" s="90"/>
      <c r="U979" s="90"/>
      <c r="V979" s="90"/>
      <c r="W979" s="90"/>
      <c r="X979" s="90"/>
      <c r="Y979" s="90"/>
      <c r="Z979" s="90"/>
      <c r="AA979" s="90"/>
    </row>
    <row r="980">
      <c r="A980" s="90"/>
      <c r="B980" s="90"/>
      <c r="C980" s="90"/>
      <c r="D980" s="90"/>
      <c r="E980" s="90"/>
      <c r="F980" s="90"/>
      <c r="G980" s="90"/>
      <c r="H980" s="90"/>
      <c r="I980" s="90"/>
      <c r="J980" s="90"/>
      <c r="K980" s="90"/>
      <c r="L980" s="90"/>
      <c r="M980" s="90"/>
      <c r="N980" s="90"/>
      <c r="O980" s="90"/>
      <c r="P980" s="90"/>
      <c r="Q980" s="90"/>
      <c r="R980" s="90"/>
      <c r="S980" s="90"/>
      <c r="T980" s="90"/>
      <c r="U980" s="90"/>
      <c r="V980" s="90"/>
      <c r="W980" s="90"/>
      <c r="X980" s="90"/>
      <c r="Y980" s="90"/>
      <c r="Z980" s="90"/>
      <c r="AA980" s="90"/>
    </row>
    <row r="981">
      <c r="A981" s="90"/>
      <c r="B981" s="90"/>
      <c r="C981" s="90"/>
      <c r="D981" s="90"/>
      <c r="E981" s="90"/>
      <c r="F981" s="90"/>
      <c r="G981" s="90"/>
      <c r="H981" s="90"/>
      <c r="I981" s="90"/>
      <c r="J981" s="90"/>
      <c r="K981" s="90"/>
      <c r="L981" s="90"/>
      <c r="M981" s="90"/>
      <c r="N981" s="90"/>
      <c r="O981" s="90"/>
      <c r="P981" s="90"/>
      <c r="Q981" s="90"/>
      <c r="R981" s="90"/>
      <c r="S981" s="90"/>
      <c r="T981" s="90"/>
      <c r="U981" s="90"/>
      <c r="V981" s="90"/>
      <c r="W981" s="90"/>
      <c r="X981" s="90"/>
      <c r="Y981" s="90"/>
      <c r="Z981" s="90"/>
      <c r="AA981" s="90"/>
    </row>
    <row r="982">
      <c r="A982" s="90"/>
      <c r="B982" s="90"/>
      <c r="C982" s="90"/>
      <c r="D982" s="90"/>
      <c r="E982" s="90"/>
      <c r="F982" s="90"/>
      <c r="G982" s="90"/>
      <c r="H982" s="90"/>
      <c r="I982" s="90"/>
      <c r="J982" s="90"/>
      <c r="K982" s="90"/>
      <c r="L982" s="90"/>
      <c r="M982" s="90"/>
      <c r="N982" s="90"/>
      <c r="O982" s="90"/>
      <c r="P982" s="90"/>
      <c r="Q982" s="90"/>
      <c r="R982" s="90"/>
      <c r="S982" s="90"/>
      <c r="T982" s="90"/>
      <c r="U982" s="90"/>
      <c r="V982" s="90"/>
      <c r="W982" s="90"/>
      <c r="X982" s="90"/>
      <c r="Y982" s="90"/>
      <c r="Z982" s="90"/>
      <c r="AA982" s="90"/>
    </row>
    <row r="983">
      <c r="A983" s="90"/>
      <c r="B983" s="90"/>
      <c r="C983" s="90"/>
      <c r="D983" s="90"/>
      <c r="E983" s="90"/>
      <c r="F983" s="90"/>
      <c r="G983" s="90"/>
      <c r="H983" s="90"/>
      <c r="I983" s="90"/>
      <c r="J983" s="90"/>
      <c r="K983" s="90"/>
      <c r="L983" s="90"/>
      <c r="M983" s="90"/>
      <c r="N983" s="90"/>
      <c r="O983" s="90"/>
      <c r="P983" s="90"/>
      <c r="Q983" s="90"/>
      <c r="R983" s="90"/>
      <c r="S983" s="90"/>
      <c r="T983" s="90"/>
      <c r="U983" s="90"/>
      <c r="V983" s="90"/>
      <c r="W983" s="90"/>
      <c r="X983" s="90"/>
      <c r="Y983" s="90"/>
      <c r="Z983" s="90"/>
      <c r="AA983" s="90"/>
    </row>
    <row r="984">
      <c r="A984" s="90"/>
      <c r="B984" s="90"/>
      <c r="C984" s="90"/>
      <c r="D984" s="90"/>
      <c r="E984" s="90"/>
      <c r="F984" s="90"/>
      <c r="G984" s="90"/>
      <c r="H984" s="90"/>
      <c r="I984" s="90"/>
      <c r="J984" s="90"/>
      <c r="K984" s="90"/>
      <c r="L984" s="90"/>
      <c r="M984" s="90"/>
      <c r="N984" s="90"/>
      <c r="O984" s="90"/>
      <c r="P984" s="90"/>
      <c r="Q984" s="90"/>
      <c r="R984" s="90"/>
      <c r="S984" s="90"/>
      <c r="T984" s="90"/>
      <c r="U984" s="90"/>
      <c r="V984" s="90"/>
      <c r="W984" s="90"/>
      <c r="X984" s="90"/>
      <c r="Y984" s="90"/>
      <c r="Z984" s="90"/>
      <c r="AA984" s="90"/>
    </row>
    <row r="985">
      <c r="A985" s="90"/>
      <c r="B985" s="90"/>
      <c r="C985" s="90"/>
      <c r="D985" s="90"/>
      <c r="E985" s="90"/>
      <c r="F985" s="90"/>
      <c r="G985" s="90"/>
      <c r="H985" s="90"/>
      <c r="I985" s="90"/>
      <c r="J985" s="90"/>
      <c r="K985" s="90"/>
      <c r="L985" s="90"/>
      <c r="M985" s="90"/>
      <c r="N985" s="90"/>
      <c r="O985" s="90"/>
      <c r="P985" s="90"/>
      <c r="Q985" s="90"/>
      <c r="R985" s="90"/>
      <c r="S985" s="90"/>
      <c r="T985" s="90"/>
      <c r="U985" s="90"/>
      <c r="V985" s="90"/>
      <c r="W985" s="90"/>
      <c r="X985" s="90"/>
      <c r="Y985" s="90"/>
      <c r="Z985" s="90"/>
      <c r="AA985" s="90"/>
    </row>
    <row r="986">
      <c r="A986" s="90"/>
      <c r="B986" s="90"/>
      <c r="C986" s="90"/>
      <c r="D986" s="90"/>
      <c r="E986" s="90"/>
      <c r="F986" s="90"/>
      <c r="G986" s="90"/>
      <c r="H986" s="90"/>
      <c r="I986" s="90"/>
      <c r="J986" s="90"/>
      <c r="K986" s="90"/>
      <c r="L986" s="90"/>
      <c r="M986" s="90"/>
      <c r="N986" s="90"/>
      <c r="O986" s="90"/>
      <c r="P986" s="90"/>
      <c r="Q986" s="90"/>
      <c r="R986" s="90"/>
      <c r="S986" s="90"/>
      <c r="T986" s="90"/>
      <c r="U986" s="90"/>
      <c r="V986" s="90"/>
      <c r="W986" s="90"/>
      <c r="X986" s="90"/>
      <c r="Y986" s="90"/>
      <c r="Z986" s="90"/>
      <c r="AA986" s="90"/>
    </row>
    <row r="987">
      <c r="A987" s="90"/>
      <c r="B987" s="90"/>
      <c r="C987" s="90"/>
      <c r="D987" s="90"/>
      <c r="E987" s="90"/>
      <c r="F987" s="90"/>
      <c r="G987" s="90"/>
      <c r="H987" s="90"/>
      <c r="I987" s="90"/>
      <c r="J987" s="90"/>
      <c r="K987" s="90"/>
      <c r="L987" s="90"/>
      <c r="M987" s="90"/>
      <c r="N987" s="90"/>
      <c r="O987" s="90"/>
      <c r="P987" s="90"/>
      <c r="Q987" s="90"/>
      <c r="R987" s="90"/>
      <c r="S987" s="90"/>
      <c r="T987" s="90"/>
      <c r="U987" s="90"/>
      <c r="V987" s="90"/>
      <c r="W987" s="90"/>
      <c r="X987" s="90"/>
      <c r="Y987" s="90"/>
      <c r="Z987" s="90"/>
      <c r="AA987" s="90"/>
    </row>
    <row r="988">
      <c r="A988" s="90"/>
      <c r="B988" s="90"/>
      <c r="C988" s="90"/>
      <c r="D988" s="90"/>
      <c r="E988" s="90"/>
      <c r="F988" s="90"/>
      <c r="G988" s="90"/>
      <c r="H988" s="90"/>
      <c r="I988" s="90"/>
      <c r="J988" s="90"/>
      <c r="K988" s="90"/>
      <c r="L988" s="90"/>
      <c r="M988" s="90"/>
      <c r="N988" s="90"/>
      <c r="O988" s="90"/>
      <c r="P988" s="90"/>
      <c r="Q988" s="90"/>
      <c r="R988" s="90"/>
      <c r="S988" s="90"/>
      <c r="T988" s="90"/>
      <c r="U988" s="90"/>
      <c r="V988" s="90"/>
      <c r="W988" s="90"/>
      <c r="X988" s="90"/>
      <c r="Y988" s="90"/>
      <c r="Z988" s="90"/>
      <c r="AA988" s="90"/>
    </row>
    <row r="989">
      <c r="A989" s="90"/>
      <c r="B989" s="90"/>
      <c r="C989" s="90"/>
      <c r="D989" s="90"/>
      <c r="E989" s="90"/>
      <c r="F989" s="90"/>
      <c r="G989" s="90"/>
      <c r="H989" s="90"/>
      <c r="I989" s="90"/>
      <c r="J989" s="90"/>
      <c r="K989" s="90"/>
      <c r="L989" s="90"/>
      <c r="M989" s="90"/>
      <c r="N989" s="90"/>
      <c r="O989" s="90"/>
      <c r="P989" s="90"/>
      <c r="Q989" s="90"/>
      <c r="R989" s="90"/>
      <c r="S989" s="90"/>
      <c r="T989" s="90"/>
      <c r="U989" s="90"/>
      <c r="V989" s="90"/>
      <c r="W989" s="90"/>
      <c r="X989" s="90"/>
      <c r="Y989" s="90"/>
      <c r="Z989" s="90"/>
      <c r="AA989" s="90"/>
    </row>
    <row r="990">
      <c r="A990" s="90"/>
      <c r="B990" s="90"/>
      <c r="C990" s="90"/>
      <c r="D990" s="90"/>
      <c r="E990" s="90"/>
      <c r="F990" s="90"/>
      <c r="G990" s="90"/>
      <c r="H990" s="90"/>
      <c r="I990" s="90"/>
      <c r="J990" s="90"/>
      <c r="K990" s="90"/>
      <c r="L990" s="90"/>
      <c r="M990" s="90"/>
      <c r="N990" s="90"/>
      <c r="O990" s="90"/>
      <c r="P990" s="90"/>
      <c r="Q990" s="90"/>
      <c r="R990" s="90"/>
      <c r="S990" s="90"/>
      <c r="T990" s="90"/>
      <c r="U990" s="90"/>
      <c r="V990" s="90"/>
      <c r="W990" s="90"/>
      <c r="X990" s="90"/>
      <c r="Y990" s="90"/>
      <c r="Z990" s="90"/>
      <c r="AA990" s="90"/>
    </row>
    <row r="991">
      <c r="A991" s="90"/>
      <c r="B991" s="90"/>
      <c r="C991" s="90"/>
      <c r="D991" s="90"/>
      <c r="E991" s="90"/>
      <c r="F991" s="90"/>
      <c r="G991" s="90"/>
      <c r="H991" s="90"/>
      <c r="I991" s="90"/>
      <c r="J991" s="90"/>
      <c r="K991" s="90"/>
      <c r="L991" s="90"/>
      <c r="M991" s="90"/>
      <c r="N991" s="90"/>
      <c r="O991" s="90"/>
      <c r="P991" s="90"/>
      <c r="Q991" s="90"/>
      <c r="R991" s="90"/>
      <c r="S991" s="90"/>
      <c r="T991" s="90"/>
      <c r="U991" s="90"/>
      <c r="V991" s="90"/>
      <c r="W991" s="90"/>
      <c r="X991" s="90"/>
      <c r="Y991" s="90"/>
      <c r="Z991" s="90"/>
      <c r="AA991" s="90"/>
    </row>
    <row r="992">
      <c r="A992" s="90"/>
      <c r="B992" s="90"/>
      <c r="C992" s="90"/>
      <c r="D992" s="90"/>
      <c r="E992" s="90"/>
      <c r="F992" s="90"/>
      <c r="G992" s="90"/>
      <c r="H992" s="90"/>
      <c r="I992" s="90"/>
      <c r="J992" s="90"/>
      <c r="K992" s="90"/>
      <c r="L992" s="90"/>
      <c r="M992" s="90"/>
      <c r="N992" s="90"/>
      <c r="O992" s="90"/>
      <c r="P992" s="90"/>
      <c r="Q992" s="90"/>
      <c r="R992" s="90"/>
      <c r="S992" s="90"/>
      <c r="T992" s="90"/>
      <c r="U992" s="90"/>
      <c r="V992" s="90"/>
      <c r="W992" s="90"/>
      <c r="X992" s="90"/>
      <c r="Y992" s="90"/>
      <c r="Z992" s="90"/>
      <c r="AA992" s="90"/>
    </row>
    <row r="993">
      <c r="A993" s="90"/>
      <c r="B993" s="90"/>
      <c r="C993" s="90"/>
      <c r="D993" s="90"/>
      <c r="E993" s="90"/>
      <c r="F993" s="90"/>
      <c r="G993" s="90"/>
      <c r="H993" s="90"/>
      <c r="I993" s="90"/>
      <c r="J993" s="90"/>
      <c r="K993" s="90"/>
      <c r="L993" s="90"/>
      <c r="M993" s="90"/>
      <c r="N993" s="90"/>
      <c r="O993" s="90"/>
      <c r="P993" s="90"/>
      <c r="Q993" s="90"/>
      <c r="R993" s="90"/>
      <c r="S993" s="90"/>
      <c r="T993" s="90"/>
      <c r="U993" s="90"/>
      <c r="V993" s="90"/>
      <c r="W993" s="90"/>
      <c r="X993" s="90"/>
      <c r="Y993" s="90"/>
      <c r="Z993" s="90"/>
      <c r="AA993" s="90"/>
    </row>
    <row r="994">
      <c r="A994" s="90"/>
      <c r="B994" s="90"/>
      <c r="C994" s="90"/>
      <c r="D994" s="90"/>
      <c r="E994" s="90"/>
      <c r="F994" s="90"/>
      <c r="G994" s="90"/>
      <c r="H994" s="90"/>
      <c r="I994" s="90"/>
      <c r="J994" s="90"/>
      <c r="K994" s="90"/>
      <c r="L994" s="90"/>
      <c r="M994" s="90"/>
      <c r="N994" s="90"/>
      <c r="O994" s="90"/>
      <c r="P994" s="90"/>
      <c r="Q994" s="90"/>
      <c r="R994" s="90"/>
      <c r="S994" s="90"/>
      <c r="T994" s="90"/>
      <c r="U994" s="90"/>
      <c r="V994" s="90"/>
      <c r="W994" s="90"/>
      <c r="X994" s="90"/>
      <c r="Y994" s="90"/>
      <c r="Z994" s="90"/>
      <c r="AA994" s="90"/>
    </row>
    <row r="995">
      <c r="A995" s="90"/>
      <c r="B995" s="90"/>
      <c r="C995" s="90"/>
      <c r="D995" s="90"/>
      <c r="E995" s="90"/>
      <c r="F995" s="90"/>
      <c r="G995" s="90"/>
      <c r="H995" s="90"/>
      <c r="I995" s="90"/>
      <c r="J995" s="90"/>
      <c r="K995" s="90"/>
      <c r="L995" s="90"/>
      <c r="M995" s="90"/>
      <c r="N995" s="90"/>
      <c r="O995" s="90"/>
      <c r="P995" s="90"/>
      <c r="Q995" s="90"/>
      <c r="R995" s="90"/>
      <c r="S995" s="90"/>
      <c r="T995" s="90"/>
      <c r="U995" s="90"/>
      <c r="V995" s="90"/>
      <c r="W995" s="90"/>
      <c r="X995" s="90"/>
      <c r="Y995" s="90"/>
      <c r="Z995" s="90"/>
      <c r="AA995" s="90"/>
    </row>
    <row r="996">
      <c r="A996" s="90"/>
      <c r="B996" s="90"/>
      <c r="C996" s="90"/>
      <c r="D996" s="90"/>
      <c r="E996" s="90"/>
      <c r="F996" s="90"/>
      <c r="G996" s="90"/>
      <c r="H996" s="90"/>
      <c r="I996" s="90"/>
      <c r="J996" s="90"/>
      <c r="K996" s="90"/>
      <c r="L996" s="90"/>
      <c r="M996" s="90"/>
      <c r="N996" s="90"/>
      <c r="O996" s="90"/>
      <c r="P996" s="90"/>
      <c r="Q996" s="90"/>
      <c r="R996" s="90"/>
      <c r="S996" s="90"/>
      <c r="T996" s="90"/>
      <c r="U996" s="90"/>
      <c r="V996" s="90"/>
      <c r="W996" s="90"/>
      <c r="X996" s="90"/>
      <c r="Y996" s="90"/>
      <c r="Z996" s="90"/>
      <c r="AA996" s="90"/>
    </row>
    <row r="997">
      <c r="A997" s="90"/>
      <c r="B997" s="90"/>
      <c r="C997" s="90"/>
      <c r="D997" s="90"/>
      <c r="E997" s="90"/>
      <c r="F997" s="90"/>
      <c r="G997" s="90"/>
      <c r="H997" s="90"/>
      <c r="I997" s="90"/>
      <c r="J997" s="90"/>
      <c r="K997" s="90"/>
      <c r="L997" s="90"/>
      <c r="M997" s="90"/>
      <c r="N997" s="90"/>
      <c r="O997" s="90"/>
      <c r="P997" s="90"/>
      <c r="Q997" s="90"/>
      <c r="R997" s="90"/>
      <c r="S997" s="90"/>
      <c r="T997" s="90"/>
      <c r="U997" s="90"/>
      <c r="V997" s="90"/>
      <c r="W997" s="90"/>
      <c r="X997" s="90"/>
      <c r="Y997" s="90"/>
      <c r="Z997" s="90"/>
      <c r="AA997" s="90"/>
    </row>
    <row r="998">
      <c r="A998" s="90"/>
      <c r="B998" s="90"/>
      <c r="C998" s="90"/>
      <c r="D998" s="90"/>
      <c r="E998" s="90"/>
      <c r="F998" s="90"/>
      <c r="G998" s="90"/>
      <c r="H998" s="90"/>
      <c r="I998" s="90"/>
      <c r="J998" s="90"/>
      <c r="K998" s="90"/>
      <c r="L998" s="90"/>
      <c r="M998" s="90"/>
      <c r="N998" s="90"/>
      <c r="O998" s="90"/>
      <c r="P998" s="90"/>
      <c r="Q998" s="90"/>
      <c r="R998" s="90"/>
      <c r="S998" s="90"/>
      <c r="T998" s="90"/>
      <c r="U998" s="90"/>
      <c r="V998" s="90"/>
      <c r="W998" s="90"/>
      <c r="X998" s="90"/>
      <c r="Y998" s="90"/>
      <c r="Z998" s="90"/>
      <c r="AA998" s="90"/>
    </row>
    <row r="999">
      <c r="A999" s="90"/>
      <c r="B999" s="90"/>
      <c r="C999" s="90"/>
      <c r="D999" s="90"/>
      <c r="E999" s="90"/>
      <c r="F999" s="90"/>
      <c r="G999" s="90"/>
      <c r="H999" s="90"/>
      <c r="I999" s="90"/>
      <c r="J999" s="90"/>
      <c r="K999" s="90"/>
      <c r="L999" s="90"/>
      <c r="M999" s="90"/>
      <c r="N999" s="90"/>
      <c r="O999" s="90"/>
      <c r="P999" s="90"/>
      <c r="Q999" s="90"/>
      <c r="R999" s="90"/>
      <c r="S999" s="90"/>
      <c r="T999" s="90"/>
      <c r="U999" s="90"/>
      <c r="V999" s="90"/>
      <c r="W999" s="90"/>
      <c r="X999" s="90"/>
      <c r="Y999" s="90"/>
      <c r="Z999" s="90"/>
      <c r="AA999" s="90"/>
    </row>
    <row r="1000">
      <c r="A1000" s="90"/>
      <c r="B1000" s="90"/>
      <c r="C1000" s="90"/>
      <c r="D1000" s="90"/>
      <c r="E1000" s="90"/>
      <c r="F1000" s="90"/>
      <c r="G1000" s="90"/>
      <c r="H1000" s="90"/>
      <c r="I1000" s="90"/>
      <c r="J1000" s="90"/>
      <c r="K1000" s="90"/>
      <c r="L1000" s="90"/>
      <c r="M1000" s="90"/>
      <c r="N1000" s="90"/>
      <c r="O1000" s="90"/>
      <c r="P1000" s="90"/>
      <c r="Q1000" s="90"/>
      <c r="R1000" s="90"/>
      <c r="S1000" s="90"/>
      <c r="T1000" s="90"/>
      <c r="U1000" s="90"/>
      <c r="V1000" s="90"/>
      <c r="W1000" s="90"/>
      <c r="X1000" s="90"/>
      <c r="Y1000" s="90"/>
      <c r="Z1000" s="90"/>
      <c r="AA1000" s="90"/>
    </row>
  </sheetData>
  <drawing r:id="rId1"/>
</worksheet>
</file>