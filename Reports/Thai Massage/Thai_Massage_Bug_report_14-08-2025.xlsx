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Tahsin" sheetId="2" r:id="rId5"/>
    <sheet state="visible" name="Fahad" sheetId="3" r:id="rId6"/>
    <sheet state="visible" name="Summary Report" sheetId="4" r:id="rId7"/>
  </sheets>
  <definedNames/>
  <calcPr/>
</workbook>
</file>

<file path=xl/sharedStrings.xml><?xml version="1.0" encoding="utf-8"?>
<sst xmlns="http://schemas.openxmlformats.org/spreadsheetml/2006/main" count="729" uniqueCount="298">
  <si>
    <t xml:space="preserve">Tester : </t>
  </si>
  <si>
    <t>Mohammed Fahad Faisal</t>
  </si>
  <si>
    <t>Severity</t>
  </si>
  <si>
    <t>Issues</t>
  </si>
  <si>
    <t>Project Name:</t>
  </si>
  <si>
    <t>Thai Massage</t>
  </si>
  <si>
    <t>High</t>
  </si>
  <si>
    <t>Project URL:</t>
  </si>
  <si>
    <t>Medium</t>
  </si>
  <si>
    <t>Developer:</t>
  </si>
  <si>
    <t>AI Venture</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</si>
  <si>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</si>
  <si>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</si>
  <si>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</si>
  <si>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</si>
  <si>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</si>
  <si>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</si>
  <si>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</si>
  <si>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</si>
  <si>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</si>
  <si>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</si>
  <si>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</si>
  <si>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</si>
  <si>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</si>
  <si>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</si>
  <si>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</si>
  <si>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</si>
  <si>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</si>
  <si>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</si>
  <si>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</si>
  <si>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Comment</t>
  </si>
  <si>
    <t>BR-001</t>
  </si>
  <si>
    <t>BR-002</t>
  </si>
  <si>
    <t>Solved</t>
  </si>
  <si>
    <t>BR-003</t>
  </si>
  <si>
    <t>BR-004</t>
  </si>
  <si>
    <t>BR-005</t>
  </si>
  <si>
    <t>BR-006</t>
  </si>
  <si>
    <t>BR-007</t>
  </si>
  <si>
    <t>BR-008</t>
  </si>
  <si>
    <t>BR-009</t>
  </si>
  <si>
    <t>BR-010</t>
  </si>
  <si>
    <t>BR-011</t>
  </si>
  <si>
    <t>Unsolved</t>
  </si>
  <si>
    <t>BR-012</t>
  </si>
  <si>
    <t>BR-013</t>
  </si>
  <si>
    <t>BR-014</t>
  </si>
  <si>
    <t>Client approval</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</si>
  <si>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</si>
  <si>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</si>
  <si>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</si>
  <si>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</si>
  <si>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</si>
  <si>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</si>
  <si>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</si>
  <si>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</si>
  <si>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</si>
  <si>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</si>
  <si>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</si>
  <si>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</si>
  <si>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</si>
  <si>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</si>
  <si>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</si>
  <si>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</si>
  <si>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</si>
  <si>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</si>
  <si>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</si>
  <si>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</si>
  <si>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</si>
  <si>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</si>
  <si>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</si>
  <si>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</si>
  <si>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</si>
  <si>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</si>
  <si>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BR-041</t>
  </si>
  <si>
    <t>BR-042</t>
  </si>
  <si>
    <t>BR-043</t>
  </si>
  <si>
    <t>BR-044</t>
  </si>
  <si>
    <t>BR-045</t>
  </si>
  <si>
    <t>BR-046</t>
  </si>
  <si>
    <t>BR-047</t>
  </si>
  <si>
    <t>BR-048</t>
  </si>
  <si>
    <t>BR-049</t>
  </si>
  <si>
    <t>BR-050</t>
  </si>
  <si>
    <t>Test ID</t>
  </si>
  <si>
    <t>Client (APK)</t>
  </si>
  <si>
    <t>Login</t>
  </si>
  <si>
    <t>The login and signup buttons remain as "Client" when the user has already selected "Client" in a previous operation.</t>
  </si>
  <si>
    <t>The user needs to have the APK running on their mobile device.</t>
  </si>
  <si>
    <t xml:space="preserve">1. Open app
2. Click on Client button
</t>
  </si>
  <si>
    <t>N/A</t>
  </si>
  <si>
    <t>Button names should align with client requirements.</t>
  </si>
  <si>
    <t>The button name "Login as client" is displayed instead of "Login."</t>
  </si>
  <si>
    <t>Fail</t>
  </si>
  <si>
    <t>https://jam.dev/c/ee57675a-f88f-48a4-a150-f334c0b3b244</t>
  </si>
  <si>
    <t>The app logo appears slightly shorter than usual.</t>
  </si>
  <si>
    <t>1. Open app
2. Click on Client button
3. Click on Login</t>
  </si>
  <si>
    <t>The app logo should be prominently displayed to catch users' attention.</t>
  </si>
  <si>
    <t>A slightly shorter logo was noticed.</t>
  </si>
  <si>
    <t>1.png</t>
  </si>
  <si>
    <t>Make it slightly larger to catch the user's attention.</t>
  </si>
  <si>
    <t>The password visibility icon is missing on the client login page.</t>
  </si>
  <si>
    <t>The password field should display the password visibly with a hide icon to enhance user convenience.</t>
  </si>
  <si>
    <t>The absence of the password visibility icon has been noted.</t>
  </si>
  <si>
    <r>
      <rPr>
        <rFont val="Times New Roman"/>
        <color rgb="FF1155CC"/>
        <sz val="13.0"/>
        <u/>
      </rPr>
      <t>https://jam.dev/c/7e6fdbbf-6f54-4449-933b-872542d4e03c</t>
    </r>
  </si>
  <si>
    <t>SignUp</t>
  </si>
  <si>
    <t>The signup page title is slightly different from the client's requirements.</t>
  </si>
  <si>
    <t>1. Open app
2. Click on Client button
3. Click on Login
4. Click on Signup</t>
  </si>
  <si>
    <t>The page title for signup should match the client requirement, which is "Sign Up".</t>
  </si>
  <si>
    <t>A different title was displayed on the signup page.</t>
  </si>
  <si>
    <t>https://drive.google.com/file/d/137_IAutQm0DnUI1gB8itRAnvYJAmFeXA/view?usp=drive_link</t>
  </si>
  <si>
    <t>The password field has been added to the signup page.</t>
  </si>
  <si>
    <t>The signup page should include fields for the user's name, email, and contact number, as per the client's requirements.</t>
  </si>
  <si>
    <t>An additional password field is present on the signup page, which is logically not valid.</t>
  </si>
  <si>
    <t>https://drive.google.com/file/d/1yzOF9rTHhxP77BLFZDCEz0CJ9j5EreVH/view?usp=drive_link</t>
  </si>
  <si>
    <t>The partition of country codes and numbers is missing in the APK.</t>
  </si>
  <si>
    <t>The separation between the contact's international code and the contact number should be clear and visible.</t>
  </si>
  <si>
    <t>The partition bar is missing in the contact number field on the signup page.</t>
  </si>
  <si>
    <t>https://drive.google.com/file/d/19OFGB8yI6Tf1inb-a0baZQXWDcWpTwN6/view?usp=drive_link</t>
  </si>
  <si>
    <t>Forget Password</t>
  </si>
  <si>
    <t>Forgot password OTP is set to email instead of phone number.</t>
  </si>
  <si>
    <t>1. Open app
2. Click on Client button
3. Click on Login
4. Click on Forget Password</t>
  </si>
  <si>
    <t>The password reset OTP should align with the client's requirements.</t>
  </si>
  <si>
    <t>The OTP for the password reset was sent via email instead of the phone number, which did not align with the client's requirements.</t>
  </si>
  <si>
    <t>https://drive.google.com/file/d/1KLex23-Fe5dyghKSBYH7lkrzS1-6VG83/view?usp=drive_link</t>
  </si>
  <si>
    <t>Profile</t>
  </si>
  <si>
    <t>The error bar on the profile is visible between transactions.</t>
  </si>
  <si>
    <t>1. Open app
2. Click on Client button
3. Login using valid credentials
4. Goto profile section</t>
  </si>
  <si>
    <t>email: itcrlbmzxpfmfowcfe@xfavaj.com
password: 1122334455</t>
  </si>
  <si>
    <t>The app should function smoothly on the user's side without any issues or conflicts.</t>
  </si>
  <si>
    <t>An error bar appears on the app, even during transactions.</t>
  </si>
  <si>
    <t>https://drive.google.com/file/d/1qVZUY5HAL95TM-2hkpnqeXZyQytKUBhp/view?usp=drive_link</t>
  </si>
  <si>
    <t>An error bar has appeared in the edit profile section.</t>
  </si>
  <si>
    <t>During the page transition between editing profiles, an error bar is faintly visible to the naked eye.</t>
  </si>
  <si>
    <t>https://drive.google.com/file/d/1JILOLDJL3ZWUtIgXsdtqYVhSS2SsivjF/view?usp=drive_link</t>
  </si>
  <si>
    <t>OTP Mail</t>
  </si>
  <si>
    <t>The OTP email came from a personal Gmail account.</t>
  </si>
  <si>
    <t>1. Open app
2. Click on Client button
3. Click on signup</t>
  </si>
  <si>
    <t>OTP should come from the app's email to address user trust issues.</t>
  </si>
  <si>
    <t>An OTP sent from a personal email can appear suspicious from the user's perspective.</t>
  </si>
  <si>
    <t>https://drive.google.com/file/d/1JrtbpqQLDuv5_lQH09pimvpog6-DRnfk/view?usp=drive_link</t>
  </si>
  <si>
    <t>The app logo is showing up in the profile section, even though it wasn't part of the client requirements.</t>
  </si>
  <si>
    <t>1. Open app
2. Click on Client button
3. Login using valid credential
4. Goto profile section</t>
  </si>
  <si>
    <t>App flow design should align with client requirements.</t>
  </si>
  <si>
    <t>A logo has been observed on the profile page, which was not included in the client requirements.</t>
  </si>
  <si>
    <t>https://drive.google.com/file/d/1peyCAyGuVmf8hAUGmlgxXsx5UMbuKPcp/view?usp=drive_link</t>
  </si>
  <si>
    <t>Add card</t>
  </si>
  <si>
    <t>Simplify the card addition bar in the mobile app.</t>
  </si>
  <si>
    <t>1. Open app
2. Click on Client button
3. Login using valid credential
4. Goto profile section
5. Click on Add payment methode</t>
  </si>
  <si>
    <t>All payment card gateways should be clearly visible to the client.</t>
  </si>
  <si>
    <t>A reduction in the payment card border has been observed.</t>
  </si>
  <si>
    <t>https://drive.google.com/file/d/1u29w_Wa7h4bOdm9m9WXAH4cPvm-ZdEVi/view?usp=drive_link</t>
  </si>
  <si>
    <t>Card Information</t>
  </si>
  <si>
    <t>An overflow bar has been observed in the card information.</t>
  </si>
  <si>
    <t>No overflow bar should appear from the client's perspective.</t>
  </si>
  <si>
    <t>The overflow bar appears on card information where the card number format is provided.</t>
  </si>
  <si>
    <t>https://drive.google.com/file/d/1tkCaCf4ymxthAx4ysDqpZc37wM_ilSrc/view?usp=drive_link</t>
  </si>
  <si>
    <t>Data validation is yet to be implemented.</t>
  </si>
  <si>
    <t>Can you use random characters and special symbols in the expiry date and CVV fields on card information?</t>
  </si>
  <si>
    <t>Specific formatting should be applied to card data information, and accurate data validation formatting should be implemented.</t>
  </si>
  <si>
    <t>https://drive.google.com/file/d/1dDJVgs6mWVi6alCalMXd7yxJHutTTxwX/view?usp=drive_link</t>
  </si>
  <si>
    <t>Home</t>
  </si>
  <si>
    <t>Category "See All" button is missing.</t>
  </si>
  <si>
    <t>1. Open app
2. Click on Client button
3. Login using valid credential
4. Goto Home Section</t>
  </si>
  <si>
    <t>A "See All" button in the category should be included, allowing clients to view all types of massages and select the one that suits them best.</t>
  </si>
  <si>
    <t>The absence of a "See All" button in the category section might prevent users from accessing the full range of massage categories.</t>
  </si>
  <si>
    <t>https://drive.google.com/file/d/1WdUwhoAKw9VJZP45R6Lp1FmGJsyFdL6E/view?usp=drive_link</t>
  </si>
  <si>
    <t>Therapist names are missing in the Nearby Therapist section.</t>
  </si>
  <si>
    <t>Therapists nearby should be easily accessible to clients, ensuring shorter travel distances and better engagement.</t>
  </si>
  <si>
    <t>Unable to refresh the list of nearby therapists.</t>
  </si>
  <si>
    <t>https://drive.google.com/file/d/1vRuK4G_c6ytmt6_kN1NbkV66uglkd5sg/view?usp=drive_link</t>
  </si>
  <si>
    <t>Updating the user name does not dynamically change it in the user profile.</t>
  </si>
  <si>
    <t>1. Open app
2. Click on Client button
3. Login using valid credential
4. Goto Profile Section</t>
  </si>
  <si>
    <t>The username should update dynamically whenever the user modifies their profile.</t>
  </si>
  <si>
    <t>The username on the profile page doesn't update unless the page is refreshed or navigated away.</t>
  </si>
  <si>
    <t>https://drive.google.com/file/d/1RbtUnvLHsD55thLNeEVwQ1MgI9Z7xuPz/view?usp=drive_link</t>
  </si>
  <si>
    <t>The profile information submit bar is misaligned.</t>
  </si>
  <si>
    <t>Proper alignment is essential for enhancing user engagement.</t>
  </si>
  <si>
    <t>Misalignment has been noticed, which can lead to user dissatisfaction.</t>
  </si>
  <si>
    <t>https://drive.google.com/file/d/12zZZkoeIIt7uIINMkN7lZASb7hHmx1ku/view?usp=drive_link</t>
  </si>
  <si>
    <t>The edit button on the profile editing page.</t>
  </si>
  <si>
    <t>No additional edit button should appear on the edit page since the user is already in the edit profile section.</t>
  </si>
  <si>
    <t>The edit button on the edit profile section seems unnecessary and illogical.</t>
  </si>
  <si>
    <t>https://drive.google.com/file/d/1tLz7FYBRXK9Eu6YDRz9Y0FsFd89qfRJw/view?usp=drive_link</t>
  </si>
  <si>
    <t>Date of birth on edit profile can be change</t>
  </si>
  <si>
    <t>The date of birth should be updated only once when the user creates their profile. After that, it should remain unchanged.</t>
  </si>
  <si>
    <t>User can update your date of birth in the edit profile section.</t>
  </si>
  <si>
    <t>https://drive.google.com/file/d/1bFQYk40PYBndphFPjwWfT30fA6DO3DzV/view?usp=drive_link</t>
  </si>
  <si>
    <t>The best approach is to require users to input their date of birth when creating a profile initially. If the client requires the option to update the date, a one-time update feature can be implemented, which would be beneficial for the client side.</t>
  </si>
  <si>
    <t>Unable to enter the date of birth in the edit profile section.</t>
  </si>
  <si>
    <t>https://drive.google.com/file/d/1Gt5Puly1E-sAvpeI4mSzi1RZP0R_L4yu/view?usp=drive_link</t>
  </si>
  <si>
    <t>The friend invitation was unsuccessful.</t>
  </si>
  <si>
    <t>email: lowovip595@elobits.com
password: 112244557788</t>
  </si>
  <si>
    <t>Users should have the ability to invite their friends via email.</t>
  </si>
  <si>
    <t>The user invitation was unsuccessful.</t>
  </si>
  <si>
    <t>https://drive.google.com/file/d/1_Tv60KP7Tkjkh7iHUX0DXhCzqf0GqRa6/view?usp=drive_link</t>
  </si>
  <si>
    <t>Notification</t>
  </si>
  <si>
    <t>Notification failed to load</t>
  </si>
  <si>
    <t>1. Open app
2. Click on Client button
3. Login using valid credential
4. Goto Notification Section</t>
  </si>
  <si>
    <t>Notifications should load correctly on the client side for smoother interaction.</t>
  </si>
  <si>
    <t>Notification missing. Error displayed: No room found.</t>
  </si>
  <si>
    <t>https://drive.google.com/file/d/17Qe2pumq6nLmzLEcvseV514o8eAPVwvk/view?usp=drive_link</t>
  </si>
  <si>
    <t>Payment</t>
  </si>
  <si>
    <t>The payment page failed to load.</t>
  </si>
  <si>
    <t>1. Open app
2. Click on Client button
3. Login using valid credential
4. Goto Appointment Section</t>
  </si>
  <si>
    <t>The payment gateway should load smoothly and function accurately.</t>
  </si>
  <si>
    <t>An error appears indicating the payment page failed to load.</t>
  </si>
  <si>
    <t>https://drive.google.com/file/d/13f38e09rp29Hk6b4D8ZGRbUSFG2lR1oh/view?usp=drive_link</t>
  </si>
  <si>
    <t>Appointment</t>
  </si>
  <si>
    <t>The location details input field is slightly different from the client's requirements.</t>
  </si>
  <si>
    <t>Alignment and design should match the client's requirements.</t>
  </si>
  <si>
    <t>A different design and layout have been observed.</t>
  </si>
  <si>
    <t>https://drive.google.com/file/d/1F6zNQsG49gDUpfguLk-u9nFlyuXhBEkF/view?usp=drive_link</t>
  </si>
  <si>
    <t>The age preference does not align with the client requirement.</t>
  </si>
  <si>
    <t>https://drive.google.com/file/d/1loH6gbOEVYxwdpQtNm0INqLyHo92xJbM/view?usp=drive_link</t>
  </si>
  <si>
    <t>Error bars on selected therapist schedules</t>
  </si>
  <si>
    <t>The error bar should not be visible on the client side.</t>
  </si>
  <si>
    <t>An error bar on the "Done" button in the select schedule section has been identified.</t>
  </si>
  <si>
    <t>https://drive.google.com/file/d/1IeVWxa2y6sKCMgIvz9n6y_GsWL13OHBt/view?usp=drive_link</t>
  </si>
  <si>
    <t>The agree button overlaps with the section bar.</t>
  </si>
  <si>
    <t>The field shadow effect should not exceed its boundary.</t>
  </si>
  <si>
    <t>The cross-boundary effect has been observed.</t>
  </si>
  <si>
    <t>https://drive.google.com/file/d/1haRoWx_fzP2CktG0LbdGtOVcBGkZOyAs/view?usp=drive_link</t>
  </si>
  <si>
    <t>The layout varies for questions about medical appointments.</t>
  </si>
  <si>
    <t>1. Open app
2. Click on Client button
3. Login using valid credential
4. Goto Appointment Section
5. After select required fields, goto medical questions</t>
  </si>
  <si>
    <t>https://drive.google.com/file/d/15VG_T_k1OUzSG0xdJjXgTgkniEmLBDiK/view?usp=drive_link</t>
  </si>
  <si>
    <t>The button layout does not match the client's requirements.</t>
  </si>
  <si>
    <t>https://drive.google.com/file/d/13exhdxanyYbRnL4ACc2CJe65OBwTpcvO/view?usp=drive_link</t>
  </si>
  <si>
    <t>https://drive.google.com/file/d/1nkwEoAO2orWPxnW4t-8bcBiKzHGDoJ3k/view?usp=drive_link</t>
  </si>
  <si>
    <t>https://drive.google.com/file/d/14x0H8Cj1yGkq9nIRIMEkEh_BrqGUHyb1/view?usp=drive_link</t>
  </si>
  <si>
    <t>Medical questions should be properly submitted without any issues.</t>
  </si>
  <si>
    <t>Unable to submit client medical questions via the app.</t>
  </si>
  <si>
    <t>https://drive.google.com/file/d/1NY-OIs6XpToQOBkdBXzOT54gHBKu1Cqs/view?usp=drive_link</t>
  </si>
  <si>
    <t>The therapist search feature is not working.</t>
  </si>
  <si>
    <t>1. Open app
2. Click on Client button
3. Login using valid credential
4. Goto Home page
5. Click search bar</t>
  </si>
  <si>
    <t>Recommended and searched therapists should appear correctly in the search field.</t>
  </si>
  <si>
    <t>The search functionality is broken, but therapists can be found using filters.</t>
  </si>
  <si>
    <t>https://drive.google.com/file/d/1YMgFbIWV65v8MTTx_AxcKyawpTNmhx-6/view?usp=drive_link</t>
  </si>
  <si>
    <t>Wallet</t>
  </si>
  <si>
    <t>The wallet background does not match the client's requirements.</t>
  </si>
  <si>
    <t>1. Open app
2. Click on Client button
3. Login using valid credential
4. Goto Home page
5. Click on Wallet</t>
  </si>
  <si>
    <t>https://drive.google.com/file/d/1vuwLGy45Ov_jwNwkOWM8j2I8mdmSQiLp/view?usp=drive_link</t>
  </si>
  <si>
    <t xml:space="preserve">Add payment methode cut down one payment gateway </t>
  </si>
  <si>
    <t>1. Open app
2. Click on Client button
3. Login using valid credential
4. Goto Home page
5. Click on wallet</t>
  </si>
  <si>
    <t>All payment gateways should be clearly visible on the client side.</t>
  </si>
  <si>
    <t>Apple Pay reduced its visibility in the payment gateway display.</t>
  </si>
  <si>
    <t>https://drive.google.com/file/d/1COZrnyKh5NUytg_K2txs6xE4q7KEHg-m/view?usp=drive_link</t>
  </si>
  <si>
    <t>Rewards</t>
  </si>
  <si>
    <t>There seems to be an alignment issue.</t>
  </si>
  <si>
    <t>1. Open app
2. Click on Client button
3. Login using valid credential
4. Goto Home page
5. Click on seetings 
6. Goto to My reward</t>
  </si>
  <si>
    <t>https://drive.google.com/file/d/12Cm5nTsruL5XSoLlq8Yxoce1pw1qnBLP/view?usp=drive_link</t>
  </si>
  <si>
    <t>Bookings</t>
  </si>
  <si>
    <t>1. Open app
2. Click on Client button
3. Login using valid credential
4. Goto Home page
5. Click on Bookings</t>
  </si>
  <si>
    <t>https://drive.google.com/file/d/1XULhwCogBaakOiUDnvk7CeZvdJsu3sA8/view?usp=drive_link</t>
  </si>
  <si>
    <t>https://drive.google.com/file/d/1ZMLGhPiBHCYWW_rYz_vdbn7yGqNo7ufB/view?usp=drive_link</t>
  </si>
  <si>
    <t>The review option is missing in the booking.</t>
  </si>
  <si>
    <t>Users should have the option to rate their therapist in the booking section after receiving therapy.</t>
  </si>
  <si>
    <t>Missing review option found.</t>
  </si>
  <si>
    <t>https://drive.google.com/file/d/1fdwYRTVFwtxj4a2cQUcNE-JxcPItyks3/view?usp=drive_link</t>
  </si>
  <si>
    <t>Cancellation policy alignment and design concern.</t>
  </si>
  <si>
    <t>The paragraph title in the cancellation policy should be bold and easily noticeable.</t>
  </si>
  <si>
    <t>An alignment issue was identified, and the bold formatting for the text topic is also missing.</t>
  </si>
  <si>
    <t>https://drive.google.com/file/d/1rJLjMwI8nniNOY5xZ4xPNHNk_XH0otlu/view?usp=drive_link</t>
  </si>
  <si>
    <t>Start Page</t>
  </si>
  <si>
    <t>The logo is a bit small.</t>
  </si>
  <si>
    <t>1. Open app</t>
  </si>
  <si>
    <t>The app's logo should be larger to catch the client's attention.</t>
  </si>
  <si>
    <t>The app logo appears too small when the application launches.</t>
  </si>
  <si>
    <t>https://drive.google.com/file/d/1RFb7u1ZHfXg9BeNBpxaU6znbd1L7l1pY/view?usp=drive_link</t>
  </si>
  <si>
    <t>Chat</t>
  </si>
  <si>
    <t>The chat and call section is missing in the APK.</t>
  </si>
  <si>
    <t>1. Open app
2. Login using valid credentials
3. Goto Chat</t>
  </si>
  <si>
    <t>email : sayduntuhin.sta@gmail.com
pass: 12345678</t>
  </si>
  <si>
    <t>The chat section should include both chat and call logs to ensure client satisfaction and enable tracking.</t>
  </si>
  <si>
    <t>The call log is missing in the chat section.</t>
  </si>
  <si>
    <t>https://drive.google.com/file/d/1GnNqqEV4v5p5Ljd7anvErcGqlXhXMURA/view?usp=drive_link</t>
  </si>
  <si>
    <t>The call option is missing in the chat.</t>
  </si>
  <si>
    <t>A call option in chat should be available for clients to directly call the therapist for further assistance.</t>
  </si>
  <si>
    <t>The absence of a call option in the chat has been noted.</t>
  </si>
  <si>
    <t>https://drive.google.com/file/d/1MU7PrtlmpF0l9Kd6tOG3EKwmh-MN_iBj/view?usp=drive_link</t>
  </si>
  <si>
    <t>Sending voice messages from chat is missing.</t>
  </si>
  <si>
    <t>A voice send option should be integrated into chat for a better user experience.</t>
  </si>
  <si>
    <t>The absence of the voice button has been observed.</t>
  </si>
  <si>
    <t>https://drive.google.com/file/d/1bdn-YJqS2VeAxlTuwYjr7VDnlWXHIEiW/view?usp=drive_link</t>
  </si>
  <si>
    <t>The option to send pictures is missing in the app.</t>
  </si>
  <si>
    <t>Adding a send picture option to the app would enhance the user experience.</t>
  </si>
  <si>
    <t>The missing option for sending pictures has been noticed.</t>
  </si>
  <si>
    <t>https://drive.google.com/file/d/1j8uc21xxRQ_ITR17s6bei4f8y8S6KfZm/view?usp=drive_link</t>
  </si>
  <si>
    <t>The pattern of sending voice messages is different.</t>
  </si>
  <si>
    <t>https://drive.google.com/file/d/1qvXSarQEFjZqbinUQeb_-yuLm_mOg4ue/view?usp=drive_link</t>
  </si>
  <si>
    <t>BR-051</t>
  </si>
  <si>
    <t>BR-052</t>
  </si>
  <si>
    <t>BR-053</t>
  </si>
  <si>
    <t>Test Case Count</t>
  </si>
  <si>
    <t>Bug Count</t>
  </si>
  <si>
    <t>Bug Rate %</t>
  </si>
  <si>
    <t>Bug Severity</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</si>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</sst>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u/>
      <color rgb="FF1155CC"/>
      <name val="Arial"/>
    </font>
    <font>
      <b/>
      <sz val="11.0"/>
      <color theme="1"/>
      <name val="Calibri"/>
    </font>
    <font>
      <b/>
      <sz val="15.0"/>
      <color theme="1"/>
      <name val="Calibri"/>
    </font>
    <font>
      <sz val="15.0"/>
      <color theme="1"/>
      <name val="Arial"/>
      <scheme val="minor"/>
    </font>
    <font>
      <color theme="1"/>
      <name val="Arial"/>
      <scheme val="minor"/>
    </font>
    <font>
      <u/>
      <color rgb="FF0000FF"/>
    </font>
    <font>
      <u/>
      <color rgb="FF0000FF"/>
    </font>
    <font>
      <u/>
      <color theme="1"/>
      <name val="Arial"/>
      <scheme val="minor"/>
    </font>
    <font>
      <u/>
      <color rgb="FF1155CC"/>
      <name val="Arial"/>
    </font>
    <font>
      <b/>
      <sz val="16.0"/>
      <color theme="1"/>
      <name val="Calibri"/>
    </font>
    <font>
      <sz val="12.0"/>
      <color theme="1"/>
      <name val="Calibri"/>
    </font>
    <font>
      <b/>
      <sz val="13.0"/>
      <color theme="1"/>
      <name val="Times New Roman"/>
    </font>
    <font>
      <sz val="13.0"/>
      <color theme="1"/>
      <name val="Times New Roman"/>
    </font>
    <font>
      <sz val="13.0"/>
      <color rgb="FF1E2624"/>
      <name val="Times New Roman"/>
    </font>
    <font>
      <u/>
      <sz val="13.0"/>
      <color rgb="FF1155CC"/>
      <name val="Times New Roman"/>
    </font>
    <font>
      <u/>
      <sz val="13.0"/>
      <color rgb="FF1155CC"/>
      <name val="Times New Roman"/>
    </font>
    <font>
      <u/>
      <sz val="13.0"/>
      <color rgb="FF0000FF"/>
      <name val="Times New Roman"/>
    </font>
    <font>
      <b/>
      <sz val="17.0"/>
      <color theme="1"/>
      <name val="Arial"/>
      <scheme val="minor"/>
    </font>
    <font/>
  </fonts>
  <fills count="5">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rder>
    <border>
      <left style="thin">
        <color rgb="FF000000"/>
      </left>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horizontal="center" shrinkToFit="0" wrapText="1"/>
    </xf>
    <xf borderId="1" fillId="0" fontId="6" numFmtId="0" xfId="0" applyAlignment="1" applyBorder="1" applyFont="1">
      <alignment horizontal="center" shrinkToFit="0" wrapText="1"/>
    </xf>
    <xf borderId="1" fillId="0" fontId="1" numFmtId="0" xfId="0" applyAlignment="1" applyBorder="1" applyFont="1">
      <alignment horizontal="center" readingOrder="0"/>
    </xf>
    <xf borderId="1" fillId="0" fontId="1" numFmtId="0" xfId="0" applyBorder="1" applyFont="1"/>
    <xf borderId="1" fillId="0" fontId="7" numFmtId="0" xfId="0" applyAlignment="1" applyBorder="1" applyFont="1">
      <alignment horizontal="center" shrinkToFit="0" wrapText="1"/>
    </xf>
    <xf borderId="2" fillId="2" fontId="8" numFmtId="0" xfId="0" applyAlignment="1" applyBorder="1" applyFill="1" applyFont="1">
      <alignment horizontal="center" shrinkToFit="0" vertical="center" wrapText="1"/>
    </xf>
    <xf borderId="2" fillId="2" fontId="8"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3" fillId="0" fontId="10" numFmtId="0" xfId="0" applyAlignment="1" applyBorder="1" applyFont="1">
      <alignment horizontal="center" readingOrder="0" shrinkToFit="0" vertical="center" wrapText="1"/>
    </xf>
    <xf borderId="3" fillId="0" fontId="10" numFmtId="0" xfId="0" applyAlignment="1" applyBorder="1" applyFont="1">
      <alignment horizontal="center" shrinkToFit="0" vertical="center" wrapText="1"/>
    </xf>
    <xf borderId="3" fillId="0" fontId="10" numFmtId="0" xfId="0" applyAlignment="1" applyBorder="1" applyFont="1">
      <alignment horizontal="left" shrinkToFit="0" vertical="center" wrapText="1"/>
    </xf>
    <xf borderId="3" fillId="0" fontId="11"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0" fontId="10" numFmtId="0" xfId="0" applyBorder="1" applyFont="1"/>
    <xf borderId="1" fillId="0" fontId="10" numFmtId="0" xfId="0" applyAlignment="1" applyBorder="1" applyFont="1">
      <alignment horizontal="left"/>
    </xf>
    <xf borderId="0" fillId="0" fontId="10" numFmtId="0" xfId="0" applyFont="1"/>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8"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xf>
    <xf borderId="1" fillId="0" fontId="14"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7" numFmtId="0" xfId="0" applyAlignment="1" applyBorder="1" applyFont="1">
      <alignment horizontal="right" vertical="bottom"/>
    </xf>
    <xf borderId="1" fillId="0" fontId="1" numFmtId="0" xfId="0" applyAlignment="1" applyBorder="1" applyFont="1">
      <alignment horizontal="center" vertical="bottom"/>
    </xf>
    <xf borderId="1" fillId="2" fontId="15" numFmtId="0" xfId="0" applyAlignment="1" applyBorder="1" applyFont="1">
      <alignment horizontal="center" shrinkToFit="0" vertical="center" wrapText="1"/>
    </xf>
    <xf borderId="1" fillId="0" fontId="16"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0" fillId="0" fontId="16" numFmtId="0" xfId="0" applyAlignment="1" applyFont="1">
      <alignment readingOrder="0" shrinkToFit="0" vertical="center" wrapText="1"/>
    </xf>
    <xf borderId="0" fillId="0" fontId="16" numFmtId="0" xfId="0" applyAlignment="1" applyFont="1">
      <alignment readingOrder="0" shrinkToFit="0" vertical="center" wrapText="1"/>
    </xf>
    <xf borderId="0" fillId="0" fontId="16" numFmtId="0" xfId="0" applyAlignment="1" applyFont="1">
      <alignment shrinkToFit="0" vertical="center" wrapText="1"/>
    </xf>
    <xf borderId="4" fillId="0" fontId="16" numFmtId="0" xfId="0" applyAlignment="1" applyBorder="1" applyFont="1">
      <alignment readingOrder="0" shrinkToFit="0" vertical="center" wrapText="1"/>
    </xf>
    <xf borderId="1" fillId="0" fontId="17" numFmtId="0" xfId="0" applyAlignment="1" applyBorder="1" applyFont="1">
      <alignment horizontal="center" shrinkToFit="0" vertical="center" wrapText="1"/>
    </xf>
    <xf borderId="1" fillId="0" fontId="18" numFmtId="0" xfId="0" applyAlignment="1" applyBorder="1" applyFont="1">
      <alignment horizontal="center" readingOrder="0" shrinkToFit="0" vertical="center" wrapText="1"/>
    </xf>
    <xf borderId="0" fillId="0" fontId="18" numFmtId="0" xfId="0" applyAlignment="1" applyFont="1">
      <alignment horizontal="center" shrinkToFit="0" vertical="center" wrapText="1"/>
    </xf>
    <xf borderId="1" fillId="0" fontId="18" numFmtId="0" xfId="0" applyAlignment="1" applyBorder="1" applyFont="1">
      <alignment horizontal="center" readingOrder="0" shrinkToFit="0" vertical="center" wrapText="1"/>
    </xf>
    <xf borderId="1" fillId="3" fontId="19" numFmtId="0" xfId="0" applyAlignment="1" applyBorder="1" applyFill="1" applyFont="1">
      <alignment horizontal="center" shrinkToFit="0" vertical="center" wrapText="1"/>
    </xf>
    <xf borderId="2" fillId="4" fontId="17" numFmtId="0" xfId="0" applyAlignment="1" applyBorder="1" applyFill="1" applyFont="1">
      <alignment horizontal="center" shrinkToFit="0" vertical="center" wrapText="1"/>
    </xf>
    <xf borderId="3" fillId="0" fontId="18" numFmtId="0" xfId="0" applyAlignment="1" applyBorder="1" applyFont="1">
      <alignment horizontal="center" readingOrder="0" shrinkToFit="0" vertical="center" wrapText="1"/>
    </xf>
    <xf borderId="3" fillId="0" fontId="18" numFmtId="0" xfId="0" applyAlignment="1" applyBorder="1" applyFont="1">
      <alignment horizontal="left" readingOrder="0" shrinkToFit="0" vertical="center" wrapText="1"/>
    </xf>
    <xf borderId="3" fillId="0" fontId="20" numFmtId="0" xfId="0" applyAlignment="1" applyBorder="1" applyFont="1">
      <alignment horizontal="center" readingOrder="0" shrinkToFit="0" vertical="center" wrapText="1"/>
    </xf>
    <xf borderId="0" fillId="0" fontId="18" numFmtId="0" xfId="0" applyAlignment="1" applyFont="1">
      <alignment horizontal="left" shrinkToFit="0" vertical="center" wrapText="1"/>
    </xf>
    <xf borderId="1" fillId="0" fontId="18"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1"/>
    </xf>
    <xf borderId="5" fillId="2" fontId="17" numFmtId="0" xfId="0" applyAlignment="1" applyBorder="1" applyFont="1">
      <alignment horizontal="center" readingOrder="0" shrinkToFit="0" vertical="center" wrapText="1"/>
    </xf>
    <xf borderId="4" fillId="0" fontId="23" numFmtId="0" xfId="0" applyAlignment="1" applyBorder="1" applyFont="1">
      <alignment horizontal="center" shrinkToFit="0" textRotation="90" vertical="center" wrapText="1"/>
    </xf>
    <xf borderId="4" fillId="0" fontId="10"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6" fillId="0" fontId="24" numFmtId="0" xfId="0" applyBorder="1" applyFont="1"/>
    <xf borderId="3" fillId="0" fontId="2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1304925</xdr:colOff>
      <xdr:row>0</xdr:row>
      <xdr:rowOff>0</xdr:rowOff>
    </xdr:from>
    <xdr:ext cx="3190875" cy="1943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_Tv60KP7Tkjkh7iHUX0DXhCzqf0GqRa6/view?usp=drive_link" TargetMode="External"/><Relationship Id="rId20" Type="http://schemas.openxmlformats.org/officeDocument/2006/relationships/hyperlink" Target="https://drive.google.com/file/d/1j8uc21xxRQ_ITR17s6bei4f8y8S6KfZm/view?usp=drive_link" TargetMode="External"/><Relationship Id="rId42" Type="http://schemas.openxmlformats.org/officeDocument/2006/relationships/hyperlink" Target="https://drive.google.com/file/d/137_IAutQm0DnUI1gB8itRAnvYJAmFeXA/view?usp=drive_link" TargetMode="External"/><Relationship Id="rId41" Type="http://schemas.openxmlformats.org/officeDocument/2006/relationships/hyperlink" Target="https://drive.google.com/file/d/12Cm5nTsruL5XSoLlq8Yxoce1pw1qnBLP/view?usp=drive_link" TargetMode="External"/><Relationship Id="rId22" Type="http://schemas.openxmlformats.org/officeDocument/2006/relationships/hyperlink" Target="https://drive.google.com/file/d/1KLex23-Fe5dyghKSBYH7lkrzS1-6VG83/view?usp=drive_link" TargetMode="External"/><Relationship Id="rId44" Type="http://schemas.openxmlformats.org/officeDocument/2006/relationships/hyperlink" Target="https://drive.google.com/file/d/19OFGB8yI6Tf1inb-a0baZQXWDcWpTwN6/view?usp=drive_link" TargetMode="External"/><Relationship Id="rId21" Type="http://schemas.openxmlformats.org/officeDocument/2006/relationships/hyperlink" Target="https://drive.google.com/file/d/1qvXSarQEFjZqbinUQeb_-yuLm_mOg4ue/view?usp=drive_link" TargetMode="External"/><Relationship Id="rId43" Type="http://schemas.openxmlformats.org/officeDocument/2006/relationships/hyperlink" Target="https://drive.google.com/file/d/1yzOF9rTHhxP77BLFZDCEz0CJ9j5EreVH/view?usp=drive_link" TargetMode="External"/><Relationship Id="rId24" Type="http://schemas.openxmlformats.org/officeDocument/2006/relationships/hyperlink" Target="https://drive.google.com/file/d/1vRuK4G_c6ytmt6_kN1NbkV66uglkd5sg/view?usp=drive_link" TargetMode="External"/><Relationship Id="rId46" Type="http://schemas.openxmlformats.org/officeDocument/2006/relationships/hyperlink" Target="https://drive.google.com/file/d/1vuwLGy45Ov_jwNwkOWM8j2I8mdmSQiLp/view?usp=drive_link" TargetMode="External"/><Relationship Id="rId23" Type="http://schemas.openxmlformats.org/officeDocument/2006/relationships/hyperlink" Target="https://drive.google.com/file/d/1WdUwhoAKw9VJZP45R6Lp1FmGJsyFdL6E/view?usp=drive_link" TargetMode="External"/><Relationship Id="rId45" Type="http://schemas.openxmlformats.org/officeDocument/2006/relationships/hyperlink" Target="https://drive.google.com/file/d/1RFb7u1ZHfXg9BeNBpxaU6znbd1L7l1pY/view?usp=drive_link" TargetMode="External"/><Relationship Id="rId1" Type="http://schemas.openxmlformats.org/officeDocument/2006/relationships/hyperlink" Target="https://drive.google.com/file/d/1u29w_Wa7h4bOdm9m9WXAH4cPvm-ZdEVi/view?usp=drive_link" TargetMode="External"/><Relationship Id="rId2" Type="http://schemas.openxmlformats.org/officeDocument/2006/relationships/hyperlink" Target="https://drive.google.com/file/d/1F6zNQsG49gDUpfguLk-u9nFlyuXhBEkF/view?usp=drive_link" TargetMode="External"/><Relationship Id="rId3" Type="http://schemas.openxmlformats.org/officeDocument/2006/relationships/hyperlink" Target="https://drive.google.com/file/d/1loH6gbOEVYxwdpQtNm0INqLyHo92xJbM/view?usp=drive_link" TargetMode="External"/><Relationship Id="rId4" Type="http://schemas.openxmlformats.org/officeDocument/2006/relationships/hyperlink" Target="https://drive.google.com/file/d/1IeVWxa2y6sKCMgIvz9n6y_GsWL13OHBt/view?usp=drive_link" TargetMode="External"/><Relationship Id="rId9" Type="http://schemas.openxmlformats.org/officeDocument/2006/relationships/hyperlink" Target="https://drive.google.com/file/d/14x0H8Cj1yGkq9nIRIMEkEh_BrqGUHyb1/view?usp=drive_link" TargetMode="External"/><Relationship Id="rId26" Type="http://schemas.openxmlformats.org/officeDocument/2006/relationships/hyperlink" Target="https://jam.dev/c/ee57675a-f88f-48a4-a150-f334c0b3b244" TargetMode="External"/><Relationship Id="rId48" Type="http://schemas.openxmlformats.org/officeDocument/2006/relationships/drawing" Target="../drawings/drawing1.xml"/><Relationship Id="rId25" Type="http://schemas.openxmlformats.org/officeDocument/2006/relationships/hyperlink" Target="https://drive.google.com/file/d/1YMgFbIWV65v8MTTx_AxcKyawpTNmhx-6/view?usp=drive_link" TargetMode="External"/><Relationship Id="rId47" Type="http://schemas.openxmlformats.org/officeDocument/2006/relationships/hyperlink" Target="https://drive.google.com/file/d/1COZrnyKh5NUytg_K2txs6xE4q7KEHg-m/view?usp=drive_link" TargetMode="External"/><Relationship Id="rId28" Type="http://schemas.openxmlformats.org/officeDocument/2006/relationships/hyperlink" Target="https://jam.dev/c/7e6fdbbf-6f54-4449-933b-872542d4e03c" TargetMode="External"/><Relationship Id="rId27" Type="http://schemas.openxmlformats.org/officeDocument/2006/relationships/hyperlink" Target="https://drive.google.com/file/d/1uWWSk0JzEW2KAn6UBOiILAIfuro5Mpnn/view?usp=drive_link" TargetMode="External"/><Relationship Id="rId5" Type="http://schemas.openxmlformats.org/officeDocument/2006/relationships/hyperlink" Target="https://drive.google.com/file/d/1haRoWx_fzP2CktG0LbdGtOVcBGkZOyAs/view?usp=drive_link" TargetMode="External"/><Relationship Id="rId6" Type="http://schemas.openxmlformats.org/officeDocument/2006/relationships/hyperlink" Target="https://drive.google.com/file/d/15VG_T_k1OUzSG0xdJjXgTgkniEmLBDiK/view?usp=drive_link" TargetMode="External"/><Relationship Id="rId29" Type="http://schemas.openxmlformats.org/officeDocument/2006/relationships/hyperlink" Target="https://drive.google.com/file/d/17Qe2pumq6nLmzLEcvseV514o8eAPVwvk/view?usp=drive_link" TargetMode="External"/><Relationship Id="rId7" Type="http://schemas.openxmlformats.org/officeDocument/2006/relationships/hyperlink" Target="https://drive.google.com/file/d/13exhdxanyYbRnL4ACc2CJe65OBwTpcvO/view?usp=drive_link" TargetMode="External"/><Relationship Id="rId8" Type="http://schemas.openxmlformats.org/officeDocument/2006/relationships/hyperlink" Target="https://drive.google.com/file/d/1nkwEoAO2orWPxnW4t-8bcBiKzHGDoJ3k/view?usp=drive_link" TargetMode="External"/><Relationship Id="rId31" Type="http://schemas.openxmlformats.org/officeDocument/2006/relationships/hyperlink" Target="https://drive.google.com/file/d/13f38e09rp29Hk6b4D8ZGRbUSFG2lR1oh/view?usp=drive_link" TargetMode="External"/><Relationship Id="rId30" Type="http://schemas.openxmlformats.org/officeDocument/2006/relationships/hyperlink" Target="https://drive.google.com/file/d/1JrtbpqQLDuv5_lQH09pimvpog6-DRnfk/view?usp=drive_link" TargetMode="External"/><Relationship Id="rId11" Type="http://schemas.openxmlformats.org/officeDocument/2006/relationships/hyperlink" Target="https://drive.google.com/file/d/1XULhwCogBaakOiUDnvk7CeZvdJsu3sA8/view?usp=drive_link" TargetMode="External"/><Relationship Id="rId33" Type="http://schemas.openxmlformats.org/officeDocument/2006/relationships/hyperlink" Target="https://drive.google.com/file/d/1JILOLDJL3ZWUtIgXsdtqYVhSS2SsivjF/view?usp=drive_link" TargetMode="External"/><Relationship Id="rId10" Type="http://schemas.openxmlformats.org/officeDocument/2006/relationships/hyperlink" Target="https://drive.google.com/file/d/1NY-OIs6XpToQOBkdBXzOT54gHBKu1Cqs/view?usp=drive_link" TargetMode="External"/><Relationship Id="rId32" Type="http://schemas.openxmlformats.org/officeDocument/2006/relationships/hyperlink" Target="https://drive.google.com/file/d/1qVZUY5HAL95TM-2hkpnqeXZyQytKUBhp/view?usp=drive_link" TargetMode="External"/><Relationship Id="rId13" Type="http://schemas.openxmlformats.org/officeDocument/2006/relationships/hyperlink" Target="https://drive.google.com/file/d/1fdwYRTVFwtxj4a2cQUcNE-JxcPItyks3/view?usp=drive_link" TargetMode="External"/><Relationship Id="rId35" Type="http://schemas.openxmlformats.org/officeDocument/2006/relationships/hyperlink" Target="https://drive.google.com/file/d/1RbtUnvLHsD55thLNeEVwQ1MgI9Z7xuPz/view?usp=drive_link" TargetMode="External"/><Relationship Id="rId12" Type="http://schemas.openxmlformats.org/officeDocument/2006/relationships/hyperlink" Target="https://drive.google.com/file/d/1ZMLGhPiBHCYWW_rYz_vdbn7yGqNo7ufB/view?usp=drive_link" TargetMode="External"/><Relationship Id="rId34" Type="http://schemas.openxmlformats.org/officeDocument/2006/relationships/hyperlink" Target="https://drive.google.com/file/d/1peyCAyGuVmf8hAUGmlgxXsx5UMbuKPcp/view?usp=drive_link" TargetMode="External"/><Relationship Id="rId15" Type="http://schemas.openxmlformats.org/officeDocument/2006/relationships/hyperlink" Target="https://drive.google.com/file/d/1tkCaCf4ymxthAx4ysDqpZc37wM_ilSrc/view?usp=drive_link" TargetMode="External"/><Relationship Id="rId37" Type="http://schemas.openxmlformats.org/officeDocument/2006/relationships/hyperlink" Target="https://drive.google.com/file/d/1tLz7FYBRXK9Eu6YDRz9Y0FsFd89qfRJw/view?usp=drive_link" TargetMode="External"/><Relationship Id="rId14" Type="http://schemas.openxmlformats.org/officeDocument/2006/relationships/hyperlink" Target="https://drive.google.com/file/d/1rJLjMwI8nniNOY5xZ4xPNHNk_XH0otlu/view?usp=drive_link" TargetMode="External"/><Relationship Id="rId36" Type="http://schemas.openxmlformats.org/officeDocument/2006/relationships/hyperlink" Target="https://drive.google.com/file/d/12zZZkoeIIt7uIINMkN7lZASb7hHmx1ku/view?usp=drive_link" TargetMode="External"/><Relationship Id="rId17" Type="http://schemas.openxmlformats.org/officeDocument/2006/relationships/hyperlink" Target="https://drive.google.com/file/d/1GnNqqEV4v5p5Ljd7anvErcGqlXhXMURA/view?usp=drive_link" TargetMode="External"/><Relationship Id="rId39" Type="http://schemas.openxmlformats.org/officeDocument/2006/relationships/hyperlink" Target="https://drive.google.com/file/d/1Gt5Puly1E-sAvpeI4mSzi1RZP0R_L4yu/view?usp=drive_link" TargetMode="External"/><Relationship Id="rId16" Type="http://schemas.openxmlformats.org/officeDocument/2006/relationships/hyperlink" Target="https://drive.google.com/file/d/1dDJVgs6mWVi6alCalMXd7yxJHutTTxwX/view?usp=drive_link" TargetMode="External"/><Relationship Id="rId38" Type="http://schemas.openxmlformats.org/officeDocument/2006/relationships/hyperlink" Target="https://drive.google.com/file/d/1bFQYk40PYBndphFPjwWfT30fA6DO3DzV/view?usp=drive_link" TargetMode="External"/><Relationship Id="rId19" Type="http://schemas.openxmlformats.org/officeDocument/2006/relationships/hyperlink" Target="https://drive.google.com/file/d/1bdn-YJqS2VeAxlTuwYjr7VDnlWXHIEiW/view?usp=drive_link" TargetMode="External"/><Relationship Id="rId18" Type="http://schemas.openxmlformats.org/officeDocument/2006/relationships/hyperlink" Target="https://drive.google.com/file/d/1MU7PrtlmpF0l9Kd6tOG3EKwmh-MN_iBj/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fdwYRTVFwtxj4a2cQUcNE-JxcPItyks3/view?usp=drive_link" TargetMode="External"/><Relationship Id="rId20" Type="http://schemas.openxmlformats.org/officeDocument/2006/relationships/hyperlink" Target="https://drive.google.com/file/d/1bFQYk40PYBndphFPjwWfT30fA6DO3DzV/view?usp=drive_link" TargetMode="External"/><Relationship Id="rId42" Type="http://schemas.openxmlformats.org/officeDocument/2006/relationships/hyperlink" Target="https://drive.google.com/file/d/1RFb7u1ZHfXg9BeNBpxaU6znbd1L7l1pY/view?usp=drive_link" TargetMode="External"/><Relationship Id="rId41" Type="http://schemas.openxmlformats.org/officeDocument/2006/relationships/hyperlink" Target="https://drive.google.com/file/d/1rJLjMwI8nniNOY5xZ4xPNHNk_XH0otlu/view?usp=drive_link" TargetMode="External"/><Relationship Id="rId22" Type="http://schemas.openxmlformats.org/officeDocument/2006/relationships/hyperlink" Target="https://drive.google.com/file/d/1_Tv60KP7Tkjkh7iHUX0DXhCzqf0GqRa6/view?usp=drive_link" TargetMode="External"/><Relationship Id="rId44" Type="http://schemas.openxmlformats.org/officeDocument/2006/relationships/hyperlink" Target="https://drive.google.com/file/d/1MU7PrtlmpF0l9Kd6tOG3EKwmh-MN_iBj/view?usp=drive_link" TargetMode="External"/><Relationship Id="rId21" Type="http://schemas.openxmlformats.org/officeDocument/2006/relationships/hyperlink" Target="https://drive.google.com/file/d/1Gt5Puly1E-sAvpeI4mSzi1RZP0R_L4yu/view?usp=drive_link" TargetMode="External"/><Relationship Id="rId43" Type="http://schemas.openxmlformats.org/officeDocument/2006/relationships/hyperlink" Target="https://drive.google.com/file/d/1GnNqqEV4v5p5Ljd7anvErcGqlXhXMURA/view?usp=drive_link" TargetMode="External"/><Relationship Id="rId24" Type="http://schemas.openxmlformats.org/officeDocument/2006/relationships/hyperlink" Target="https://drive.google.com/file/d/13f38e09rp29Hk6b4D8ZGRbUSFG2lR1oh/view?usp=drive_link" TargetMode="External"/><Relationship Id="rId46" Type="http://schemas.openxmlformats.org/officeDocument/2006/relationships/hyperlink" Target="https://drive.google.com/file/d/1j8uc21xxRQ_ITR17s6bei4f8y8S6KfZm/view?usp=drive_link" TargetMode="External"/><Relationship Id="rId23" Type="http://schemas.openxmlformats.org/officeDocument/2006/relationships/hyperlink" Target="https://drive.google.com/file/d/17Qe2pumq6nLmzLEcvseV514o8eAPVwvk/view?usp=drive_link" TargetMode="External"/><Relationship Id="rId45" Type="http://schemas.openxmlformats.org/officeDocument/2006/relationships/hyperlink" Target="https://drive.google.com/file/d/1bdn-YJqS2VeAxlTuwYjr7VDnlWXHIEiW/view?usp=drive_link" TargetMode="External"/><Relationship Id="rId1" Type="http://schemas.openxmlformats.org/officeDocument/2006/relationships/hyperlink" Target="https://jam.dev/c/ee57675a-f88f-48a4-a150-f334c0b3b244" TargetMode="External"/><Relationship Id="rId2" Type="http://schemas.openxmlformats.org/officeDocument/2006/relationships/hyperlink" Target="https://drive.google.com/file/d/1uWWSk0JzEW2KAn6UBOiILAIfuro5Mpnn/view?usp=drive_link" TargetMode="External"/><Relationship Id="rId3" Type="http://schemas.openxmlformats.org/officeDocument/2006/relationships/hyperlink" Target="https://jam.dev/c/7e6fdbbf-6f54-4449-933b-872542d4e03c" TargetMode="External"/><Relationship Id="rId4" Type="http://schemas.openxmlformats.org/officeDocument/2006/relationships/hyperlink" Target="https://drive.google.com/file/d/137_IAutQm0DnUI1gB8itRAnvYJAmFeXA/view?usp=drive_link" TargetMode="External"/><Relationship Id="rId9" Type="http://schemas.openxmlformats.org/officeDocument/2006/relationships/hyperlink" Target="https://drive.google.com/file/d/1JILOLDJL3ZWUtIgXsdtqYVhSS2SsivjF/view?usp=drive_link" TargetMode="External"/><Relationship Id="rId26" Type="http://schemas.openxmlformats.org/officeDocument/2006/relationships/hyperlink" Target="https://drive.google.com/file/d/1loH6gbOEVYxwdpQtNm0INqLyHo92xJbM/view?usp=drive_link" TargetMode="External"/><Relationship Id="rId48" Type="http://schemas.openxmlformats.org/officeDocument/2006/relationships/drawing" Target="../drawings/drawing3.xml"/><Relationship Id="rId25" Type="http://schemas.openxmlformats.org/officeDocument/2006/relationships/hyperlink" Target="https://drive.google.com/file/d/1F6zNQsG49gDUpfguLk-u9nFlyuXhBEkF/view?usp=drive_link" TargetMode="External"/><Relationship Id="rId47" Type="http://schemas.openxmlformats.org/officeDocument/2006/relationships/hyperlink" Target="https://drive.google.com/file/d/1qvXSarQEFjZqbinUQeb_-yuLm_mOg4ue/view?usp=drive_link" TargetMode="External"/><Relationship Id="rId28" Type="http://schemas.openxmlformats.org/officeDocument/2006/relationships/hyperlink" Target="https://drive.google.com/file/d/1haRoWx_fzP2CktG0LbdGtOVcBGkZOyAs/view?usp=drive_link" TargetMode="External"/><Relationship Id="rId27" Type="http://schemas.openxmlformats.org/officeDocument/2006/relationships/hyperlink" Target="https://drive.google.com/file/d/1IeVWxa2y6sKCMgIvz9n6y_GsWL13OHBt/view?usp=drive_link" TargetMode="External"/><Relationship Id="rId5" Type="http://schemas.openxmlformats.org/officeDocument/2006/relationships/hyperlink" Target="https://drive.google.com/file/d/1yzOF9rTHhxP77BLFZDCEz0CJ9j5EreVH/view?usp=drive_link" TargetMode="External"/><Relationship Id="rId6" Type="http://schemas.openxmlformats.org/officeDocument/2006/relationships/hyperlink" Target="https://drive.google.com/file/d/19OFGB8yI6Tf1inb-a0baZQXWDcWpTwN6/view?usp=drive_link" TargetMode="External"/><Relationship Id="rId29" Type="http://schemas.openxmlformats.org/officeDocument/2006/relationships/hyperlink" Target="https://drive.google.com/file/d/15VG_T_k1OUzSG0xdJjXgTgkniEmLBDiK/view?usp=drive_link" TargetMode="External"/><Relationship Id="rId7" Type="http://schemas.openxmlformats.org/officeDocument/2006/relationships/hyperlink" Target="https://drive.google.com/file/d/1KLex23-Fe5dyghKSBYH7lkrzS1-6VG83/view?usp=drive_link" TargetMode="External"/><Relationship Id="rId8" Type="http://schemas.openxmlformats.org/officeDocument/2006/relationships/hyperlink" Target="https://drive.google.com/file/d/1qVZUY5HAL95TM-2hkpnqeXZyQytKUBhp/view?usp=drive_link" TargetMode="External"/><Relationship Id="rId31" Type="http://schemas.openxmlformats.org/officeDocument/2006/relationships/hyperlink" Target="https://drive.google.com/file/d/1nkwEoAO2orWPxnW4t-8bcBiKzHGDoJ3k/view?usp=drive_link" TargetMode="External"/><Relationship Id="rId30" Type="http://schemas.openxmlformats.org/officeDocument/2006/relationships/hyperlink" Target="https://drive.google.com/file/d/13exhdxanyYbRnL4ACc2CJe65OBwTpcvO/view?usp=drive_link" TargetMode="External"/><Relationship Id="rId11" Type="http://schemas.openxmlformats.org/officeDocument/2006/relationships/hyperlink" Target="https://drive.google.com/file/d/1peyCAyGuVmf8hAUGmlgxXsx5UMbuKPcp/view?usp=drive_link" TargetMode="External"/><Relationship Id="rId33" Type="http://schemas.openxmlformats.org/officeDocument/2006/relationships/hyperlink" Target="https://drive.google.com/file/d/1NY-OIs6XpToQOBkdBXzOT54gHBKu1Cqs/view?usp=drive_link" TargetMode="External"/><Relationship Id="rId10" Type="http://schemas.openxmlformats.org/officeDocument/2006/relationships/hyperlink" Target="https://drive.google.com/file/d/1JrtbpqQLDuv5_lQH09pimvpog6-DRnfk/view?usp=drive_link" TargetMode="External"/><Relationship Id="rId32" Type="http://schemas.openxmlformats.org/officeDocument/2006/relationships/hyperlink" Target="https://drive.google.com/file/d/14x0H8Cj1yGkq9nIRIMEkEh_BrqGUHyb1/view?usp=drive_link" TargetMode="External"/><Relationship Id="rId13" Type="http://schemas.openxmlformats.org/officeDocument/2006/relationships/hyperlink" Target="https://drive.google.com/file/d/1tkCaCf4ymxthAx4ysDqpZc37wM_ilSrc/view?usp=drive_link" TargetMode="External"/><Relationship Id="rId35" Type="http://schemas.openxmlformats.org/officeDocument/2006/relationships/hyperlink" Target="https://drive.google.com/file/d/1vuwLGy45Ov_jwNwkOWM8j2I8mdmSQiLp/view?usp=drive_link" TargetMode="External"/><Relationship Id="rId12" Type="http://schemas.openxmlformats.org/officeDocument/2006/relationships/hyperlink" Target="https://drive.google.com/file/d/1u29w_Wa7h4bOdm9m9WXAH4cPvm-ZdEVi/view?usp=drive_link" TargetMode="External"/><Relationship Id="rId34" Type="http://schemas.openxmlformats.org/officeDocument/2006/relationships/hyperlink" Target="https://drive.google.com/file/d/1YMgFbIWV65v8MTTx_AxcKyawpTNmhx-6/view?usp=drive_link" TargetMode="External"/><Relationship Id="rId15" Type="http://schemas.openxmlformats.org/officeDocument/2006/relationships/hyperlink" Target="https://drive.google.com/file/d/1WdUwhoAKw9VJZP45R6Lp1FmGJsyFdL6E/view?usp=drive_link" TargetMode="External"/><Relationship Id="rId37" Type="http://schemas.openxmlformats.org/officeDocument/2006/relationships/hyperlink" Target="https://drive.google.com/file/d/12Cm5nTsruL5XSoLlq8Yxoce1pw1qnBLP/view?usp=drive_link" TargetMode="External"/><Relationship Id="rId14" Type="http://schemas.openxmlformats.org/officeDocument/2006/relationships/hyperlink" Target="https://drive.google.com/file/d/1dDJVgs6mWVi6alCalMXd7yxJHutTTxwX/view?usp=drive_link" TargetMode="External"/><Relationship Id="rId36" Type="http://schemas.openxmlformats.org/officeDocument/2006/relationships/hyperlink" Target="https://drive.google.com/file/d/1COZrnyKh5NUytg_K2txs6xE4q7KEHg-m/view?usp=drive_link" TargetMode="External"/><Relationship Id="rId17" Type="http://schemas.openxmlformats.org/officeDocument/2006/relationships/hyperlink" Target="https://drive.google.com/file/d/1RbtUnvLHsD55thLNeEVwQ1MgI9Z7xuPz/view?usp=drive_link" TargetMode="External"/><Relationship Id="rId39" Type="http://schemas.openxmlformats.org/officeDocument/2006/relationships/hyperlink" Target="https://drive.google.com/file/d/1ZMLGhPiBHCYWW_rYz_vdbn7yGqNo7ufB/view?usp=drive_link" TargetMode="External"/><Relationship Id="rId16" Type="http://schemas.openxmlformats.org/officeDocument/2006/relationships/hyperlink" Target="https://drive.google.com/file/d/1vRuK4G_c6ytmt6_kN1NbkV66uglkd5sg/view?usp=drive_link" TargetMode="External"/><Relationship Id="rId38" Type="http://schemas.openxmlformats.org/officeDocument/2006/relationships/hyperlink" Target="https://drive.google.com/file/d/1XULhwCogBaakOiUDnvk7CeZvdJsu3sA8/view?usp=drive_link" TargetMode="External"/><Relationship Id="rId19" Type="http://schemas.openxmlformats.org/officeDocument/2006/relationships/hyperlink" Target="https://drive.google.com/file/d/1tLz7FYBRXK9Eu6YDRz9Y0FsFd89qfRJw/view?usp=drive_link" TargetMode="External"/><Relationship Id="rId18" Type="http://schemas.openxmlformats.org/officeDocument/2006/relationships/hyperlink" Target="https://drive.google.com/file/d/12zZZkoeIIt7uIINMkN7lZASb7hHmx1ku/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6"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t="s">
        <v>5</v>
      </c>
      <c r="C3" s="1"/>
      <c r="D3" s="7" t="s">
        <v>6</v>
      </c>
      <c r="E3" s="7">
        <f>COUNTIF(Tahsin!K14:K1005, "High") + COUNTIF(Fahad!K8:K1004, "High")</f>
        <v>17</v>
      </c>
      <c r="F3" s="1"/>
      <c r="G3" s="1"/>
      <c r="H3" s="1"/>
      <c r="I3" s="1"/>
      <c r="J3" s="1"/>
      <c r="K3" s="1"/>
      <c r="L3" s="1"/>
      <c r="M3" s="1"/>
      <c r="N3" s="1"/>
      <c r="O3" s="1"/>
    </row>
    <row r="4">
      <c r="A4" s="2" t="s">
        <v>7</v>
      </c>
      <c r="B4" s="8"/>
      <c r="C4" s="1"/>
      <c r="D4" s="7" t="s">
        <v>8</v>
      </c>
      <c r="E4" s="7">
        <f>COUNTIF(Tahsin!K14:K1006, "Medium") + COUNTIF(Fahad!K8:K1005, "Medium")</f>
        <v>9</v>
      </c>
      <c r="F4" s="1"/>
      <c r="G4" s="1"/>
      <c r="H4" s="1"/>
      <c r="I4" s="1"/>
      <c r="J4" s="1"/>
      <c r="K4" s="1"/>
      <c r="L4" s="1"/>
      <c r="M4" s="1"/>
      <c r="N4" s="1"/>
      <c r="O4" s="1"/>
    </row>
    <row r="5">
      <c r="A5" s="2" t="s">
        <v>9</v>
      </c>
      <c r="B5" s="9" t="s">
        <v>10</v>
      </c>
      <c r="C5" s="1"/>
      <c r="D5" s="7" t="s">
        <v>11</v>
      </c>
      <c r="E5" s="7">
        <f>COUNTIF(Fahad!K8:K1006, "Low") + COUNTIF(Tahsin!K14:K1009, "Low")</f>
        <v>21</v>
      </c>
      <c r="F5" s="1"/>
      <c r="G5" s="1"/>
      <c r="H5" s="1"/>
      <c r="I5" s="1"/>
      <c r="J5" s="1"/>
      <c r="K5" s="1"/>
      <c r="L5" s="1"/>
      <c r="M5" s="1"/>
      <c r="N5" s="1"/>
      <c r="O5" s="1"/>
    </row>
    <row r="6">
      <c r="A6" s="2" t="s">
        <v>12</v>
      </c>
      <c r="B6" s="10"/>
      <c r="C6" s="1"/>
      <c r="D6" s="1"/>
      <c r="E6" s="1"/>
      <c r="F6" s="1"/>
      <c r="G6" s="1"/>
      <c r="H6" s="1"/>
      <c r="I6" s="1"/>
      <c r="J6" s="1"/>
      <c r="K6" s="1"/>
      <c r="L6" s="1"/>
      <c r="M6" s="1"/>
      <c r="N6" s="1"/>
      <c r="O6" s="1"/>
    </row>
    <row r="7">
      <c r="A7" s="2" t="s">
        <v>13</v>
      </c>
      <c r="B7" s="10"/>
      <c r="C7" s="1"/>
      <c r="D7" s="11" t="s">
        <v>14</v>
      </c>
      <c r="E7" s="7">
        <f>SUM(E3:E5)</f>
        <v>47</v>
      </c>
      <c r="F7" s="1"/>
      <c r="G7" s="1"/>
      <c r="H7" s="1"/>
      <c r="I7" s="1"/>
      <c r="J7" s="1"/>
      <c r="K7" s="1"/>
      <c r="L7" s="1"/>
      <c r="M7" s="1"/>
      <c r="N7" s="1"/>
      <c r="O7" s="1"/>
    </row>
    <row r="8">
      <c r="A8" s="1"/>
      <c r="B8" s="1"/>
      <c r="C8" s="1"/>
      <c r="D8" s="11" t="s">
        <v>15</v>
      </c>
      <c r="E8" s="7">
        <f>COUNTIF(O11:O1003, "Solved")</f>
        <v>16</v>
      </c>
      <c r="F8" s="1"/>
      <c r="G8" s="1"/>
      <c r="H8" s="1"/>
      <c r="I8" s="1"/>
      <c r="J8" s="1"/>
      <c r="K8" s="1"/>
      <c r="L8" s="1"/>
      <c r="M8" s="1"/>
      <c r="N8" s="1"/>
      <c r="O8" s="1"/>
    </row>
    <row r="9">
      <c r="A9" s="1"/>
      <c r="B9" s="1"/>
      <c r="C9" s="1"/>
      <c r="D9" s="1"/>
      <c r="E9" s="1"/>
      <c r="F9" s="1"/>
      <c r="G9" s="1"/>
      <c r="H9" s="1"/>
      <c r="I9" s="1"/>
      <c r="J9" s="1"/>
      <c r="K9" s="1"/>
      <c r="L9" s="1"/>
      <c r="M9" s="1"/>
      <c r="N9" s="1"/>
      <c r="O9" s="1"/>
    </row>
    <row r="10">
      <c r="A10" s="12" t="s">
        <v>16</v>
      </c>
      <c r="B10" s="12" t="s">
        <v>17</v>
      </c>
      <c r="C10" s="12" t="s">
        <v>18</v>
      </c>
      <c r="D10" s="12" t="s">
        <v>19</v>
      </c>
      <c r="E10" s="12" t="s">
        <v>20</v>
      </c>
      <c r="F10" s="12" t="s">
        <v>21</v>
      </c>
      <c r="G10" s="12" t="s">
        <v>22</v>
      </c>
      <c r="H10" s="12" t="s">
        <v>23</v>
      </c>
      <c r="I10" s="12" t="s">
        <v>24</v>
      </c>
      <c r="J10" s="12" t="s">
        <v>25</v>
      </c>
      <c r="K10" s="12" t="s">
        <v>2</v>
      </c>
      <c r="L10" s="12" t="s">
        <v>26</v>
      </c>
      <c r="M10" s="12" t="s">
        <v>27</v>
      </c>
      <c r="N10" s="13" t="s">
        <v>28</v>
      </c>
      <c r="O10" s="13" t="s">
        <v>29</v>
      </c>
      <c r="P10" s="13" t="s">
        <v>30</v>
      </c>
      <c r="Q10" s="14"/>
      <c r="R10" s="14"/>
      <c r="S10" s="14"/>
      <c r="T10" s="14"/>
      <c r="U10" s="14"/>
      <c r="V10" s="14"/>
      <c r="W10" s="14"/>
      <c r="X10" s="14"/>
      <c r="Y10" s="14"/>
      <c r="Z10" s="14"/>
      <c r="AA10" s="14"/>
    </row>
    <row r="11">
      <c r="A11" s="15" t="s">
        <v>31</v>
      </c>
      <c r="B11" s="16" t="str">
        <f>IFERROR(__xludf.DUMMYFUNCTION("QUERY(
  {
    ARRAYFORMULA({TRIM(Fahad!B8:B999), Fahad!C8:M999, IF(LEN(Fahad!B8:B999), ""Fahad"", """")});
    ARRAYFORMULA({TRIM(Tahsin!B15:B999), Tahsin!C15:M999, IF(LEN(Tahsin!B15:B999), ""Tahsin"", """")})
  },
  ""SELECT * WHERE Col1 IS NOT NULL ORD"&amp;"ER BY Col1 ASC, Col2 ASC"",
  0
)
"),"Client (APK)")</f>
        <v>Client (APK)</v>
      </c>
      <c r="C11" s="16" t="str">
        <f>IFERROR(__xludf.DUMMYFUNCTION("""COMPUTED_VALUE"""),"Add card")</f>
        <v>Add card</v>
      </c>
      <c r="D11" s="16" t="str">
        <f>IFERROR(__xludf.DUMMYFUNCTION("""COMPUTED_VALUE"""),"Simplify the card addition bar in the mobile app.")</f>
        <v>Simplify the card addition bar in the mobile app.</v>
      </c>
      <c r="E11" s="16" t="str">
        <f>IFERROR(__xludf.DUMMYFUNCTION("""COMPUTED_VALUE"""),"The user needs to have the APK running on their mobile device.")</f>
        <v>The user needs to have the APK running on their mobile device.</v>
      </c>
      <c r="F11" s="17" t="str">
        <f>IFERROR(__xludf.DUMMYFUNCTION("""COMPUTED_VALUE"""),"1. Open app
2. Click on Client button
3. Login using valid credential
4. Goto profile section
5. Click on Add payment methode")</f>
        <v>1. Open app
2. Click on Client button
3. Login using valid credential
4. Goto profile section
5. Click on Add payment methode</v>
      </c>
      <c r="G11" s="16" t="str">
        <f>IFERROR(__xludf.DUMMYFUNCTION("""COMPUTED_VALUE"""),"email: itcrlbmzxpfmfowcfe@xfavaj.com
password: 1122334455")</f>
        <v>email: itcrlbmzxpfmfowcfe@xfavaj.com
password: 1122334455</v>
      </c>
      <c r="H11" s="16" t="str">
        <f>IFERROR(__xludf.DUMMYFUNCTION("""COMPUTED_VALUE"""),"All payment card gateways should be clearly visible to the client.")</f>
        <v>All payment card gateways should be clearly visible to the client.</v>
      </c>
      <c r="I11" s="16" t="str">
        <f>IFERROR(__xludf.DUMMYFUNCTION("""COMPUTED_VALUE"""),"A reduction in the payment card border has been observed.")</f>
        <v>A reduction in the payment card border has been observed.</v>
      </c>
      <c r="J11" s="16" t="str">
        <f>IFERROR(__xludf.DUMMYFUNCTION("""COMPUTED_VALUE"""),"Fail")</f>
        <v>Fail</v>
      </c>
      <c r="K11" s="16" t="str">
        <f>IFERROR(__xludf.DUMMYFUNCTION("""COMPUTED_VALUE"""),"Medium")</f>
        <v>Medium</v>
      </c>
      <c r="L11" s="18" t="str">
        <f>IFERROR(__xludf.DUMMYFUNCTION("""COMPUTED_VALUE"""),"https://drive.google.com/file/d/1u29w_Wa7h4bOdm9m9WXAH4cPvm-ZdEVi/view?usp=drive_link")</f>
        <v>https://drive.google.com/file/d/1u29w_Wa7h4bOdm9m9WXAH4cPvm-ZdEVi/view?usp=drive_link</v>
      </c>
      <c r="M11" s="16"/>
      <c r="N11" s="15" t="str">
        <f>IFERROR(__xludf.DUMMYFUNCTION("""COMPUTED_VALUE"""),"Fahad")</f>
        <v>Fahad</v>
      </c>
      <c r="O11" s="15"/>
      <c r="P11" s="16"/>
      <c r="Q11" s="19"/>
      <c r="R11" s="19"/>
      <c r="S11" s="19"/>
      <c r="T11" s="19"/>
      <c r="U11" s="19"/>
      <c r="V11" s="19"/>
      <c r="W11" s="19"/>
      <c r="X11" s="19"/>
      <c r="Y11" s="19"/>
      <c r="Z11" s="19"/>
      <c r="AA11" s="19"/>
    </row>
    <row r="12">
      <c r="A12" s="20" t="s">
        <v>32</v>
      </c>
      <c r="B12" s="21" t="str">
        <f>IFERROR(__xludf.DUMMYFUNCTION("""COMPUTED_VALUE"""),"Client (APK)")</f>
        <v>Client (APK)</v>
      </c>
      <c r="C12" s="21" t="str">
        <f>IFERROR(__xludf.DUMMYFUNCTION("""COMPUTED_VALUE"""),"Appointment")</f>
        <v>Appointment</v>
      </c>
      <c r="D12" s="21" t="str">
        <f>IFERROR(__xludf.DUMMYFUNCTION("""COMPUTED_VALUE"""),"The location details input field is slightly different from the client's requirements.")</f>
        <v>The location details input field is slightly different from the client's requirements.</v>
      </c>
      <c r="E12" s="21" t="str">
        <f>IFERROR(__xludf.DUMMYFUNCTION("""COMPUTED_VALUE"""),"The user needs to have the APK running on their mobile device.")</f>
        <v>The user needs to have the APK running on their mobile device.</v>
      </c>
      <c r="F12" s="22" t="str">
        <f>IFERROR(__xludf.DUMMYFUNCTION("""COMPUTED_VALUE"""),"1. Open app
2. Click on Client button
3. Login using valid credential
4. Goto Appointment Section")</f>
        <v>1. Open app
2. Click on Client button
3. Login using valid credential
4. Goto Appointment Section</v>
      </c>
      <c r="G12" s="21" t="str">
        <f>IFERROR(__xludf.DUMMYFUNCTION("""COMPUTED_VALUE"""),"email: lowovip595@elobits.com
password: 112244557788")</f>
        <v>email: lowovip595@elobits.com
password: 112244557788</v>
      </c>
      <c r="H12" s="21" t="str">
        <f>IFERROR(__xludf.DUMMYFUNCTION("""COMPUTED_VALUE"""),"Alignment and design should match the client's requirements.")</f>
        <v>Alignment and design should match the client's requirements.</v>
      </c>
      <c r="I12" s="21" t="str">
        <f>IFERROR(__xludf.DUMMYFUNCTION("""COMPUTED_VALUE"""),"A different design and layout have been observed.")</f>
        <v>A different design and layout have been observed.</v>
      </c>
      <c r="J12" s="21" t="str">
        <f>IFERROR(__xludf.DUMMYFUNCTION("""COMPUTED_VALUE"""),"Fail")</f>
        <v>Fail</v>
      </c>
      <c r="K12" s="21" t="str">
        <f>IFERROR(__xludf.DUMMYFUNCTION("""COMPUTED_VALUE"""),"Low")</f>
        <v>Low</v>
      </c>
      <c r="L12" s="23" t="str">
        <f>IFERROR(__xludf.DUMMYFUNCTION("""COMPUTED_VALUE"""),"https://drive.google.com/file/d/1F6zNQsG49gDUpfguLk-u9nFlyuXhBEkF/view?usp=drive_link")</f>
        <v>https://drive.google.com/file/d/1F6zNQsG49gDUpfguLk-u9nFlyuXhBEkF/view?usp=drive_link</v>
      </c>
      <c r="M12" s="21"/>
      <c r="N12" s="21" t="str">
        <f>IFERROR(__xludf.DUMMYFUNCTION("""COMPUTED_VALUE"""),"Fahad")</f>
        <v>Fahad</v>
      </c>
      <c r="O12" s="20" t="s">
        <v>33</v>
      </c>
      <c r="P12" s="21"/>
      <c r="Q12" s="19"/>
      <c r="R12" s="19"/>
      <c r="S12" s="19"/>
      <c r="T12" s="19"/>
      <c r="U12" s="19"/>
      <c r="V12" s="19"/>
      <c r="W12" s="19"/>
      <c r="X12" s="19"/>
      <c r="Y12" s="19"/>
      <c r="Z12" s="19"/>
      <c r="AA12" s="19"/>
    </row>
    <row r="13">
      <c r="A13" s="20" t="s">
        <v>34</v>
      </c>
      <c r="B13" s="21" t="str">
        <f>IFERROR(__xludf.DUMMYFUNCTION("""COMPUTED_VALUE"""),"Client (APK)")</f>
        <v>Client (APK)</v>
      </c>
      <c r="C13" s="21" t="str">
        <f>IFERROR(__xludf.DUMMYFUNCTION("""COMPUTED_VALUE"""),"Appointment")</f>
        <v>Appointment</v>
      </c>
      <c r="D13" s="21" t="str">
        <f>IFERROR(__xludf.DUMMYFUNCTION("""COMPUTED_VALUE"""),"The age preference does not align with the client requirement.")</f>
        <v>The age preference does not align with the client requirement.</v>
      </c>
      <c r="E13" s="21" t="str">
        <f>IFERROR(__xludf.DUMMYFUNCTION("""COMPUTED_VALUE"""),"The user needs to have the APK running on their mobile device.")</f>
        <v>The user needs to have the APK running on their mobile device.</v>
      </c>
      <c r="F13" s="22" t="str">
        <f>IFERROR(__xludf.DUMMYFUNCTION("""COMPUTED_VALUE"""),"1. Open app
2. Click on Client button
3. Login using valid credential
4. Goto Appointment Section")</f>
        <v>1. Open app
2. Click on Client button
3. Login using valid credential
4. Goto Appointment Section</v>
      </c>
      <c r="G13" s="21" t="str">
        <f>IFERROR(__xludf.DUMMYFUNCTION("""COMPUTED_VALUE"""),"email: lowovip595@elobits.com
password: 112244557788")</f>
        <v>email: lowovip595@elobits.com
password: 112244557788</v>
      </c>
      <c r="H13" s="21" t="str">
        <f>IFERROR(__xludf.DUMMYFUNCTION("""COMPUTED_VALUE"""),"Alignment and design should match the client's requirements.")</f>
        <v>Alignment and design should match the client's requirements.</v>
      </c>
      <c r="I13" s="21" t="str">
        <f>IFERROR(__xludf.DUMMYFUNCTION("""COMPUTED_VALUE"""),"A different design and layout have been observed.")</f>
        <v>A different design and layout have been observed.</v>
      </c>
      <c r="J13" s="21" t="str">
        <f>IFERROR(__xludf.DUMMYFUNCTION("""COMPUTED_VALUE"""),"Fail")</f>
        <v>Fail</v>
      </c>
      <c r="K13" s="21" t="str">
        <f>IFERROR(__xludf.DUMMYFUNCTION("""COMPUTED_VALUE"""),"Low")</f>
        <v>Low</v>
      </c>
      <c r="L13" s="23" t="str">
        <f>IFERROR(__xludf.DUMMYFUNCTION("""COMPUTED_VALUE"""),"https://drive.google.com/file/d/1loH6gbOEVYxwdpQtNm0INqLyHo92xJbM/view?usp=drive_link")</f>
        <v>https://drive.google.com/file/d/1loH6gbOEVYxwdpQtNm0INqLyHo92xJbM/view?usp=drive_link</v>
      </c>
      <c r="M13" s="21"/>
      <c r="N13" s="21" t="str">
        <f>IFERROR(__xludf.DUMMYFUNCTION("""COMPUTED_VALUE"""),"Fahad")</f>
        <v>Fahad</v>
      </c>
      <c r="O13" s="20" t="s">
        <v>33</v>
      </c>
      <c r="P13" s="21"/>
      <c r="Q13" s="19"/>
      <c r="R13" s="19"/>
      <c r="S13" s="19"/>
      <c r="T13" s="19"/>
      <c r="U13" s="19"/>
      <c r="V13" s="19"/>
      <c r="W13" s="19"/>
      <c r="X13" s="19"/>
      <c r="Y13" s="19"/>
      <c r="Z13" s="19"/>
      <c r="AA13" s="19"/>
    </row>
    <row r="14">
      <c r="A14" s="20" t="s">
        <v>35</v>
      </c>
      <c r="B14" s="21" t="str">
        <f>IFERROR(__xludf.DUMMYFUNCTION("""COMPUTED_VALUE"""),"Client (APK)")</f>
        <v>Client (APK)</v>
      </c>
      <c r="C14" s="21" t="str">
        <f>IFERROR(__xludf.DUMMYFUNCTION("""COMPUTED_VALUE"""),"Appointment")</f>
        <v>Appointment</v>
      </c>
      <c r="D14" s="21" t="str">
        <f>IFERROR(__xludf.DUMMYFUNCTION("""COMPUTED_VALUE"""),"Error bars on selected therapist schedules")</f>
        <v>Error bars on selected therapist schedules</v>
      </c>
      <c r="E14" s="21" t="str">
        <f>IFERROR(__xludf.DUMMYFUNCTION("""COMPUTED_VALUE"""),"The user needs to have the APK running on their mobile device.")</f>
        <v>The user needs to have the APK running on their mobile device.</v>
      </c>
      <c r="F14" s="22" t="str">
        <f>IFERROR(__xludf.DUMMYFUNCTION("""COMPUTED_VALUE"""),"1. Open app
2. Click on Client button
3. Login using valid credential
4. Goto Appointment Section")</f>
        <v>1. Open app
2. Click on Client button
3. Login using valid credential
4. Goto Appointment Section</v>
      </c>
      <c r="G14" s="21" t="str">
        <f>IFERROR(__xludf.DUMMYFUNCTION("""COMPUTED_VALUE"""),"email: lowovip595@elobits.com
password: 112244557788")</f>
        <v>email: lowovip595@elobits.com
password: 112244557788</v>
      </c>
      <c r="H14" s="21" t="str">
        <f>IFERROR(__xludf.DUMMYFUNCTION("""COMPUTED_VALUE"""),"The error bar should not be visible on the client side.")</f>
        <v>The error bar should not be visible on the client side.</v>
      </c>
      <c r="I14" s="21" t="str">
        <f>IFERROR(__xludf.DUMMYFUNCTION("""COMPUTED_VALUE"""),"An error bar on the ""Done"" button in the select schedule section has been identified.")</f>
        <v>An error bar on the "Done" button in the select schedule section has been identified.</v>
      </c>
      <c r="J14" s="21" t="str">
        <f>IFERROR(__xludf.DUMMYFUNCTION("""COMPUTED_VALUE"""),"Fail")</f>
        <v>Fail</v>
      </c>
      <c r="K14" s="21" t="str">
        <f>IFERROR(__xludf.DUMMYFUNCTION("""COMPUTED_VALUE"""),"Medium")</f>
        <v>Medium</v>
      </c>
      <c r="L14" s="23" t="str">
        <f>IFERROR(__xludf.DUMMYFUNCTION("""COMPUTED_VALUE"""),"https://drive.google.com/file/d/1IeVWxa2y6sKCMgIvz9n6y_GsWL13OHBt/view?usp=drive_link")</f>
        <v>https://drive.google.com/file/d/1IeVWxa2y6sKCMgIvz9n6y_GsWL13OHBt/view?usp=drive_link</v>
      </c>
      <c r="M14" s="21"/>
      <c r="N14" s="21" t="str">
        <f>IFERROR(__xludf.DUMMYFUNCTION("""COMPUTED_VALUE"""),"Fahad")</f>
        <v>Fahad</v>
      </c>
      <c r="O14" s="20" t="s">
        <v>33</v>
      </c>
      <c r="P14" s="21"/>
      <c r="Q14" s="19"/>
      <c r="R14" s="19"/>
      <c r="S14" s="19"/>
      <c r="T14" s="19"/>
      <c r="U14" s="19"/>
      <c r="V14" s="19"/>
      <c r="W14" s="19"/>
      <c r="X14" s="19"/>
      <c r="Y14" s="19"/>
      <c r="Z14" s="19"/>
      <c r="AA14" s="19"/>
    </row>
    <row r="15">
      <c r="A15" s="20" t="s">
        <v>36</v>
      </c>
      <c r="B15" s="21" t="str">
        <f>IFERROR(__xludf.DUMMYFUNCTION("""COMPUTED_VALUE"""),"Client (APK)")</f>
        <v>Client (APK)</v>
      </c>
      <c r="C15" s="21" t="str">
        <f>IFERROR(__xludf.DUMMYFUNCTION("""COMPUTED_VALUE"""),"Appointment")</f>
        <v>Appointment</v>
      </c>
      <c r="D15" s="21" t="str">
        <f>IFERROR(__xludf.DUMMYFUNCTION("""COMPUTED_VALUE"""),"The agree button overlaps with the section bar.")</f>
        <v>The agree button overlaps with the section bar.</v>
      </c>
      <c r="E15" s="21" t="str">
        <f>IFERROR(__xludf.DUMMYFUNCTION("""COMPUTED_VALUE"""),"The user needs to have the APK running on their mobile device.")</f>
        <v>The user needs to have the APK running on their mobile device.</v>
      </c>
      <c r="F15" s="22" t="str">
        <f>IFERROR(__xludf.DUMMYFUNCTION("""COMPUTED_VALUE"""),"1. Open app
2. Click on Client button
3. Login using valid credential
4. Goto Appointment Section")</f>
        <v>1. Open app
2. Click on Client button
3. Login using valid credential
4. Goto Appointment Section</v>
      </c>
      <c r="G15" s="21" t="str">
        <f>IFERROR(__xludf.DUMMYFUNCTION("""COMPUTED_VALUE"""),"email: lowovip595@elobits.com
password: 112244557788")</f>
        <v>email: lowovip595@elobits.com
password: 112244557788</v>
      </c>
      <c r="H15" s="21" t="str">
        <f>IFERROR(__xludf.DUMMYFUNCTION("""COMPUTED_VALUE"""),"The field shadow effect should not exceed its boundary.")</f>
        <v>The field shadow effect should not exceed its boundary.</v>
      </c>
      <c r="I15" s="21" t="str">
        <f>IFERROR(__xludf.DUMMYFUNCTION("""COMPUTED_VALUE"""),"The cross-boundary effect has been observed.")</f>
        <v>The cross-boundary effect has been observed.</v>
      </c>
      <c r="J15" s="21" t="str">
        <f>IFERROR(__xludf.DUMMYFUNCTION("""COMPUTED_VALUE"""),"Fail")</f>
        <v>Fail</v>
      </c>
      <c r="K15" s="21" t="str">
        <f>IFERROR(__xludf.DUMMYFUNCTION("""COMPUTED_VALUE"""),"Low")</f>
        <v>Low</v>
      </c>
      <c r="L15" s="23" t="str">
        <f>IFERROR(__xludf.DUMMYFUNCTION("""COMPUTED_VALUE"""),"https://drive.google.com/file/d/1haRoWx_fzP2CktG0LbdGtOVcBGkZOyAs/view?usp=drive_link")</f>
        <v>https://drive.google.com/file/d/1haRoWx_fzP2CktG0LbdGtOVcBGkZOyAs/view?usp=drive_link</v>
      </c>
      <c r="M15" s="21"/>
      <c r="N15" s="21" t="str">
        <f>IFERROR(__xludf.DUMMYFUNCTION("""COMPUTED_VALUE"""),"Fahad")</f>
        <v>Fahad</v>
      </c>
      <c r="O15" s="20" t="s">
        <v>33</v>
      </c>
      <c r="P15" s="21"/>
      <c r="Q15" s="19"/>
      <c r="R15" s="19"/>
      <c r="S15" s="19"/>
      <c r="T15" s="19"/>
      <c r="U15" s="19"/>
      <c r="V15" s="19"/>
      <c r="W15" s="19"/>
      <c r="X15" s="19"/>
      <c r="Y15" s="19"/>
      <c r="Z15" s="19"/>
      <c r="AA15" s="19"/>
    </row>
    <row r="16">
      <c r="A16" s="20" t="s">
        <v>37</v>
      </c>
      <c r="B16" s="21" t="str">
        <f>IFERROR(__xludf.DUMMYFUNCTION("""COMPUTED_VALUE"""),"Client (APK)")</f>
        <v>Client (APK)</v>
      </c>
      <c r="C16" s="21" t="str">
        <f>IFERROR(__xludf.DUMMYFUNCTION("""COMPUTED_VALUE"""),"Appointment")</f>
        <v>Appointment</v>
      </c>
      <c r="D16" s="21" t="str">
        <f>IFERROR(__xludf.DUMMYFUNCTION("""COMPUTED_VALUE"""),"The layout varies for questions about medical appointments.")</f>
        <v>The layout varies for questions about medical appointments.</v>
      </c>
      <c r="E16" s="21" t="str">
        <f>IFERROR(__xludf.DUMMYFUNCTION("""COMPUTED_VALUE"""),"The user needs to have the APK running on their mobile device.")</f>
        <v>The user needs to have the APK running on their mobile device.</v>
      </c>
      <c r="F16" s="22" t="str">
        <f>IFERROR(__xludf.DUMMYFUNCTION("""COMPUTED_VALUE"""),"1. Open app
2. Click on Client button
3. Login using valid credential
4. Goto Appointment Section
5. After select required fields, goto medical questions")</f>
        <v>1. Open app
2. Click on Client button
3. Login using valid credential
4. Goto Appointment Section
5. After select required fields, goto medical questions</v>
      </c>
      <c r="G16" s="21" t="str">
        <f>IFERROR(__xludf.DUMMYFUNCTION("""COMPUTED_VALUE"""),"email: lowovip595@elobits.com
password: 112244557788")</f>
        <v>email: lowovip595@elobits.com
password: 112244557788</v>
      </c>
      <c r="H16" s="21" t="str">
        <f>IFERROR(__xludf.DUMMYFUNCTION("""COMPUTED_VALUE"""),"Alignment and design should match the client's requirements.")</f>
        <v>Alignment and design should match the client's requirements.</v>
      </c>
      <c r="I16" s="21" t="str">
        <f>IFERROR(__xludf.DUMMYFUNCTION("""COMPUTED_VALUE"""),"A different design and layout have been observed.")</f>
        <v>A different design and layout have been observed.</v>
      </c>
      <c r="J16" s="21" t="str">
        <f>IFERROR(__xludf.DUMMYFUNCTION("""COMPUTED_VALUE"""),"Fail")</f>
        <v>Fail</v>
      </c>
      <c r="K16" s="21" t="str">
        <f>IFERROR(__xludf.DUMMYFUNCTION("""COMPUTED_VALUE"""),"Low")</f>
        <v>Low</v>
      </c>
      <c r="L16" s="23" t="str">
        <f>IFERROR(__xludf.DUMMYFUNCTION("""COMPUTED_VALUE"""),"https://drive.google.com/file/d/15VG_T_k1OUzSG0xdJjXgTgkniEmLBDiK/view?usp=drive_link")</f>
        <v>https://drive.google.com/file/d/15VG_T_k1OUzSG0xdJjXgTgkniEmLBDiK/view?usp=drive_link</v>
      </c>
      <c r="M16" s="21"/>
      <c r="N16" s="21" t="str">
        <f>IFERROR(__xludf.DUMMYFUNCTION("""COMPUTED_VALUE"""),"Fahad")</f>
        <v>Fahad</v>
      </c>
      <c r="O16" s="20" t="s">
        <v>33</v>
      </c>
      <c r="P16" s="21"/>
      <c r="Q16" s="19"/>
      <c r="R16" s="19"/>
      <c r="S16" s="19"/>
      <c r="T16" s="19"/>
      <c r="U16" s="19"/>
      <c r="V16" s="19"/>
      <c r="W16" s="19"/>
      <c r="X16" s="19"/>
      <c r="Y16" s="19"/>
      <c r="Z16" s="19"/>
      <c r="AA16" s="19"/>
    </row>
    <row r="17">
      <c r="A17" s="20" t="s">
        <v>38</v>
      </c>
      <c r="B17" s="21" t="str">
        <f>IFERROR(__xludf.DUMMYFUNCTION("""COMPUTED_VALUE"""),"Client (APK)")</f>
        <v>Client (APK)</v>
      </c>
      <c r="C17" s="21" t="str">
        <f>IFERROR(__xludf.DUMMYFUNCTION("""COMPUTED_VALUE"""),"Appointment")</f>
        <v>Appointment</v>
      </c>
      <c r="D17" s="21" t="str">
        <f>IFERROR(__xludf.DUMMYFUNCTION("""COMPUTED_VALUE"""),"The button layout does not match the client's requirements.")</f>
        <v>The button layout does not match the client's requirements.</v>
      </c>
      <c r="E17" s="21" t="str">
        <f>IFERROR(__xludf.DUMMYFUNCTION("""COMPUTED_VALUE"""),"The user needs to have the APK running on their mobile device.")</f>
        <v>The user needs to have the APK running on their mobile device.</v>
      </c>
      <c r="F17" s="22" t="str">
        <f>IFERROR(__xludf.DUMMYFUNCTION("""COMPUTED_VALUE"""),"1. Open app
2. Click on Client button
3. Login using valid credential
4. Goto Appointment Section
5. After select required fields, goto medical questions")</f>
        <v>1. Open app
2. Click on Client button
3. Login using valid credential
4. Goto Appointment Section
5. After select required fields, goto medical questions</v>
      </c>
      <c r="G17" s="21" t="str">
        <f>IFERROR(__xludf.DUMMYFUNCTION("""COMPUTED_VALUE"""),"email: lowovip595@elobits.com
password: 112244557788")</f>
        <v>email: lowovip595@elobits.com
password: 112244557788</v>
      </c>
      <c r="H17" s="21" t="str">
        <f>IFERROR(__xludf.DUMMYFUNCTION("""COMPUTED_VALUE"""),"Alignment and design should match the client's requirements.")</f>
        <v>Alignment and design should match the client's requirements.</v>
      </c>
      <c r="I17" s="21" t="str">
        <f>IFERROR(__xludf.DUMMYFUNCTION("""COMPUTED_VALUE"""),"A different design and layout have been observed.")</f>
        <v>A different design and layout have been observed.</v>
      </c>
      <c r="J17" s="21" t="str">
        <f>IFERROR(__xludf.DUMMYFUNCTION("""COMPUTED_VALUE"""),"Fail")</f>
        <v>Fail</v>
      </c>
      <c r="K17" s="21" t="str">
        <f>IFERROR(__xludf.DUMMYFUNCTION("""COMPUTED_VALUE"""),"Low")</f>
        <v>Low</v>
      </c>
      <c r="L17" s="23" t="str">
        <f>IFERROR(__xludf.DUMMYFUNCTION("""COMPUTED_VALUE"""),"https://drive.google.com/file/d/13exhdxanyYbRnL4ACc2CJe65OBwTpcvO/view?usp=drive_link")</f>
        <v>https://drive.google.com/file/d/13exhdxanyYbRnL4ACc2CJe65OBwTpcvO/view?usp=drive_link</v>
      </c>
      <c r="M17" s="21"/>
      <c r="N17" s="21" t="str">
        <f>IFERROR(__xludf.DUMMYFUNCTION("""COMPUTED_VALUE"""),"Fahad")</f>
        <v>Fahad</v>
      </c>
      <c r="O17" s="20" t="s">
        <v>33</v>
      </c>
      <c r="P17" s="21"/>
      <c r="Q17" s="19"/>
      <c r="R17" s="19"/>
      <c r="S17" s="19"/>
      <c r="T17" s="19"/>
      <c r="U17" s="19"/>
      <c r="V17" s="19"/>
      <c r="W17" s="19"/>
      <c r="X17" s="19"/>
      <c r="Y17" s="19"/>
      <c r="Z17" s="19"/>
      <c r="AA17" s="19"/>
    </row>
    <row r="18">
      <c r="A18" s="20" t="s">
        <v>39</v>
      </c>
      <c r="B18" s="21" t="str">
        <f>IFERROR(__xludf.DUMMYFUNCTION("""COMPUTED_VALUE"""),"Client (APK)")</f>
        <v>Client (APK)</v>
      </c>
      <c r="C18" s="21" t="str">
        <f>IFERROR(__xludf.DUMMYFUNCTION("""COMPUTED_VALUE"""),"Appointment")</f>
        <v>Appointment</v>
      </c>
      <c r="D18" s="21" t="str">
        <f>IFERROR(__xludf.DUMMYFUNCTION("""COMPUTED_VALUE"""),"The button layout does not match the client's requirements.")</f>
        <v>The button layout does not match the client's requirements.</v>
      </c>
      <c r="E18" s="21" t="str">
        <f>IFERROR(__xludf.DUMMYFUNCTION("""COMPUTED_VALUE"""),"The user needs to have the APK running on their mobile device.")</f>
        <v>The user needs to have the APK running on their mobile device.</v>
      </c>
      <c r="F18" s="22" t="str">
        <f>IFERROR(__xludf.DUMMYFUNCTION("""COMPUTED_VALUE"""),"1. Open app
2. Click on Client button
3. Login using valid credential
4. Goto Appointment Section
5. After select required fields, goto medical questions")</f>
        <v>1. Open app
2. Click on Client button
3. Login using valid credential
4. Goto Appointment Section
5. After select required fields, goto medical questions</v>
      </c>
      <c r="G18" s="21" t="str">
        <f>IFERROR(__xludf.DUMMYFUNCTION("""COMPUTED_VALUE"""),"email: lowovip595@elobits.com
password: 112244557788")</f>
        <v>email: lowovip595@elobits.com
password: 112244557788</v>
      </c>
      <c r="H18" s="21" t="str">
        <f>IFERROR(__xludf.DUMMYFUNCTION("""COMPUTED_VALUE"""),"Alignment and design should match the client's requirements.")</f>
        <v>Alignment and design should match the client's requirements.</v>
      </c>
      <c r="I18" s="21" t="str">
        <f>IFERROR(__xludf.DUMMYFUNCTION("""COMPUTED_VALUE"""),"A different design and layout have been observed.")</f>
        <v>A different design and layout have been observed.</v>
      </c>
      <c r="J18" s="21" t="str">
        <f>IFERROR(__xludf.DUMMYFUNCTION("""COMPUTED_VALUE"""),"Fail")</f>
        <v>Fail</v>
      </c>
      <c r="K18" s="21" t="str">
        <f>IFERROR(__xludf.DUMMYFUNCTION("""COMPUTED_VALUE"""),"Low")</f>
        <v>Low</v>
      </c>
      <c r="L18" s="23" t="str">
        <f>IFERROR(__xludf.DUMMYFUNCTION("""COMPUTED_VALUE"""),"https://drive.google.com/file/d/1nkwEoAO2orWPxnW4t-8bcBiKzHGDoJ3k/view?usp=drive_link")</f>
        <v>https://drive.google.com/file/d/1nkwEoAO2orWPxnW4t-8bcBiKzHGDoJ3k/view?usp=drive_link</v>
      </c>
      <c r="M18" s="21"/>
      <c r="N18" s="21" t="str">
        <f>IFERROR(__xludf.DUMMYFUNCTION("""COMPUTED_VALUE"""),"Fahad")</f>
        <v>Fahad</v>
      </c>
      <c r="O18" s="20" t="s">
        <v>33</v>
      </c>
      <c r="P18" s="21"/>
      <c r="Q18" s="19"/>
      <c r="R18" s="19"/>
      <c r="S18" s="19"/>
      <c r="T18" s="19"/>
      <c r="U18" s="19"/>
      <c r="V18" s="19"/>
      <c r="W18" s="19"/>
      <c r="X18" s="19"/>
      <c r="Y18" s="19"/>
      <c r="Z18" s="19"/>
      <c r="AA18" s="19"/>
    </row>
    <row r="19">
      <c r="A19" s="20" t="s">
        <v>40</v>
      </c>
      <c r="B19" s="21" t="str">
        <f>IFERROR(__xludf.DUMMYFUNCTION("""COMPUTED_VALUE"""),"Client (APK)")</f>
        <v>Client (APK)</v>
      </c>
      <c r="C19" s="21" t="str">
        <f>IFERROR(__xludf.DUMMYFUNCTION("""COMPUTED_VALUE"""),"Appointment")</f>
        <v>Appointment</v>
      </c>
      <c r="D19" s="21" t="str">
        <f>IFERROR(__xludf.DUMMYFUNCTION("""COMPUTED_VALUE"""),"The button layout does not match the client's requirements.")</f>
        <v>The button layout does not match the client's requirements.</v>
      </c>
      <c r="E19" s="21" t="str">
        <f>IFERROR(__xludf.DUMMYFUNCTION("""COMPUTED_VALUE"""),"The user needs to have the APK running on their mobile device.")</f>
        <v>The user needs to have the APK running on their mobile device.</v>
      </c>
      <c r="F19" s="22" t="str">
        <f>IFERROR(__xludf.DUMMYFUNCTION("""COMPUTED_VALUE"""),"1. Open app
2. Click on Client button
3. Login using valid credential
4. Goto Appointment Section
5. After select required fields, goto medical questions")</f>
        <v>1. Open app
2. Click on Client button
3. Login using valid credential
4. Goto Appointment Section
5. After select required fields, goto medical questions</v>
      </c>
      <c r="G19" s="21" t="str">
        <f>IFERROR(__xludf.DUMMYFUNCTION("""COMPUTED_VALUE"""),"email: lowovip595@elobits.com
password: 112244557788")</f>
        <v>email: lowovip595@elobits.com
password: 112244557788</v>
      </c>
      <c r="H19" s="21" t="str">
        <f>IFERROR(__xludf.DUMMYFUNCTION("""COMPUTED_VALUE"""),"Alignment and design should match the client's requirements.")</f>
        <v>Alignment and design should match the client's requirements.</v>
      </c>
      <c r="I19" s="21" t="str">
        <f>IFERROR(__xludf.DUMMYFUNCTION("""COMPUTED_VALUE"""),"A different design and layout have been observed.")</f>
        <v>A different design and layout have been observed.</v>
      </c>
      <c r="J19" s="21" t="str">
        <f>IFERROR(__xludf.DUMMYFUNCTION("""COMPUTED_VALUE"""),"Fail")</f>
        <v>Fail</v>
      </c>
      <c r="K19" s="21" t="str">
        <f>IFERROR(__xludf.DUMMYFUNCTION("""COMPUTED_VALUE"""),"Low")</f>
        <v>Low</v>
      </c>
      <c r="L19" s="23" t="str">
        <f>IFERROR(__xludf.DUMMYFUNCTION("""COMPUTED_VALUE"""),"https://drive.google.com/file/d/14x0H8Cj1yGkq9nIRIMEkEh_BrqGUHyb1/view?usp=drive_link")</f>
        <v>https://drive.google.com/file/d/14x0H8Cj1yGkq9nIRIMEkEh_BrqGUHyb1/view?usp=drive_link</v>
      </c>
      <c r="M19" s="21"/>
      <c r="N19" s="21" t="str">
        <f>IFERROR(__xludf.DUMMYFUNCTION("""COMPUTED_VALUE"""),"Fahad")</f>
        <v>Fahad</v>
      </c>
      <c r="O19" s="20" t="s">
        <v>33</v>
      </c>
      <c r="P19" s="21"/>
      <c r="Q19" s="19"/>
      <c r="R19" s="19"/>
      <c r="S19" s="19"/>
      <c r="T19" s="19"/>
      <c r="U19" s="19"/>
      <c r="V19" s="19"/>
      <c r="W19" s="19"/>
      <c r="X19" s="19"/>
      <c r="Y19" s="19"/>
      <c r="Z19" s="19"/>
      <c r="AA19" s="19"/>
    </row>
    <row r="20">
      <c r="A20" s="20" t="s">
        <v>41</v>
      </c>
      <c r="B20" s="21" t="str">
        <f>IFERROR(__xludf.DUMMYFUNCTION("""COMPUTED_VALUE"""),"Client (APK)")</f>
        <v>Client (APK)</v>
      </c>
      <c r="C20" s="21" t="str">
        <f>IFERROR(__xludf.DUMMYFUNCTION("""COMPUTED_VALUE"""),"Appointment")</f>
        <v>Appointment</v>
      </c>
      <c r="D20" s="21" t="str">
        <f>IFERROR(__xludf.DUMMYFUNCTION("""COMPUTED_VALUE"""),"The button layout does not match the client's requirements.")</f>
        <v>The button layout does not match the client's requirements.</v>
      </c>
      <c r="E20" s="21" t="str">
        <f>IFERROR(__xludf.DUMMYFUNCTION("""COMPUTED_VALUE"""),"The user needs to have the APK running on their mobile device.")</f>
        <v>The user needs to have the APK running on their mobile device.</v>
      </c>
      <c r="F20" s="22" t="str">
        <f>IFERROR(__xludf.DUMMYFUNCTION("""COMPUTED_VALUE"""),"1. Open app
2. Click on Client button
3. Login using valid credential
4. Goto Appointment Section
5. After select required fields, goto medical questions")</f>
        <v>1. Open app
2. Click on Client button
3. Login using valid credential
4. Goto Appointment Section
5. After select required fields, goto medical questions</v>
      </c>
      <c r="G20" s="21" t="str">
        <f>IFERROR(__xludf.DUMMYFUNCTION("""COMPUTED_VALUE"""),"email: lowovip595@elobits.com
password: 112244557788")</f>
        <v>email: lowovip595@elobits.com
password: 112244557788</v>
      </c>
      <c r="H20" s="21" t="str">
        <f>IFERROR(__xludf.DUMMYFUNCTION("""COMPUTED_VALUE"""),"Medical questions should be properly submitted without any issues.")</f>
        <v>Medical questions should be properly submitted without any issues.</v>
      </c>
      <c r="I20" s="21" t="str">
        <f>IFERROR(__xludf.DUMMYFUNCTION("""COMPUTED_VALUE"""),"Unable to submit client medical questions via the app.")</f>
        <v>Unable to submit client medical questions via the app.</v>
      </c>
      <c r="J20" s="21" t="str">
        <f>IFERROR(__xludf.DUMMYFUNCTION("""COMPUTED_VALUE"""),"Fail")</f>
        <v>Fail</v>
      </c>
      <c r="K20" s="21" t="str">
        <f>IFERROR(__xludf.DUMMYFUNCTION("""COMPUTED_VALUE"""),"High")</f>
        <v>High</v>
      </c>
      <c r="L20" s="23" t="str">
        <f>IFERROR(__xludf.DUMMYFUNCTION("""COMPUTED_VALUE"""),"https://drive.google.com/file/d/1NY-OIs6XpToQOBkdBXzOT54gHBKu1Cqs/view?usp=drive_link")</f>
        <v>https://drive.google.com/file/d/1NY-OIs6XpToQOBkdBXzOT54gHBKu1Cqs/view?usp=drive_link</v>
      </c>
      <c r="M20" s="21"/>
      <c r="N20" s="21" t="str">
        <f>IFERROR(__xludf.DUMMYFUNCTION("""COMPUTED_VALUE"""),"Fahad")</f>
        <v>Fahad</v>
      </c>
      <c r="O20" s="20" t="s">
        <v>33</v>
      </c>
      <c r="P20" s="21"/>
      <c r="Q20" s="19"/>
      <c r="R20" s="19"/>
      <c r="S20" s="19"/>
      <c r="T20" s="19"/>
      <c r="U20" s="19"/>
      <c r="V20" s="19"/>
      <c r="W20" s="19"/>
      <c r="X20" s="19"/>
      <c r="Y20" s="19"/>
      <c r="Z20" s="19"/>
      <c r="AA20" s="19"/>
    </row>
    <row r="21">
      <c r="A21" s="20" t="s">
        <v>42</v>
      </c>
      <c r="B21" s="21" t="str">
        <f>IFERROR(__xludf.DUMMYFUNCTION("""COMPUTED_VALUE"""),"Client (APK)")</f>
        <v>Client (APK)</v>
      </c>
      <c r="C21" s="21" t="str">
        <f>IFERROR(__xludf.DUMMYFUNCTION("""COMPUTED_VALUE"""),"Bookings")</f>
        <v>Bookings</v>
      </c>
      <c r="D21" s="21" t="str">
        <f>IFERROR(__xludf.DUMMYFUNCTION("""COMPUTED_VALUE"""),"There seems to be an alignment issue.")</f>
        <v>There seems to be an alignment issue.</v>
      </c>
      <c r="E21" s="21" t="str">
        <f>IFERROR(__xludf.DUMMYFUNCTION("""COMPUTED_VALUE"""),"The user needs to have the APK running on their mobile device.")</f>
        <v>The user needs to have the APK running on their mobile device.</v>
      </c>
      <c r="F21" s="22" t="str">
        <f>IFERROR(__xludf.DUMMYFUNCTION("""COMPUTED_VALUE"""),"1. Open app
2. Click on Client button
3. Login using valid credential
4. Goto Home page
5. Click on Bookings")</f>
        <v>1. Open app
2. Click on Client button
3. Login using valid credential
4. Goto Home page
5. Click on Bookings</v>
      </c>
      <c r="G21" s="21" t="str">
        <f>IFERROR(__xludf.DUMMYFUNCTION("""COMPUTED_VALUE"""),"email: lowovip595@elobits.com
password: 112244557788")</f>
        <v>email: lowovip595@elobits.com
password: 112244557788</v>
      </c>
      <c r="H21" s="21" t="str">
        <f>IFERROR(__xludf.DUMMYFUNCTION("""COMPUTED_VALUE"""),"Alignment and design should match the client's requirements.")</f>
        <v>Alignment and design should match the client's requirements.</v>
      </c>
      <c r="I21" s="21" t="str">
        <f>IFERROR(__xludf.DUMMYFUNCTION("""COMPUTED_VALUE"""),"A different design and layout have been observed.")</f>
        <v>A different design and layout have been observed.</v>
      </c>
      <c r="J21" s="21" t="str">
        <f>IFERROR(__xludf.DUMMYFUNCTION("""COMPUTED_VALUE"""),"Fail")</f>
        <v>Fail</v>
      </c>
      <c r="K21" s="21" t="str">
        <f>IFERROR(__xludf.DUMMYFUNCTION("""COMPUTED_VALUE"""),"Low")</f>
        <v>Low</v>
      </c>
      <c r="L21" s="23" t="str">
        <f>IFERROR(__xludf.DUMMYFUNCTION("""COMPUTED_VALUE"""),"https://drive.google.com/file/d/1XULhwCogBaakOiUDnvk7CeZvdJsu3sA8/view?usp=drive_link")</f>
        <v>https://drive.google.com/file/d/1XULhwCogBaakOiUDnvk7CeZvdJsu3sA8/view?usp=drive_link</v>
      </c>
      <c r="M21" s="21"/>
      <c r="N21" s="21" t="str">
        <f>IFERROR(__xludf.DUMMYFUNCTION("""COMPUTED_VALUE"""),"Fahad")</f>
        <v>Fahad</v>
      </c>
      <c r="O21" s="20" t="s">
        <v>43</v>
      </c>
      <c r="P21" s="21"/>
      <c r="Q21" s="19"/>
      <c r="R21" s="19"/>
      <c r="S21" s="19"/>
      <c r="T21" s="19"/>
      <c r="U21" s="19"/>
      <c r="V21" s="19"/>
      <c r="W21" s="19"/>
      <c r="X21" s="19"/>
      <c r="Y21" s="19"/>
      <c r="Z21" s="19"/>
      <c r="AA21" s="19"/>
    </row>
    <row r="22">
      <c r="A22" s="20" t="s">
        <v>44</v>
      </c>
      <c r="B22" s="21" t="str">
        <f>IFERROR(__xludf.DUMMYFUNCTION("""COMPUTED_VALUE"""),"Client (APK)")</f>
        <v>Client (APK)</v>
      </c>
      <c r="C22" s="21" t="str">
        <f>IFERROR(__xludf.DUMMYFUNCTION("""COMPUTED_VALUE"""),"Bookings")</f>
        <v>Bookings</v>
      </c>
      <c r="D22" s="21" t="str">
        <f>IFERROR(__xludf.DUMMYFUNCTION("""COMPUTED_VALUE"""),"There seems to be an alignment issue.")</f>
        <v>There seems to be an alignment issue.</v>
      </c>
      <c r="E22" s="21" t="str">
        <f>IFERROR(__xludf.DUMMYFUNCTION("""COMPUTED_VALUE"""),"The user needs to have the APK running on their mobile device.")</f>
        <v>The user needs to have the APK running on their mobile device.</v>
      </c>
      <c r="F22" s="22" t="str">
        <f>IFERROR(__xludf.DUMMYFUNCTION("""COMPUTED_VALUE"""),"1. Open app
2. Click on Client button
3. Login using valid credential
4. Goto Home page
5. Click on Bookings")</f>
        <v>1. Open app
2. Click on Client button
3. Login using valid credential
4. Goto Home page
5. Click on Bookings</v>
      </c>
      <c r="G22" s="21" t="str">
        <f>IFERROR(__xludf.DUMMYFUNCTION("""COMPUTED_VALUE"""),"email: lowovip595@elobits.com
password: 112244557788")</f>
        <v>email: lowovip595@elobits.com
password: 112244557788</v>
      </c>
      <c r="H22" s="21" t="str">
        <f>IFERROR(__xludf.DUMMYFUNCTION("""COMPUTED_VALUE"""),"Alignment and design should match the client's requirements.")</f>
        <v>Alignment and design should match the client's requirements.</v>
      </c>
      <c r="I22" s="21" t="str">
        <f>IFERROR(__xludf.DUMMYFUNCTION("""COMPUTED_VALUE"""),"A different design and layout have been observed.")</f>
        <v>A different design and layout have been observed.</v>
      </c>
      <c r="J22" s="21" t="str">
        <f>IFERROR(__xludf.DUMMYFUNCTION("""COMPUTED_VALUE"""),"Fail")</f>
        <v>Fail</v>
      </c>
      <c r="K22" s="21" t="str">
        <f>IFERROR(__xludf.DUMMYFUNCTION("""COMPUTED_VALUE"""),"Low")</f>
        <v>Low</v>
      </c>
      <c r="L22" s="23" t="str">
        <f>IFERROR(__xludf.DUMMYFUNCTION("""COMPUTED_VALUE"""),"https://drive.google.com/file/d/1ZMLGhPiBHCYWW_rYz_vdbn7yGqNo7ufB/view?usp=drive_link")</f>
        <v>https://drive.google.com/file/d/1ZMLGhPiBHCYWW_rYz_vdbn7yGqNo7ufB/view?usp=drive_link</v>
      </c>
      <c r="M22" s="21"/>
      <c r="N22" s="21" t="str">
        <f>IFERROR(__xludf.DUMMYFUNCTION("""COMPUTED_VALUE"""),"Fahad")</f>
        <v>Fahad</v>
      </c>
      <c r="O22" s="20" t="s">
        <v>33</v>
      </c>
      <c r="P22" s="21"/>
      <c r="Q22" s="19"/>
      <c r="R22" s="19"/>
      <c r="S22" s="19"/>
      <c r="T22" s="19"/>
      <c r="U22" s="19"/>
      <c r="V22" s="19"/>
      <c r="W22" s="19"/>
      <c r="X22" s="19"/>
      <c r="Y22" s="19"/>
      <c r="Z22" s="19"/>
      <c r="AA22" s="19"/>
    </row>
    <row r="23">
      <c r="A23" s="20" t="s">
        <v>45</v>
      </c>
      <c r="B23" s="21" t="str">
        <f>IFERROR(__xludf.DUMMYFUNCTION("""COMPUTED_VALUE"""),"Client (APK)")</f>
        <v>Client (APK)</v>
      </c>
      <c r="C23" s="21" t="str">
        <f>IFERROR(__xludf.DUMMYFUNCTION("""COMPUTED_VALUE"""),"Bookings")</f>
        <v>Bookings</v>
      </c>
      <c r="D23" s="21" t="str">
        <f>IFERROR(__xludf.DUMMYFUNCTION("""COMPUTED_VALUE"""),"The review option is missing in the booking.")</f>
        <v>The review option is missing in the booking.</v>
      </c>
      <c r="E23" s="21" t="str">
        <f>IFERROR(__xludf.DUMMYFUNCTION("""COMPUTED_VALUE"""),"The user needs to have the APK running on their mobile device.")</f>
        <v>The user needs to have the APK running on their mobile device.</v>
      </c>
      <c r="F23" s="22" t="str">
        <f>IFERROR(__xludf.DUMMYFUNCTION("""COMPUTED_VALUE"""),"1. Open app
2. Click on Client button
3. Login using valid credential
4. Goto Home page
5. Click on Bookings")</f>
        <v>1. Open app
2. Click on Client button
3. Login using valid credential
4. Goto Home page
5. Click on Bookings</v>
      </c>
      <c r="G23" s="21" t="str">
        <f>IFERROR(__xludf.DUMMYFUNCTION("""COMPUTED_VALUE"""),"email: lowovip595@elobits.com
password: 112244557788")</f>
        <v>email: lowovip595@elobits.com
password: 112244557788</v>
      </c>
      <c r="H23" s="21" t="str">
        <f>IFERROR(__xludf.DUMMYFUNCTION("""COMPUTED_VALUE"""),"Users should have the option to rate their therapist in the booking section after receiving therapy.")</f>
        <v>Users should have the option to rate their therapist in the booking section after receiving therapy.</v>
      </c>
      <c r="I23" s="21" t="str">
        <f>IFERROR(__xludf.DUMMYFUNCTION("""COMPUTED_VALUE"""),"Missing review option found.")</f>
        <v>Missing review option found.</v>
      </c>
      <c r="J23" s="21" t="str">
        <f>IFERROR(__xludf.DUMMYFUNCTION("""COMPUTED_VALUE"""),"Fail")</f>
        <v>Fail</v>
      </c>
      <c r="K23" s="21" t="str">
        <f>IFERROR(__xludf.DUMMYFUNCTION("""COMPUTED_VALUE"""),"Medium")</f>
        <v>Medium</v>
      </c>
      <c r="L23" s="23" t="str">
        <f>IFERROR(__xludf.DUMMYFUNCTION("""COMPUTED_VALUE"""),"https://drive.google.com/file/d/1fdwYRTVFwtxj4a2cQUcNE-JxcPItyks3/view?usp=drive_link")</f>
        <v>https://drive.google.com/file/d/1fdwYRTVFwtxj4a2cQUcNE-JxcPItyks3/view?usp=drive_link</v>
      </c>
      <c r="M23" s="21"/>
      <c r="N23" s="21" t="str">
        <f>IFERROR(__xludf.DUMMYFUNCTION("""COMPUTED_VALUE"""),"Fahad")</f>
        <v>Fahad</v>
      </c>
      <c r="O23" s="20" t="s">
        <v>33</v>
      </c>
      <c r="P23" s="21"/>
      <c r="Q23" s="19"/>
      <c r="R23" s="19"/>
      <c r="S23" s="19"/>
      <c r="T23" s="19"/>
      <c r="U23" s="19"/>
      <c r="V23" s="19"/>
      <c r="W23" s="19"/>
      <c r="X23" s="19"/>
      <c r="Y23" s="19"/>
      <c r="Z23" s="19"/>
      <c r="AA23" s="19"/>
    </row>
    <row r="24">
      <c r="A24" s="20" t="s">
        <v>46</v>
      </c>
      <c r="B24" s="21" t="str">
        <f>IFERROR(__xludf.DUMMYFUNCTION("""COMPUTED_VALUE"""),"Client (APK)")</f>
        <v>Client (APK)</v>
      </c>
      <c r="C24" s="21" t="str">
        <f>IFERROR(__xludf.DUMMYFUNCTION("""COMPUTED_VALUE"""),"Bookings")</f>
        <v>Bookings</v>
      </c>
      <c r="D24" s="21" t="str">
        <f>IFERROR(__xludf.DUMMYFUNCTION("""COMPUTED_VALUE"""),"Cancellation policy alignment and design concern.")</f>
        <v>Cancellation policy alignment and design concern.</v>
      </c>
      <c r="E24" s="21" t="str">
        <f>IFERROR(__xludf.DUMMYFUNCTION("""COMPUTED_VALUE"""),"The user needs to have the APK running on their mobile device.")</f>
        <v>The user needs to have the APK running on their mobile device.</v>
      </c>
      <c r="F24" s="22" t="str">
        <f>IFERROR(__xludf.DUMMYFUNCTION("""COMPUTED_VALUE"""),"1. Open app
2. Click on Client button
3. Login using valid credential
4. Goto Home page
5. Click on Bookings")</f>
        <v>1. Open app
2. Click on Client button
3. Login using valid credential
4. Goto Home page
5. Click on Bookings</v>
      </c>
      <c r="G24" s="21" t="str">
        <f>IFERROR(__xludf.DUMMYFUNCTION("""COMPUTED_VALUE"""),"email: lowovip595@elobits.com
password: 112244557788")</f>
        <v>email: lowovip595@elobits.com
password: 112244557788</v>
      </c>
      <c r="H24" s="21" t="str">
        <f>IFERROR(__xludf.DUMMYFUNCTION("""COMPUTED_VALUE"""),"The paragraph title in the cancellation policy should be bold and easily noticeable.")</f>
        <v>The paragraph title in the cancellation policy should be bold and easily noticeable.</v>
      </c>
      <c r="I24" s="21" t="str">
        <f>IFERROR(__xludf.DUMMYFUNCTION("""COMPUTED_VALUE"""),"An alignment issue was identified, and the bold formatting for the text topic is also missing.")</f>
        <v>An alignment issue was identified, and the bold formatting for the text topic is also missing.</v>
      </c>
      <c r="J24" s="21" t="str">
        <f>IFERROR(__xludf.DUMMYFUNCTION("""COMPUTED_VALUE"""),"Fail")</f>
        <v>Fail</v>
      </c>
      <c r="K24" s="21" t="str">
        <f>IFERROR(__xludf.DUMMYFUNCTION("""COMPUTED_VALUE"""),"Low")</f>
        <v>Low</v>
      </c>
      <c r="L24" s="23" t="str">
        <f>IFERROR(__xludf.DUMMYFUNCTION("""COMPUTED_VALUE"""),"https://drive.google.com/file/d/1rJLjMwI8nniNOY5xZ4xPNHNk_XH0otlu/view?usp=drive_link")</f>
        <v>https://drive.google.com/file/d/1rJLjMwI8nniNOY5xZ4xPNHNk_XH0otlu/view?usp=drive_link</v>
      </c>
      <c r="M24" s="21"/>
      <c r="N24" s="21" t="str">
        <f>IFERROR(__xludf.DUMMYFUNCTION("""COMPUTED_VALUE"""),"Fahad")</f>
        <v>Fahad</v>
      </c>
      <c r="O24" s="20" t="s">
        <v>33</v>
      </c>
      <c r="P24" s="20" t="s">
        <v>47</v>
      </c>
      <c r="Q24" s="19"/>
      <c r="R24" s="19"/>
      <c r="S24" s="19"/>
      <c r="T24" s="19"/>
      <c r="U24" s="19"/>
      <c r="V24" s="19"/>
      <c r="W24" s="19"/>
      <c r="X24" s="19"/>
      <c r="Y24" s="19"/>
      <c r="Z24" s="19"/>
      <c r="AA24" s="19"/>
    </row>
    <row r="25">
      <c r="A25" s="20" t="s">
        <v>48</v>
      </c>
      <c r="B25" s="21" t="str">
        <f>IFERROR(__xludf.DUMMYFUNCTION("""COMPUTED_VALUE"""),"Client (APK)")</f>
        <v>Client (APK)</v>
      </c>
      <c r="C25" s="21" t="str">
        <f>IFERROR(__xludf.DUMMYFUNCTION("""COMPUTED_VALUE"""),"Card Information")</f>
        <v>Card Information</v>
      </c>
      <c r="D25" s="21" t="str">
        <f>IFERROR(__xludf.DUMMYFUNCTION("""COMPUTED_VALUE"""),"An overflow bar has been observed in the card information.")</f>
        <v>An overflow bar has been observed in the card information.</v>
      </c>
      <c r="E25" s="21" t="str">
        <f>IFERROR(__xludf.DUMMYFUNCTION("""COMPUTED_VALUE"""),"The user needs to have the APK running on their mobile device.")</f>
        <v>The user needs to have the APK running on their mobile device.</v>
      </c>
      <c r="F25" s="22" t="str">
        <f>IFERROR(__xludf.DUMMYFUNCTION("""COMPUTED_VALUE"""),"1. Open app
2. Click on Client button
3. Login using valid credential
4. Goto profile section
5. Click on Add payment methode")</f>
        <v>1. Open app
2. Click on Client button
3. Login using valid credential
4. Goto profile section
5. Click on Add payment methode</v>
      </c>
      <c r="G25" s="21" t="str">
        <f>IFERROR(__xludf.DUMMYFUNCTION("""COMPUTED_VALUE"""),"email: itcrlbmzxpfmfowcfe@xfavaj.com
password: 1122334455")</f>
        <v>email: itcrlbmzxpfmfowcfe@xfavaj.com
password: 1122334455</v>
      </c>
      <c r="H25" s="21" t="str">
        <f>IFERROR(__xludf.DUMMYFUNCTION("""COMPUTED_VALUE"""),"No overflow bar should appear from the client's perspective.")</f>
        <v>No overflow bar should appear from the client's perspective.</v>
      </c>
      <c r="I25" s="21" t="str">
        <f>IFERROR(__xludf.DUMMYFUNCTION("""COMPUTED_VALUE"""),"The overflow bar appears on card information where the card number format is provided.")</f>
        <v>The overflow bar appears on card information where the card number format is provided.</v>
      </c>
      <c r="J25" s="21" t="str">
        <f>IFERROR(__xludf.DUMMYFUNCTION("""COMPUTED_VALUE"""),"Fail")</f>
        <v>Fail</v>
      </c>
      <c r="K25" s="21" t="str">
        <f>IFERROR(__xludf.DUMMYFUNCTION("""COMPUTED_VALUE"""),"High")</f>
        <v>High</v>
      </c>
      <c r="L25" s="23" t="str">
        <f>IFERROR(__xludf.DUMMYFUNCTION("""COMPUTED_VALUE"""),"https://drive.google.com/file/d/1tkCaCf4ymxthAx4ysDqpZc37wM_ilSrc/view?usp=drive_link")</f>
        <v>https://drive.google.com/file/d/1tkCaCf4ymxthAx4ysDqpZc37wM_ilSrc/view?usp=drive_link</v>
      </c>
      <c r="M25" s="21"/>
      <c r="N25" s="21" t="str">
        <f>IFERROR(__xludf.DUMMYFUNCTION("""COMPUTED_VALUE"""),"Fahad")</f>
        <v>Fahad</v>
      </c>
      <c r="O25" s="20" t="s">
        <v>43</v>
      </c>
      <c r="P25" s="21"/>
      <c r="Q25" s="19"/>
      <c r="R25" s="19"/>
      <c r="S25" s="19"/>
      <c r="T25" s="19"/>
      <c r="U25" s="19"/>
      <c r="V25" s="19"/>
      <c r="W25" s="19"/>
      <c r="X25" s="19"/>
      <c r="Y25" s="19"/>
      <c r="Z25" s="19"/>
      <c r="AA25" s="19"/>
    </row>
    <row r="26">
      <c r="A26" s="20" t="s">
        <v>49</v>
      </c>
      <c r="B26" s="21" t="str">
        <f>IFERROR(__xludf.DUMMYFUNCTION("""COMPUTED_VALUE"""),"Client (APK)")</f>
        <v>Client (APK)</v>
      </c>
      <c r="C26" s="21" t="str">
        <f>IFERROR(__xludf.DUMMYFUNCTION("""COMPUTED_VALUE"""),"Card Information")</f>
        <v>Card Information</v>
      </c>
      <c r="D26" s="21" t="str">
        <f>IFERROR(__xludf.DUMMYFUNCTION("""COMPUTED_VALUE"""),"Data validation is yet to be implemented.")</f>
        <v>Data validation is yet to be implemented.</v>
      </c>
      <c r="E26" s="21" t="str">
        <f>IFERROR(__xludf.DUMMYFUNCTION("""COMPUTED_VALUE"""),"The user needs to have the APK running on their mobile device.")</f>
        <v>The user needs to have the APK running on their mobile device.</v>
      </c>
      <c r="F26" s="22" t="str">
        <f>IFERROR(__xludf.DUMMYFUNCTION("""COMPUTED_VALUE"""),"1. Open app
2. Click on Client button
3. Login using valid credential
4. Goto profile section
5. Click on Add payment methode")</f>
        <v>1. Open app
2. Click on Client button
3. Login using valid credential
4. Goto profile section
5. Click on Add payment methode</v>
      </c>
      <c r="G26" s="21" t="str">
        <f>IFERROR(__xludf.DUMMYFUNCTION("""COMPUTED_VALUE"""),"email: itcrlbmzxpfmfowcfe@xfavaj.com
password: 1122334455")</f>
        <v>email: itcrlbmzxpfmfowcfe@xfavaj.com
password: 1122334455</v>
      </c>
      <c r="H26" s="21" t="str">
        <f>IFERROR(__xludf.DUMMYFUNCTION("""COMPUTED_VALUE"""),"Can you use random characters and special symbols in the expiry date and CVV fields on card information?")</f>
        <v>Can you use random characters and special symbols in the expiry date and CVV fields on card information?</v>
      </c>
      <c r="I26" s="21" t="str">
        <f>IFERROR(__xludf.DUMMYFUNCTION("""COMPUTED_VALUE"""),"Specific formatting should be applied to card data information, and accurate data validation formatting should be implemented.")</f>
        <v>Specific formatting should be applied to card data information, and accurate data validation formatting should be implemented.</v>
      </c>
      <c r="J26" s="21" t="str">
        <f>IFERROR(__xludf.DUMMYFUNCTION("""COMPUTED_VALUE"""),"Fail")</f>
        <v>Fail</v>
      </c>
      <c r="K26" s="21" t="str">
        <f>IFERROR(__xludf.DUMMYFUNCTION("""COMPUTED_VALUE"""),"High")</f>
        <v>High</v>
      </c>
      <c r="L26" s="23" t="str">
        <f>IFERROR(__xludf.DUMMYFUNCTION("""COMPUTED_VALUE"""),"https://drive.google.com/file/d/1dDJVgs6mWVi6alCalMXd7yxJHutTTxwX/view?usp=drive_link")</f>
        <v>https://drive.google.com/file/d/1dDJVgs6mWVi6alCalMXd7yxJHutTTxwX/view?usp=drive_link</v>
      </c>
      <c r="M26" s="21"/>
      <c r="N26" s="21" t="str">
        <f>IFERROR(__xludf.DUMMYFUNCTION("""COMPUTED_VALUE"""),"Fahad")</f>
        <v>Fahad</v>
      </c>
      <c r="O26" s="20" t="s">
        <v>33</v>
      </c>
      <c r="P26" s="21"/>
      <c r="Q26" s="19"/>
      <c r="R26" s="19"/>
      <c r="S26" s="19"/>
      <c r="T26" s="19"/>
      <c r="U26" s="19"/>
      <c r="V26" s="19"/>
      <c r="W26" s="19"/>
      <c r="X26" s="19"/>
      <c r="Y26" s="19"/>
      <c r="Z26" s="19"/>
      <c r="AA26" s="19"/>
    </row>
    <row r="27">
      <c r="A27" s="20" t="s">
        <v>50</v>
      </c>
      <c r="B27" s="21" t="str">
        <f>IFERROR(__xludf.DUMMYFUNCTION("""COMPUTED_VALUE"""),"Client (APK)")</f>
        <v>Client (APK)</v>
      </c>
      <c r="C27" s="21" t="str">
        <f>IFERROR(__xludf.DUMMYFUNCTION("""COMPUTED_VALUE"""),"Chat")</f>
        <v>Chat</v>
      </c>
      <c r="D27" s="21" t="str">
        <f>IFERROR(__xludf.DUMMYFUNCTION("""COMPUTED_VALUE"""),"The chat and call section is missing in the APK.")</f>
        <v>The chat and call section is missing in the APK.</v>
      </c>
      <c r="E27" s="21" t="str">
        <f>IFERROR(__xludf.DUMMYFUNCTION("""COMPUTED_VALUE"""),"The user needs to have the APK running on their mobile device.")</f>
        <v>The user needs to have the APK running on their mobile device.</v>
      </c>
      <c r="F27" s="22" t="str">
        <f>IFERROR(__xludf.DUMMYFUNCTION("""COMPUTED_VALUE"""),"1. Open app
2. Login using valid credentials
3. Goto Chat")</f>
        <v>1. Open app
2. Login using valid credentials
3. Goto Chat</v>
      </c>
      <c r="G27" s="21" t="str">
        <f>IFERROR(__xludf.DUMMYFUNCTION("""COMPUTED_VALUE"""),"email : sayduntuhin.sta@gmail.com
pass: 12345678")</f>
        <v>email : sayduntuhin.sta@gmail.com
pass: 12345678</v>
      </c>
      <c r="H27" s="21" t="str">
        <f>IFERROR(__xludf.DUMMYFUNCTION("""COMPUTED_VALUE"""),"The chat section should include both chat and call logs to ensure client satisfaction and enable tracking.")</f>
        <v>The chat section should include both chat and call logs to ensure client satisfaction and enable tracking.</v>
      </c>
      <c r="I27" s="21" t="str">
        <f>IFERROR(__xludf.DUMMYFUNCTION("""COMPUTED_VALUE"""),"The call log is missing in the chat section.")</f>
        <v>The call log is missing in the chat section.</v>
      </c>
      <c r="J27" s="21" t="str">
        <f>IFERROR(__xludf.DUMMYFUNCTION("""COMPUTED_VALUE"""),"Fail")</f>
        <v>Fail</v>
      </c>
      <c r="K27" s="21" t="str">
        <f>IFERROR(__xludf.DUMMYFUNCTION("""COMPUTED_VALUE"""),"High")</f>
        <v>High</v>
      </c>
      <c r="L27" s="23" t="str">
        <f>IFERROR(__xludf.DUMMYFUNCTION("""COMPUTED_VALUE"""),"https://drive.google.com/file/d/1GnNqqEV4v5p5Ljd7anvErcGqlXhXMURA/view?usp=drive_link")</f>
        <v>https://drive.google.com/file/d/1GnNqqEV4v5p5Ljd7anvErcGqlXhXMURA/view?usp=drive_link</v>
      </c>
      <c r="M27" s="21"/>
      <c r="N27" s="21" t="str">
        <f>IFERROR(__xludf.DUMMYFUNCTION("""COMPUTED_VALUE"""),"Fahad")</f>
        <v>Fahad</v>
      </c>
      <c r="O27" s="20" t="s">
        <v>33</v>
      </c>
      <c r="P27" s="21"/>
      <c r="Q27" s="19"/>
      <c r="R27" s="19"/>
      <c r="S27" s="19"/>
      <c r="T27" s="19"/>
      <c r="U27" s="19"/>
      <c r="V27" s="19"/>
      <c r="W27" s="19"/>
      <c r="X27" s="19"/>
      <c r="Y27" s="19"/>
      <c r="Z27" s="19"/>
      <c r="AA27" s="19"/>
    </row>
    <row r="28">
      <c r="A28" s="20" t="s">
        <v>51</v>
      </c>
      <c r="B28" s="21" t="str">
        <f>IFERROR(__xludf.DUMMYFUNCTION("""COMPUTED_VALUE"""),"Client (APK)")</f>
        <v>Client (APK)</v>
      </c>
      <c r="C28" s="21" t="str">
        <f>IFERROR(__xludf.DUMMYFUNCTION("""COMPUTED_VALUE"""),"Chat")</f>
        <v>Chat</v>
      </c>
      <c r="D28" s="21" t="str">
        <f>IFERROR(__xludf.DUMMYFUNCTION("""COMPUTED_VALUE"""),"The call option is missing in the chat.")</f>
        <v>The call option is missing in the chat.</v>
      </c>
      <c r="E28" s="21" t="str">
        <f>IFERROR(__xludf.DUMMYFUNCTION("""COMPUTED_VALUE"""),"The user needs to have the APK running on their mobile device.")</f>
        <v>The user needs to have the APK running on their mobile device.</v>
      </c>
      <c r="F28" s="22" t="str">
        <f>IFERROR(__xludf.DUMMYFUNCTION("""COMPUTED_VALUE"""),"1. Open app
2. Login using valid credentials
3. Goto Chat")</f>
        <v>1. Open app
2. Login using valid credentials
3. Goto Chat</v>
      </c>
      <c r="G28" s="21" t="str">
        <f>IFERROR(__xludf.DUMMYFUNCTION("""COMPUTED_VALUE"""),"email : sayduntuhin.sta@gmail.com
pass: 12345678")</f>
        <v>email : sayduntuhin.sta@gmail.com
pass: 12345678</v>
      </c>
      <c r="H28" s="21" t="str">
        <f>IFERROR(__xludf.DUMMYFUNCTION("""COMPUTED_VALUE"""),"A call option in chat should be available for clients to directly call the therapist for further assistance.")</f>
        <v>A call option in chat should be available for clients to directly call the therapist for further assistance.</v>
      </c>
      <c r="I28" s="21" t="str">
        <f>IFERROR(__xludf.DUMMYFUNCTION("""COMPUTED_VALUE"""),"The absence of a call option in the chat has been noted.")</f>
        <v>The absence of a call option in the chat has been noted.</v>
      </c>
      <c r="J28" s="21" t="str">
        <f>IFERROR(__xludf.DUMMYFUNCTION("""COMPUTED_VALUE"""),"Fail")</f>
        <v>Fail</v>
      </c>
      <c r="K28" s="21" t="str">
        <f>IFERROR(__xludf.DUMMYFUNCTION("""COMPUTED_VALUE"""),"High")</f>
        <v>High</v>
      </c>
      <c r="L28" s="23" t="str">
        <f>IFERROR(__xludf.DUMMYFUNCTION("""COMPUTED_VALUE"""),"https://drive.google.com/file/d/1MU7PrtlmpF0l9Kd6tOG3EKwmh-MN_iBj/view?usp=drive_link")</f>
        <v>https://drive.google.com/file/d/1MU7PrtlmpF0l9Kd6tOG3EKwmh-MN_iBj/view?usp=drive_link</v>
      </c>
      <c r="M28" s="21"/>
      <c r="N28" s="21" t="str">
        <f>IFERROR(__xludf.DUMMYFUNCTION("""COMPUTED_VALUE"""),"Fahad")</f>
        <v>Fahad</v>
      </c>
      <c r="O28" s="20" t="s">
        <v>33</v>
      </c>
      <c r="P28" s="21"/>
      <c r="Q28" s="19"/>
      <c r="R28" s="19"/>
      <c r="S28" s="19"/>
      <c r="T28" s="19"/>
      <c r="U28" s="19"/>
      <c r="V28" s="19"/>
      <c r="W28" s="19"/>
      <c r="X28" s="19"/>
      <c r="Y28" s="19"/>
      <c r="Z28" s="19"/>
      <c r="AA28" s="19"/>
    </row>
    <row r="29">
      <c r="A29" s="20" t="s">
        <v>52</v>
      </c>
      <c r="B29" s="21" t="str">
        <f>IFERROR(__xludf.DUMMYFUNCTION("""COMPUTED_VALUE"""),"Client (APK)")</f>
        <v>Client (APK)</v>
      </c>
      <c r="C29" s="21" t="str">
        <f>IFERROR(__xludf.DUMMYFUNCTION("""COMPUTED_VALUE"""),"Chat")</f>
        <v>Chat</v>
      </c>
      <c r="D29" s="21" t="str">
        <f>IFERROR(__xludf.DUMMYFUNCTION("""COMPUTED_VALUE"""),"Sending voice messages from chat is missing.")</f>
        <v>Sending voice messages from chat is missing.</v>
      </c>
      <c r="E29" s="21" t="str">
        <f>IFERROR(__xludf.DUMMYFUNCTION("""COMPUTED_VALUE"""),"The user needs to have the APK running on their mobile device.")</f>
        <v>The user needs to have the APK running on their mobile device.</v>
      </c>
      <c r="F29" s="22" t="str">
        <f>IFERROR(__xludf.DUMMYFUNCTION("""COMPUTED_VALUE"""),"1. Open app
2. Login using valid credentials
3. Goto Chat")</f>
        <v>1. Open app
2. Login using valid credentials
3. Goto Chat</v>
      </c>
      <c r="G29" s="21" t="str">
        <f>IFERROR(__xludf.DUMMYFUNCTION("""COMPUTED_VALUE"""),"email : sayduntuhin.sta@gmail.com
pass: 12345678")</f>
        <v>email : sayduntuhin.sta@gmail.com
pass: 12345678</v>
      </c>
      <c r="H29" s="21" t="str">
        <f>IFERROR(__xludf.DUMMYFUNCTION("""COMPUTED_VALUE"""),"A voice send option should be integrated into chat for a better user experience.")</f>
        <v>A voice send option should be integrated into chat for a better user experience.</v>
      </c>
      <c r="I29" s="21" t="str">
        <f>IFERROR(__xludf.DUMMYFUNCTION("""COMPUTED_VALUE"""),"The absence of the voice button has been observed.")</f>
        <v>The absence of the voice button has been observed.</v>
      </c>
      <c r="J29" s="21" t="str">
        <f>IFERROR(__xludf.DUMMYFUNCTION("""COMPUTED_VALUE"""),"Fail")</f>
        <v>Fail</v>
      </c>
      <c r="K29" s="21" t="str">
        <f>IFERROR(__xludf.DUMMYFUNCTION("""COMPUTED_VALUE"""),"High")</f>
        <v>High</v>
      </c>
      <c r="L29" s="23" t="str">
        <f>IFERROR(__xludf.DUMMYFUNCTION("""COMPUTED_VALUE"""),"https://drive.google.com/file/d/1bdn-YJqS2VeAxlTuwYjr7VDnlWXHIEiW/view?usp=drive_link")</f>
        <v>https://drive.google.com/file/d/1bdn-YJqS2VeAxlTuwYjr7VDnlWXHIEiW/view?usp=drive_link</v>
      </c>
      <c r="M29" s="21"/>
      <c r="N29" s="21" t="str">
        <f>IFERROR(__xludf.DUMMYFUNCTION("""COMPUTED_VALUE"""),"Fahad")</f>
        <v>Fahad</v>
      </c>
      <c r="O29" s="20" t="s">
        <v>33</v>
      </c>
      <c r="P29" s="21"/>
      <c r="Q29" s="19"/>
      <c r="R29" s="19"/>
      <c r="S29" s="19"/>
      <c r="T29" s="19"/>
      <c r="U29" s="19"/>
      <c r="V29" s="19"/>
      <c r="W29" s="19"/>
      <c r="X29" s="19"/>
      <c r="Y29" s="19"/>
      <c r="Z29" s="19"/>
      <c r="AA29" s="19"/>
    </row>
    <row r="30">
      <c r="A30" s="20" t="s">
        <v>53</v>
      </c>
      <c r="B30" s="21" t="str">
        <f>IFERROR(__xludf.DUMMYFUNCTION("""COMPUTED_VALUE"""),"Client (APK)")</f>
        <v>Client (APK)</v>
      </c>
      <c r="C30" s="21" t="str">
        <f>IFERROR(__xludf.DUMMYFUNCTION("""COMPUTED_VALUE"""),"Chat")</f>
        <v>Chat</v>
      </c>
      <c r="D30" s="21" t="str">
        <f>IFERROR(__xludf.DUMMYFUNCTION("""COMPUTED_VALUE"""),"The option to send pictures is missing in the app.")</f>
        <v>The option to send pictures is missing in the app.</v>
      </c>
      <c r="E30" s="21" t="str">
        <f>IFERROR(__xludf.DUMMYFUNCTION("""COMPUTED_VALUE"""),"The user needs to have the APK running on their mobile device.")</f>
        <v>The user needs to have the APK running on their mobile device.</v>
      </c>
      <c r="F30" s="22" t="str">
        <f>IFERROR(__xludf.DUMMYFUNCTION("""COMPUTED_VALUE"""),"1. Open app
2. Login using valid credentials
3. Goto Chat")</f>
        <v>1. Open app
2. Login using valid credentials
3. Goto Chat</v>
      </c>
      <c r="G30" s="21" t="str">
        <f>IFERROR(__xludf.DUMMYFUNCTION("""COMPUTED_VALUE"""),"email : sayduntuhin.sta@gmail.com
pass: 12345678")</f>
        <v>email : sayduntuhin.sta@gmail.com
pass: 12345678</v>
      </c>
      <c r="H30" s="21" t="str">
        <f>IFERROR(__xludf.DUMMYFUNCTION("""COMPUTED_VALUE"""),"Adding a send picture option to the app would enhance the user experience.")</f>
        <v>Adding a send picture option to the app would enhance the user experience.</v>
      </c>
      <c r="I30" s="21" t="str">
        <f>IFERROR(__xludf.DUMMYFUNCTION("""COMPUTED_VALUE"""),"The missing option for sending pictures has been noticed.")</f>
        <v>The missing option for sending pictures has been noticed.</v>
      </c>
      <c r="J30" s="21" t="str">
        <f>IFERROR(__xludf.DUMMYFUNCTION("""COMPUTED_VALUE"""),"Fail")</f>
        <v>Fail</v>
      </c>
      <c r="K30" s="21" t="str">
        <f>IFERROR(__xludf.DUMMYFUNCTION("""COMPUTED_VALUE"""),"High")</f>
        <v>High</v>
      </c>
      <c r="L30" s="23" t="str">
        <f>IFERROR(__xludf.DUMMYFUNCTION("""COMPUTED_VALUE"""),"https://drive.google.com/file/d/1j8uc21xxRQ_ITR17s6bei4f8y8S6KfZm/view?usp=drive_link")</f>
        <v>https://drive.google.com/file/d/1j8uc21xxRQ_ITR17s6bei4f8y8S6KfZm/view?usp=drive_link</v>
      </c>
      <c r="M30" s="21"/>
      <c r="N30" s="21" t="str">
        <f>IFERROR(__xludf.DUMMYFUNCTION("""COMPUTED_VALUE"""),"Fahad")</f>
        <v>Fahad</v>
      </c>
      <c r="O30" s="21"/>
      <c r="P30" s="21"/>
      <c r="Q30" s="19"/>
      <c r="R30" s="19"/>
      <c r="S30" s="19"/>
      <c r="T30" s="19"/>
      <c r="U30" s="19"/>
      <c r="V30" s="19"/>
      <c r="W30" s="19"/>
      <c r="X30" s="19"/>
      <c r="Y30" s="19"/>
      <c r="Z30" s="19"/>
      <c r="AA30" s="19"/>
    </row>
    <row r="31">
      <c r="A31" s="20" t="s">
        <v>54</v>
      </c>
      <c r="B31" s="21" t="str">
        <f>IFERROR(__xludf.DUMMYFUNCTION("""COMPUTED_VALUE"""),"Client (APK)")</f>
        <v>Client (APK)</v>
      </c>
      <c r="C31" s="21" t="str">
        <f>IFERROR(__xludf.DUMMYFUNCTION("""COMPUTED_VALUE"""),"Chat")</f>
        <v>Chat</v>
      </c>
      <c r="D31" s="21" t="str">
        <f>IFERROR(__xludf.DUMMYFUNCTION("""COMPUTED_VALUE"""),"The pattern of sending voice messages is different.")</f>
        <v>The pattern of sending voice messages is different.</v>
      </c>
      <c r="E31" s="21" t="str">
        <f>IFERROR(__xludf.DUMMYFUNCTION("""COMPUTED_VALUE"""),"The user needs to have the APK running on their mobile device.")</f>
        <v>The user needs to have the APK running on their mobile device.</v>
      </c>
      <c r="F31" s="22" t="str">
        <f>IFERROR(__xludf.DUMMYFUNCTION("""COMPUTED_VALUE"""),"1. Open app
2. Login using valid credentials
3. Goto Chat")</f>
        <v>1. Open app
2. Login using valid credentials
3. Goto Chat</v>
      </c>
      <c r="G31" s="21" t="str">
        <f>IFERROR(__xludf.DUMMYFUNCTION("""COMPUTED_VALUE"""),"email : sayduntuhin.sta@gmail.com
pass: 12345678")</f>
        <v>email : sayduntuhin.sta@gmail.com
pass: 12345678</v>
      </c>
      <c r="H31" s="21" t="str">
        <f>IFERROR(__xludf.DUMMYFUNCTION("""COMPUTED_VALUE"""),"Alignment and design should match the client's requirements.")</f>
        <v>Alignment and design should match the client's requirements.</v>
      </c>
      <c r="I31" s="21" t="str">
        <f>IFERROR(__xludf.DUMMYFUNCTION("""COMPUTED_VALUE"""),"A different design and layout have been observed.")</f>
        <v>A different design and layout have been observed.</v>
      </c>
      <c r="J31" s="21" t="str">
        <f>IFERROR(__xludf.DUMMYFUNCTION("""COMPUTED_VALUE"""),"Fail")</f>
        <v>Fail</v>
      </c>
      <c r="K31" s="21" t="str">
        <f>IFERROR(__xludf.DUMMYFUNCTION("""COMPUTED_VALUE"""),"Low")</f>
        <v>Low</v>
      </c>
      <c r="L31" s="23" t="str">
        <f>IFERROR(__xludf.DUMMYFUNCTION("""COMPUTED_VALUE"""),"https://drive.google.com/file/d/1qvXSarQEFjZqbinUQeb_-yuLm_mOg4ue/view?usp=drive_link")</f>
        <v>https://drive.google.com/file/d/1qvXSarQEFjZqbinUQeb_-yuLm_mOg4ue/view?usp=drive_link</v>
      </c>
      <c r="M31" s="21"/>
      <c r="N31" s="21" t="str">
        <f>IFERROR(__xludf.DUMMYFUNCTION("""COMPUTED_VALUE"""),"Fahad")</f>
        <v>Fahad</v>
      </c>
      <c r="O31" s="21"/>
      <c r="P31" s="21"/>
      <c r="Q31" s="19"/>
      <c r="R31" s="19"/>
      <c r="S31" s="19"/>
      <c r="T31" s="19"/>
      <c r="U31" s="19"/>
      <c r="V31" s="19"/>
      <c r="W31" s="19"/>
      <c r="X31" s="19"/>
      <c r="Y31" s="19"/>
      <c r="Z31" s="19"/>
      <c r="AA31" s="19"/>
    </row>
    <row r="32">
      <c r="A32" s="20" t="s">
        <v>55</v>
      </c>
      <c r="B32" s="21" t="str">
        <f>IFERROR(__xludf.DUMMYFUNCTION("""COMPUTED_VALUE"""),"Client (APK)")</f>
        <v>Client (APK)</v>
      </c>
      <c r="C32" s="21" t="str">
        <f>IFERROR(__xludf.DUMMYFUNCTION("""COMPUTED_VALUE"""),"Forget Password")</f>
        <v>Forget Password</v>
      </c>
      <c r="D32" s="21" t="str">
        <f>IFERROR(__xludf.DUMMYFUNCTION("""COMPUTED_VALUE"""),"Forgot password OTP is set to email instead of phone number.")</f>
        <v>Forgot password OTP is set to email instead of phone number.</v>
      </c>
      <c r="E32" s="21" t="str">
        <f>IFERROR(__xludf.DUMMYFUNCTION("""COMPUTED_VALUE"""),"The user needs to have the APK running on their mobile device.")</f>
        <v>The user needs to have the APK running on their mobile device.</v>
      </c>
      <c r="F32" s="22" t="str">
        <f>IFERROR(__xludf.DUMMYFUNCTION("""COMPUTED_VALUE"""),"1. Open app
2. Click on Client button
3. Click on Login
4. Click on Forget Password")</f>
        <v>1. Open app
2. Click on Client button
3. Click on Login
4. Click on Forget Password</v>
      </c>
      <c r="G32" s="21" t="str">
        <f>IFERROR(__xludf.DUMMYFUNCTION("""COMPUTED_VALUE"""),"N/A")</f>
        <v>N/A</v>
      </c>
      <c r="H32" s="21" t="str">
        <f>IFERROR(__xludf.DUMMYFUNCTION("""COMPUTED_VALUE"""),"The password reset OTP should align with the client's requirements.")</f>
        <v>The password reset OTP should align with the client's requirements.</v>
      </c>
      <c r="I32" s="21" t="str">
        <f>IFERROR(__xludf.DUMMYFUNCTION("""COMPUTED_VALUE"""),"The OTP for the password reset was sent via email instead of the phone number, which did not align with the client's requirements.")</f>
        <v>The OTP for the password reset was sent via email instead of the phone number, which did not align with the client's requirements.</v>
      </c>
      <c r="J32" s="21" t="str">
        <f>IFERROR(__xludf.DUMMYFUNCTION("""COMPUTED_VALUE"""),"Fail")</f>
        <v>Fail</v>
      </c>
      <c r="K32" s="21" t="str">
        <f>IFERROR(__xludf.DUMMYFUNCTION("""COMPUTED_VALUE"""),"High")</f>
        <v>High</v>
      </c>
      <c r="L32" s="23" t="str">
        <f>IFERROR(__xludf.DUMMYFUNCTION("""COMPUTED_VALUE"""),"https://drive.google.com/file/d/1KLex23-Fe5dyghKSBYH7lkrzS1-6VG83/view?usp=drive_link")</f>
        <v>https://drive.google.com/file/d/1KLex23-Fe5dyghKSBYH7lkrzS1-6VG83/view?usp=drive_link</v>
      </c>
      <c r="M32" s="21"/>
      <c r="N32" s="21" t="str">
        <f>IFERROR(__xludf.DUMMYFUNCTION("""COMPUTED_VALUE"""),"Fahad")</f>
        <v>Fahad</v>
      </c>
      <c r="O32" s="21"/>
      <c r="P32" s="21"/>
      <c r="Q32" s="19"/>
      <c r="R32" s="19"/>
      <c r="S32" s="19"/>
      <c r="T32" s="19"/>
      <c r="U32" s="19"/>
      <c r="V32" s="19"/>
      <c r="W32" s="19"/>
      <c r="X32" s="19"/>
      <c r="Y32" s="19"/>
      <c r="Z32" s="19"/>
      <c r="AA32" s="19"/>
    </row>
    <row r="33">
      <c r="A33" s="20" t="s">
        <v>56</v>
      </c>
      <c r="B33" s="21" t="str">
        <f>IFERROR(__xludf.DUMMYFUNCTION("""COMPUTED_VALUE"""),"Client (APK)")</f>
        <v>Client (APK)</v>
      </c>
      <c r="C33" s="21" t="str">
        <f>IFERROR(__xludf.DUMMYFUNCTION("""COMPUTED_VALUE"""),"Home")</f>
        <v>Home</v>
      </c>
      <c r="D33" s="21" t="str">
        <f>IFERROR(__xludf.DUMMYFUNCTION("""COMPUTED_VALUE"""),"Category ""See All"" button is missing.")</f>
        <v>Category "See All" button is missing.</v>
      </c>
      <c r="E33" s="21" t="str">
        <f>IFERROR(__xludf.DUMMYFUNCTION("""COMPUTED_VALUE"""),"The user needs to have the APK running on their mobile device.")</f>
        <v>The user needs to have the APK running on their mobile device.</v>
      </c>
      <c r="F33" s="22" t="str">
        <f>IFERROR(__xludf.DUMMYFUNCTION("""COMPUTED_VALUE"""),"1. Open app
2. Click on Client button
3. Login using valid credential
4. Goto Home Section")</f>
        <v>1. Open app
2. Click on Client button
3. Login using valid credential
4. Goto Home Section</v>
      </c>
      <c r="G33" s="21" t="str">
        <f>IFERROR(__xludf.DUMMYFUNCTION("""COMPUTED_VALUE"""),"email: itcrlbmzxpfmfowcfe@xfavaj.com
password: 1122334455")</f>
        <v>email: itcrlbmzxpfmfowcfe@xfavaj.com
password: 1122334455</v>
      </c>
      <c r="H33" s="21" t="str">
        <f>IFERROR(__xludf.DUMMYFUNCTION("""COMPUTED_VALUE"""),"A ""See All"" button in the category should be included, allowing clients to view all types of massages and select the one that suits them best.")</f>
        <v>A "See All" button in the category should be included, allowing clients to view all types of massages and select the one that suits them best.</v>
      </c>
      <c r="I33" s="21" t="str">
        <f>IFERROR(__xludf.DUMMYFUNCTION("""COMPUTED_VALUE"""),"The absence of a ""See All"" button in the category section might prevent users from accessing the full range of massage categories.")</f>
        <v>The absence of a "See All" button in the category section might prevent users from accessing the full range of massage categories.</v>
      </c>
      <c r="J33" s="21" t="str">
        <f>IFERROR(__xludf.DUMMYFUNCTION("""COMPUTED_VALUE"""),"Fail")</f>
        <v>Fail</v>
      </c>
      <c r="K33" s="21" t="str">
        <f>IFERROR(__xludf.DUMMYFUNCTION("""COMPUTED_VALUE"""),"High")</f>
        <v>High</v>
      </c>
      <c r="L33" s="23" t="str">
        <f>IFERROR(__xludf.DUMMYFUNCTION("""COMPUTED_VALUE"""),"https://drive.google.com/file/d/1WdUwhoAKw9VJZP45R6Lp1FmGJsyFdL6E/view?usp=drive_link")</f>
        <v>https://drive.google.com/file/d/1WdUwhoAKw9VJZP45R6Lp1FmGJsyFdL6E/view?usp=drive_link</v>
      </c>
      <c r="M33" s="21"/>
      <c r="N33" s="21" t="str">
        <f>IFERROR(__xludf.DUMMYFUNCTION("""COMPUTED_VALUE"""),"Fahad")</f>
        <v>Fahad</v>
      </c>
      <c r="O33" s="21"/>
      <c r="P33" s="21"/>
      <c r="Q33" s="19"/>
      <c r="R33" s="19"/>
      <c r="S33" s="19"/>
      <c r="T33" s="19"/>
      <c r="U33" s="19"/>
      <c r="V33" s="19"/>
      <c r="W33" s="19"/>
      <c r="X33" s="19"/>
      <c r="Y33" s="19"/>
      <c r="Z33" s="19"/>
      <c r="AA33" s="19"/>
    </row>
    <row r="34">
      <c r="A34" s="20" t="s">
        <v>57</v>
      </c>
      <c r="B34" s="21" t="str">
        <f>IFERROR(__xludf.DUMMYFUNCTION("""COMPUTED_VALUE"""),"Client (APK)")</f>
        <v>Client (APK)</v>
      </c>
      <c r="C34" s="21" t="str">
        <f>IFERROR(__xludf.DUMMYFUNCTION("""COMPUTED_VALUE"""),"Home")</f>
        <v>Home</v>
      </c>
      <c r="D34" s="21" t="str">
        <f>IFERROR(__xludf.DUMMYFUNCTION("""COMPUTED_VALUE"""),"Therapist names are missing in the Nearby Therapist section.")</f>
        <v>Therapist names are missing in the Nearby Therapist section.</v>
      </c>
      <c r="E34" s="21" t="str">
        <f>IFERROR(__xludf.DUMMYFUNCTION("""COMPUTED_VALUE"""),"The user needs to have the APK running on their mobile device.")</f>
        <v>The user needs to have the APK running on their mobile device.</v>
      </c>
      <c r="F34" s="22" t="str">
        <f>IFERROR(__xludf.DUMMYFUNCTION("""COMPUTED_VALUE"""),"1. Open app
2. Click on Client button
3. Login using valid credential
4. Goto Home Section")</f>
        <v>1. Open app
2. Click on Client button
3. Login using valid credential
4. Goto Home Section</v>
      </c>
      <c r="G34" s="21" t="str">
        <f>IFERROR(__xludf.DUMMYFUNCTION("""COMPUTED_VALUE"""),"email: itcrlbmzxpfmfowcfe@xfavaj.com
password: 1122334455")</f>
        <v>email: itcrlbmzxpfmfowcfe@xfavaj.com
password: 1122334455</v>
      </c>
      <c r="H34" s="21" t="str">
        <f>IFERROR(__xludf.DUMMYFUNCTION("""COMPUTED_VALUE"""),"Therapists nearby should be easily accessible to clients, ensuring shorter travel distances and better engagement.")</f>
        <v>Therapists nearby should be easily accessible to clients, ensuring shorter travel distances and better engagement.</v>
      </c>
      <c r="I34" s="21" t="str">
        <f>IFERROR(__xludf.DUMMYFUNCTION("""COMPUTED_VALUE"""),"Unable to refresh the list of nearby therapists.")</f>
        <v>Unable to refresh the list of nearby therapists.</v>
      </c>
      <c r="J34" s="21" t="str">
        <f>IFERROR(__xludf.DUMMYFUNCTION("""COMPUTED_VALUE"""),"Fail")</f>
        <v>Fail</v>
      </c>
      <c r="K34" s="21" t="str">
        <f>IFERROR(__xludf.DUMMYFUNCTION("""COMPUTED_VALUE"""),"High")</f>
        <v>High</v>
      </c>
      <c r="L34" s="23" t="str">
        <f>IFERROR(__xludf.DUMMYFUNCTION("""COMPUTED_VALUE"""),"https://drive.google.com/file/d/1vRuK4G_c6ytmt6_kN1NbkV66uglkd5sg/view?usp=drive_link")</f>
        <v>https://drive.google.com/file/d/1vRuK4G_c6ytmt6_kN1NbkV66uglkd5sg/view?usp=drive_link</v>
      </c>
      <c r="M34" s="21"/>
      <c r="N34" s="21" t="str">
        <f>IFERROR(__xludf.DUMMYFUNCTION("""COMPUTED_VALUE"""),"Fahad")</f>
        <v>Fahad</v>
      </c>
      <c r="O34" s="21"/>
      <c r="P34" s="21"/>
      <c r="Q34" s="19"/>
      <c r="R34" s="19"/>
      <c r="S34" s="19"/>
      <c r="T34" s="19"/>
      <c r="U34" s="19"/>
      <c r="V34" s="19"/>
      <c r="W34" s="19"/>
      <c r="X34" s="19"/>
      <c r="Y34" s="19"/>
      <c r="Z34" s="19"/>
      <c r="AA34" s="19"/>
    </row>
    <row r="35">
      <c r="A35" s="20" t="s">
        <v>58</v>
      </c>
      <c r="B35" s="21" t="str">
        <f>IFERROR(__xludf.DUMMYFUNCTION("""COMPUTED_VALUE"""),"Client (APK)")</f>
        <v>Client (APK)</v>
      </c>
      <c r="C35" s="21" t="str">
        <f>IFERROR(__xludf.DUMMYFUNCTION("""COMPUTED_VALUE"""),"Home")</f>
        <v>Home</v>
      </c>
      <c r="D35" s="21" t="str">
        <f>IFERROR(__xludf.DUMMYFUNCTION("""COMPUTED_VALUE"""),"The therapist search feature is not working.")</f>
        <v>The therapist search feature is not working.</v>
      </c>
      <c r="E35" s="21" t="str">
        <f>IFERROR(__xludf.DUMMYFUNCTION("""COMPUTED_VALUE"""),"The user needs to have the APK running on their mobile device.")</f>
        <v>The user needs to have the APK running on their mobile device.</v>
      </c>
      <c r="F35" s="22" t="str">
        <f>IFERROR(__xludf.DUMMYFUNCTION("""COMPUTED_VALUE"""),"1. Open app
2. Click on Client button
3. Login using valid credential
4. Goto Home page
5. Click search bar")</f>
        <v>1. Open app
2. Click on Client button
3. Login using valid credential
4. Goto Home page
5. Click search bar</v>
      </c>
      <c r="G35" s="21" t="str">
        <f>IFERROR(__xludf.DUMMYFUNCTION("""COMPUTED_VALUE"""),"email: lowovip595@elobits.com
password: 112244557788")</f>
        <v>email: lowovip595@elobits.com
password: 112244557788</v>
      </c>
      <c r="H35" s="21" t="str">
        <f>IFERROR(__xludf.DUMMYFUNCTION("""COMPUTED_VALUE"""),"Recommended and searched therapists should appear correctly in the search field.")</f>
        <v>Recommended and searched therapists should appear correctly in the search field.</v>
      </c>
      <c r="I35" s="21" t="str">
        <f>IFERROR(__xludf.DUMMYFUNCTION("""COMPUTED_VALUE"""),"The search functionality is broken, but therapists can be found using filters.")</f>
        <v>The search functionality is broken, but therapists can be found using filters.</v>
      </c>
      <c r="J35" s="21" t="str">
        <f>IFERROR(__xludf.DUMMYFUNCTION("""COMPUTED_VALUE"""),"Fail")</f>
        <v>Fail</v>
      </c>
      <c r="K35" s="21" t="str">
        <f>IFERROR(__xludf.DUMMYFUNCTION("""COMPUTED_VALUE"""),"High")</f>
        <v>High</v>
      </c>
      <c r="L35" s="23" t="str">
        <f>IFERROR(__xludf.DUMMYFUNCTION("""COMPUTED_VALUE"""),"https://drive.google.com/file/d/1YMgFbIWV65v8MTTx_AxcKyawpTNmhx-6/view?usp=drive_link")</f>
        <v>https://drive.google.com/file/d/1YMgFbIWV65v8MTTx_AxcKyawpTNmhx-6/view?usp=drive_link</v>
      </c>
      <c r="M35" s="21"/>
      <c r="N35" s="21" t="str">
        <f>IFERROR(__xludf.DUMMYFUNCTION("""COMPUTED_VALUE"""),"Fahad")</f>
        <v>Fahad</v>
      </c>
      <c r="O35" s="21"/>
      <c r="P35" s="21"/>
      <c r="Q35" s="19"/>
      <c r="R35" s="19"/>
      <c r="S35" s="19"/>
      <c r="T35" s="19"/>
      <c r="U35" s="19"/>
      <c r="V35" s="19"/>
      <c r="W35" s="19"/>
      <c r="X35" s="19"/>
      <c r="Y35" s="19"/>
      <c r="Z35" s="19"/>
      <c r="AA35" s="19"/>
    </row>
    <row r="36">
      <c r="A36" s="20" t="s">
        <v>59</v>
      </c>
      <c r="B36" s="21" t="str">
        <f>IFERROR(__xludf.DUMMYFUNCTION("""COMPUTED_VALUE"""),"Client (APK)")</f>
        <v>Client (APK)</v>
      </c>
      <c r="C36" s="21" t="str">
        <f>IFERROR(__xludf.DUMMYFUNCTION("""COMPUTED_VALUE"""),"Login")</f>
        <v>Login</v>
      </c>
      <c r="D36" s="21" t="str">
        <f>IFERROR(__xludf.DUMMYFUNCTION("""COMPUTED_VALUE"""),"The login and signup buttons remain as ""Client"" when the user has already selected ""Client"" in a previous operation.")</f>
        <v>The login and signup buttons remain as "Client" when the user has already selected "Client" in a previous operation.</v>
      </c>
      <c r="E36" s="21" t="str">
        <f>IFERROR(__xludf.DUMMYFUNCTION("""COMPUTED_VALUE"""),"The user needs to have the APK running on their mobile device.")</f>
        <v>The user needs to have the APK running on their mobile device.</v>
      </c>
      <c r="F36" s="22" t="str">
        <f>IFERROR(__xludf.DUMMYFUNCTION("""COMPUTED_VALUE"""),"1. Open app
2. Click on Client button
")</f>
        <v>1. Open app
2. Click on Client button
</v>
      </c>
      <c r="G36" s="21" t="str">
        <f>IFERROR(__xludf.DUMMYFUNCTION("""COMPUTED_VALUE"""),"N/A")</f>
        <v>N/A</v>
      </c>
      <c r="H36" s="21" t="str">
        <f>IFERROR(__xludf.DUMMYFUNCTION("""COMPUTED_VALUE"""),"Button names should align with client requirements.")</f>
        <v>Button names should align with client requirements.</v>
      </c>
      <c r="I36" s="21" t="str">
        <f>IFERROR(__xludf.DUMMYFUNCTION("""COMPUTED_VALUE"""),"The button name ""Login as client"" is displayed instead of ""Login.""")</f>
        <v>The button name "Login as client" is displayed instead of "Login."</v>
      </c>
      <c r="J36" s="21" t="str">
        <f>IFERROR(__xludf.DUMMYFUNCTION("""COMPUTED_VALUE"""),"Fail")</f>
        <v>Fail</v>
      </c>
      <c r="K36" s="21" t="str">
        <f>IFERROR(__xludf.DUMMYFUNCTION("""COMPUTED_VALUE"""),"Low")</f>
        <v>Low</v>
      </c>
      <c r="L36" s="23" t="str">
        <f>IFERROR(__xludf.DUMMYFUNCTION("""COMPUTED_VALUE"""),"https://jam.dev/c/ee57675a-f88f-48a4-a150-f334c0b3b244")</f>
        <v>https://jam.dev/c/ee57675a-f88f-48a4-a150-f334c0b3b244</v>
      </c>
      <c r="M36" s="21"/>
      <c r="N36" s="21" t="str">
        <f>IFERROR(__xludf.DUMMYFUNCTION("""COMPUTED_VALUE"""),"Fahad")</f>
        <v>Fahad</v>
      </c>
      <c r="O36" s="21"/>
      <c r="P36" s="21"/>
      <c r="Q36" s="19"/>
      <c r="R36" s="19"/>
      <c r="S36" s="19"/>
      <c r="T36" s="19"/>
      <c r="U36" s="19"/>
      <c r="V36" s="19"/>
      <c r="W36" s="19"/>
      <c r="X36" s="19"/>
      <c r="Y36" s="19"/>
      <c r="Z36" s="19"/>
      <c r="AA36" s="19"/>
    </row>
    <row r="37">
      <c r="A37" s="20" t="s">
        <v>60</v>
      </c>
      <c r="B37" s="21" t="str">
        <f>IFERROR(__xludf.DUMMYFUNCTION("""COMPUTED_VALUE"""),"Client (APK)")</f>
        <v>Client (APK)</v>
      </c>
      <c r="C37" s="21" t="str">
        <f>IFERROR(__xludf.DUMMYFUNCTION("""COMPUTED_VALUE"""),"Login")</f>
        <v>Login</v>
      </c>
      <c r="D37" s="21" t="str">
        <f>IFERROR(__xludf.DUMMYFUNCTION("""COMPUTED_VALUE"""),"The app logo appears slightly shorter than usual.")</f>
        <v>The app logo appears slightly shorter than usual.</v>
      </c>
      <c r="E37" s="21" t="str">
        <f>IFERROR(__xludf.DUMMYFUNCTION("""COMPUTED_VALUE"""),"The user needs to have the APK running on their mobile device.")</f>
        <v>The user needs to have the APK running on their mobile device.</v>
      </c>
      <c r="F37" s="22" t="str">
        <f>IFERROR(__xludf.DUMMYFUNCTION("""COMPUTED_VALUE"""),"1. Open app
2. Click on Client button
3. Click on Login")</f>
        <v>1. Open app
2. Click on Client button
3. Click on Login</v>
      </c>
      <c r="G37" s="21" t="str">
        <f>IFERROR(__xludf.DUMMYFUNCTION("""COMPUTED_VALUE"""),"N/A")</f>
        <v>N/A</v>
      </c>
      <c r="H37" s="21" t="str">
        <f>IFERROR(__xludf.DUMMYFUNCTION("""COMPUTED_VALUE"""),"The app logo should be prominently displayed to catch users' attention.")</f>
        <v>The app logo should be prominently displayed to catch users' attention.</v>
      </c>
      <c r="I37" s="21" t="str">
        <f>IFERROR(__xludf.DUMMYFUNCTION("""COMPUTED_VALUE"""),"A slightly shorter logo was noticed.")</f>
        <v>A slightly shorter logo was noticed.</v>
      </c>
      <c r="J37" s="21" t="str">
        <f>IFERROR(__xludf.DUMMYFUNCTION("""COMPUTED_VALUE"""),"Fail")</f>
        <v>Fail</v>
      </c>
      <c r="K37" s="21" t="str">
        <f>IFERROR(__xludf.DUMMYFUNCTION("""COMPUTED_VALUE"""),"Low")</f>
        <v>Low</v>
      </c>
      <c r="L37" s="24" t="str">
        <f>IFERROR(__xludf.DUMMYFUNCTION("""COMPUTED_VALUE"""),"1.png")</f>
        <v>1.png</v>
      </c>
      <c r="M37" s="21" t="str">
        <f>IFERROR(__xludf.DUMMYFUNCTION("""COMPUTED_VALUE"""),"Make it slightly larger to catch the user's attention.")</f>
        <v>Make it slightly larger to catch the user's attention.</v>
      </c>
      <c r="N37" s="21" t="str">
        <f>IFERROR(__xludf.DUMMYFUNCTION("""COMPUTED_VALUE"""),"Fahad")</f>
        <v>Fahad</v>
      </c>
      <c r="O37" s="21"/>
      <c r="P37" s="21"/>
      <c r="Q37" s="19"/>
      <c r="R37" s="19"/>
      <c r="S37" s="19"/>
      <c r="T37" s="19"/>
      <c r="U37" s="19"/>
      <c r="V37" s="19"/>
      <c r="W37" s="19"/>
      <c r="X37" s="19"/>
      <c r="Y37" s="19"/>
      <c r="Z37" s="19"/>
      <c r="AA37" s="19"/>
    </row>
    <row r="38">
      <c r="A38" s="20" t="s">
        <v>61</v>
      </c>
      <c r="B38" s="21" t="str">
        <f>IFERROR(__xludf.DUMMYFUNCTION("""COMPUTED_VALUE"""),"Client (APK)")</f>
        <v>Client (APK)</v>
      </c>
      <c r="C38" s="21" t="str">
        <f>IFERROR(__xludf.DUMMYFUNCTION("""COMPUTED_VALUE"""),"Login")</f>
        <v>Login</v>
      </c>
      <c r="D38" s="21" t="str">
        <f>IFERROR(__xludf.DUMMYFUNCTION("""COMPUTED_VALUE"""),"The password visibility icon is missing on the client login page.")</f>
        <v>The password visibility icon is missing on the client login page.</v>
      </c>
      <c r="E38" s="21" t="str">
        <f>IFERROR(__xludf.DUMMYFUNCTION("""COMPUTED_VALUE"""),"The user needs to have the APK running on their mobile device.")</f>
        <v>The user needs to have the APK running on their mobile device.</v>
      </c>
      <c r="F38" s="22" t="str">
        <f>IFERROR(__xludf.DUMMYFUNCTION("""COMPUTED_VALUE"""),"1. Open app
2. Click on Client button
3. Click on Login")</f>
        <v>1. Open app
2. Click on Client button
3. Click on Login</v>
      </c>
      <c r="G38" s="21" t="str">
        <f>IFERROR(__xludf.DUMMYFUNCTION("""COMPUTED_VALUE"""),"N/A")</f>
        <v>N/A</v>
      </c>
      <c r="H38" s="21" t="str">
        <f>IFERROR(__xludf.DUMMYFUNCTION("""COMPUTED_VALUE"""),"The password field should display the password visibly with a hide icon to enhance user convenience.")</f>
        <v>The password field should display the password visibly with a hide icon to enhance user convenience.</v>
      </c>
      <c r="I38" s="21" t="str">
        <f>IFERROR(__xludf.DUMMYFUNCTION("""COMPUTED_VALUE"""),"The absence of the password visibility icon has been noted.")</f>
        <v>The absence of the password visibility icon has been noted.</v>
      </c>
      <c r="J38" s="21" t="str">
        <f>IFERROR(__xludf.DUMMYFUNCTION("""COMPUTED_VALUE"""),"Fail")</f>
        <v>Fail</v>
      </c>
      <c r="K38" s="21" t="str">
        <f>IFERROR(__xludf.DUMMYFUNCTION("""COMPUTED_VALUE"""),"Medium")</f>
        <v>Medium</v>
      </c>
      <c r="L38" s="23" t="str">
        <f>IFERROR(__xludf.DUMMYFUNCTION("""COMPUTED_VALUE"""),"https://jam.dev/c/7e6fdbbf-6f54-4449-933b-872542d4e03c")</f>
        <v>https://jam.dev/c/7e6fdbbf-6f54-4449-933b-872542d4e03c</v>
      </c>
      <c r="M38" s="21"/>
      <c r="N38" s="21" t="str">
        <f>IFERROR(__xludf.DUMMYFUNCTION("""COMPUTED_VALUE"""),"Fahad")</f>
        <v>Fahad</v>
      </c>
      <c r="O38" s="21"/>
      <c r="P38" s="21"/>
      <c r="Q38" s="19"/>
      <c r="R38" s="19"/>
      <c r="S38" s="19"/>
      <c r="T38" s="19"/>
      <c r="U38" s="19"/>
      <c r="V38" s="19"/>
      <c r="W38" s="19"/>
      <c r="X38" s="19"/>
      <c r="Y38" s="19"/>
      <c r="Z38" s="19"/>
      <c r="AA38" s="19"/>
    </row>
    <row r="39">
      <c r="A39" s="20" t="s">
        <v>62</v>
      </c>
      <c r="B39" s="21" t="str">
        <f>IFERROR(__xludf.DUMMYFUNCTION("""COMPUTED_VALUE"""),"Client (APK)")</f>
        <v>Client (APK)</v>
      </c>
      <c r="C39" s="21" t="str">
        <f>IFERROR(__xludf.DUMMYFUNCTION("""COMPUTED_VALUE"""),"Notification")</f>
        <v>Notification</v>
      </c>
      <c r="D39" s="21" t="str">
        <f>IFERROR(__xludf.DUMMYFUNCTION("""COMPUTED_VALUE"""),"Notification failed to load")</f>
        <v>Notification failed to load</v>
      </c>
      <c r="E39" s="21" t="str">
        <f>IFERROR(__xludf.DUMMYFUNCTION("""COMPUTED_VALUE"""),"The user needs to have the APK running on their mobile device.")</f>
        <v>The user needs to have the APK running on their mobile device.</v>
      </c>
      <c r="F39" s="22" t="str">
        <f>IFERROR(__xludf.DUMMYFUNCTION("""COMPUTED_VALUE"""),"1. Open app
2. Click on Client button
3. Login using valid credential
4. Goto Notification Section")</f>
        <v>1. Open app
2. Click on Client button
3. Login using valid credential
4. Goto Notification Section</v>
      </c>
      <c r="G39" s="21" t="str">
        <f>IFERROR(__xludf.DUMMYFUNCTION("""COMPUTED_VALUE"""),"email: lowovip595@elobits.com
password: 112244557788")</f>
        <v>email: lowovip595@elobits.com
password: 112244557788</v>
      </c>
      <c r="H39" s="21" t="str">
        <f>IFERROR(__xludf.DUMMYFUNCTION("""COMPUTED_VALUE"""),"Notifications should load correctly on the client side for smoother interaction.")</f>
        <v>Notifications should load correctly on the client side for smoother interaction.</v>
      </c>
      <c r="I39" s="21" t="str">
        <f>IFERROR(__xludf.DUMMYFUNCTION("""COMPUTED_VALUE"""),"Notification missing. Error displayed: No room found.")</f>
        <v>Notification missing. Error displayed: No room found.</v>
      </c>
      <c r="J39" s="21" t="str">
        <f>IFERROR(__xludf.DUMMYFUNCTION("""COMPUTED_VALUE"""),"Fail")</f>
        <v>Fail</v>
      </c>
      <c r="K39" s="21" t="str">
        <f>IFERROR(__xludf.DUMMYFUNCTION("""COMPUTED_VALUE"""),"High")</f>
        <v>High</v>
      </c>
      <c r="L39" s="23" t="str">
        <f>IFERROR(__xludf.DUMMYFUNCTION("""COMPUTED_VALUE"""),"https://drive.google.com/file/d/17Qe2pumq6nLmzLEcvseV514o8eAPVwvk/view?usp=drive_link")</f>
        <v>https://drive.google.com/file/d/17Qe2pumq6nLmzLEcvseV514o8eAPVwvk/view?usp=drive_link</v>
      </c>
      <c r="M39" s="21"/>
      <c r="N39" s="21" t="str">
        <f>IFERROR(__xludf.DUMMYFUNCTION("""COMPUTED_VALUE"""),"Fahad")</f>
        <v>Fahad</v>
      </c>
      <c r="O39" s="21"/>
      <c r="P39" s="21"/>
      <c r="Q39" s="19"/>
      <c r="R39" s="19"/>
      <c r="S39" s="19"/>
      <c r="T39" s="19"/>
      <c r="U39" s="19"/>
      <c r="V39" s="19"/>
      <c r="W39" s="19"/>
      <c r="X39" s="19"/>
      <c r="Y39" s="19"/>
      <c r="Z39" s="19"/>
      <c r="AA39" s="19"/>
    </row>
    <row r="40">
      <c r="A40" s="20" t="s">
        <v>63</v>
      </c>
      <c r="B40" s="21" t="str">
        <f>IFERROR(__xludf.DUMMYFUNCTION("""COMPUTED_VALUE"""),"Client (APK)")</f>
        <v>Client (APK)</v>
      </c>
      <c r="C40" s="21" t="str">
        <f>IFERROR(__xludf.DUMMYFUNCTION("""COMPUTED_VALUE"""),"OTP Mail")</f>
        <v>OTP Mail</v>
      </c>
      <c r="D40" s="21" t="str">
        <f>IFERROR(__xludf.DUMMYFUNCTION("""COMPUTED_VALUE"""),"The OTP email came from a personal Gmail account.")</f>
        <v>The OTP email came from a personal Gmail account.</v>
      </c>
      <c r="E40" s="21" t="str">
        <f>IFERROR(__xludf.DUMMYFUNCTION("""COMPUTED_VALUE"""),"The user needs to have the APK running on their mobile device.")</f>
        <v>The user needs to have the APK running on their mobile device.</v>
      </c>
      <c r="F40" s="22" t="str">
        <f>IFERROR(__xludf.DUMMYFUNCTION("""COMPUTED_VALUE"""),"1. Open app
2. Click on Client button
3. Click on signup")</f>
        <v>1. Open app
2. Click on Client button
3. Click on signup</v>
      </c>
      <c r="G40" s="21" t="str">
        <f>IFERROR(__xludf.DUMMYFUNCTION("""COMPUTED_VALUE"""),"email: itcrlbmzxpfmfowcfe@xfavaj.com
password: 1122334455")</f>
        <v>email: itcrlbmzxpfmfowcfe@xfavaj.com
password: 1122334455</v>
      </c>
      <c r="H40" s="21" t="str">
        <f>IFERROR(__xludf.DUMMYFUNCTION("""COMPUTED_VALUE"""),"OTP should come from the app's email to address user trust issues.")</f>
        <v>OTP should come from the app's email to address user trust issues.</v>
      </c>
      <c r="I40" s="21" t="str">
        <f>IFERROR(__xludf.DUMMYFUNCTION("""COMPUTED_VALUE"""),"An OTP sent from a personal email can appear suspicious from the user's perspective.")</f>
        <v>An OTP sent from a personal email can appear suspicious from the user's perspective.</v>
      </c>
      <c r="J40" s="21" t="str">
        <f>IFERROR(__xludf.DUMMYFUNCTION("""COMPUTED_VALUE"""),"Fail")</f>
        <v>Fail</v>
      </c>
      <c r="K40" s="21" t="str">
        <f>IFERROR(__xludf.DUMMYFUNCTION("""COMPUTED_VALUE"""),"Medium")</f>
        <v>Medium</v>
      </c>
      <c r="L40" s="23" t="str">
        <f>IFERROR(__xludf.DUMMYFUNCTION("""COMPUTED_VALUE"""),"https://drive.google.com/file/d/1JrtbpqQLDuv5_lQH09pimvpog6-DRnfk/view?usp=drive_link")</f>
        <v>https://drive.google.com/file/d/1JrtbpqQLDuv5_lQH09pimvpog6-DRnfk/view?usp=drive_link</v>
      </c>
      <c r="M40" s="21"/>
      <c r="N40" s="21" t="str">
        <f>IFERROR(__xludf.DUMMYFUNCTION("""COMPUTED_VALUE"""),"Fahad")</f>
        <v>Fahad</v>
      </c>
      <c r="O40" s="21"/>
      <c r="P40" s="21"/>
      <c r="Q40" s="19"/>
      <c r="R40" s="19"/>
      <c r="S40" s="19"/>
      <c r="T40" s="19"/>
      <c r="U40" s="19"/>
      <c r="V40" s="19"/>
      <c r="W40" s="19"/>
      <c r="X40" s="19"/>
      <c r="Y40" s="19"/>
      <c r="Z40" s="19"/>
      <c r="AA40" s="19"/>
    </row>
    <row r="41">
      <c r="A41" s="20" t="s">
        <v>64</v>
      </c>
      <c r="B41" s="21" t="str">
        <f>IFERROR(__xludf.DUMMYFUNCTION("""COMPUTED_VALUE"""),"Client (APK)")</f>
        <v>Client (APK)</v>
      </c>
      <c r="C41" s="21" t="str">
        <f>IFERROR(__xludf.DUMMYFUNCTION("""COMPUTED_VALUE"""),"Payment")</f>
        <v>Payment</v>
      </c>
      <c r="D41" s="21" t="str">
        <f>IFERROR(__xludf.DUMMYFUNCTION("""COMPUTED_VALUE"""),"The payment page failed to load.")</f>
        <v>The payment page failed to load.</v>
      </c>
      <c r="E41" s="21" t="str">
        <f>IFERROR(__xludf.DUMMYFUNCTION("""COMPUTED_VALUE"""),"The user needs to have the APK running on their mobile device.")</f>
        <v>The user needs to have the APK running on their mobile device.</v>
      </c>
      <c r="F41" s="22" t="str">
        <f>IFERROR(__xludf.DUMMYFUNCTION("""COMPUTED_VALUE"""),"1. Open app
2. Click on Client button
3. Login using valid credential
4. Goto Appointment Section")</f>
        <v>1. Open app
2. Click on Client button
3. Login using valid credential
4. Goto Appointment Section</v>
      </c>
      <c r="G41" s="21" t="str">
        <f>IFERROR(__xludf.DUMMYFUNCTION("""COMPUTED_VALUE"""),"email: lowovip595@elobits.com
password: 112244557788")</f>
        <v>email: lowovip595@elobits.com
password: 112244557788</v>
      </c>
      <c r="H41" s="21" t="str">
        <f>IFERROR(__xludf.DUMMYFUNCTION("""COMPUTED_VALUE"""),"The payment gateway should load smoothly and function accurately.")</f>
        <v>The payment gateway should load smoothly and function accurately.</v>
      </c>
      <c r="I41" s="21" t="str">
        <f>IFERROR(__xludf.DUMMYFUNCTION("""COMPUTED_VALUE"""),"An error appears indicating the payment page failed to load.")</f>
        <v>An error appears indicating the payment page failed to load.</v>
      </c>
      <c r="J41" s="21" t="str">
        <f>IFERROR(__xludf.DUMMYFUNCTION("""COMPUTED_VALUE"""),"Fail")</f>
        <v>Fail</v>
      </c>
      <c r="K41" s="21" t="str">
        <f>IFERROR(__xludf.DUMMYFUNCTION("""COMPUTED_VALUE"""),"High")</f>
        <v>High</v>
      </c>
      <c r="L41" s="23" t="str">
        <f>IFERROR(__xludf.DUMMYFUNCTION("""COMPUTED_VALUE"""),"https://drive.google.com/file/d/13f38e09rp29Hk6b4D8ZGRbUSFG2lR1oh/view?usp=drive_link")</f>
        <v>https://drive.google.com/file/d/13f38e09rp29Hk6b4D8ZGRbUSFG2lR1oh/view?usp=drive_link</v>
      </c>
      <c r="M41" s="21"/>
      <c r="N41" s="21" t="str">
        <f>IFERROR(__xludf.DUMMYFUNCTION("""COMPUTED_VALUE"""),"Fahad")</f>
        <v>Fahad</v>
      </c>
      <c r="O41" s="21"/>
      <c r="P41" s="21"/>
      <c r="Q41" s="19"/>
      <c r="R41" s="19"/>
      <c r="S41" s="19"/>
      <c r="T41" s="19"/>
      <c r="U41" s="19"/>
      <c r="V41" s="19"/>
      <c r="W41" s="19"/>
      <c r="X41" s="19"/>
      <c r="Y41" s="19"/>
      <c r="Z41" s="19"/>
      <c r="AA41" s="19"/>
    </row>
    <row r="42">
      <c r="A42" s="20" t="s">
        <v>65</v>
      </c>
      <c r="B42" s="21" t="str">
        <f>IFERROR(__xludf.DUMMYFUNCTION("""COMPUTED_VALUE"""),"Client (APK)")</f>
        <v>Client (APK)</v>
      </c>
      <c r="C42" s="21" t="str">
        <f>IFERROR(__xludf.DUMMYFUNCTION("""COMPUTED_VALUE"""),"Profile")</f>
        <v>Profile</v>
      </c>
      <c r="D42" s="21" t="str">
        <f>IFERROR(__xludf.DUMMYFUNCTION("""COMPUTED_VALUE"""),"The error bar on the profile is visible between transactions.")</f>
        <v>The error bar on the profile is visible between transactions.</v>
      </c>
      <c r="E42" s="21" t="str">
        <f>IFERROR(__xludf.DUMMYFUNCTION("""COMPUTED_VALUE"""),"The user needs to have the APK running on their mobile device.")</f>
        <v>The user needs to have the APK running on their mobile device.</v>
      </c>
      <c r="F42" s="22" t="str">
        <f>IFERROR(__xludf.DUMMYFUNCTION("""COMPUTED_VALUE"""),"1. Open app
2. Click on Client button
3. Login using valid credentials
4. Goto profile section")</f>
        <v>1. Open app
2. Click on Client button
3. Login using valid credentials
4. Goto profile section</v>
      </c>
      <c r="G42" s="21" t="str">
        <f>IFERROR(__xludf.DUMMYFUNCTION("""COMPUTED_VALUE"""),"email: itcrlbmzxpfmfowcfe@xfavaj.com
password: 1122334455")</f>
        <v>email: itcrlbmzxpfmfowcfe@xfavaj.com
password: 1122334455</v>
      </c>
      <c r="H42" s="21" t="str">
        <f>IFERROR(__xludf.DUMMYFUNCTION("""COMPUTED_VALUE"""),"The app should function smoothly on the user's side without any issues or conflicts.")</f>
        <v>The app should function smoothly on the user's side without any issues or conflicts.</v>
      </c>
      <c r="I42" s="21" t="str">
        <f>IFERROR(__xludf.DUMMYFUNCTION("""COMPUTED_VALUE"""),"An error bar appears on the app, even during transactions.")</f>
        <v>An error bar appears on the app, even during transactions.</v>
      </c>
      <c r="J42" s="21" t="str">
        <f>IFERROR(__xludf.DUMMYFUNCTION("""COMPUTED_VALUE"""),"Fail")</f>
        <v>Fail</v>
      </c>
      <c r="K42" s="21" t="str">
        <f>IFERROR(__xludf.DUMMYFUNCTION("""COMPUTED_VALUE"""),"High")</f>
        <v>High</v>
      </c>
      <c r="L42" s="23" t="str">
        <f>IFERROR(__xludf.DUMMYFUNCTION("""COMPUTED_VALUE"""),"https://drive.google.com/file/d/1qVZUY5HAL95TM-2hkpnqeXZyQytKUBhp/view?usp=drive_link")</f>
        <v>https://drive.google.com/file/d/1qVZUY5HAL95TM-2hkpnqeXZyQytKUBhp/view?usp=drive_link</v>
      </c>
      <c r="M42" s="21"/>
      <c r="N42" s="21" t="str">
        <f>IFERROR(__xludf.DUMMYFUNCTION("""COMPUTED_VALUE"""),"Fahad")</f>
        <v>Fahad</v>
      </c>
      <c r="O42" s="21"/>
      <c r="P42" s="21"/>
      <c r="Q42" s="19"/>
      <c r="R42" s="19"/>
      <c r="S42" s="19"/>
      <c r="T42" s="19"/>
      <c r="U42" s="19"/>
      <c r="V42" s="19"/>
      <c r="W42" s="19"/>
      <c r="X42" s="19"/>
      <c r="Y42" s="19"/>
      <c r="Z42" s="19"/>
      <c r="AA42" s="19"/>
    </row>
    <row r="43">
      <c r="A43" s="20" t="s">
        <v>66</v>
      </c>
      <c r="B43" s="21" t="str">
        <f>IFERROR(__xludf.DUMMYFUNCTION("""COMPUTED_VALUE"""),"Client (APK)")</f>
        <v>Client (APK)</v>
      </c>
      <c r="C43" s="21" t="str">
        <f>IFERROR(__xludf.DUMMYFUNCTION("""COMPUTED_VALUE"""),"Profile")</f>
        <v>Profile</v>
      </c>
      <c r="D43" s="21" t="str">
        <f>IFERROR(__xludf.DUMMYFUNCTION("""COMPUTED_VALUE"""),"An error bar has appeared in the edit profile section.")</f>
        <v>An error bar has appeared in the edit profile section.</v>
      </c>
      <c r="E43" s="21" t="str">
        <f>IFERROR(__xludf.DUMMYFUNCTION("""COMPUTED_VALUE"""),"The user needs to have the APK running on their mobile device.")</f>
        <v>The user needs to have the APK running on their mobile device.</v>
      </c>
      <c r="F43" s="22" t="str">
        <f>IFERROR(__xludf.DUMMYFUNCTION("""COMPUTED_VALUE"""),"1. Open app
2. Click on Client button
3. Login using valid credentials
4. Goto profile section")</f>
        <v>1. Open app
2. Click on Client button
3. Login using valid credentials
4. Goto profile section</v>
      </c>
      <c r="G43" s="21" t="str">
        <f>IFERROR(__xludf.DUMMYFUNCTION("""COMPUTED_VALUE"""),"email: itcrlbmzxpfmfowcfe@xfavaj.com
password: 1122334455")</f>
        <v>email: itcrlbmzxpfmfowcfe@xfavaj.com
password: 1122334455</v>
      </c>
      <c r="H43" s="21" t="str">
        <f>IFERROR(__xludf.DUMMYFUNCTION("""COMPUTED_VALUE"""),"The app should function smoothly on the user's side without any issues or conflicts.")</f>
        <v>The app should function smoothly on the user's side without any issues or conflicts.</v>
      </c>
      <c r="I43" s="21" t="str">
        <f>IFERROR(__xludf.DUMMYFUNCTION("""COMPUTED_VALUE"""),"During the page transition between editing profiles, an error bar is faintly visible to the naked eye.")</f>
        <v>During the page transition between editing profiles, an error bar is faintly visible to the naked eye.</v>
      </c>
      <c r="J43" s="21" t="str">
        <f>IFERROR(__xludf.DUMMYFUNCTION("""COMPUTED_VALUE"""),"Fail")</f>
        <v>Fail</v>
      </c>
      <c r="K43" s="21" t="str">
        <f>IFERROR(__xludf.DUMMYFUNCTION("""COMPUTED_VALUE"""),"Medium")</f>
        <v>Medium</v>
      </c>
      <c r="L43" s="23" t="str">
        <f>IFERROR(__xludf.DUMMYFUNCTION("""COMPUTED_VALUE"""),"https://drive.google.com/file/d/1JILOLDJL3ZWUtIgXsdtqYVhSS2SsivjF/view?usp=drive_link")</f>
        <v>https://drive.google.com/file/d/1JILOLDJL3ZWUtIgXsdtqYVhSS2SsivjF/view?usp=drive_link</v>
      </c>
      <c r="M43" s="21"/>
      <c r="N43" s="21" t="str">
        <f>IFERROR(__xludf.DUMMYFUNCTION("""COMPUTED_VALUE"""),"Fahad")</f>
        <v>Fahad</v>
      </c>
      <c r="O43" s="21"/>
      <c r="P43" s="21"/>
      <c r="Q43" s="19"/>
      <c r="R43" s="19"/>
      <c r="S43" s="19"/>
      <c r="T43" s="19"/>
      <c r="U43" s="19"/>
      <c r="V43" s="19"/>
      <c r="W43" s="19"/>
      <c r="X43" s="19"/>
      <c r="Y43" s="19"/>
      <c r="Z43" s="19"/>
      <c r="AA43" s="19"/>
    </row>
    <row r="44">
      <c r="A44" s="20" t="s">
        <v>67</v>
      </c>
      <c r="B44" s="21" t="str">
        <f>IFERROR(__xludf.DUMMYFUNCTION("""COMPUTED_VALUE"""),"Client (APK)")</f>
        <v>Client (APK)</v>
      </c>
      <c r="C44" s="21" t="str">
        <f>IFERROR(__xludf.DUMMYFUNCTION("""COMPUTED_VALUE"""),"Profile")</f>
        <v>Profile</v>
      </c>
      <c r="D44" s="21" t="str">
        <f>IFERROR(__xludf.DUMMYFUNCTION("""COMPUTED_VALUE"""),"The app logo is showing up in the profile section, even though it wasn't part of the client requirements.")</f>
        <v>The app logo is showing up in the profile section, even though it wasn't part of the client requirements.</v>
      </c>
      <c r="E44" s="21" t="str">
        <f>IFERROR(__xludf.DUMMYFUNCTION("""COMPUTED_VALUE"""),"The user needs to have the APK running on their mobile device.")</f>
        <v>The user needs to have the APK running on their mobile device.</v>
      </c>
      <c r="F44" s="22" t="str">
        <f>IFERROR(__xludf.DUMMYFUNCTION("""COMPUTED_VALUE"""),"1. Open app
2. Click on Client button
3. Login using valid credential
4. Goto profile section")</f>
        <v>1. Open app
2. Click on Client button
3. Login using valid credential
4. Goto profile section</v>
      </c>
      <c r="G44" s="21" t="str">
        <f>IFERROR(__xludf.DUMMYFUNCTION("""COMPUTED_VALUE"""),"email: itcrlbmzxpfmfowcfe@xfavaj.com
password: 1122334455")</f>
        <v>email: itcrlbmzxpfmfowcfe@xfavaj.com
password: 1122334455</v>
      </c>
      <c r="H44" s="21" t="str">
        <f>IFERROR(__xludf.DUMMYFUNCTION("""COMPUTED_VALUE"""),"App flow design should align with client requirements.")</f>
        <v>App flow design should align with client requirements.</v>
      </c>
      <c r="I44" s="21" t="str">
        <f>IFERROR(__xludf.DUMMYFUNCTION("""COMPUTED_VALUE"""),"A logo has been observed on the profile page, which was not included in the client requirements.")</f>
        <v>A logo has been observed on the profile page, which was not included in the client requirements.</v>
      </c>
      <c r="J44" s="21" t="str">
        <f>IFERROR(__xludf.DUMMYFUNCTION("""COMPUTED_VALUE"""),"Fail")</f>
        <v>Fail</v>
      </c>
      <c r="K44" s="21" t="str">
        <f>IFERROR(__xludf.DUMMYFUNCTION("""COMPUTED_VALUE"""),"Low")</f>
        <v>Low</v>
      </c>
      <c r="L44" s="23" t="str">
        <f>IFERROR(__xludf.DUMMYFUNCTION("""COMPUTED_VALUE"""),"https://drive.google.com/file/d/1peyCAyGuVmf8hAUGmlgxXsx5UMbuKPcp/view?usp=drive_link")</f>
        <v>https://drive.google.com/file/d/1peyCAyGuVmf8hAUGmlgxXsx5UMbuKPcp/view?usp=drive_link</v>
      </c>
      <c r="M44" s="21"/>
      <c r="N44" s="21" t="str">
        <f>IFERROR(__xludf.DUMMYFUNCTION("""COMPUTED_VALUE"""),"Fahad")</f>
        <v>Fahad</v>
      </c>
      <c r="O44" s="21"/>
      <c r="P44" s="21"/>
      <c r="Q44" s="19"/>
      <c r="R44" s="19"/>
      <c r="S44" s="19"/>
      <c r="T44" s="19"/>
      <c r="U44" s="19"/>
      <c r="V44" s="19"/>
      <c r="W44" s="19"/>
      <c r="X44" s="19"/>
      <c r="Y44" s="19"/>
      <c r="Z44" s="19"/>
      <c r="AA44" s="19"/>
    </row>
    <row r="45">
      <c r="A45" s="20" t="s">
        <v>68</v>
      </c>
      <c r="B45" s="21" t="str">
        <f>IFERROR(__xludf.DUMMYFUNCTION("""COMPUTED_VALUE"""),"Client (APK)")</f>
        <v>Client (APK)</v>
      </c>
      <c r="C45" s="21" t="str">
        <f>IFERROR(__xludf.DUMMYFUNCTION("""COMPUTED_VALUE"""),"Profile")</f>
        <v>Profile</v>
      </c>
      <c r="D45" s="21" t="str">
        <f>IFERROR(__xludf.DUMMYFUNCTION("""COMPUTED_VALUE"""),"Updating the user name does not dynamically change it in the user profile.")</f>
        <v>Updating the user name does not dynamically change it in the user profile.</v>
      </c>
      <c r="E45" s="21" t="str">
        <f>IFERROR(__xludf.DUMMYFUNCTION("""COMPUTED_VALUE"""),"The user needs to have the APK running on their mobile device.")</f>
        <v>The user needs to have the APK running on their mobile device.</v>
      </c>
      <c r="F45" s="22" t="str">
        <f>IFERROR(__xludf.DUMMYFUNCTION("""COMPUTED_VALUE"""),"1. Open app
2. Click on Client button
3. Login using valid credential
4. Goto Profile Section")</f>
        <v>1. Open app
2. Click on Client button
3. Login using valid credential
4. Goto Profile Section</v>
      </c>
      <c r="G45" s="21" t="str">
        <f>IFERROR(__xludf.DUMMYFUNCTION("""COMPUTED_VALUE"""),"email: itcrlbmzxpfmfowcfe@xfavaj.com
password: 1122334455")</f>
        <v>email: itcrlbmzxpfmfowcfe@xfavaj.com
password: 1122334455</v>
      </c>
      <c r="H45" s="21" t="str">
        <f>IFERROR(__xludf.DUMMYFUNCTION("""COMPUTED_VALUE"""),"The username should update dynamically whenever the user modifies their profile.")</f>
        <v>The username should update dynamically whenever the user modifies their profile.</v>
      </c>
      <c r="I45" s="21" t="str">
        <f>IFERROR(__xludf.DUMMYFUNCTION("""COMPUTED_VALUE"""),"The username on the profile page doesn't update unless the page is refreshed or navigated away.")</f>
        <v>The username on the profile page doesn't update unless the page is refreshed or navigated away.</v>
      </c>
      <c r="J45" s="21" t="str">
        <f>IFERROR(__xludf.DUMMYFUNCTION("""COMPUTED_VALUE"""),"Fail")</f>
        <v>Fail</v>
      </c>
      <c r="K45" s="21" t="str">
        <f>IFERROR(__xludf.DUMMYFUNCTION("""COMPUTED_VALUE"""),"Medium")</f>
        <v>Medium</v>
      </c>
      <c r="L45" s="23" t="str">
        <f>IFERROR(__xludf.DUMMYFUNCTION("""COMPUTED_VALUE"""),"https://drive.google.com/file/d/1RbtUnvLHsD55thLNeEVwQ1MgI9Z7xuPz/view?usp=drive_link")</f>
        <v>https://drive.google.com/file/d/1RbtUnvLHsD55thLNeEVwQ1MgI9Z7xuPz/view?usp=drive_link</v>
      </c>
      <c r="M45" s="21"/>
      <c r="N45" s="21" t="str">
        <f>IFERROR(__xludf.DUMMYFUNCTION("""COMPUTED_VALUE"""),"Fahad")</f>
        <v>Fahad</v>
      </c>
      <c r="O45" s="21"/>
      <c r="P45" s="21"/>
      <c r="Q45" s="19"/>
      <c r="R45" s="19"/>
      <c r="S45" s="19"/>
      <c r="T45" s="19"/>
      <c r="U45" s="19"/>
      <c r="V45" s="19"/>
      <c r="W45" s="19"/>
      <c r="X45" s="19"/>
      <c r="Y45" s="19"/>
      <c r="Z45" s="19"/>
      <c r="AA45" s="19"/>
    </row>
    <row r="46">
      <c r="A46" s="20" t="s">
        <v>69</v>
      </c>
      <c r="B46" s="21" t="str">
        <f>IFERROR(__xludf.DUMMYFUNCTION("""COMPUTED_VALUE"""),"Client (APK)")</f>
        <v>Client (APK)</v>
      </c>
      <c r="C46" s="21" t="str">
        <f>IFERROR(__xludf.DUMMYFUNCTION("""COMPUTED_VALUE"""),"Profile")</f>
        <v>Profile</v>
      </c>
      <c r="D46" s="21" t="str">
        <f>IFERROR(__xludf.DUMMYFUNCTION("""COMPUTED_VALUE"""),"The profile information submit bar is misaligned.")</f>
        <v>The profile information submit bar is misaligned.</v>
      </c>
      <c r="E46" s="21" t="str">
        <f>IFERROR(__xludf.DUMMYFUNCTION("""COMPUTED_VALUE"""),"The user needs to have the APK running on their mobile device.")</f>
        <v>The user needs to have the APK running on their mobile device.</v>
      </c>
      <c r="F46" s="22" t="str">
        <f>IFERROR(__xludf.DUMMYFUNCTION("""COMPUTED_VALUE"""),"1. Open app
2. Click on Client button
3. Login using valid credential
4. Goto Profile Section")</f>
        <v>1. Open app
2. Click on Client button
3. Login using valid credential
4. Goto Profile Section</v>
      </c>
      <c r="G46" s="21" t="str">
        <f>IFERROR(__xludf.DUMMYFUNCTION("""COMPUTED_VALUE"""),"email: itcrlbmzxpfmfowcfe@xfavaj.com
password: 1122334455")</f>
        <v>email: itcrlbmzxpfmfowcfe@xfavaj.com
password: 1122334455</v>
      </c>
      <c r="H46" s="21" t="str">
        <f>IFERROR(__xludf.DUMMYFUNCTION("""COMPUTED_VALUE"""),"Proper alignment is essential for enhancing user engagement.")</f>
        <v>Proper alignment is essential for enhancing user engagement.</v>
      </c>
      <c r="I46" s="21" t="str">
        <f>IFERROR(__xludf.DUMMYFUNCTION("""COMPUTED_VALUE"""),"Misalignment has been noticed, which can lead to user dissatisfaction.")</f>
        <v>Misalignment has been noticed, which can lead to user dissatisfaction.</v>
      </c>
      <c r="J46" s="21" t="str">
        <f>IFERROR(__xludf.DUMMYFUNCTION("""COMPUTED_VALUE"""),"Fail")</f>
        <v>Fail</v>
      </c>
      <c r="K46" s="21" t="str">
        <f>IFERROR(__xludf.DUMMYFUNCTION("""COMPUTED_VALUE"""),"Medium")</f>
        <v>Medium</v>
      </c>
      <c r="L46" s="23" t="str">
        <f>IFERROR(__xludf.DUMMYFUNCTION("""COMPUTED_VALUE"""),"https://drive.google.com/file/d/12zZZkoeIIt7uIINMkN7lZASb7hHmx1ku/view?usp=drive_link")</f>
        <v>https://drive.google.com/file/d/12zZZkoeIIt7uIINMkN7lZASb7hHmx1ku/view?usp=drive_link</v>
      </c>
      <c r="M46" s="21"/>
      <c r="N46" s="21" t="str">
        <f>IFERROR(__xludf.DUMMYFUNCTION("""COMPUTED_VALUE"""),"Fahad")</f>
        <v>Fahad</v>
      </c>
      <c r="O46" s="21"/>
      <c r="P46" s="21"/>
      <c r="Q46" s="19"/>
      <c r="R46" s="19"/>
      <c r="S46" s="19"/>
      <c r="T46" s="19"/>
      <c r="U46" s="19"/>
      <c r="V46" s="19"/>
      <c r="W46" s="19"/>
      <c r="X46" s="19"/>
      <c r="Y46" s="19"/>
      <c r="Z46" s="19"/>
      <c r="AA46" s="19"/>
    </row>
    <row r="47">
      <c r="A47" s="20" t="s">
        <v>70</v>
      </c>
      <c r="B47" s="21" t="str">
        <f>IFERROR(__xludf.DUMMYFUNCTION("""COMPUTED_VALUE"""),"Client (APK)")</f>
        <v>Client (APK)</v>
      </c>
      <c r="C47" s="21" t="str">
        <f>IFERROR(__xludf.DUMMYFUNCTION("""COMPUTED_VALUE"""),"Profile")</f>
        <v>Profile</v>
      </c>
      <c r="D47" s="21" t="str">
        <f>IFERROR(__xludf.DUMMYFUNCTION("""COMPUTED_VALUE"""),"The edit button on the profile editing page.")</f>
        <v>The edit button on the profile editing page.</v>
      </c>
      <c r="E47" s="21" t="str">
        <f>IFERROR(__xludf.DUMMYFUNCTION("""COMPUTED_VALUE"""),"The user needs to have the APK running on their mobile device.")</f>
        <v>The user needs to have the APK running on their mobile device.</v>
      </c>
      <c r="F47" s="22" t="str">
        <f>IFERROR(__xludf.DUMMYFUNCTION("""COMPUTED_VALUE"""),"1. Open app
2. Click on Client button
3. Login using valid credential
4. Goto Profile Section")</f>
        <v>1. Open app
2. Click on Client button
3. Login using valid credential
4. Goto Profile Section</v>
      </c>
      <c r="G47" s="21" t="str">
        <f>IFERROR(__xludf.DUMMYFUNCTION("""COMPUTED_VALUE"""),"email: itcrlbmzxpfmfowcfe@xfavaj.com
password: 1122334455")</f>
        <v>email: itcrlbmzxpfmfowcfe@xfavaj.com
password: 1122334455</v>
      </c>
      <c r="H47" s="21" t="str">
        <f>IFERROR(__xludf.DUMMYFUNCTION("""COMPUTED_VALUE"""),"No additional edit button should appear on the edit page since the user is already in the edit profile section.")</f>
        <v>No additional edit button should appear on the edit page since the user is already in the edit profile section.</v>
      </c>
      <c r="I47" s="21" t="str">
        <f>IFERROR(__xludf.DUMMYFUNCTION("""COMPUTED_VALUE"""),"The edit button on the edit profile section seems unnecessary and illogical.")</f>
        <v>The edit button on the edit profile section seems unnecessary and illogical.</v>
      </c>
      <c r="J47" s="21" t="str">
        <f>IFERROR(__xludf.DUMMYFUNCTION("""COMPUTED_VALUE"""),"Fail")</f>
        <v>Fail</v>
      </c>
      <c r="K47" s="21" t="str">
        <f>IFERROR(__xludf.DUMMYFUNCTION("""COMPUTED_VALUE"""),"Low")</f>
        <v>Low</v>
      </c>
      <c r="L47" s="23" t="str">
        <f>IFERROR(__xludf.DUMMYFUNCTION("""COMPUTED_VALUE"""),"https://drive.google.com/file/d/1tLz7FYBRXK9Eu6YDRz9Y0FsFd89qfRJw/view?usp=drive_link")</f>
        <v>https://drive.google.com/file/d/1tLz7FYBRXK9Eu6YDRz9Y0FsFd89qfRJw/view?usp=drive_link</v>
      </c>
      <c r="M47" s="21"/>
      <c r="N47" s="21" t="str">
        <f>IFERROR(__xludf.DUMMYFUNCTION("""COMPUTED_VALUE"""),"Fahad")</f>
        <v>Fahad</v>
      </c>
      <c r="O47" s="21"/>
      <c r="P47" s="21"/>
      <c r="Q47" s="19"/>
      <c r="R47" s="19"/>
      <c r="S47" s="19"/>
      <c r="T47" s="19"/>
      <c r="U47" s="19"/>
      <c r="V47" s="19"/>
      <c r="W47" s="19"/>
      <c r="X47" s="19"/>
      <c r="Y47" s="19"/>
      <c r="Z47" s="19"/>
      <c r="AA47" s="19"/>
    </row>
    <row r="48">
      <c r="A48" s="20" t="s">
        <v>71</v>
      </c>
      <c r="B48" s="21" t="str">
        <f>IFERROR(__xludf.DUMMYFUNCTION("""COMPUTED_VALUE"""),"Client (APK)")</f>
        <v>Client (APK)</v>
      </c>
      <c r="C48" s="21" t="str">
        <f>IFERROR(__xludf.DUMMYFUNCTION("""COMPUTED_VALUE"""),"Profile")</f>
        <v>Profile</v>
      </c>
      <c r="D48" s="21" t="str">
        <f>IFERROR(__xludf.DUMMYFUNCTION("""COMPUTED_VALUE"""),"Date of birth on edit profile can be change")</f>
        <v>Date of birth on edit profile can be change</v>
      </c>
      <c r="E48" s="21" t="str">
        <f>IFERROR(__xludf.DUMMYFUNCTION("""COMPUTED_VALUE"""),"The user needs to have the APK running on their mobile device.")</f>
        <v>The user needs to have the APK running on their mobile device.</v>
      </c>
      <c r="F48" s="22" t="str">
        <f>IFERROR(__xludf.DUMMYFUNCTION("""COMPUTED_VALUE"""),"1. Open app
2. Click on Client button
3. Login using valid credential
4. Goto Profile Section")</f>
        <v>1. Open app
2. Click on Client button
3. Login using valid credential
4. Goto Profile Section</v>
      </c>
      <c r="G48" s="21" t="str">
        <f>IFERROR(__xludf.DUMMYFUNCTION("""COMPUTED_VALUE"""),"email: itcrlbmzxpfmfowcfe@xfavaj.com
password: 1122334455")</f>
        <v>email: itcrlbmzxpfmfowcfe@xfavaj.com
password: 1122334455</v>
      </c>
      <c r="H48" s="21" t="str">
        <f>IFERROR(__xludf.DUMMYFUNCTION("""COMPUTED_VALUE"""),"The date of birth should be updated only once when the user creates their profile. After that, it should remain unchanged.")</f>
        <v>The date of birth should be updated only once when the user creates their profile. After that, it should remain unchanged.</v>
      </c>
      <c r="I48" s="21" t="str">
        <f>IFERROR(__xludf.DUMMYFUNCTION("""COMPUTED_VALUE"""),"User can update your date of birth in the edit profile section.")</f>
        <v>User can update your date of birth in the edit profile section.</v>
      </c>
      <c r="J48" s="21" t="str">
        <f>IFERROR(__xludf.DUMMYFUNCTION("""COMPUTED_VALUE"""),"Fail")</f>
        <v>Fail</v>
      </c>
      <c r="K48" s="21" t="str">
        <f>IFERROR(__xludf.DUMMYFUNCTION("""COMPUTED_VALUE"""),"Medium")</f>
        <v>Medium</v>
      </c>
      <c r="L48" s="23" t="str">
        <f>IFERROR(__xludf.DUMMYFUNCTION("""COMPUTED_VALUE"""),"https://drive.google.com/file/d/1bFQYk40PYBndphFPjwWfT30fA6DO3DzV/view?usp=drive_link")</f>
        <v>https://drive.google.com/file/d/1bFQYk40PYBndphFPjwWfT30fA6DO3DzV/view?usp=drive_link</v>
      </c>
      <c r="M48" s="21" t="str">
        <f>IFERROR(__xludf.DUMMYFUNCTION("""COMPUTED_VALUE"""),"The best approach is to require users to input their date of birth when creating a profile initially. If the client requires the option to update the date, a one-time update feature can be implemented, which would be beneficial for the client side.")</f>
        <v>The best approach is to require users to input their date of birth when creating a profile initially. If the client requires the option to update the date, a one-time update feature can be implemented, which would be beneficial for the client side.</v>
      </c>
      <c r="N48" s="21" t="str">
        <f>IFERROR(__xludf.DUMMYFUNCTION("""COMPUTED_VALUE"""),"Fahad")</f>
        <v>Fahad</v>
      </c>
      <c r="O48" s="21"/>
      <c r="P48" s="21"/>
      <c r="Q48" s="19"/>
      <c r="R48" s="19"/>
      <c r="S48" s="19"/>
      <c r="T48" s="19"/>
      <c r="U48" s="19"/>
      <c r="V48" s="19"/>
      <c r="W48" s="19"/>
      <c r="X48" s="19"/>
      <c r="Y48" s="19"/>
      <c r="Z48" s="19"/>
      <c r="AA48" s="19"/>
    </row>
    <row r="49">
      <c r="A49" s="20" t="s">
        <v>72</v>
      </c>
      <c r="B49" s="21" t="str">
        <f>IFERROR(__xludf.DUMMYFUNCTION("""COMPUTED_VALUE"""),"Client (APK)")</f>
        <v>Client (APK)</v>
      </c>
      <c r="C49" s="21" t="str">
        <f>IFERROR(__xludf.DUMMYFUNCTION("""COMPUTED_VALUE"""),"Profile")</f>
        <v>Profile</v>
      </c>
      <c r="D49" s="21" t="str">
        <f>IFERROR(__xludf.DUMMYFUNCTION("""COMPUTED_VALUE"""),"Unable to enter the date of birth in the edit profile section.")</f>
        <v>Unable to enter the date of birth in the edit profile section.</v>
      </c>
      <c r="E49" s="21" t="str">
        <f>IFERROR(__xludf.DUMMYFUNCTION("""COMPUTED_VALUE"""),"The user needs to have the APK running on their mobile device.")</f>
        <v>The user needs to have the APK running on their mobile device.</v>
      </c>
      <c r="F49" s="22" t="str">
        <f>IFERROR(__xludf.DUMMYFUNCTION("""COMPUTED_VALUE"""),"1. Open app
2. Click on Client button
3. Login using valid credential
4. Goto Profile Section")</f>
        <v>1. Open app
2. Click on Client button
3. Login using valid credential
4. Goto Profile Section</v>
      </c>
      <c r="G49" s="21" t="str">
        <f>IFERROR(__xludf.DUMMYFUNCTION("""COMPUTED_VALUE"""),"email: itcrlbmzxpfmfowcfe@xfavaj.com
password: 1122334455")</f>
        <v>email: itcrlbmzxpfmfowcfe@xfavaj.com
password: 1122334455</v>
      </c>
      <c r="H49" s="21" t="str">
        <f>IFERROR(__xludf.DUMMYFUNCTION("""COMPUTED_VALUE"""),"The date of birth should be updated only once when the user creates their profile. After that, it should remain unchanged.")</f>
        <v>The date of birth should be updated only once when the user creates their profile. After that, it should remain unchanged.</v>
      </c>
      <c r="I49" s="21" t="str">
        <f>IFERROR(__xludf.DUMMYFUNCTION("""COMPUTED_VALUE"""),"User can update your date of birth in the edit profile section.")</f>
        <v>User can update your date of birth in the edit profile section.</v>
      </c>
      <c r="J49" s="21" t="str">
        <f>IFERROR(__xludf.DUMMYFUNCTION("""COMPUTED_VALUE"""),"Fail")</f>
        <v>Fail</v>
      </c>
      <c r="K49" s="21" t="str">
        <f>IFERROR(__xludf.DUMMYFUNCTION("""COMPUTED_VALUE"""),"High")</f>
        <v>High</v>
      </c>
      <c r="L49" s="23" t="str">
        <f>IFERROR(__xludf.DUMMYFUNCTION("""COMPUTED_VALUE"""),"https://drive.google.com/file/d/1Gt5Puly1E-sAvpeI4mSzi1RZP0R_L4yu/view?usp=drive_link")</f>
        <v>https://drive.google.com/file/d/1Gt5Puly1E-sAvpeI4mSzi1RZP0R_L4yu/view?usp=drive_link</v>
      </c>
      <c r="M49" s="21" t="str">
        <f>IFERROR(__xludf.DUMMYFUNCTION("""COMPUTED_VALUE"""),"The best approach is to require users to input their date of birth when creating a profile initially. If the client requires the option to update the date, a one-time update feature can be implemented, which would be beneficial for the client side.")</f>
        <v>The best approach is to require users to input their date of birth when creating a profile initially. If the client requires the option to update the date, a one-time update feature can be implemented, which would be beneficial for the client side.</v>
      </c>
      <c r="N49" s="21" t="str">
        <f>IFERROR(__xludf.DUMMYFUNCTION("""COMPUTED_VALUE"""),"Fahad")</f>
        <v>Fahad</v>
      </c>
      <c r="O49" s="21"/>
      <c r="P49" s="21"/>
      <c r="Q49" s="19"/>
      <c r="R49" s="19"/>
      <c r="S49" s="19"/>
      <c r="T49" s="19"/>
      <c r="U49" s="19"/>
      <c r="V49" s="19"/>
      <c r="W49" s="19"/>
      <c r="X49" s="19"/>
      <c r="Y49" s="19"/>
      <c r="Z49" s="19"/>
      <c r="AA49" s="19"/>
    </row>
    <row r="50">
      <c r="A50" s="20" t="s">
        <v>73</v>
      </c>
      <c r="B50" s="21" t="str">
        <f>IFERROR(__xludf.DUMMYFUNCTION("""COMPUTED_VALUE"""),"Client (APK)")</f>
        <v>Client (APK)</v>
      </c>
      <c r="C50" s="21" t="str">
        <f>IFERROR(__xludf.DUMMYFUNCTION("""COMPUTED_VALUE"""),"Profile")</f>
        <v>Profile</v>
      </c>
      <c r="D50" s="21" t="str">
        <f>IFERROR(__xludf.DUMMYFUNCTION("""COMPUTED_VALUE"""),"The friend invitation was unsuccessful.")</f>
        <v>The friend invitation was unsuccessful.</v>
      </c>
      <c r="E50" s="21" t="str">
        <f>IFERROR(__xludf.DUMMYFUNCTION("""COMPUTED_VALUE"""),"The user needs to have the APK running on their mobile device.")</f>
        <v>The user needs to have the APK running on their mobile device.</v>
      </c>
      <c r="F50" s="22" t="str">
        <f>IFERROR(__xludf.DUMMYFUNCTION("""COMPUTED_VALUE"""),"1. Open app
2. Click on Client button
3. Login using valid credential
4. Goto Profile Section")</f>
        <v>1. Open app
2. Click on Client button
3. Login using valid credential
4. Goto Profile Section</v>
      </c>
      <c r="G50" s="21" t="str">
        <f>IFERROR(__xludf.DUMMYFUNCTION("""COMPUTED_VALUE"""),"email: lowovip595@elobits.com
password: 112244557788")</f>
        <v>email: lowovip595@elobits.com
password: 112244557788</v>
      </c>
      <c r="H50" s="21" t="str">
        <f>IFERROR(__xludf.DUMMYFUNCTION("""COMPUTED_VALUE"""),"Users should have the ability to invite their friends via email.")</f>
        <v>Users should have the ability to invite their friends via email.</v>
      </c>
      <c r="I50" s="21" t="str">
        <f>IFERROR(__xludf.DUMMYFUNCTION("""COMPUTED_VALUE"""),"The user invitation was unsuccessful.")</f>
        <v>The user invitation was unsuccessful.</v>
      </c>
      <c r="J50" s="21" t="str">
        <f>IFERROR(__xludf.DUMMYFUNCTION("""COMPUTED_VALUE"""),"Fail")</f>
        <v>Fail</v>
      </c>
      <c r="K50" s="21" t="str">
        <f>IFERROR(__xludf.DUMMYFUNCTION("""COMPUTED_VALUE"""),"High")</f>
        <v>High</v>
      </c>
      <c r="L50" s="23" t="str">
        <f>IFERROR(__xludf.DUMMYFUNCTION("""COMPUTED_VALUE"""),"https://drive.google.com/file/d/1_Tv60KP7Tkjkh7iHUX0DXhCzqf0GqRa6/view?usp=drive_link")</f>
        <v>https://drive.google.com/file/d/1_Tv60KP7Tkjkh7iHUX0DXhCzqf0GqRa6/view?usp=drive_link</v>
      </c>
      <c r="M50" s="21"/>
      <c r="N50" s="21" t="str">
        <f>IFERROR(__xludf.DUMMYFUNCTION("""COMPUTED_VALUE"""),"Fahad")</f>
        <v>Fahad</v>
      </c>
      <c r="O50" s="21"/>
      <c r="P50" s="21"/>
      <c r="Q50" s="19"/>
      <c r="R50" s="19"/>
      <c r="S50" s="19"/>
      <c r="T50" s="19"/>
      <c r="U50" s="19"/>
      <c r="V50" s="19"/>
      <c r="W50" s="19"/>
      <c r="X50" s="19"/>
      <c r="Y50" s="19"/>
      <c r="Z50" s="19"/>
      <c r="AA50" s="19"/>
    </row>
    <row r="51">
      <c r="A51" s="20" t="s">
        <v>74</v>
      </c>
      <c r="B51" s="21" t="str">
        <f>IFERROR(__xludf.DUMMYFUNCTION("""COMPUTED_VALUE"""),"Client (APK)")</f>
        <v>Client (APK)</v>
      </c>
      <c r="C51" s="21" t="str">
        <f>IFERROR(__xludf.DUMMYFUNCTION("""COMPUTED_VALUE"""),"Rewards")</f>
        <v>Rewards</v>
      </c>
      <c r="D51" s="21" t="str">
        <f>IFERROR(__xludf.DUMMYFUNCTION("""COMPUTED_VALUE"""),"There seems to be an alignment issue.")</f>
        <v>There seems to be an alignment issue.</v>
      </c>
      <c r="E51" s="21" t="str">
        <f>IFERROR(__xludf.DUMMYFUNCTION("""COMPUTED_VALUE"""),"The user needs to have the APK running on their mobile device.")</f>
        <v>The user needs to have the APK running on their mobile device.</v>
      </c>
      <c r="F51" s="22" t="str">
        <f>IFERROR(__xludf.DUMMYFUNCTION("""COMPUTED_VALUE"""),"1. Open app
2. Click on Client button
3. Login using valid credential
4. Goto Home page
5. Click on seetings 
6. Goto to My reward")</f>
        <v>1. Open app
2. Click on Client button
3. Login using valid credential
4. Goto Home page
5. Click on seetings 
6. Goto to My reward</v>
      </c>
      <c r="G51" s="21" t="str">
        <f>IFERROR(__xludf.DUMMYFUNCTION("""COMPUTED_VALUE"""),"email: lowovip595@elobits.com
password: 112244557788")</f>
        <v>email: lowovip595@elobits.com
password: 112244557788</v>
      </c>
      <c r="H51" s="21" t="str">
        <f>IFERROR(__xludf.DUMMYFUNCTION("""COMPUTED_VALUE"""),"Alignment and design should match the client's requirements.")</f>
        <v>Alignment and design should match the client's requirements.</v>
      </c>
      <c r="I51" s="21" t="str">
        <f>IFERROR(__xludf.DUMMYFUNCTION("""COMPUTED_VALUE"""),"A different design and layout have been observed.")</f>
        <v>A different design and layout have been observed.</v>
      </c>
      <c r="J51" s="21" t="str">
        <f>IFERROR(__xludf.DUMMYFUNCTION("""COMPUTED_VALUE"""),"Fail")</f>
        <v>Fail</v>
      </c>
      <c r="K51" s="21" t="str">
        <f>IFERROR(__xludf.DUMMYFUNCTION("""COMPUTED_VALUE"""),"Low")</f>
        <v>Low</v>
      </c>
      <c r="L51" s="23" t="str">
        <f>IFERROR(__xludf.DUMMYFUNCTION("""COMPUTED_VALUE"""),"https://drive.google.com/file/d/12Cm5nTsruL5XSoLlq8Yxoce1pw1qnBLP/view?usp=drive_link")</f>
        <v>https://drive.google.com/file/d/12Cm5nTsruL5XSoLlq8Yxoce1pw1qnBLP/view?usp=drive_link</v>
      </c>
      <c r="M51" s="21"/>
      <c r="N51" s="21" t="str">
        <f>IFERROR(__xludf.DUMMYFUNCTION("""COMPUTED_VALUE"""),"Fahad")</f>
        <v>Fahad</v>
      </c>
      <c r="O51" s="21"/>
      <c r="P51" s="21"/>
      <c r="Q51" s="19"/>
      <c r="R51" s="19"/>
      <c r="S51" s="19"/>
      <c r="T51" s="19"/>
      <c r="U51" s="19"/>
      <c r="V51" s="19"/>
      <c r="W51" s="19"/>
      <c r="X51" s="19"/>
      <c r="Y51" s="19"/>
      <c r="Z51" s="19"/>
      <c r="AA51" s="19"/>
    </row>
    <row r="52">
      <c r="A52" s="20" t="s">
        <v>75</v>
      </c>
      <c r="B52" s="21" t="str">
        <f>IFERROR(__xludf.DUMMYFUNCTION("""COMPUTED_VALUE"""),"Client (APK)")</f>
        <v>Client (APK)</v>
      </c>
      <c r="C52" s="21" t="str">
        <f>IFERROR(__xludf.DUMMYFUNCTION("""COMPUTED_VALUE"""),"SignUp")</f>
        <v>SignUp</v>
      </c>
      <c r="D52" s="21" t="str">
        <f>IFERROR(__xludf.DUMMYFUNCTION("""COMPUTED_VALUE"""),"The signup page title is slightly different from the client's requirements.")</f>
        <v>The signup page title is slightly different from the client's requirements.</v>
      </c>
      <c r="E52" s="21" t="str">
        <f>IFERROR(__xludf.DUMMYFUNCTION("""COMPUTED_VALUE"""),"The user needs to have the APK running on their mobile device.")</f>
        <v>The user needs to have the APK running on their mobile device.</v>
      </c>
      <c r="F52" s="22" t="str">
        <f>IFERROR(__xludf.DUMMYFUNCTION("""COMPUTED_VALUE"""),"1. Open app
2. Click on Client button
3. Click on Login
4. Click on Signup")</f>
        <v>1. Open app
2. Click on Client button
3. Click on Login
4. Click on Signup</v>
      </c>
      <c r="G52" s="21" t="str">
        <f>IFERROR(__xludf.DUMMYFUNCTION("""COMPUTED_VALUE"""),"N/A")</f>
        <v>N/A</v>
      </c>
      <c r="H52" s="21" t="str">
        <f>IFERROR(__xludf.DUMMYFUNCTION("""COMPUTED_VALUE"""),"The page title for signup should match the client requirement, which is ""Sign Up"".")</f>
        <v>The page title for signup should match the client requirement, which is "Sign Up".</v>
      </c>
      <c r="I52" s="21" t="str">
        <f>IFERROR(__xludf.DUMMYFUNCTION("""COMPUTED_VALUE"""),"A different title was displayed on the signup page.")</f>
        <v>A different title was displayed on the signup page.</v>
      </c>
      <c r="J52" s="21" t="str">
        <f>IFERROR(__xludf.DUMMYFUNCTION("""COMPUTED_VALUE"""),"Fail")</f>
        <v>Fail</v>
      </c>
      <c r="K52" s="21" t="str">
        <f>IFERROR(__xludf.DUMMYFUNCTION("""COMPUTED_VALUE"""),"Low")</f>
        <v>Low</v>
      </c>
      <c r="L52" s="23" t="str">
        <f>IFERROR(__xludf.DUMMYFUNCTION("""COMPUTED_VALUE"""),"https://drive.google.com/file/d/137_IAutQm0DnUI1gB8itRAnvYJAmFeXA/view?usp=drive_link")</f>
        <v>https://drive.google.com/file/d/137_IAutQm0DnUI1gB8itRAnvYJAmFeXA/view?usp=drive_link</v>
      </c>
      <c r="M52" s="21"/>
      <c r="N52" s="21" t="str">
        <f>IFERROR(__xludf.DUMMYFUNCTION("""COMPUTED_VALUE"""),"Fahad")</f>
        <v>Fahad</v>
      </c>
      <c r="O52" s="21"/>
      <c r="P52" s="21"/>
      <c r="Q52" s="19"/>
      <c r="R52" s="19"/>
      <c r="S52" s="19"/>
      <c r="T52" s="19"/>
      <c r="U52" s="19"/>
      <c r="V52" s="19"/>
      <c r="W52" s="19"/>
      <c r="X52" s="19"/>
      <c r="Y52" s="19"/>
      <c r="Z52" s="19"/>
      <c r="AA52" s="19"/>
    </row>
    <row r="53">
      <c r="A53" s="20" t="s">
        <v>76</v>
      </c>
      <c r="B53" s="21" t="str">
        <f>IFERROR(__xludf.DUMMYFUNCTION("""COMPUTED_VALUE"""),"Client (APK)")</f>
        <v>Client (APK)</v>
      </c>
      <c r="C53" s="21" t="str">
        <f>IFERROR(__xludf.DUMMYFUNCTION("""COMPUTED_VALUE"""),"SignUp")</f>
        <v>SignUp</v>
      </c>
      <c r="D53" s="21" t="str">
        <f>IFERROR(__xludf.DUMMYFUNCTION("""COMPUTED_VALUE"""),"The password field has been added to the signup page.")</f>
        <v>The password field has been added to the signup page.</v>
      </c>
      <c r="E53" s="21" t="str">
        <f>IFERROR(__xludf.DUMMYFUNCTION("""COMPUTED_VALUE"""),"The user needs to have the APK running on their mobile device.")</f>
        <v>The user needs to have the APK running on their mobile device.</v>
      </c>
      <c r="F53" s="22" t="str">
        <f>IFERROR(__xludf.DUMMYFUNCTION("""COMPUTED_VALUE"""),"1. Open app
2. Click on Client button
3. Click on Login
4. Click on Signup")</f>
        <v>1. Open app
2. Click on Client button
3. Click on Login
4. Click on Signup</v>
      </c>
      <c r="G53" s="21" t="str">
        <f>IFERROR(__xludf.DUMMYFUNCTION("""COMPUTED_VALUE"""),"N/A")</f>
        <v>N/A</v>
      </c>
      <c r="H53" s="21" t="str">
        <f>IFERROR(__xludf.DUMMYFUNCTION("""COMPUTED_VALUE"""),"The signup page should include fields for the user's name, email, and contact number, as per the client's requirements.")</f>
        <v>The signup page should include fields for the user's name, email, and contact number, as per the client's requirements.</v>
      </c>
      <c r="I53" s="21" t="str">
        <f>IFERROR(__xludf.DUMMYFUNCTION("""COMPUTED_VALUE"""),"An additional password field is present on the signup page, which is logically not valid.")</f>
        <v>An additional password field is present on the signup page, which is logically not valid.</v>
      </c>
      <c r="J53" s="21" t="str">
        <f>IFERROR(__xludf.DUMMYFUNCTION("""COMPUTED_VALUE"""),"Fail")</f>
        <v>Fail</v>
      </c>
      <c r="K53" s="21" t="str">
        <f>IFERROR(__xludf.DUMMYFUNCTION("""COMPUTED_VALUE"""),"Low")</f>
        <v>Low</v>
      </c>
      <c r="L53" s="23" t="str">
        <f>IFERROR(__xludf.DUMMYFUNCTION("""COMPUTED_VALUE"""),"https://drive.google.com/file/d/1yzOF9rTHhxP77BLFZDCEz0CJ9j5EreVH/view?usp=drive_link")</f>
        <v>https://drive.google.com/file/d/1yzOF9rTHhxP77BLFZDCEz0CJ9j5EreVH/view?usp=drive_link</v>
      </c>
      <c r="M53" s="21"/>
      <c r="N53" s="21" t="str">
        <f>IFERROR(__xludf.DUMMYFUNCTION("""COMPUTED_VALUE"""),"Fahad")</f>
        <v>Fahad</v>
      </c>
      <c r="O53" s="21"/>
      <c r="P53" s="21"/>
      <c r="Q53" s="19"/>
      <c r="R53" s="19"/>
      <c r="S53" s="19"/>
      <c r="T53" s="19"/>
      <c r="U53" s="19"/>
      <c r="V53" s="19"/>
      <c r="W53" s="19"/>
      <c r="X53" s="19"/>
      <c r="Y53" s="19"/>
      <c r="Z53" s="19"/>
      <c r="AA53" s="19"/>
    </row>
    <row r="54">
      <c r="A54" s="20" t="s">
        <v>77</v>
      </c>
      <c r="B54" s="21" t="str">
        <f>IFERROR(__xludf.DUMMYFUNCTION("""COMPUTED_VALUE"""),"Client (APK)")</f>
        <v>Client (APK)</v>
      </c>
      <c r="C54" s="21" t="str">
        <f>IFERROR(__xludf.DUMMYFUNCTION("""COMPUTED_VALUE"""),"SignUp")</f>
        <v>SignUp</v>
      </c>
      <c r="D54" s="21" t="str">
        <f>IFERROR(__xludf.DUMMYFUNCTION("""COMPUTED_VALUE"""),"The partition of country codes and numbers is missing in the APK.")</f>
        <v>The partition of country codes and numbers is missing in the APK.</v>
      </c>
      <c r="E54" s="21" t="str">
        <f>IFERROR(__xludf.DUMMYFUNCTION("""COMPUTED_VALUE"""),"The user needs to have the APK running on their mobile device.")</f>
        <v>The user needs to have the APK running on their mobile device.</v>
      </c>
      <c r="F54" s="22" t="str">
        <f>IFERROR(__xludf.DUMMYFUNCTION("""COMPUTED_VALUE"""),"1. Open app
2. Click on Client button
3. Click on Login
4. Click on Signup")</f>
        <v>1. Open app
2. Click on Client button
3. Click on Login
4. Click on Signup</v>
      </c>
      <c r="G54" s="21" t="str">
        <f>IFERROR(__xludf.DUMMYFUNCTION("""COMPUTED_VALUE"""),"N/A")</f>
        <v>N/A</v>
      </c>
      <c r="H54" s="21" t="str">
        <f>IFERROR(__xludf.DUMMYFUNCTION("""COMPUTED_VALUE"""),"The separation between the contact's international code and the contact number should be clear and visible.")</f>
        <v>The separation between the contact's international code and the contact number should be clear and visible.</v>
      </c>
      <c r="I54" s="21" t="str">
        <f>IFERROR(__xludf.DUMMYFUNCTION("""COMPUTED_VALUE"""),"The partition bar is missing in the contact number field on the signup page.")</f>
        <v>The partition bar is missing in the contact number field on the signup page.</v>
      </c>
      <c r="J54" s="21" t="str">
        <f>IFERROR(__xludf.DUMMYFUNCTION("""COMPUTED_VALUE"""),"Fail")</f>
        <v>Fail</v>
      </c>
      <c r="K54" s="21" t="str">
        <f>IFERROR(__xludf.DUMMYFUNCTION("""COMPUTED_VALUE"""),"Low")</f>
        <v>Low</v>
      </c>
      <c r="L54" s="23" t="str">
        <f>IFERROR(__xludf.DUMMYFUNCTION("""COMPUTED_VALUE"""),"https://drive.google.com/file/d/19OFGB8yI6Tf1inb-a0baZQXWDcWpTwN6/view?usp=drive_link")</f>
        <v>https://drive.google.com/file/d/19OFGB8yI6Tf1inb-a0baZQXWDcWpTwN6/view?usp=drive_link</v>
      </c>
      <c r="M54" s="21"/>
      <c r="N54" s="21" t="str">
        <f>IFERROR(__xludf.DUMMYFUNCTION("""COMPUTED_VALUE"""),"Fahad")</f>
        <v>Fahad</v>
      </c>
      <c r="O54" s="21"/>
      <c r="P54" s="21"/>
      <c r="Q54" s="19"/>
      <c r="R54" s="19"/>
      <c r="S54" s="19"/>
      <c r="T54" s="19"/>
      <c r="U54" s="19"/>
      <c r="V54" s="19"/>
      <c r="W54" s="19"/>
      <c r="X54" s="19"/>
      <c r="Y54" s="19"/>
      <c r="Z54" s="19"/>
      <c r="AA54" s="19"/>
    </row>
    <row r="55">
      <c r="A55" s="20" t="s">
        <v>78</v>
      </c>
      <c r="B55" s="21" t="str">
        <f>IFERROR(__xludf.DUMMYFUNCTION("""COMPUTED_VALUE"""),"Client (APK)")</f>
        <v>Client (APK)</v>
      </c>
      <c r="C55" s="21" t="str">
        <f>IFERROR(__xludf.DUMMYFUNCTION("""COMPUTED_VALUE"""),"Start Page")</f>
        <v>Start Page</v>
      </c>
      <c r="D55" s="21" t="str">
        <f>IFERROR(__xludf.DUMMYFUNCTION("""COMPUTED_VALUE"""),"The logo is a bit small.")</f>
        <v>The logo is a bit small.</v>
      </c>
      <c r="E55" s="21" t="str">
        <f>IFERROR(__xludf.DUMMYFUNCTION("""COMPUTED_VALUE"""),"The user needs to have the APK running on their mobile device.")</f>
        <v>The user needs to have the APK running on their mobile device.</v>
      </c>
      <c r="F55" s="22" t="str">
        <f>IFERROR(__xludf.DUMMYFUNCTION("""COMPUTED_VALUE"""),"1. Open app")</f>
        <v>1. Open app</v>
      </c>
      <c r="G55" s="21"/>
      <c r="H55" s="21" t="str">
        <f>IFERROR(__xludf.DUMMYFUNCTION("""COMPUTED_VALUE"""),"The app's logo should be larger to catch the client's attention.")</f>
        <v>The app's logo should be larger to catch the client's attention.</v>
      </c>
      <c r="I55" s="21" t="str">
        <f>IFERROR(__xludf.DUMMYFUNCTION("""COMPUTED_VALUE"""),"The app logo appears too small when the application launches.")</f>
        <v>The app logo appears too small when the application launches.</v>
      </c>
      <c r="J55" s="21" t="str">
        <f>IFERROR(__xludf.DUMMYFUNCTION("""COMPUTED_VALUE"""),"Fail")</f>
        <v>Fail</v>
      </c>
      <c r="K55" s="21" t="str">
        <f>IFERROR(__xludf.DUMMYFUNCTION("""COMPUTED_VALUE"""),"Low")</f>
        <v>Low</v>
      </c>
      <c r="L55" s="23" t="str">
        <f>IFERROR(__xludf.DUMMYFUNCTION("""COMPUTED_VALUE"""),"https://drive.google.com/file/d/1RFb7u1ZHfXg9BeNBpxaU6znbd1L7l1pY/view?usp=drive_link")</f>
        <v>https://drive.google.com/file/d/1RFb7u1ZHfXg9BeNBpxaU6znbd1L7l1pY/view?usp=drive_link</v>
      </c>
      <c r="M55" s="21"/>
      <c r="N55" s="21" t="str">
        <f>IFERROR(__xludf.DUMMYFUNCTION("""COMPUTED_VALUE"""),"Fahad")</f>
        <v>Fahad</v>
      </c>
      <c r="O55" s="21"/>
      <c r="P55" s="21"/>
      <c r="Q55" s="19"/>
      <c r="R55" s="19"/>
      <c r="S55" s="19"/>
      <c r="T55" s="19"/>
      <c r="U55" s="19"/>
      <c r="V55" s="19"/>
      <c r="W55" s="19"/>
      <c r="X55" s="19"/>
      <c r="Y55" s="19"/>
      <c r="Z55" s="19"/>
      <c r="AA55" s="19"/>
    </row>
    <row r="56">
      <c r="A56" s="20" t="s">
        <v>79</v>
      </c>
      <c r="B56" s="21" t="str">
        <f>IFERROR(__xludf.DUMMYFUNCTION("""COMPUTED_VALUE"""),"Client (APK)")</f>
        <v>Client (APK)</v>
      </c>
      <c r="C56" s="21" t="str">
        <f>IFERROR(__xludf.DUMMYFUNCTION("""COMPUTED_VALUE"""),"Wallet")</f>
        <v>Wallet</v>
      </c>
      <c r="D56" s="21" t="str">
        <f>IFERROR(__xludf.DUMMYFUNCTION("""COMPUTED_VALUE"""),"The wallet background does not match the client's requirements.")</f>
        <v>The wallet background does not match the client's requirements.</v>
      </c>
      <c r="E56" s="21" t="str">
        <f>IFERROR(__xludf.DUMMYFUNCTION("""COMPUTED_VALUE"""),"The user needs to have the APK running on their mobile device.")</f>
        <v>The user needs to have the APK running on their mobile device.</v>
      </c>
      <c r="F56" s="22" t="str">
        <f>IFERROR(__xludf.DUMMYFUNCTION("""COMPUTED_VALUE"""),"1. Open app
2. Click on Client button
3. Login using valid credential
4. Goto Home page
5. Click on Wallet")</f>
        <v>1. Open app
2. Click on Client button
3. Login using valid credential
4. Goto Home page
5. Click on Wallet</v>
      </c>
      <c r="G56" s="21" t="str">
        <f>IFERROR(__xludf.DUMMYFUNCTION("""COMPUTED_VALUE"""),"email: lowovip595@elobits.com
password: 112244557788")</f>
        <v>email: lowovip595@elobits.com
password: 112244557788</v>
      </c>
      <c r="H56" s="21" t="str">
        <f>IFERROR(__xludf.DUMMYFUNCTION("""COMPUTED_VALUE"""),"Alignment and design should match the client's requirements.")</f>
        <v>Alignment and design should match the client's requirements.</v>
      </c>
      <c r="I56" s="21" t="str">
        <f>IFERROR(__xludf.DUMMYFUNCTION("""COMPUTED_VALUE"""),"A different design and layout have been observed.")</f>
        <v>A different design and layout have been observed.</v>
      </c>
      <c r="J56" s="21" t="str">
        <f>IFERROR(__xludf.DUMMYFUNCTION("""COMPUTED_VALUE"""),"Fail")</f>
        <v>Fail</v>
      </c>
      <c r="K56" s="21" t="str">
        <f>IFERROR(__xludf.DUMMYFUNCTION("""COMPUTED_VALUE"""),"Low")</f>
        <v>Low</v>
      </c>
      <c r="L56" s="23" t="str">
        <f>IFERROR(__xludf.DUMMYFUNCTION("""COMPUTED_VALUE"""),"https://drive.google.com/file/d/1vuwLGy45Ov_jwNwkOWM8j2I8mdmSQiLp/view?usp=drive_link")</f>
        <v>https://drive.google.com/file/d/1vuwLGy45Ov_jwNwkOWM8j2I8mdmSQiLp/view?usp=drive_link</v>
      </c>
      <c r="M56" s="21"/>
      <c r="N56" s="21" t="str">
        <f>IFERROR(__xludf.DUMMYFUNCTION("""COMPUTED_VALUE"""),"Fahad")</f>
        <v>Fahad</v>
      </c>
      <c r="O56" s="21"/>
      <c r="P56" s="21"/>
      <c r="Q56" s="19"/>
      <c r="R56" s="19"/>
      <c r="S56" s="19"/>
      <c r="T56" s="19"/>
      <c r="U56" s="19"/>
      <c r="V56" s="19"/>
      <c r="W56" s="19"/>
      <c r="X56" s="19"/>
      <c r="Y56" s="19"/>
      <c r="Z56" s="19"/>
      <c r="AA56" s="19"/>
    </row>
    <row r="57">
      <c r="A57" s="20" t="s">
        <v>80</v>
      </c>
      <c r="B57" s="21" t="str">
        <f>IFERROR(__xludf.DUMMYFUNCTION("""COMPUTED_VALUE"""),"Client (APK)")</f>
        <v>Client (APK)</v>
      </c>
      <c r="C57" s="21" t="str">
        <f>IFERROR(__xludf.DUMMYFUNCTION("""COMPUTED_VALUE"""),"Wallet")</f>
        <v>Wallet</v>
      </c>
      <c r="D57" s="21" t="str">
        <f>IFERROR(__xludf.DUMMYFUNCTION("""COMPUTED_VALUE"""),"Add payment methode cut down one payment gateway ")</f>
        <v>Add payment methode cut down one payment gateway </v>
      </c>
      <c r="E57" s="21" t="str">
        <f>IFERROR(__xludf.DUMMYFUNCTION("""COMPUTED_VALUE"""),"The user needs to have the APK running on their mobile device.")</f>
        <v>The user needs to have the APK running on their mobile device.</v>
      </c>
      <c r="F57" s="22" t="str">
        <f>IFERROR(__xludf.DUMMYFUNCTION("""COMPUTED_VALUE"""),"1. Open app
2. Click on Client button
3. Login using valid credential
4. Goto Home page
5. Click on wallet")</f>
        <v>1. Open app
2. Click on Client button
3. Login using valid credential
4. Goto Home page
5. Click on wallet</v>
      </c>
      <c r="G57" s="21" t="str">
        <f>IFERROR(__xludf.DUMMYFUNCTION("""COMPUTED_VALUE"""),"email: lowovip595@elobits.com
password: 112244557788")</f>
        <v>email: lowovip595@elobits.com
password: 112244557788</v>
      </c>
      <c r="H57" s="21" t="str">
        <f>IFERROR(__xludf.DUMMYFUNCTION("""COMPUTED_VALUE"""),"All payment gateways should be clearly visible on the client side.")</f>
        <v>All payment gateways should be clearly visible on the client side.</v>
      </c>
      <c r="I57" s="21" t="str">
        <f>IFERROR(__xludf.DUMMYFUNCTION("""COMPUTED_VALUE"""),"Apple Pay reduced its visibility in the payment gateway display.")</f>
        <v>Apple Pay reduced its visibility in the payment gateway display.</v>
      </c>
      <c r="J57" s="21" t="str">
        <f>IFERROR(__xludf.DUMMYFUNCTION("""COMPUTED_VALUE"""),"Fail")</f>
        <v>Fail</v>
      </c>
      <c r="K57" s="21" t="str">
        <f>IFERROR(__xludf.DUMMYFUNCTION("""COMPUTED_VALUE"""),"High")</f>
        <v>High</v>
      </c>
      <c r="L57" s="23" t="str">
        <f>IFERROR(__xludf.DUMMYFUNCTION("""COMPUTED_VALUE"""),"https://drive.google.com/file/d/1COZrnyKh5NUytg_K2txs6xE4q7KEHg-m/view?usp=drive_link")</f>
        <v>https://drive.google.com/file/d/1COZrnyKh5NUytg_K2txs6xE4q7KEHg-m/view?usp=drive_link</v>
      </c>
      <c r="M57" s="21"/>
      <c r="N57" s="21" t="str">
        <f>IFERROR(__xludf.DUMMYFUNCTION("""COMPUTED_VALUE"""),"Fahad")</f>
        <v>Fahad</v>
      </c>
      <c r="O57" s="21"/>
      <c r="P57" s="21"/>
      <c r="Q57" s="19"/>
      <c r="R57" s="19"/>
      <c r="S57" s="19"/>
      <c r="T57" s="19"/>
      <c r="U57" s="19"/>
      <c r="V57" s="19"/>
      <c r="W57" s="19"/>
      <c r="X57" s="19"/>
      <c r="Y57" s="19"/>
      <c r="Z57" s="19"/>
      <c r="AA57" s="19"/>
    </row>
    <row r="58">
      <c r="A58" s="20" t="s">
        <v>81</v>
      </c>
      <c r="B58" s="21"/>
      <c r="C58" s="21"/>
      <c r="D58" s="21"/>
      <c r="E58" s="21"/>
      <c r="F58" s="22"/>
      <c r="G58" s="21"/>
      <c r="H58" s="21"/>
      <c r="I58" s="21"/>
      <c r="J58" s="21"/>
      <c r="K58" s="21"/>
      <c r="L58" s="21"/>
      <c r="M58" s="21"/>
      <c r="N58" s="21"/>
      <c r="O58" s="21"/>
      <c r="P58" s="21"/>
      <c r="Q58" s="19"/>
      <c r="R58" s="19"/>
      <c r="S58" s="19"/>
      <c r="T58" s="19"/>
      <c r="U58" s="19"/>
      <c r="V58" s="19"/>
      <c r="W58" s="19"/>
      <c r="X58" s="19"/>
      <c r="Y58" s="19"/>
      <c r="Z58" s="19"/>
      <c r="AA58" s="19"/>
    </row>
    <row r="59">
      <c r="A59" s="20" t="s">
        <v>82</v>
      </c>
      <c r="B59" s="21"/>
      <c r="C59" s="21"/>
      <c r="D59" s="21"/>
      <c r="E59" s="21"/>
      <c r="F59" s="22"/>
      <c r="G59" s="21"/>
      <c r="H59" s="21"/>
      <c r="I59" s="21"/>
      <c r="J59" s="21"/>
      <c r="K59" s="21"/>
      <c r="L59" s="21"/>
      <c r="M59" s="21"/>
      <c r="N59" s="21"/>
      <c r="O59" s="21"/>
      <c r="P59" s="21"/>
      <c r="Q59" s="19"/>
      <c r="R59" s="19"/>
      <c r="S59" s="19"/>
      <c r="T59" s="19"/>
      <c r="U59" s="19"/>
      <c r="V59" s="19"/>
      <c r="W59" s="19"/>
      <c r="X59" s="19"/>
      <c r="Y59" s="19"/>
      <c r="Z59" s="19"/>
      <c r="AA59" s="19"/>
    </row>
    <row r="60">
      <c r="A60" s="20" t="s">
        <v>83</v>
      </c>
      <c r="B60" s="21"/>
      <c r="C60" s="21"/>
      <c r="D60" s="21"/>
      <c r="E60" s="21"/>
      <c r="F60" s="22"/>
      <c r="G60" s="21"/>
      <c r="H60" s="21"/>
      <c r="I60" s="21"/>
      <c r="J60" s="21"/>
      <c r="K60" s="21"/>
      <c r="L60" s="21"/>
      <c r="M60" s="21"/>
      <c r="N60" s="21"/>
      <c r="O60" s="21"/>
      <c r="P60" s="21"/>
      <c r="Q60" s="19"/>
      <c r="R60" s="19"/>
      <c r="S60" s="19"/>
      <c r="T60" s="19"/>
      <c r="U60" s="19"/>
      <c r="V60" s="19"/>
      <c r="W60" s="19"/>
      <c r="X60" s="19"/>
      <c r="Y60" s="19"/>
      <c r="Z60" s="19"/>
      <c r="AA60" s="19"/>
    </row>
    <row r="61">
      <c r="A61" s="20"/>
      <c r="B61" s="21"/>
      <c r="C61" s="21"/>
      <c r="D61" s="21"/>
      <c r="E61" s="21"/>
      <c r="F61" s="22"/>
      <c r="G61" s="21"/>
      <c r="H61" s="21"/>
      <c r="I61" s="21"/>
      <c r="J61" s="21"/>
      <c r="K61" s="21"/>
      <c r="L61" s="21"/>
      <c r="M61" s="21"/>
      <c r="N61" s="21"/>
      <c r="O61" s="21"/>
      <c r="P61" s="21"/>
      <c r="Q61" s="19"/>
      <c r="R61" s="19"/>
      <c r="S61" s="19"/>
      <c r="T61" s="19"/>
      <c r="U61" s="19"/>
      <c r="V61" s="19"/>
      <c r="W61" s="19"/>
      <c r="X61" s="19"/>
      <c r="Y61" s="19"/>
      <c r="Z61" s="19"/>
      <c r="AA61" s="19"/>
    </row>
    <row r="62">
      <c r="A62" s="20"/>
      <c r="B62" s="21"/>
      <c r="C62" s="21"/>
      <c r="D62" s="21"/>
      <c r="E62" s="21"/>
      <c r="F62" s="22"/>
      <c r="G62" s="21"/>
      <c r="H62" s="21"/>
      <c r="I62" s="21"/>
      <c r="J62" s="21"/>
      <c r="K62" s="21"/>
      <c r="L62" s="21"/>
      <c r="M62" s="21"/>
      <c r="N62" s="21"/>
      <c r="O62" s="21"/>
      <c r="P62" s="21"/>
      <c r="Q62" s="19"/>
      <c r="R62" s="19"/>
      <c r="S62" s="19"/>
      <c r="T62" s="19"/>
      <c r="U62" s="19"/>
      <c r="V62" s="19"/>
      <c r="W62" s="19"/>
      <c r="X62" s="19"/>
      <c r="Y62" s="19"/>
      <c r="Z62" s="19"/>
      <c r="AA62" s="19"/>
    </row>
    <row r="63">
      <c r="A63" s="20"/>
      <c r="B63" s="21"/>
      <c r="C63" s="21"/>
      <c r="D63" s="21"/>
      <c r="E63" s="21"/>
      <c r="F63" s="22"/>
      <c r="G63" s="21"/>
      <c r="H63" s="21"/>
      <c r="I63" s="21"/>
      <c r="J63" s="21"/>
      <c r="K63" s="21"/>
      <c r="L63" s="21"/>
      <c r="M63" s="21"/>
      <c r="N63" s="21"/>
      <c r="O63" s="21"/>
      <c r="P63" s="21"/>
      <c r="Q63" s="19"/>
      <c r="R63" s="19"/>
      <c r="S63" s="19"/>
      <c r="T63" s="19"/>
      <c r="U63" s="19"/>
      <c r="V63" s="19"/>
      <c r="W63" s="19"/>
      <c r="X63" s="19"/>
      <c r="Y63" s="19"/>
      <c r="Z63" s="19"/>
      <c r="AA63" s="19"/>
    </row>
    <row r="64">
      <c r="A64" s="20"/>
      <c r="B64" s="21"/>
      <c r="C64" s="21"/>
      <c r="D64" s="21"/>
      <c r="E64" s="21"/>
      <c r="F64" s="22"/>
      <c r="G64" s="21"/>
      <c r="H64" s="21"/>
      <c r="I64" s="21"/>
      <c r="J64" s="21"/>
      <c r="K64" s="21"/>
      <c r="L64" s="21"/>
      <c r="M64" s="21"/>
      <c r="N64" s="21"/>
      <c r="O64" s="21"/>
      <c r="P64" s="21"/>
      <c r="Q64" s="19"/>
      <c r="R64" s="19"/>
      <c r="S64" s="19"/>
      <c r="T64" s="19"/>
      <c r="U64" s="19"/>
      <c r="V64" s="19"/>
      <c r="W64" s="19"/>
      <c r="X64" s="19"/>
      <c r="Y64" s="19"/>
      <c r="Z64" s="19"/>
      <c r="AA64" s="19"/>
    </row>
    <row r="65">
      <c r="A65" s="20"/>
      <c r="B65" s="21"/>
      <c r="C65" s="21"/>
      <c r="D65" s="21"/>
      <c r="E65" s="21"/>
      <c r="F65" s="22"/>
      <c r="G65" s="21"/>
      <c r="H65" s="21"/>
      <c r="I65" s="21"/>
      <c r="J65" s="21"/>
      <c r="K65" s="21"/>
      <c r="L65" s="21"/>
      <c r="M65" s="21"/>
      <c r="N65" s="21"/>
      <c r="O65" s="21"/>
      <c r="P65" s="21"/>
      <c r="Q65" s="19"/>
      <c r="R65" s="19"/>
      <c r="S65" s="19"/>
      <c r="T65" s="19"/>
      <c r="U65" s="19"/>
      <c r="V65" s="19"/>
      <c r="W65" s="19"/>
      <c r="X65" s="19"/>
      <c r="Y65" s="19"/>
      <c r="Z65" s="19"/>
      <c r="AA65" s="19"/>
    </row>
    <row r="66">
      <c r="A66" s="20"/>
      <c r="B66" s="21"/>
      <c r="C66" s="21"/>
      <c r="D66" s="21"/>
      <c r="E66" s="21"/>
      <c r="F66" s="22"/>
      <c r="G66" s="21"/>
      <c r="H66" s="21"/>
      <c r="I66" s="21"/>
      <c r="J66" s="21"/>
      <c r="K66" s="21"/>
      <c r="L66" s="21"/>
      <c r="M66" s="21"/>
      <c r="N66" s="21"/>
      <c r="O66" s="21"/>
      <c r="P66" s="21"/>
      <c r="Q66" s="19"/>
      <c r="R66" s="19"/>
      <c r="S66" s="19"/>
      <c r="T66" s="19"/>
      <c r="U66" s="19"/>
      <c r="V66" s="19"/>
      <c r="W66" s="19"/>
      <c r="X66" s="19"/>
      <c r="Y66" s="19"/>
      <c r="Z66" s="19"/>
      <c r="AA66" s="19"/>
    </row>
    <row r="67">
      <c r="A67" s="20"/>
      <c r="B67" s="21"/>
      <c r="C67" s="21"/>
      <c r="D67" s="21"/>
      <c r="E67" s="21"/>
      <c r="F67" s="22"/>
      <c r="G67" s="21"/>
      <c r="H67" s="21"/>
      <c r="I67" s="21"/>
      <c r="J67" s="21"/>
      <c r="K67" s="21"/>
      <c r="L67" s="21"/>
      <c r="M67" s="21"/>
      <c r="N67" s="21"/>
      <c r="O67" s="21"/>
      <c r="P67" s="21"/>
      <c r="Q67" s="19"/>
      <c r="R67" s="19"/>
      <c r="S67" s="19"/>
      <c r="T67" s="19"/>
      <c r="U67" s="19"/>
      <c r="V67" s="19"/>
      <c r="W67" s="19"/>
      <c r="X67" s="19"/>
      <c r="Y67" s="19"/>
      <c r="Z67" s="19"/>
      <c r="AA67" s="19"/>
    </row>
    <row r="68">
      <c r="A68" s="20"/>
      <c r="B68" s="21"/>
      <c r="C68" s="21"/>
      <c r="D68" s="21"/>
      <c r="E68" s="21"/>
      <c r="F68" s="22"/>
      <c r="G68" s="21"/>
      <c r="H68" s="21"/>
      <c r="I68" s="21"/>
      <c r="J68" s="21"/>
      <c r="K68" s="21"/>
      <c r="L68" s="21"/>
      <c r="M68" s="21"/>
      <c r="N68" s="21"/>
      <c r="O68" s="21"/>
      <c r="P68" s="21"/>
      <c r="Q68" s="19"/>
      <c r="R68" s="19"/>
      <c r="S68" s="19"/>
      <c r="T68" s="19"/>
      <c r="U68" s="19"/>
      <c r="V68" s="19"/>
      <c r="W68" s="19"/>
      <c r="X68" s="19"/>
      <c r="Y68" s="19"/>
      <c r="Z68" s="19"/>
      <c r="AA68" s="19"/>
    </row>
    <row r="69">
      <c r="A69" s="20"/>
      <c r="B69" s="21"/>
      <c r="C69" s="21"/>
      <c r="D69" s="21"/>
      <c r="E69" s="21"/>
      <c r="F69" s="22"/>
      <c r="G69" s="21"/>
      <c r="H69" s="21"/>
      <c r="I69" s="21"/>
      <c r="J69" s="21"/>
      <c r="K69" s="21"/>
      <c r="L69" s="21"/>
      <c r="M69" s="21"/>
      <c r="N69" s="21"/>
      <c r="O69" s="21"/>
      <c r="P69" s="21"/>
      <c r="Q69" s="19"/>
      <c r="R69" s="19"/>
      <c r="S69" s="19"/>
      <c r="T69" s="19"/>
      <c r="U69" s="19"/>
      <c r="V69" s="19"/>
      <c r="W69" s="19"/>
      <c r="X69" s="19"/>
      <c r="Y69" s="19"/>
      <c r="Z69" s="19"/>
      <c r="AA69" s="19"/>
    </row>
    <row r="70">
      <c r="A70" s="20"/>
      <c r="B70" s="21"/>
      <c r="C70" s="21"/>
      <c r="D70" s="21"/>
      <c r="E70" s="21"/>
      <c r="F70" s="22"/>
      <c r="G70" s="21"/>
      <c r="H70" s="21"/>
      <c r="I70" s="21"/>
      <c r="J70" s="21"/>
      <c r="K70" s="21"/>
      <c r="L70" s="21"/>
      <c r="M70" s="21"/>
      <c r="N70" s="21"/>
      <c r="O70" s="21"/>
      <c r="P70" s="21"/>
      <c r="Q70" s="19"/>
      <c r="R70" s="19"/>
      <c r="S70" s="19"/>
      <c r="T70" s="19"/>
      <c r="U70" s="19"/>
      <c r="V70" s="19"/>
      <c r="W70" s="19"/>
      <c r="X70" s="19"/>
      <c r="Y70" s="19"/>
      <c r="Z70" s="19"/>
      <c r="AA70" s="19"/>
    </row>
    <row r="71">
      <c r="A71" s="20"/>
      <c r="B71" s="21"/>
      <c r="C71" s="21"/>
      <c r="D71" s="21"/>
      <c r="E71" s="21"/>
      <c r="F71" s="22"/>
      <c r="G71" s="21"/>
      <c r="H71" s="21"/>
      <c r="I71" s="21"/>
      <c r="J71" s="21"/>
      <c r="K71" s="21"/>
      <c r="L71" s="21"/>
      <c r="M71" s="21"/>
      <c r="N71" s="21"/>
      <c r="O71" s="21"/>
      <c r="P71" s="21"/>
      <c r="Q71" s="19"/>
      <c r="R71" s="19"/>
      <c r="S71" s="19"/>
      <c r="T71" s="19"/>
      <c r="U71" s="19"/>
      <c r="V71" s="19"/>
      <c r="W71" s="19"/>
      <c r="X71" s="19"/>
      <c r="Y71" s="19"/>
      <c r="Z71" s="19"/>
      <c r="AA71" s="19"/>
    </row>
    <row r="72">
      <c r="A72" s="20"/>
      <c r="B72" s="21"/>
      <c r="C72" s="21"/>
      <c r="D72" s="21"/>
      <c r="E72" s="21"/>
      <c r="F72" s="22"/>
      <c r="G72" s="21"/>
      <c r="H72" s="21"/>
      <c r="I72" s="21"/>
      <c r="J72" s="21"/>
      <c r="K72" s="21"/>
      <c r="L72" s="21"/>
      <c r="M72" s="21"/>
      <c r="N72" s="21"/>
      <c r="O72" s="21"/>
      <c r="P72" s="21"/>
      <c r="Q72" s="19"/>
      <c r="R72" s="19"/>
      <c r="S72" s="19"/>
      <c r="T72" s="19"/>
      <c r="U72" s="19"/>
      <c r="V72" s="19"/>
      <c r="W72" s="19"/>
      <c r="X72" s="19"/>
      <c r="Y72" s="19"/>
      <c r="Z72" s="19"/>
      <c r="AA72" s="19"/>
    </row>
    <row r="73">
      <c r="A73" s="20"/>
      <c r="B73" s="21"/>
      <c r="C73" s="21"/>
      <c r="D73" s="21"/>
      <c r="E73" s="21"/>
      <c r="F73" s="22"/>
      <c r="G73" s="21"/>
      <c r="H73" s="21"/>
      <c r="I73" s="21"/>
      <c r="J73" s="21"/>
      <c r="K73" s="21"/>
      <c r="L73" s="21"/>
      <c r="M73" s="21"/>
      <c r="N73" s="21"/>
      <c r="O73" s="21"/>
      <c r="P73" s="21"/>
      <c r="Q73" s="19"/>
      <c r="R73" s="19"/>
      <c r="S73" s="19"/>
      <c r="T73" s="19"/>
      <c r="U73" s="19"/>
      <c r="V73" s="19"/>
      <c r="W73" s="19"/>
      <c r="X73" s="19"/>
      <c r="Y73" s="19"/>
      <c r="Z73" s="19"/>
      <c r="AA73" s="19"/>
    </row>
    <row r="74">
      <c r="A74" s="20"/>
      <c r="B74" s="21"/>
      <c r="C74" s="21"/>
      <c r="D74" s="21"/>
      <c r="E74" s="21"/>
      <c r="F74" s="22"/>
      <c r="G74" s="21"/>
      <c r="H74" s="21"/>
      <c r="I74" s="21"/>
      <c r="J74" s="21"/>
      <c r="K74" s="21"/>
      <c r="L74" s="21"/>
      <c r="M74" s="21"/>
      <c r="N74" s="21"/>
      <c r="O74" s="21"/>
      <c r="P74" s="21"/>
      <c r="Q74" s="19"/>
      <c r="R74" s="19"/>
      <c r="S74" s="19"/>
      <c r="T74" s="19"/>
      <c r="U74" s="19"/>
      <c r="V74" s="19"/>
      <c r="W74" s="19"/>
      <c r="X74" s="19"/>
      <c r="Y74" s="19"/>
      <c r="Z74" s="19"/>
      <c r="AA74" s="19"/>
    </row>
    <row r="75">
      <c r="A75" s="20"/>
      <c r="B75" s="21"/>
      <c r="C75" s="21"/>
      <c r="D75" s="21"/>
      <c r="E75" s="21"/>
      <c r="F75" s="22"/>
      <c r="G75" s="21"/>
      <c r="H75" s="21"/>
      <c r="I75" s="21"/>
      <c r="J75" s="21"/>
      <c r="K75" s="21"/>
      <c r="L75" s="21"/>
      <c r="M75" s="21"/>
      <c r="N75" s="21"/>
      <c r="O75" s="21"/>
      <c r="P75" s="21"/>
      <c r="Q75" s="19"/>
      <c r="R75" s="19"/>
      <c r="S75" s="19"/>
      <c r="T75" s="19"/>
      <c r="U75" s="19"/>
      <c r="V75" s="19"/>
      <c r="W75" s="19"/>
      <c r="X75" s="19"/>
      <c r="Y75" s="19"/>
      <c r="Z75" s="19"/>
      <c r="AA75" s="19"/>
    </row>
    <row r="76">
      <c r="A76" s="20"/>
      <c r="B76" s="21"/>
      <c r="C76" s="21"/>
      <c r="D76" s="21"/>
      <c r="E76" s="21"/>
      <c r="F76" s="22"/>
      <c r="G76" s="21"/>
      <c r="H76" s="21"/>
      <c r="I76" s="21"/>
      <c r="J76" s="21"/>
      <c r="K76" s="21"/>
      <c r="L76" s="21"/>
      <c r="M76" s="21"/>
      <c r="N76" s="21"/>
      <c r="O76" s="21"/>
      <c r="P76" s="21"/>
      <c r="Q76" s="19"/>
      <c r="R76" s="19"/>
      <c r="S76" s="19"/>
      <c r="T76" s="19"/>
      <c r="U76" s="19"/>
      <c r="V76" s="19"/>
      <c r="W76" s="19"/>
      <c r="X76" s="19"/>
      <c r="Y76" s="19"/>
      <c r="Z76" s="19"/>
      <c r="AA76" s="19"/>
    </row>
    <row r="77">
      <c r="A77" s="20"/>
      <c r="B77" s="21"/>
      <c r="C77" s="21"/>
      <c r="D77" s="21"/>
      <c r="E77" s="21"/>
      <c r="F77" s="22"/>
      <c r="G77" s="21"/>
      <c r="H77" s="21"/>
      <c r="I77" s="21"/>
      <c r="J77" s="21"/>
      <c r="K77" s="21"/>
      <c r="L77" s="21"/>
      <c r="M77" s="21"/>
      <c r="N77" s="21"/>
      <c r="O77" s="21"/>
      <c r="P77" s="21"/>
      <c r="Q77" s="19"/>
      <c r="R77" s="19"/>
      <c r="S77" s="19"/>
      <c r="T77" s="19"/>
      <c r="U77" s="19"/>
      <c r="V77" s="19"/>
      <c r="W77" s="19"/>
      <c r="X77" s="19"/>
      <c r="Y77" s="19"/>
      <c r="Z77" s="19"/>
      <c r="AA77" s="19"/>
    </row>
    <row r="78">
      <c r="A78" s="20"/>
      <c r="B78" s="21"/>
      <c r="C78" s="21"/>
      <c r="D78" s="21"/>
      <c r="E78" s="21"/>
      <c r="F78" s="22"/>
      <c r="G78" s="21"/>
      <c r="H78" s="21"/>
      <c r="I78" s="21"/>
      <c r="J78" s="21"/>
      <c r="K78" s="21"/>
      <c r="L78" s="21"/>
      <c r="M78" s="21"/>
      <c r="N78" s="21"/>
      <c r="O78" s="21"/>
      <c r="P78" s="21"/>
      <c r="Q78" s="19"/>
      <c r="R78" s="19"/>
      <c r="S78" s="19"/>
      <c r="T78" s="19"/>
      <c r="U78" s="19"/>
      <c r="V78" s="19"/>
      <c r="W78" s="19"/>
      <c r="X78" s="19"/>
      <c r="Y78" s="19"/>
      <c r="Z78" s="19"/>
      <c r="AA78" s="19"/>
    </row>
    <row r="79">
      <c r="A79" s="20"/>
      <c r="B79" s="21"/>
      <c r="C79" s="21"/>
      <c r="D79" s="21"/>
      <c r="E79" s="21"/>
      <c r="F79" s="22"/>
      <c r="G79" s="21"/>
      <c r="H79" s="21"/>
      <c r="I79" s="21"/>
      <c r="J79" s="21"/>
      <c r="K79" s="21"/>
      <c r="L79" s="21"/>
      <c r="M79" s="21"/>
      <c r="N79" s="21"/>
      <c r="O79" s="21"/>
      <c r="P79" s="21"/>
      <c r="Q79" s="19"/>
      <c r="R79" s="19"/>
      <c r="S79" s="19"/>
      <c r="T79" s="19"/>
      <c r="U79" s="19"/>
      <c r="V79" s="19"/>
      <c r="W79" s="19"/>
      <c r="X79" s="19"/>
      <c r="Y79" s="19"/>
      <c r="Z79" s="19"/>
      <c r="AA79" s="19"/>
    </row>
    <row r="80">
      <c r="A80" s="20"/>
      <c r="B80" s="21"/>
      <c r="C80" s="21"/>
      <c r="D80" s="21"/>
      <c r="E80" s="21"/>
      <c r="F80" s="22"/>
      <c r="G80" s="21"/>
      <c r="H80" s="21"/>
      <c r="I80" s="21"/>
      <c r="J80" s="21"/>
      <c r="K80" s="21"/>
      <c r="L80" s="21"/>
      <c r="M80" s="21"/>
      <c r="N80" s="21"/>
      <c r="O80" s="21"/>
      <c r="P80" s="21"/>
      <c r="Q80" s="19"/>
      <c r="R80" s="19"/>
      <c r="S80" s="19"/>
      <c r="T80" s="19"/>
      <c r="U80" s="19"/>
      <c r="V80" s="19"/>
      <c r="W80" s="19"/>
      <c r="X80" s="19"/>
      <c r="Y80" s="19"/>
      <c r="Z80" s="19"/>
      <c r="AA80" s="19"/>
    </row>
    <row r="81">
      <c r="A81" s="20"/>
      <c r="B81" s="21"/>
      <c r="C81" s="21"/>
      <c r="D81" s="21"/>
      <c r="E81" s="21"/>
      <c r="F81" s="22"/>
      <c r="G81" s="21"/>
      <c r="H81" s="21"/>
      <c r="I81" s="21"/>
      <c r="J81" s="21"/>
      <c r="K81" s="21"/>
      <c r="L81" s="21"/>
      <c r="M81" s="21"/>
      <c r="N81" s="21"/>
      <c r="O81" s="21"/>
      <c r="P81" s="21"/>
      <c r="Q81" s="19"/>
      <c r="R81" s="19"/>
      <c r="S81" s="19"/>
      <c r="T81" s="19"/>
      <c r="U81" s="19"/>
      <c r="V81" s="19"/>
      <c r="W81" s="19"/>
      <c r="X81" s="19"/>
      <c r="Y81" s="19"/>
      <c r="Z81" s="19"/>
      <c r="AA81" s="19"/>
    </row>
    <row r="82">
      <c r="A82" s="20"/>
      <c r="B82" s="21"/>
      <c r="C82" s="21"/>
      <c r="D82" s="21"/>
      <c r="E82" s="21"/>
      <c r="F82" s="22"/>
      <c r="G82" s="21"/>
      <c r="H82" s="21"/>
      <c r="I82" s="21"/>
      <c r="J82" s="21"/>
      <c r="K82" s="21"/>
      <c r="L82" s="21"/>
      <c r="M82" s="21"/>
      <c r="N82" s="21"/>
      <c r="O82" s="21"/>
      <c r="P82" s="21"/>
      <c r="Q82" s="19"/>
      <c r="R82" s="19"/>
      <c r="S82" s="19"/>
      <c r="T82" s="19"/>
      <c r="U82" s="19"/>
      <c r="V82" s="19"/>
      <c r="W82" s="19"/>
      <c r="X82" s="19"/>
      <c r="Y82" s="19"/>
      <c r="Z82" s="19"/>
      <c r="AA82" s="19"/>
    </row>
    <row r="83">
      <c r="A83" s="20"/>
      <c r="B83" s="21"/>
      <c r="C83" s="21"/>
      <c r="D83" s="21"/>
      <c r="E83" s="21"/>
      <c r="F83" s="22"/>
      <c r="G83" s="21"/>
      <c r="H83" s="21"/>
      <c r="I83" s="21"/>
      <c r="J83" s="21"/>
      <c r="K83" s="21"/>
      <c r="L83" s="21"/>
      <c r="M83" s="21"/>
      <c r="N83" s="21"/>
      <c r="O83" s="21"/>
      <c r="P83" s="21"/>
      <c r="Q83" s="19"/>
      <c r="R83" s="19"/>
      <c r="S83" s="19"/>
      <c r="T83" s="19"/>
      <c r="U83" s="19"/>
      <c r="V83" s="19"/>
      <c r="W83" s="19"/>
      <c r="X83" s="19"/>
      <c r="Y83" s="19"/>
      <c r="Z83" s="19"/>
      <c r="AA83" s="19"/>
    </row>
    <row r="84">
      <c r="A84" s="20"/>
      <c r="B84" s="21"/>
      <c r="C84" s="21"/>
      <c r="D84" s="21"/>
      <c r="E84" s="21"/>
      <c r="F84" s="22"/>
      <c r="G84" s="21"/>
      <c r="H84" s="21"/>
      <c r="I84" s="21"/>
      <c r="J84" s="21"/>
      <c r="K84" s="21"/>
      <c r="L84" s="21"/>
      <c r="M84" s="21"/>
      <c r="N84" s="21"/>
      <c r="O84" s="21"/>
      <c r="P84" s="21"/>
      <c r="Q84" s="19"/>
      <c r="R84" s="19"/>
      <c r="S84" s="19"/>
      <c r="T84" s="19"/>
      <c r="U84" s="19"/>
      <c r="V84" s="19"/>
      <c r="W84" s="19"/>
      <c r="X84" s="19"/>
      <c r="Y84" s="19"/>
      <c r="Z84" s="19"/>
      <c r="AA84" s="19"/>
    </row>
    <row r="85">
      <c r="A85" s="20"/>
      <c r="B85" s="21"/>
      <c r="C85" s="21"/>
      <c r="D85" s="21"/>
      <c r="E85" s="21"/>
      <c r="F85" s="22"/>
      <c r="G85" s="21"/>
      <c r="H85" s="21"/>
      <c r="I85" s="21"/>
      <c r="J85" s="21"/>
      <c r="K85" s="21"/>
      <c r="L85" s="21"/>
      <c r="M85" s="21"/>
      <c r="N85" s="21"/>
      <c r="O85" s="21"/>
      <c r="P85" s="21"/>
      <c r="Q85" s="19"/>
      <c r="R85" s="19"/>
      <c r="S85" s="19"/>
      <c r="T85" s="19"/>
      <c r="U85" s="19"/>
      <c r="V85" s="19"/>
      <c r="W85" s="19"/>
      <c r="X85" s="19"/>
      <c r="Y85" s="19"/>
      <c r="Z85" s="19"/>
      <c r="AA85" s="19"/>
    </row>
    <row r="86">
      <c r="A86" s="20"/>
      <c r="B86" s="21"/>
      <c r="C86" s="21"/>
      <c r="D86" s="21"/>
      <c r="E86" s="21"/>
      <c r="F86" s="22"/>
      <c r="G86" s="21"/>
      <c r="H86" s="21"/>
      <c r="I86" s="21"/>
      <c r="J86" s="21"/>
      <c r="K86" s="21"/>
      <c r="L86" s="21"/>
      <c r="M86" s="21"/>
      <c r="N86" s="21"/>
      <c r="O86" s="21"/>
      <c r="P86" s="21"/>
      <c r="Q86" s="19"/>
      <c r="R86" s="19"/>
      <c r="S86" s="19"/>
      <c r="T86" s="19"/>
      <c r="U86" s="19"/>
      <c r="V86" s="19"/>
      <c r="W86" s="19"/>
      <c r="X86" s="19"/>
      <c r="Y86" s="19"/>
      <c r="Z86" s="19"/>
      <c r="AA86" s="19"/>
    </row>
    <row r="87">
      <c r="A87" s="20"/>
      <c r="B87" s="21"/>
      <c r="C87" s="21"/>
      <c r="D87" s="21"/>
      <c r="E87" s="21"/>
      <c r="F87" s="22"/>
      <c r="G87" s="21"/>
      <c r="H87" s="21"/>
      <c r="I87" s="21"/>
      <c r="J87" s="21"/>
      <c r="K87" s="21"/>
      <c r="L87" s="21"/>
      <c r="M87" s="21"/>
      <c r="N87" s="21"/>
      <c r="O87" s="21"/>
      <c r="P87" s="21"/>
      <c r="Q87" s="19"/>
      <c r="R87" s="19"/>
      <c r="S87" s="19"/>
      <c r="T87" s="19"/>
      <c r="U87" s="19"/>
      <c r="V87" s="19"/>
      <c r="W87" s="19"/>
      <c r="X87" s="19"/>
      <c r="Y87" s="19"/>
      <c r="Z87" s="19"/>
      <c r="AA87" s="19"/>
    </row>
    <row r="88">
      <c r="A88" s="20"/>
      <c r="B88" s="21"/>
      <c r="C88" s="21"/>
      <c r="D88" s="21"/>
      <c r="E88" s="21"/>
      <c r="F88" s="22"/>
      <c r="G88" s="21"/>
      <c r="H88" s="21"/>
      <c r="I88" s="21"/>
      <c r="J88" s="21"/>
      <c r="K88" s="21"/>
      <c r="L88" s="21"/>
      <c r="M88" s="21"/>
      <c r="N88" s="21"/>
      <c r="O88" s="21"/>
      <c r="P88" s="21"/>
      <c r="Q88" s="19"/>
      <c r="R88" s="19"/>
      <c r="S88" s="19"/>
      <c r="T88" s="19"/>
      <c r="U88" s="19"/>
      <c r="V88" s="19"/>
      <c r="W88" s="19"/>
      <c r="X88" s="19"/>
      <c r="Y88" s="19"/>
      <c r="Z88" s="19"/>
      <c r="AA88" s="19"/>
    </row>
    <row r="89">
      <c r="A89" s="20"/>
      <c r="B89" s="21"/>
      <c r="C89" s="21"/>
      <c r="D89" s="21"/>
      <c r="E89" s="21"/>
      <c r="F89" s="22"/>
      <c r="G89" s="21"/>
      <c r="H89" s="21"/>
      <c r="I89" s="21"/>
      <c r="J89" s="21"/>
      <c r="K89" s="21"/>
      <c r="L89" s="21"/>
      <c r="M89" s="21"/>
      <c r="N89" s="21"/>
      <c r="O89" s="21"/>
      <c r="P89" s="21"/>
      <c r="Q89" s="19"/>
      <c r="R89" s="19"/>
      <c r="S89" s="19"/>
      <c r="T89" s="19"/>
      <c r="U89" s="19"/>
      <c r="V89" s="19"/>
      <c r="W89" s="19"/>
      <c r="X89" s="19"/>
      <c r="Y89" s="19"/>
      <c r="Z89" s="19"/>
      <c r="AA89" s="19"/>
    </row>
    <row r="90">
      <c r="A90" s="20"/>
      <c r="B90" s="25"/>
      <c r="C90" s="25"/>
      <c r="D90" s="25"/>
      <c r="E90" s="25"/>
      <c r="F90" s="26"/>
      <c r="G90" s="25"/>
      <c r="H90" s="25"/>
      <c r="I90" s="25"/>
      <c r="J90" s="25"/>
      <c r="K90" s="25"/>
      <c r="L90" s="25"/>
      <c r="M90" s="25"/>
      <c r="N90" s="25"/>
      <c r="O90" s="25"/>
      <c r="P90" s="25"/>
    </row>
    <row r="91">
      <c r="A91" s="20"/>
      <c r="B91" s="25"/>
      <c r="C91" s="25"/>
      <c r="D91" s="25"/>
      <c r="E91" s="25"/>
      <c r="F91" s="26"/>
      <c r="G91" s="25"/>
      <c r="H91" s="25"/>
      <c r="I91" s="25"/>
      <c r="J91" s="25"/>
      <c r="K91" s="25"/>
      <c r="L91" s="25"/>
      <c r="M91" s="25"/>
      <c r="N91" s="25"/>
      <c r="O91" s="25"/>
      <c r="P91" s="25"/>
    </row>
    <row r="92">
      <c r="A92" s="20"/>
      <c r="B92" s="25"/>
      <c r="C92" s="25"/>
      <c r="D92" s="25"/>
      <c r="E92" s="25"/>
      <c r="F92" s="26"/>
      <c r="G92" s="25"/>
      <c r="H92" s="25"/>
      <c r="I92" s="25"/>
      <c r="J92" s="25"/>
      <c r="K92" s="25"/>
      <c r="L92" s="25"/>
      <c r="M92" s="25"/>
      <c r="N92" s="25"/>
      <c r="O92" s="25"/>
      <c r="P92" s="25"/>
    </row>
    <row r="93">
      <c r="A93" s="20"/>
      <c r="B93" s="25"/>
      <c r="C93" s="25"/>
      <c r="D93" s="25"/>
      <c r="E93" s="25"/>
      <c r="F93" s="26"/>
      <c r="G93" s="25"/>
      <c r="H93" s="25"/>
      <c r="I93" s="25"/>
      <c r="J93" s="25"/>
      <c r="K93" s="25"/>
      <c r="L93" s="25"/>
      <c r="M93" s="25"/>
      <c r="N93" s="25"/>
      <c r="O93" s="25"/>
      <c r="P93" s="25"/>
    </row>
    <row r="94">
      <c r="A94" s="20"/>
      <c r="B94" s="25"/>
      <c r="C94" s="25"/>
      <c r="D94" s="25"/>
      <c r="E94" s="25"/>
      <c r="F94" s="26"/>
      <c r="G94" s="25"/>
      <c r="H94" s="25"/>
      <c r="I94" s="25"/>
      <c r="J94" s="25"/>
      <c r="K94" s="25"/>
      <c r="L94" s="25"/>
      <c r="M94" s="25"/>
      <c r="N94" s="25"/>
      <c r="O94" s="25"/>
      <c r="P94" s="25"/>
    </row>
    <row r="95">
      <c r="A95" s="20"/>
      <c r="B95" s="25"/>
      <c r="C95" s="25"/>
      <c r="D95" s="25"/>
      <c r="E95" s="25"/>
      <c r="F95" s="26"/>
      <c r="G95" s="25"/>
      <c r="H95" s="25"/>
      <c r="I95" s="25"/>
      <c r="J95" s="25"/>
      <c r="K95" s="25"/>
      <c r="L95" s="25"/>
      <c r="M95" s="25"/>
      <c r="N95" s="25"/>
      <c r="O95" s="25"/>
      <c r="P95" s="25"/>
    </row>
    <row r="96">
      <c r="A96" s="20"/>
      <c r="B96" s="25"/>
      <c r="C96" s="25"/>
      <c r="D96" s="25"/>
      <c r="E96" s="25"/>
      <c r="F96" s="26"/>
      <c r="G96" s="25"/>
      <c r="H96" s="25"/>
      <c r="I96" s="25"/>
      <c r="J96" s="25"/>
      <c r="K96" s="25"/>
      <c r="L96" s="25"/>
      <c r="M96" s="25"/>
      <c r="N96" s="25"/>
      <c r="O96" s="25"/>
      <c r="P96" s="25"/>
    </row>
    <row r="97">
      <c r="A97" s="20"/>
      <c r="B97" s="25"/>
      <c r="C97" s="25"/>
      <c r="D97" s="25"/>
      <c r="E97" s="25"/>
      <c r="F97" s="26"/>
      <c r="G97" s="25"/>
      <c r="H97" s="25"/>
      <c r="I97" s="25"/>
      <c r="J97" s="25"/>
      <c r="K97" s="25"/>
      <c r="L97" s="25"/>
      <c r="M97" s="25"/>
      <c r="N97" s="25"/>
      <c r="O97" s="25"/>
      <c r="P97" s="25"/>
    </row>
    <row r="98">
      <c r="A98" s="20"/>
      <c r="B98" s="25"/>
      <c r="C98" s="25"/>
      <c r="D98" s="25"/>
      <c r="E98" s="25"/>
      <c r="F98" s="26"/>
      <c r="G98" s="25"/>
      <c r="H98" s="25"/>
      <c r="I98" s="25"/>
      <c r="J98" s="25"/>
      <c r="K98" s="25"/>
      <c r="L98" s="25"/>
      <c r="M98" s="25"/>
      <c r="N98" s="25"/>
      <c r="O98" s="25"/>
      <c r="P98" s="25"/>
    </row>
    <row r="99">
      <c r="A99" s="20"/>
      <c r="B99" s="25"/>
      <c r="C99" s="25"/>
      <c r="D99" s="25"/>
      <c r="E99" s="25"/>
      <c r="F99" s="26"/>
      <c r="G99" s="25"/>
      <c r="H99" s="25"/>
      <c r="I99" s="25"/>
      <c r="J99" s="25"/>
      <c r="K99" s="25"/>
      <c r="L99" s="25"/>
      <c r="M99" s="25"/>
      <c r="N99" s="25"/>
      <c r="O99" s="25"/>
      <c r="P99" s="25"/>
    </row>
    <row r="100">
      <c r="A100" s="25"/>
      <c r="B100" s="25"/>
      <c r="C100" s="25"/>
      <c r="D100" s="25"/>
      <c r="E100" s="25"/>
      <c r="F100" s="25"/>
      <c r="G100" s="25"/>
      <c r="H100" s="25"/>
      <c r="I100" s="25"/>
      <c r="J100" s="25"/>
      <c r="K100" s="25"/>
      <c r="L100" s="25"/>
      <c r="M100" s="25"/>
      <c r="N100" s="25"/>
      <c r="O100" s="25"/>
      <c r="P100" s="25"/>
    </row>
    <row r="101">
      <c r="O101" s="27"/>
    </row>
    <row r="102">
      <c r="O102" s="27"/>
    </row>
    <row r="103">
      <c r="O103" s="27"/>
    </row>
    <row r="104">
      <c r="O104" s="27"/>
    </row>
    <row r="105">
      <c r="O105" s="27"/>
    </row>
    <row r="106">
      <c r="O106" s="27"/>
    </row>
    <row r="107">
      <c r="O107" s="27"/>
    </row>
    <row r="108">
      <c r="O108" s="27"/>
    </row>
    <row r="109">
      <c r="O109" s="27"/>
    </row>
    <row r="110">
      <c r="O110" s="27"/>
    </row>
    <row r="111">
      <c r="O111" s="27"/>
    </row>
    <row r="112">
      <c r="O112" s="27"/>
    </row>
    <row r="113">
      <c r="O113" s="27"/>
    </row>
    <row r="114">
      <c r="O114" s="27"/>
    </row>
    <row r="115">
      <c r="O115" s="27"/>
    </row>
    <row r="116">
      <c r="O116" s="27"/>
    </row>
    <row r="117">
      <c r="O117" s="27"/>
    </row>
    <row r="118">
      <c r="O118" s="27"/>
    </row>
    <row r="119">
      <c r="O119" s="27"/>
    </row>
    <row r="120">
      <c r="O120" s="27"/>
    </row>
    <row r="121">
      <c r="O121" s="27"/>
    </row>
    <row r="122">
      <c r="O122" s="27"/>
    </row>
    <row r="123">
      <c r="O123" s="27"/>
    </row>
    <row r="124">
      <c r="O124" s="27"/>
    </row>
    <row r="125">
      <c r="O125" s="27"/>
    </row>
    <row r="126">
      <c r="O126" s="27"/>
    </row>
    <row r="127">
      <c r="O127" s="27"/>
    </row>
    <row r="128">
      <c r="O128" s="27"/>
    </row>
    <row r="129">
      <c r="O129" s="27"/>
    </row>
    <row r="130">
      <c r="O130" s="27"/>
    </row>
    <row r="131">
      <c r="O131" s="27"/>
    </row>
    <row r="132">
      <c r="O132" s="27"/>
    </row>
    <row r="133">
      <c r="O133" s="27"/>
    </row>
    <row r="134">
      <c r="O134" s="27"/>
    </row>
    <row r="135">
      <c r="O135" s="27"/>
    </row>
    <row r="136">
      <c r="O136" s="27"/>
    </row>
    <row r="137">
      <c r="O137" s="27"/>
    </row>
    <row r="138">
      <c r="O138" s="27"/>
    </row>
    <row r="139">
      <c r="O139" s="27"/>
    </row>
    <row r="140">
      <c r="O140" s="27"/>
    </row>
    <row r="141">
      <c r="O141" s="27"/>
    </row>
    <row r="142">
      <c r="O142" s="27"/>
    </row>
    <row r="143">
      <c r="O143" s="27"/>
    </row>
    <row r="144">
      <c r="O144" s="27"/>
    </row>
    <row r="145">
      <c r="O145" s="27"/>
    </row>
    <row r="146">
      <c r="O146" s="27"/>
    </row>
    <row r="147">
      <c r="O147" s="27"/>
    </row>
    <row r="148">
      <c r="O148" s="27"/>
    </row>
    <row r="149">
      <c r="O149" s="27"/>
    </row>
    <row r="150">
      <c r="O150" s="27"/>
    </row>
    <row r="151">
      <c r="O151" s="27"/>
    </row>
    <row r="152">
      <c r="O152" s="27"/>
    </row>
    <row r="153">
      <c r="O153" s="27"/>
    </row>
    <row r="154">
      <c r="O154" s="27"/>
    </row>
    <row r="155">
      <c r="O155" s="27"/>
    </row>
    <row r="156">
      <c r="O156" s="27"/>
    </row>
    <row r="157">
      <c r="O157" s="27"/>
    </row>
    <row r="158">
      <c r="O158" s="27"/>
    </row>
    <row r="159">
      <c r="O159" s="27"/>
    </row>
    <row r="160">
      <c r="O160" s="27"/>
    </row>
    <row r="161">
      <c r="O161" s="27"/>
    </row>
    <row r="162">
      <c r="O162" s="27"/>
    </row>
    <row r="163">
      <c r="O163" s="27"/>
    </row>
    <row r="164">
      <c r="O164" s="27"/>
    </row>
    <row r="165">
      <c r="O165" s="27"/>
    </row>
    <row r="166">
      <c r="O166" s="27"/>
    </row>
    <row r="167">
      <c r="O167" s="27"/>
    </row>
    <row r="168">
      <c r="O168" s="27"/>
    </row>
    <row r="169">
      <c r="O169" s="27"/>
    </row>
    <row r="170">
      <c r="O170" s="27"/>
    </row>
    <row r="171">
      <c r="O171" s="27"/>
    </row>
    <row r="172">
      <c r="O172" s="27"/>
    </row>
    <row r="173">
      <c r="O173" s="27"/>
    </row>
    <row r="174">
      <c r="O174" s="27"/>
    </row>
    <row r="175">
      <c r="O175" s="27"/>
    </row>
    <row r="176">
      <c r="O176" s="27"/>
    </row>
    <row r="177">
      <c r="O177" s="27"/>
    </row>
    <row r="178">
      <c r="O178" s="27"/>
    </row>
    <row r="179">
      <c r="O179" s="27"/>
    </row>
    <row r="180">
      <c r="O180" s="27"/>
    </row>
    <row r="181">
      <c r="O181" s="27"/>
    </row>
    <row r="182">
      <c r="O182" s="27"/>
    </row>
    <row r="183">
      <c r="O183" s="27"/>
    </row>
    <row r="184">
      <c r="O184" s="27"/>
    </row>
    <row r="185">
      <c r="O185" s="27"/>
    </row>
    <row r="186">
      <c r="O186" s="27"/>
    </row>
    <row r="187">
      <c r="O187" s="27"/>
    </row>
    <row r="188">
      <c r="O188" s="27"/>
    </row>
    <row r="189">
      <c r="O189" s="27"/>
    </row>
    <row r="190">
      <c r="O190" s="27"/>
    </row>
    <row r="191">
      <c r="O191" s="27"/>
    </row>
    <row r="192">
      <c r="O192" s="27"/>
    </row>
    <row r="193">
      <c r="O193" s="27"/>
    </row>
    <row r="194">
      <c r="O194" s="27"/>
    </row>
    <row r="195">
      <c r="O195" s="27"/>
    </row>
    <row r="196">
      <c r="O196" s="27"/>
    </row>
    <row r="197">
      <c r="O197" s="27"/>
    </row>
    <row r="198">
      <c r="O198" s="27"/>
    </row>
    <row r="199">
      <c r="O199" s="27"/>
    </row>
    <row r="200">
      <c r="O200" s="27"/>
    </row>
    <row r="201">
      <c r="O201" s="27"/>
    </row>
    <row r="202">
      <c r="O202" s="27"/>
    </row>
    <row r="203">
      <c r="O203" s="27"/>
    </row>
    <row r="204">
      <c r="O204" s="27"/>
    </row>
    <row r="205">
      <c r="O205" s="27"/>
    </row>
    <row r="206">
      <c r="O206" s="27"/>
    </row>
    <row r="207">
      <c r="O207" s="27"/>
    </row>
    <row r="208">
      <c r="O208" s="27"/>
    </row>
    <row r="209">
      <c r="O209" s="27"/>
    </row>
    <row r="210">
      <c r="O210" s="27"/>
    </row>
    <row r="211">
      <c r="O211" s="27"/>
    </row>
    <row r="212">
      <c r="O212" s="27"/>
    </row>
    <row r="213">
      <c r="O213" s="27"/>
    </row>
    <row r="214">
      <c r="O214" s="27"/>
    </row>
    <row r="215">
      <c r="O215" s="27"/>
    </row>
    <row r="216">
      <c r="O216" s="27"/>
    </row>
    <row r="217">
      <c r="O217" s="27"/>
    </row>
    <row r="218">
      <c r="O218" s="27"/>
    </row>
    <row r="219">
      <c r="O219" s="27"/>
    </row>
    <row r="220">
      <c r="O220" s="27"/>
    </row>
    <row r="221">
      <c r="O221" s="27"/>
    </row>
    <row r="222">
      <c r="O222" s="27"/>
    </row>
    <row r="223">
      <c r="O223" s="27"/>
    </row>
    <row r="224">
      <c r="O224" s="27"/>
    </row>
    <row r="225">
      <c r="O225" s="27"/>
    </row>
    <row r="226">
      <c r="O226" s="27"/>
    </row>
    <row r="227">
      <c r="O227" s="27"/>
    </row>
    <row r="228">
      <c r="O228" s="27"/>
    </row>
    <row r="229">
      <c r="O229" s="27"/>
    </row>
    <row r="230">
      <c r="O230" s="27"/>
    </row>
    <row r="231">
      <c r="O231" s="27"/>
    </row>
    <row r="232">
      <c r="O232" s="27"/>
    </row>
    <row r="233">
      <c r="O233" s="27"/>
    </row>
    <row r="234">
      <c r="O234" s="27"/>
    </row>
    <row r="235">
      <c r="O235" s="27"/>
    </row>
    <row r="236">
      <c r="O236" s="27"/>
    </row>
    <row r="237">
      <c r="O237" s="27"/>
    </row>
    <row r="238">
      <c r="O238" s="27"/>
    </row>
    <row r="239">
      <c r="O239" s="27"/>
    </row>
    <row r="240">
      <c r="O240" s="27"/>
    </row>
    <row r="241">
      <c r="O241" s="27"/>
    </row>
    <row r="242">
      <c r="O242" s="27"/>
    </row>
    <row r="243">
      <c r="O243" s="27"/>
    </row>
    <row r="244">
      <c r="O244" s="27"/>
    </row>
    <row r="245">
      <c r="O245" s="27"/>
    </row>
    <row r="246">
      <c r="O246" s="27"/>
    </row>
    <row r="247">
      <c r="O247" s="27"/>
    </row>
    <row r="248">
      <c r="O248" s="27"/>
    </row>
    <row r="249">
      <c r="O249" s="27"/>
    </row>
    <row r="250">
      <c r="O250" s="27"/>
    </row>
    <row r="251">
      <c r="O251" s="27"/>
    </row>
    <row r="252">
      <c r="O252" s="27"/>
    </row>
    <row r="253">
      <c r="O253" s="27"/>
    </row>
    <row r="254">
      <c r="O254" s="27"/>
    </row>
    <row r="255">
      <c r="O255" s="27"/>
    </row>
    <row r="256">
      <c r="O256" s="27"/>
    </row>
    <row r="257">
      <c r="O257" s="27"/>
    </row>
    <row r="258">
      <c r="O258" s="27"/>
    </row>
    <row r="259">
      <c r="O259" s="27"/>
    </row>
    <row r="260">
      <c r="O260" s="27"/>
    </row>
    <row r="261">
      <c r="O261" s="27"/>
    </row>
    <row r="262">
      <c r="O262" s="27"/>
    </row>
    <row r="263">
      <c r="O263" s="27"/>
    </row>
    <row r="264">
      <c r="O264" s="27"/>
    </row>
    <row r="265">
      <c r="O265" s="27"/>
    </row>
    <row r="266">
      <c r="O266" s="27"/>
    </row>
    <row r="267">
      <c r="O267" s="27"/>
    </row>
    <row r="268">
      <c r="O268" s="27"/>
    </row>
    <row r="269">
      <c r="O269" s="27"/>
    </row>
    <row r="270">
      <c r="O270" s="27"/>
    </row>
    <row r="271">
      <c r="O271" s="27"/>
    </row>
    <row r="272">
      <c r="O272" s="27"/>
    </row>
    <row r="273">
      <c r="O273" s="27"/>
    </row>
    <row r="274">
      <c r="O274" s="27"/>
    </row>
    <row r="275">
      <c r="O275" s="27"/>
    </row>
    <row r="276">
      <c r="O276" s="27"/>
    </row>
    <row r="277">
      <c r="O277" s="27"/>
    </row>
    <row r="278">
      <c r="O278" s="27"/>
    </row>
    <row r="279">
      <c r="O279" s="27"/>
    </row>
    <row r="280">
      <c r="O280" s="27"/>
    </row>
    <row r="281">
      <c r="O281" s="27"/>
    </row>
    <row r="282">
      <c r="O282" s="27"/>
    </row>
    <row r="283">
      <c r="O283" s="27"/>
    </row>
    <row r="284">
      <c r="O284" s="27"/>
    </row>
    <row r="285">
      <c r="O285" s="27"/>
    </row>
    <row r="286">
      <c r="O286" s="27"/>
    </row>
    <row r="287">
      <c r="O287" s="27"/>
    </row>
    <row r="288">
      <c r="O288" s="27"/>
    </row>
    <row r="289">
      <c r="O289" s="27"/>
    </row>
    <row r="290">
      <c r="O290" s="27"/>
    </row>
    <row r="291">
      <c r="O291" s="27"/>
    </row>
    <row r="292">
      <c r="O292" s="27"/>
    </row>
    <row r="293">
      <c r="O293" s="27"/>
    </row>
    <row r="294">
      <c r="O294" s="27"/>
    </row>
    <row r="295">
      <c r="O295" s="27"/>
    </row>
    <row r="296">
      <c r="O296" s="27"/>
    </row>
    <row r="297">
      <c r="O297" s="27"/>
    </row>
    <row r="298">
      <c r="O298" s="27"/>
    </row>
    <row r="299">
      <c r="O299" s="27"/>
    </row>
    <row r="300">
      <c r="O300" s="27"/>
    </row>
    <row r="301">
      <c r="O301" s="27"/>
    </row>
    <row r="302">
      <c r="O302" s="27"/>
    </row>
    <row r="303">
      <c r="O303" s="27"/>
    </row>
    <row r="304">
      <c r="O304" s="27"/>
    </row>
    <row r="305">
      <c r="O305" s="27"/>
    </row>
    <row r="306">
      <c r="O306" s="27"/>
    </row>
    <row r="307">
      <c r="O307" s="27"/>
    </row>
    <row r="308">
      <c r="O308" s="27"/>
    </row>
    <row r="309">
      <c r="O309" s="27"/>
    </row>
    <row r="310">
      <c r="O310" s="27"/>
    </row>
    <row r="311">
      <c r="O311" s="27"/>
    </row>
    <row r="312">
      <c r="O312" s="27"/>
    </row>
    <row r="313">
      <c r="O313" s="27"/>
    </row>
    <row r="314">
      <c r="O314" s="27"/>
    </row>
    <row r="315">
      <c r="O315" s="27"/>
    </row>
    <row r="316">
      <c r="O316" s="27"/>
    </row>
    <row r="317">
      <c r="O317" s="27"/>
    </row>
    <row r="318">
      <c r="O318" s="27"/>
    </row>
    <row r="319">
      <c r="O319" s="27"/>
    </row>
    <row r="320">
      <c r="O320" s="27"/>
    </row>
    <row r="321">
      <c r="O321" s="27"/>
    </row>
    <row r="322">
      <c r="O322" s="27"/>
    </row>
    <row r="323">
      <c r="O323" s="27"/>
    </row>
    <row r="324">
      <c r="O324" s="27"/>
    </row>
    <row r="325">
      <c r="O325" s="27"/>
    </row>
    <row r="326">
      <c r="O326" s="27"/>
    </row>
    <row r="327">
      <c r="O327" s="27"/>
    </row>
    <row r="328">
      <c r="O328" s="27"/>
    </row>
    <row r="329">
      <c r="O329" s="27"/>
    </row>
    <row r="330">
      <c r="O330" s="27"/>
    </row>
    <row r="331">
      <c r="O331" s="27"/>
    </row>
    <row r="332">
      <c r="O332" s="27"/>
    </row>
    <row r="333">
      <c r="O333" s="27"/>
    </row>
    <row r="334">
      <c r="O334" s="27"/>
    </row>
    <row r="335">
      <c r="O335" s="27"/>
    </row>
    <row r="336">
      <c r="O336" s="27"/>
    </row>
    <row r="337">
      <c r="O337" s="27"/>
    </row>
    <row r="338">
      <c r="O338" s="27"/>
    </row>
    <row r="339">
      <c r="O339" s="27"/>
    </row>
    <row r="340">
      <c r="O340" s="27"/>
    </row>
    <row r="341">
      <c r="O341" s="27"/>
    </row>
    <row r="342">
      <c r="O342" s="27"/>
    </row>
    <row r="343">
      <c r="O343" s="27"/>
    </row>
    <row r="344">
      <c r="O344" s="27"/>
    </row>
    <row r="345">
      <c r="O345" s="27"/>
    </row>
    <row r="346">
      <c r="O346" s="27"/>
    </row>
    <row r="347">
      <c r="O347" s="27"/>
    </row>
    <row r="348">
      <c r="O348" s="27"/>
    </row>
    <row r="349">
      <c r="O349" s="27"/>
    </row>
    <row r="350">
      <c r="O350" s="27"/>
    </row>
    <row r="351">
      <c r="O351" s="27"/>
    </row>
    <row r="352">
      <c r="O352" s="27"/>
    </row>
    <row r="353">
      <c r="O353" s="27"/>
    </row>
    <row r="354">
      <c r="O354" s="27"/>
    </row>
    <row r="355">
      <c r="O355" s="27"/>
    </row>
    <row r="356">
      <c r="O356" s="27"/>
    </row>
    <row r="357">
      <c r="O357" s="27"/>
    </row>
    <row r="358">
      <c r="O358" s="27"/>
    </row>
    <row r="359">
      <c r="O359" s="27"/>
    </row>
    <row r="360">
      <c r="O360" s="27"/>
    </row>
    <row r="361">
      <c r="O361" s="27"/>
    </row>
    <row r="362">
      <c r="O362" s="27"/>
    </row>
    <row r="363">
      <c r="O363" s="27"/>
    </row>
    <row r="364">
      <c r="O364" s="27"/>
    </row>
    <row r="365">
      <c r="O365" s="27"/>
    </row>
    <row r="366">
      <c r="O366" s="27"/>
    </row>
    <row r="367">
      <c r="O367" s="27"/>
    </row>
    <row r="368">
      <c r="O368" s="27"/>
    </row>
    <row r="369">
      <c r="O369" s="27"/>
    </row>
    <row r="370">
      <c r="O370" s="27"/>
    </row>
    <row r="371">
      <c r="O371" s="27"/>
    </row>
    <row r="372">
      <c r="O372" s="27"/>
    </row>
    <row r="373">
      <c r="O373" s="27"/>
    </row>
    <row r="374">
      <c r="O374" s="27"/>
    </row>
    <row r="375">
      <c r="O375" s="27"/>
    </row>
    <row r="376">
      <c r="O376" s="27"/>
    </row>
    <row r="377">
      <c r="O377" s="27"/>
    </row>
    <row r="378">
      <c r="O378" s="27"/>
    </row>
    <row r="379">
      <c r="O379" s="27"/>
    </row>
    <row r="380">
      <c r="O380" s="27"/>
    </row>
    <row r="381">
      <c r="O381" s="27"/>
    </row>
    <row r="382">
      <c r="O382" s="27"/>
    </row>
    <row r="383">
      <c r="O383" s="27"/>
    </row>
    <row r="384">
      <c r="O384" s="27"/>
    </row>
    <row r="385">
      <c r="O385" s="27"/>
    </row>
    <row r="386">
      <c r="O386" s="27"/>
    </row>
    <row r="387">
      <c r="O387" s="27"/>
    </row>
    <row r="388">
      <c r="O388" s="27"/>
    </row>
    <row r="389">
      <c r="O389" s="27"/>
    </row>
    <row r="390">
      <c r="O390" s="27"/>
    </row>
    <row r="391">
      <c r="O391" s="27"/>
    </row>
    <row r="392">
      <c r="O392" s="27"/>
    </row>
    <row r="393">
      <c r="O393" s="27"/>
    </row>
    <row r="394">
      <c r="O394" s="27"/>
    </row>
    <row r="395">
      <c r="O395" s="27"/>
    </row>
    <row r="396">
      <c r="O396" s="27"/>
    </row>
    <row r="397">
      <c r="O397" s="27"/>
    </row>
    <row r="398">
      <c r="O398" s="27"/>
    </row>
    <row r="399">
      <c r="O399" s="27"/>
    </row>
    <row r="400">
      <c r="O400" s="27"/>
    </row>
    <row r="401">
      <c r="O401" s="27"/>
    </row>
    <row r="402">
      <c r="O402" s="27"/>
    </row>
    <row r="403">
      <c r="O403" s="27"/>
    </row>
    <row r="404">
      <c r="O404" s="27"/>
    </row>
    <row r="405">
      <c r="O405" s="27"/>
    </row>
    <row r="406">
      <c r="O406" s="27"/>
    </row>
    <row r="407">
      <c r="O407" s="27"/>
    </row>
    <row r="408">
      <c r="O408" s="27"/>
    </row>
    <row r="409">
      <c r="O409" s="27"/>
    </row>
    <row r="410">
      <c r="O410" s="27"/>
    </row>
    <row r="411">
      <c r="O411" s="27"/>
    </row>
    <row r="412">
      <c r="O412" s="27"/>
    </row>
    <row r="413">
      <c r="O413" s="27"/>
    </row>
    <row r="414">
      <c r="O414" s="27"/>
    </row>
    <row r="415">
      <c r="O415" s="27"/>
    </row>
    <row r="416">
      <c r="O416" s="27"/>
    </row>
    <row r="417">
      <c r="O417" s="27"/>
    </row>
    <row r="418">
      <c r="O418" s="27"/>
    </row>
    <row r="419">
      <c r="O419" s="27"/>
    </row>
    <row r="420">
      <c r="O420" s="27"/>
    </row>
    <row r="421">
      <c r="O421" s="27"/>
    </row>
    <row r="422">
      <c r="O422" s="27"/>
    </row>
    <row r="423">
      <c r="O423" s="27"/>
    </row>
    <row r="424">
      <c r="O424" s="27"/>
    </row>
    <row r="425">
      <c r="O425" s="27"/>
    </row>
    <row r="426">
      <c r="O426" s="27"/>
    </row>
    <row r="427">
      <c r="O427" s="27"/>
    </row>
    <row r="428">
      <c r="O428" s="27"/>
    </row>
    <row r="429">
      <c r="O429" s="27"/>
    </row>
    <row r="430">
      <c r="O430" s="27"/>
    </row>
    <row r="431">
      <c r="O431" s="27"/>
    </row>
    <row r="432">
      <c r="O432" s="27"/>
    </row>
    <row r="433">
      <c r="O433" s="27"/>
    </row>
    <row r="434">
      <c r="O434" s="27"/>
    </row>
    <row r="435">
      <c r="O435" s="27"/>
    </row>
    <row r="436">
      <c r="O436" s="27"/>
    </row>
    <row r="437">
      <c r="O437" s="27"/>
    </row>
    <row r="438">
      <c r="O438" s="27"/>
    </row>
    <row r="439">
      <c r="O439" s="27"/>
    </row>
    <row r="440">
      <c r="O440" s="27"/>
    </row>
    <row r="441">
      <c r="O441" s="27"/>
    </row>
    <row r="442">
      <c r="O442" s="27"/>
    </row>
    <row r="443">
      <c r="O443" s="27"/>
    </row>
    <row r="444">
      <c r="O444" s="27"/>
    </row>
    <row r="445">
      <c r="O445" s="27"/>
    </row>
    <row r="446">
      <c r="O446" s="27"/>
    </row>
    <row r="447">
      <c r="O447" s="27"/>
    </row>
    <row r="448">
      <c r="O448" s="27"/>
    </row>
    <row r="449">
      <c r="O449" s="27"/>
    </row>
    <row r="450">
      <c r="O450" s="27"/>
    </row>
    <row r="451">
      <c r="O451" s="27"/>
    </row>
    <row r="452">
      <c r="O452" s="27"/>
    </row>
    <row r="453">
      <c r="O453" s="27"/>
    </row>
    <row r="454">
      <c r="O454" s="27"/>
    </row>
    <row r="455">
      <c r="O455" s="27"/>
    </row>
    <row r="456">
      <c r="O456" s="27"/>
    </row>
    <row r="457">
      <c r="O457" s="27"/>
    </row>
    <row r="458">
      <c r="O458" s="27"/>
    </row>
    <row r="459">
      <c r="O459" s="27"/>
    </row>
    <row r="460">
      <c r="O460" s="27"/>
    </row>
    <row r="461">
      <c r="O461" s="27"/>
    </row>
    <row r="462">
      <c r="O462" s="27"/>
    </row>
    <row r="463">
      <c r="O463" s="27"/>
    </row>
    <row r="464">
      <c r="O464" s="27"/>
    </row>
    <row r="465">
      <c r="O465" s="27"/>
    </row>
    <row r="466">
      <c r="O466" s="27"/>
    </row>
    <row r="467">
      <c r="O467" s="27"/>
    </row>
    <row r="468">
      <c r="O468" s="27"/>
    </row>
    <row r="469">
      <c r="O469" s="27"/>
    </row>
    <row r="470">
      <c r="O470" s="27"/>
    </row>
    <row r="471">
      <c r="O471" s="27"/>
    </row>
    <row r="472">
      <c r="O472" s="27"/>
    </row>
    <row r="473">
      <c r="O473" s="27"/>
    </row>
    <row r="474">
      <c r="O474" s="27"/>
    </row>
    <row r="475">
      <c r="O475" s="27"/>
    </row>
    <row r="476">
      <c r="O476" s="27"/>
    </row>
    <row r="477">
      <c r="O477" s="27"/>
    </row>
    <row r="478">
      <c r="O478" s="27"/>
    </row>
    <row r="479">
      <c r="O479" s="27"/>
    </row>
    <row r="480">
      <c r="O480" s="27"/>
    </row>
    <row r="481">
      <c r="O481" s="27"/>
    </row>
    <row r="482">
      <c r="O482" s="27"/>
    </row>
    <row r="483">
      <c r="O483" s="27"/>
    </row>
    <row r="484">
      <c r="O484" s="27"/>
    </row>
    <row r="485">
      <c r="O485" s="27"/>
    </row>
    <row r="486">
      <c r="O486" s="27"/>
    </row>
    <row r="487">
      <c r="O487" s="27"/>
    </row>
    <row r="488">
      <c r="O488" s="27"/>
    </row>
    <row r="489">
      <c r="O489" s="27"/>
    </row>
    <row r="490">
      <c r="O490" s="27"/>
    </row>
    <row r="491">
      <c r="O491" s="27"/>
    </row>
    <row r="492">
      <c r="O492" s="27"/>
    </row>
    <row r="493">
      <c r="O493" s="27"/>
    </row>
    <row r="494">
      <c r="O494" s="27"/>
    </row>
    <row r="495">
      <c r="O495" s="27"/>
    </row>
    <row r="496">
      <c r="O496" s="27"/>
    </row>
    <row r="497">
      <c r="O497" s="27"/>
    </row>
    <row r="498">
      <c r="O498" s="27"/>
    </row>
    <row r="499">
      <c r="O499" s="27"/>
    </row>
    <row r="500">
      <c r="O500" s="27"/>
    </row>
    <row r="501">
      <c r="O501" s="27"/>
    </row>
    <row r="502">
      <c r="O502" s="27"/>
    </row>
    <row r="503">
      <c r="O503" s="27"/>
    </row>
    <row r="504">
      <c r="O504" s="27"/>
    </row>
    <row r="505">
      <c r="O505" s="27"/>
    </row>
    <row r="506">
      <c r="O506" s="27"/>
    </row>
    <row r="507">
      <c r="O507" s="27"/>
    </row>
    <row r="508">
      <c r="O508" s="27"/>
    </row>
    <row r="509">
      <c r="O509" s="27"/>
    </row>
    <row r="510">
      <c r="O510" s="27"/>
    </row>
    <row r="511">
      <c r="O511" s="27"/>
    </row>
    <row r="512">
      <c r="O512" s="27"/>
    </row>
    <row r="513">
      <c r="O513" s="27"/>
    </row>
    <row r="514">
      <c r="O514" s="27"/>
    </row>
    <row r="515">
      <c r="O515" s="27"/>
    </row>
    <row r="516">
      <c r="O516" s="27"/>
    </row>
    <row r="517">
      <c r="O517" s="27"/>
    </row>
    <row r="518">
      <c r="O518" s="27"/>
    </row>
    <row r="519">
      <c r="O519" s="27"/>
    </row>
    <row r="520">
      <c r="O520" s="27"/>
    </row>
    <row r="521">
      <c r="O521" s="27"/>
    </row>
    <row r="522">
      <c r="O522" s="27"/>
    </row>
    <row r="523">
      <c r="O523" s="27"/>
    </row>
    <row r="524">
      <c r="O524" s="27"/>
    </row>
    <row r="525">
      <c r="O525" s="27"/>
    </row>
    <row r="526">
      <c r="O526" s="27"/>
    </row>
    <row r="527">
      <c r="O527" s="27"/>
    </row>
    <row r="528">
      <c r="O528" s="27"/>
    </row>
    <row r="529">
      <c r="O529" s="27"/>
    </row>
    <row r="530">
      <c r="O530" s="27"/>
    </row>
    <row r="531">
      <c r="O531" s="27"/>
    </row>
    <row r="532">
      <c r="O532" s="27"/>
    </row>
    <row r="533">
      <c r="O533" s="27"/>
    </row>
    <row r="534">
      <c r="O534" s="27"/>
    </row>
    <row r="535">
      <c r="O535" s="27"/>
    </row>
    <row r="536">
      <c r="O536" s="27"/>
    </row>
    <row r="537">
      <c r="O537" s="27"/>
    </row>
    <row r="538">
      <c r="O538" s="27"/>
    </row>
    <row r="539">
      <c r="O539" s="27"/>
    </row>
    <row r="540">
      <c r="O540" s="27"/>
    </row>
    <row r="541">
      <c r="O541" s="27"/>
    </row>
    <row r="542">
      <c r="O542" s="27"/>
    </row>
    <row r="543">
      <c r="O543" s="27"/>
    </row>
    <row r="544">
      <c r="O544" s="27"/>
    </row>
    <row r="545">
      <c r="O545" s="27"/>
    </row>
    <row r="546">
      <c r="O546" s="27"/>
    </row>
    <row r="547">
      <c r="O547" s="27"/>
    </row>
    <row r="548">
      <c r="O548" s="27"/>
    </row>
    <row r="549">
      <c r="O549" s="27"/>
    </row>
    <row r="550">
      <c r="O550" s="27"/>
    </row>
    <row r="551">
      <c r="O551" s="27"/>
    </row>
    <row r="552">
      <c r="O552" s="27"/>
    </row>
    <row r="553">
      <c r="O553" s="27"/>
    </row>
    <row r="554">
      <c r="O554" s="27"/>
    </row>
    <row r="555">
      <c r="O555" s="27"/>
    </row>
    <row r="556">
      <c r="O556" s="27"/>
    </row>
    <row r="557">
      <c r="O557" s="27"/>
    </row>
    <row r="558">
      <c r="O558" s="27"/>
    </row>
    <row r="559">
      <c r="O559" s="27"/>
    </row>
    <row r="560">
      <c r="O560" s="27"/>
    </row>
    <row r="561">
      <c r="O561" s="27"/>
    </row>
    <row r="562">
      <c r="O562" s="27"/>
    </row>
    <row r="563">
      <c r="O563" s="27"/>
    </row>
    <row r="564">
      <c r="O564" s="27"/>
    </row>
    <row r="565">
      <c r="O565" s="27"/>
    </row>
    <row r="566">
      <c r="O566" s="27"/>
    </row>
    <row r="567">
      <c r="O567" s="27"/>
    </row>
    <row r="568">
      <c r="O568" s="27"/>
    </row>
    <row r="569">
      <c r="O569" s="27"/>
    </row>
    <row r="570">
      <c r="O570" s="27"/>
    </row>
    <row r="571">
      <c r="O571" s="27"/>
    </row>
    <row r="572">
      <c r="O572" s="27"/>
    </row>
    <row r="573">
      <c r="O573" s="27"/>
    </row>
    <row r="574">
      <c r="O574" s="27"/>
    </row>
    <row r="575">
      <c r="O575" s="27"/>
    </row>
    <row r="576">
      <c r="O576" s="27"/>
    </row>
    <row r="577">
      <c r="O577" s="27"/>
    </row>
    <row r="578">
      <c r="O578" s="27"/>
    </row>
    <row r="579">
      <c r="O579" s="27"/>
    </row>
    <row r="580">
      <c r="O580" s="27"/>
    </row>
    <row r="581">
      <c r="O581" s="27"/>
    </row>
    <row r="582">
      <c r="O582" s="27"/>
    </row>
    <row r="583">
      <c r="O583" s="27"/>
    </row>
    <row r="584">
      <c r="O584" s="27"/>
    </row>
    <row r="585">
      <c r="O585" s="27"/>
    </row>
    <row r="586">
      <c r="O586" s="27"/>
    </row>
    <row r="587">
      <c r="O587" s="27"/>
    </row>
    <row r="588">
      <c r="O588" s="27"/>
    </row>
    <row r="589">
      <c r="O589" s="27"/>
    </row>
    <row r="590">
      <c r="O590" s="27"/>
    </row>
    <row r="591">
      <c r="O591" s="27"/>
    </row>
    <row r="592">
      <c r="O592" s="27"/>
    </row>
    <row r="593">
      <c r="O593" s="27"/>
    </row>
    <row r="594">
      <c r="O594" s="27"/>
    </row>
    <row r="595">
      <c r="O595" s="27"/>
    </row>
    <row r="596">
      <c r="O596" s="27"/>
    </row>
    <row r="597">
      <c r="O597" s="27"/>
    </row>
    <row r="598">
      <c r="O598" s="27"/>
    </row>
    <row r="599">
      <c r="O599" s="27"/>
    </row>
    <row r="600">
      <c r="O600" s="27"/>
    </row>
    <row r="601">
      <c r="O601" s="27"/>
    </row>
    <row r="602">
      <c r="O602" s="27"/>
    </row>
    <row r="603">
      <c r="O603" s="27"/>
    </row>
    <row r="604">
      <c r="O604" s="27"/>
    </row>
    <row r="605">
      <c r="O605" s="27"/>
    </row>
    <row r="606">
      <c r="O606" s="27"/>
    </row>
    <row r="607">
      <c r="O607" s="27"/>
    </row>
    <row r="608">
      <c r="O608" s="27"/>
    </row>
    <row r="609">
      <c r="O609" s="27"/>
    </row>
    <row r="610">
      <c r="O610" s="27"/>
    </row>
    <row r="611">
      <c r="O611" s="27"/>
    </row>
    <row r="612">
      <c r="O612" s="27"/>
    </row>
    <row r="613">
      <c r="O613" s="27"/>
    </row>
    <row r="614">
      <c r="O614" s="27"/>
    </row>
    <row r="615">
      <c r="O615" s="27"/>
    </row>
    <row r="616">
      <c r="O616" s="27"/>
    </row>
    <row r="617">
      <c r="O617" s="27"/>
    </row>
    <row r="618">
      <c r="O618" s="27"/>
    </row>
    <row r="619">
      <c r="O619" s="27"/>
    </row>
    <row r="620">
      <c r="O620" s="27"/>
    </row>
    <row r="621">
      <c r="O621" s="27"/>
    </row>
    <row r="622">
      <c r="O622" s="27"/>
    </row>
    <row r="623">
      <c r="O623" s="27"/>
    </row>
    <row r="624">
      <c r="O624" s="27"/>
    </row>
    <row r="625">
      <c r="O625" s="27"/>
    </row>
    <row r="626">
      <c r="O626" s="27"/>
    </row>
    <row r="627">
      <c r="O627" s="27"/>
    </row>
    <row r="628">
      <c r="O628" s="27"/>
    </row>
    <row r="629">
      <c r="O629" s="27"/>
    </row>
    <row r="630">
      <c r="O630" s="27"/>
    </row>
    <row r="631">
      <c r="O631" s="27"/>
    </row>
    <row r="632">
      <c r="O632" s="27"/>
    </row>
    <row r="633">
      <c r="O633" s="27"/>
    </row>
    <row r="634">
      <c r="O634" s="27"/>
    </row>
    <row r="635">
      <c r="O635" s="27"/>
    </row>
    <row r="636">
      <c r="O636" s="27"/>
    </row>
    <row r="637">
      <c r="O637" s="27"/>
    </row>
    <row r="638">
      <c r="O638" s="27"/>
    </row>
    <row r="639">
      <c r="O639" s="27"/>
    </row>
    <row r="640">
      <c r="O640" s="27"/>
    </row>
    <row r="641">
      <c r="O641" s="27"/>
    </row>
    <row r="642">
      <c r="O642" s="27"/>
    </row>
    <row r="643">
      <c r="O643" s="27"/>
    </row>
    <row r="644">
      <c r="O644" s="27"/>
    </row>
    <row r="645">
      <c r="O645" s="27"/>
    </row>
    <row r="646">
      <c r="O646" s="27"/>
    </row>
    <row r="647">
      <c r="O647" s="27"/>
    </row>
    <row r="648">
      <c r="O648" s="27"/>
    </row>
    <row r="649">
      <c r="O649" s="27"/>
    </row>
    <row r="650">
      <c r="O650" s="27"/>
    </row>
    <row r="651">
      <c r="O651" s="27"/>
    </row>
    <row r="652">
      <c r="O652" s="27"/>
    </row>
    <row r="653">
      <c r="O653" s="27"/>
    </row>
    <row r="654">
      <c r="O654" s="27"/>
    </row>
    <row r="655">
      <c r="O655" s="27"/>
    </row>
    <row r="656">
      <c r="O656" s="27"/>
    </row>
    <row r="657">
      <c r="O657" s="27"/>
    </row>
    <row r="658">
      <c r="O658" s="27"/>
    </row>
    <row r="659">
      <c r="O659" s="27"/>
    </row>
    <row r="660">
      <c r="O660" s="27"/>
    </row>
    <row r="661">
      <c r="O661" s="27"/>
    </row>
    <row r="662">
      <c r="O662" s="27"/>
    </row>
    <row r="663">
      <c r="O663" s="27"/>
    </row>
    <row r="664">
      <c r="O664" s="27"/>
    </row>
    <row r="665">
      <c r="O665" s="27"/>
    </row>
    <row r="666">
      <c r="O666" s="27"/>
    </row>
    <row r="667">
      <c r="O667" s="27"/>
    </row>
    <row r="668">
      <c r="O668" s="27"/>
    </row>
    <row r="669">
      <c r="O669" s="27"/>
    </row>
    <row r="670">
      <c r="O670" s="27"/>
    </row>
    <row r="671">
      <c r="O671" s="27"/>
    </row>
    <row r="672">
      <c r="O672" s="27"/>
    </row>
    <row r="673">
      <c r="O673" s="27"/>
    </row>
    <row r="674">
      <c r="O674" s="27"/>
    </row>
    <row r="675">
      <c r="O675" s="27"/>
    </row>
    <row r="676">
      <c r="O676" s="27"/>
    </row>
    <row r="677">
      <c r="O677" s="27"/>
    </row>
    <row r="678">
      <c r="O678" s="27"/>
    </row>
    <row r="679">
      <c r="O679" s="27"/>
    </row>
    <row r="680">
      <c r="O680" s="27"/>
    </row>
    <row r="681">
      <c r="O681" s="27"/>
    </row>
    <row r="682">
      <c r="O682" s="27"/>
    </row>
    <row r="683">
      <c r="O683" s="27"/>
    </row>
    <row r="684">
      <c r="O684" s="27"/>
    </row>
    <row r="685">
      <c r="O685" s="27"/>
    </row>
    <row r="686">
      <c r="O686" s="27"/>
    </row>
    <row r="687">
      <c r="O687" s="27"/>
    </row>
    <row r="688">
      <c r="O688" s="27"/>
    </row>
    <row r="689">
      <c r="O689" s="27"/>
    </row>
    <row r="690">
      <c r="O690" s="27"/>
    </row>
    <row r="691">
      <c r="O691" s="27"/>
    </row>
    <row r="692">
      <c r="O692" s="27"/>
    </row>
    <row r="693">
      <c r="O693" s="27"/>
    </row>
    <row r="694">
      <c r="O694" s="27"/>
    </row>
    <row r="695">
      <c r="O695" s="27"/>
    </row>
    <row r="696">
      <c r="O696" s="27"/>
    </row>
    <row r="697">
      <c r="O697" s="27"/>
    </row>
    <row r="698">
      <c r="O698" s="27"/>
    </row>
    <row r="699">
      <c r="O699" s="27"/>
    </row>
    <row r="700">
      <c r="O700" s="27"/>
    </row>
    <row r="701">
      <c r="O701" s="27"/>
    </row>
    <row r="702">
      <c r="O702" s="27"/>
    </row>
    <row r="703">
      <c r="O703" s="27"/>
    </row>
    <row r="704">
      <c r="O704" s="27"/>
    </row>
    <row r="705">
      <c r="O705" s="27"/>
    </row>
    <row r="706">
      <c r="O706" s="27"/>
    </row>
    <row r="707">
      <c r="O707" s="27"/>
    </row>
    <row r="708">
      <c r="O708" s="27"/>
    </row>
    <row r="709">
      <c r="O709" s="27"/>
    </row>
    <row r="710">
      <c r="O710" s="27"/>
    </row>
    <row r="711">
      <c r="O711" s="27"/>
    </row>
    <row r="712">
      <c r="O712" s="27"/>
    </row>
    <row r="713">
      <c r="O713" s="27"/>
    </row>
    <row r="714">
      <c r="O714" s="27"/>
    </row>
    <row r="715">
      <c r="O715" s="27"/>
    </row>
    <row r="716">
      <c r="O716" s="27"/>
    </row>
    <row r="717">
      <c r="O717" s="27"/>
    </row>
    <row r="718">
      <c r="O718" s="27"/>
    </row>
    <row r="719">
      <c r="O719" s="27"/>
    </row>
    <row r="720">
      <c r="O720" s="27"/>
    </row>
    <row r="721">
      <c r="O721" s="27"/>
    </row>
    <row r="722">
      <c r="O722" s="27"/>
    </row>
    <row r="723">
      <c r="O723" s="27"/>
    </row>
    <row r="724">
      <c r="O724" s="27"/>
    </row>
    <row r="725">
      <c r="O725" s="27"/>
    </row>
    <row r="726">
      <c r="O726" s="27"/>
    </row>
    <row r="727">
      <c r="O727" s="27"/>
    </row>
    <row r="728">
      <c r="O728" s="27"/>
    </row>
    <row r="729">
      <c r="O729" s="27"/>
    </row>
    <row r="730">
      <c r="O730" s="27"/>
    </row>
    <row r="731">
      <c r="O731" s="27"/>
    </row>
    <row r="732">
      <c r="O732" s="27"/>
    </row>
    <row r="733">
      <c r="O733" s="27"/>
    </row>
    <row r="734">
      <c r="O734" s="27"/>
    </row>
    <row r="735">
      <c r="O735" s="27"/>
    </row>
    <row r="736">
      <c r="O736" s="27"/>
    </row>
    <row r="737">
      <c r="O737" s="27"/>
    </row>
    <row r="738">
      <c r="O738" s="27"/>
    </row>
    <row r="739">
      <c r="O739" s="27"/>
    </row>
    <row r="740">
      <c r="O740" s="27"/>
    </row>
    <row r="741">
      <c r="O741" s="27"/>
    </row>
    <row r="742">
      <c r="O742" s="27"/>
    </row>
    <row r="743">
      <c r="O743" s="27"/>
    </row>
    <row r="744">
      <c r="O744" s="27"/>
    </row>
    <row r="745">
      <c r="O745" s="27"/>
    </row>
    <row r="746">
      <c r="O746" s="27"/>
    </row>
    <row r="747">
      <c r="O747" s="27"/>
    </row>
    <row r="748">
      <c r="O748" s="27"/>
    </row>
    <row r="749">
      <c r="O749" s="27"/>
    </row>
    <row r="750">
      <c r="O750" s="27"/>
    </row>
    <row r="751">
      <c r="O751" s="27"/>
    </row>
    <row r="752">
      <c r="O752" s="27"/>
    </row>
    <row r="753">
      <c r="O753" s="27"/>
    </row>
    <row r="754">
      <c r="O754" s="27"/>
    </row>
    <row r="755">
      <c r="O755" s="27"/>
    </row>
    <row r="756">
      <c r="O756" s="27"/>
    </row>
    <row r="757">
      <c r="O757" s="27"/>
    </row>
    <row r="758">
      <c r="O758" s="27"/>
    </row>
    <row r="759">
      <c r="O759" s="27"/>
    </row>
    <row r="760">
      <c r="O760" s="27"/>
    </row>
    <row r="761">
      <c r="O761" s="27"/>
    </row>
    <row r="762">
      <c r="O762" s="27"/>
    </row>
    <row r="763">
      <c r="O763" s="27"/>
    </row>
    <row r="764">
      <c r="O764" s="27"/>
    </row>
    <row r="765">
      <c r="O765" s="27"/>
    </row>
    <row r="766">
      <c r="O766" s="27"/>
    </row>
    <row r="767">
      <c r="O767" s="27"/>
    </row>
    <row r="768">
      <c r="O768" s="27"/>
    </row>
    <row r="769">
      <c r="O769" s="27"/>
    </row>
    <row r="770">
      <c r="O770" s="27"/>
    </row>
    <row r="771">
      <c r="O771" s="27"/>
    </row>
    <row r="772">
      <c r="O772" s="27"/>
    </row>
    <row r="773">
      <c r="O773" s="27"/>
    </row>
    <row r="774">
      <c r="O774" s="27"/>
    </row>
    <row r="775">
      <c r="O775" s="27"/>
    </row>
    <row r="776">
      <c r="O776" s="27"/>
    </row>
    <row r="777">
      <c r="O777" s="27"/>
    </row>
    <row r="778">
      <c r="O778" s="27"/>
    </row>
    <row r="779">
      <c r="O779" s="27"/>
    </row>
    <row r="780">
      <c r="O780" s="27"/>
    </row>
    <row r="781">
      <c r="O781" s="27"/>
    </row>
    <row r="782">
      <c r="O782" s="27"/>
    </row>
    <row r="783">
      <c r="O783" s="27"/>
    </row>
    <row r="784">
      <c r="O784" s="27"/>
    </row>
    <row r="785">
      <c r="O785" s="27"/>
    </row>
    <row r="786">
      <c r="O786" s="27"/>
    </row>
    <row r="787">
      <c r="O787" s="27"/>
    </row>
    <row r="788">
      <c r="O788" s="27"/>
    </row>
    <row r="789">
      <c r="O789" s="27"/>
    </row>
    <row r="790">
      <c r="O790" s="27"/>
    </row>
    <row r="791">
      <c r="O791" s="27"/>
    </row>
    <row r="792">
      <c r="O792" s="27"/>
    </row>
    <row r="793">
      <c r="O793" s="27"/>
    </row>
    <row r="794">
      <c r="O794" s="27"/>
    </row>
    <row r="795">
      <c r="O795" s="27"/>
    </row>
    <row r="796">
      <c r="O796" s="27"/>
    </row>
    <row r="797">
      <c r="O797" s="27"/>
    </row>
    <row r="798">
      <c r="O798" s="27"/>
    </row>
    <row r="799">
      <c r="O799" s="27"/>
    </row>
    <row r="800">
      <c r="O800" s="27"/>
    </row>
    <row r="801">
      <c r="O801" s="27"/>
    </row>
    <row r="802">
      <c r="O802" s="27"/>
    </row>
    <row r="803">
      <c r="O803" s="27"/>
    </row>
    <row r="804">
      <c r="O804" s="27"/>
    </row>
    <row r="805">
      <c r="O805" s="27"/>
    </row>
    <row r="806">
      <c r="O806" s="27"/>
    </row>
    <row r="807">
      <c r="O807" s="27"/>
    </row>
    <row r="808">
      <c r="O808" s="27"/>
    </row>
    <row r="809">
      <c r="O809" s="27"/>
    </row>
    <row r="810">
      <c r="O810" s="27"/>
    </row>
    <row r="811">
      <c r="O811" s="27"/>
    </row>
    <row r="812">
      <c r="O812" s="27"/>
    </row>
    <row r="813">
      <c r="O813" s="27"/>
    </row>
    <row r="814">
      <c r="O814" s="27"/>
    </row>
    <row r="815">
      <c r="O815" s="27"/>
    </row>
    <row r="816">
      <c r="O816" s="27"/>
    </row>
    <row r="817">
      <c r="O817" s="27"/>
    </row>
    <row r="818">
      <c r="O818" s="27"/>
    </row>
    <row r="819">
      <c r="O819" s="27"/>
    </row>
    <row r="820">
      <c r="O820" s="27"/>
    </row>
    <row r="821">
      <c r="O821" s="27"/>
    </row>
    <row r="822">
      <c r="O822" s="27"/>
    </row>
    <row r="823">
      <c r="O823" s="27"/>
    </row>
    <row r="824">
      <c r="O824" s="27"/>
    </row>
    <row r="825">
      <c r="O825" s="27"/>
    </row>
    <row r="826">
      <c r="O826" s="27"/>
    </row>
    <row r="827">
      <c r="O827" s="27"/>
    </row>
    <row r="828">
      <c r="O828" s="27"/>
    </row>
    <row r="829">
      <c r="O829" s="27"/>
    </row>
    <row r="830">
      <c r="O830" s="27"/>
    </row>
    <row r="831">
      <c r="O831" s="27"/>
    </row>
    <row r="832">
      <c r="O832" s="27"/>
    </row>
    <row r="833">
      <c r="O833" s="27"/>
    </row>
    <row r="834">
      <c r="O834" s="27"/>
    </row>
    <row r="835">
      <c r="O835" s="27"/>
    </row>
    <row r="836">
      <c r="O836" s="27"/>
    </row>
    <row r="837">
      <c r="O837" s="27"/>
    </row>
    <row r="838">
      <c r="O838" s="27"/>
    </row>
    <row r="839">
      <c r="O839" s="27"/>
    </row>
    <row r="840">
      <c r="O840" s="27"/>
    </row>
    <row r="841">
      <c r="O841" s="27"/>
    </row>
    <row r="842">
      <c r="O842" s="27"/>
    </row>
    <row r="843">
      <c r="O843" s="27"/>
    </row>
    <row r="844">
      <c r="O844" s="27"/>
    </row>
    <row r="845">
      <c r="O845" s="27"/>
    </row>
    <row r="846">
      <c r="O846" s="27"/>
    </row>
    <row r="847">
      <c r="O847" s="27"/>
    </row>
    <row r="848">
      <c r="O848" s="27"/>
    </row>
    <row r="849">
      <c r="O849" s="27"/>
    </row>
    <row r="850">
      <c r="O850" s="27"/>
    </row>
    <row r="851">
      <c r="O851" s="27"/>
    </row>
    <row r="852">
      <c r="O852" s="27"/>
    </row>
    <row r="853">
      <c r="O853" s="27"/>
    </row>
    <row r="854">
      <c r="O854" s="27"/>
    </row>
    <row r="855">
      <c r="O855" s="27"/>
    </row>
    <row r="856">
      <c r="O856" s="27"/>
    </row>
    <row r="857">
      <c r="O857" s="27"/>
    </row>
    <row r="858">
      <c r="O858" s="27"/>
    </row>
    <row r="859">
      <c r="O859" s="27"/>
    </row>
    <row r="860">
      <c r="O860" s="27"/>
    </row>
    <row r="861">
      <c r="O861" s="27"/>
    </row>
    <row r="862">
      <c r="O862" s="27"/>
    </row>
    <row r="863">
      <c r="O863" s="27"/>
    </row>
    <row r="864">
      <c r="O864" s="27"/>
    </row>
    <row r="865">
      <c r="O865" s="27"/>
    </row>
    <row r="866">
      <c r="O866" s="27"/>
    </row>
    <row r="867">
      <c r="O867" s="27"/>
    </row>
    <row r="868">
      <c r="O868" s="27"/>
    </row>
    <row r="869">
      <c r="O869" s="27"/>
    </row>
    <row r="870">
      <c r="O870" s="27"/>
    </row>
    <row r="871">
      <c r="O871" s="27"/>
    </row>
    <row r="872">
      <c r="O872" s="27"/>
    </row>
    <row r="873">
      <c r="O873" s="27"/>
    </row>
    <row r="874">
      <c r="O874" s="27"/>
    </row>
    <row r="875">
      <c r="O875" s="27"/>
    </row>
    <row r="876">
      <c r="O876" s="27"/>
    </row>
    <row r="877">
      <c r="O877" s="27"/>
    </row>
    <row r="878">
      <c r="O878" s="27"/>
    </row>
    <row r="879">
      <c r="O879" s="27"/>
    </row>
    <row r="880">
      <c r="O880" s="27"/>
    </row>
    <row r="881">
      <c r="O881" s="27"/>
    </row>
    <row r="882">
      <c r="O882" s="27"/>
    </row>
    <row r="883">
      <c r="O883" s="27"/>
    </row>
    <row r="884">
      <c r="O884" s="27"/>
    </row>
    <row r="885">
      <c r="O885" s="27"/>
    </row>
    <row r="886">
      <c r="O886" s="27"/>
    </row>
    <row r="887">
      <c r="O887" s="27"/>
    </row>
    <row r="888">
      <c r="O888" s="27"/>
    </row>
    <row r="889">
      <c r="O889" s="27"/>
    </row>
    <row r="890">
      <c r="O890" s="27"/>
    </row>
    <row r="891">
      <c r="O891" s="27"/>
    </row>
    <row r="892">
      <c r="O892" s="27"/>
    </row>
    <row r="893">
      <c r="O893" s="27"/>
    </row>
    <row r="894">
      <c r="O894" s="27"/>
    </row>
    <row r="895">
      <c r="O895" s="27"/>
    </row>
    <row r="896">
      <c r="O896" s="27"/>
    </row>
    <row r="897">
      <c r="O897" s="27"/>
    </row>
    <row r="898">
      <c r="O898" s="27"/>
    </row>
    <row r="899">
      <c r="O899" s="27"/>
    </row>
    <row r="900">
      <c r="O900" s="27"/>
    </row>
    <row r="901">
      <c r="O901" s="27"/>
    </row>
    <row r="902">
      <c r="O902" s="27"/>
    </row>
    <row r="903">
      <c r="O903" s="27"/>
    </row>
    <row r="904">
      <c r="O904" s="27"/>
    </row>
    <row r="905">
      <c r="O905" s="27"/>
    </row>
    <row r="906">
      <c r="O906" s="27"/>
    </row>
    <row r="907">
      <c r="O907" s="27"/>
    </row>
    <row r="908">
      <c r="O908" s="27"/>
    </row>
    <row r="909">
      <c r="O909" s="27"/>
    </row>
    <row r="910">
      <c r="O910" s="27"/>
    </row>
    <row r="911">
      <c r="O911" s="27"/>
    </row>
    <row r="912">
      <c r="O912" s="27"/>
    </row>
    <row r="913">
      <c r="O913" s="27"/>
    </row>
    <row r="914">
      <c r="O914" s="27"/>
    </row>
    <row r="915">
      <c r="O915" s="27"/>
    </row>
    <row r="916">
      <c r="O916" s="27"/>
    </row>
    <row r="917">
      <c r="O917" s="27"/>
    </row>
    <row r="918">
      <c r="O918" s="27"/>
    </row>
    <row r="919">
      <c r="O919" s="27"/>
    </row>
    <row r="920">
      <c r="O920" s="27"/>
    </row>
    <row r="921">
      <c r="O921" s="27"/>
    </row>
    <row r="922">
      <c r="O922" s="27"/>
    </row>
    <row r="923">
      <c r="O923" s="27"/>
    </row>
    <row r="924">
      <c r="O924" s="27"/>
    </row>
    <row r="925">
      <c r="O925" s="27"/>
    </row>
    <row r="926">
      <c r="O926" s="27"/>
    </row>
    <row r="927">
      <c r="O927" s="27"/>
    </row>
    <row r="928">
      <c r="O928" s="27"/>
    </row>
    <row r="929">
      <c r="O929" s="27"/>
    </row>
    <row r="930">
      <c r="O930" s="27"/>
    </row>
    <row r="931">
      <c r="O931" s="27"/>
    </row>
    <row r="932">
      <c r="O932" s="27"/>
    </row>
    <row r="933">
      <c r="O933" s="27"/>
    </row>
    <row r="934">
      <c r="O934" s="27"/>
    </row>
    <row r="935">
      <c r="O935" s="27"/>
    </row>
    <row r="936">
      <c r="O936" s="27"/>
    </row>
    <row r="937">
      <c r="O937" s="27"/>
    </row>
    <row r="938">
      <c r="O938" s="27"/>
    </row>
    <row r="939">
      <c r="O939" s="27"/>
    </row>
    <row r="940">
      <c r="O940" s="27"/>
    </row>
    <row r="941">
      <c r="O941" s="27"/>
    </row>
    <row r="942">
      <c r="O942" s="27"/>
    </row>
    <row r="943">
      <c r="O943" s="27"/>
    </row>
    <row r="944">
      <c r="O944" s="27"/>
    </row>
    <row r="945">
      <c r="O945" s="27"/>
    </row>
    <row r="946">
      <c r="O946" s="27"/>
    </row>
    <row r="947">
      <c r="O947" s="27"/>
    </row>
    <row r="948">
      <c r="O948" s="27"/>
    </row>
    <row r="949">
      <c r="O949" s="27"/>
    </row>
    <row r="950">
      <c r="O950" s="27"/>
    </row>
    <row r="951">
      <c r="O951" s="27"/>
    </row>
    <row r="952">
      <c r="O952" s="27"/>
    </row>
    <row r="953">
      <c r="O953" s="27"/>
    </row>
    <row r="954">
      <c r="O954" s="27"/>
    </row>
    <row r="955">
      <c r="O955" s="27"/>
    </row>
    <row r="956">
      <c r="O956" s="27"/>
    </row>
    <row r="957">
      <c r="O957" s="27"/>
    </row>
    <row r="958">
      <c r="O958" s="27"/>
    </row>
    <row r="959">
      <c r="O959" s="27"/>
    </row>
    <row r="960">
      <c r="O960" s="27"/>
    </row>
    <row r="961">
      <c r="O961" s="27"/>
    </row>
    <row r="962">
      <c r="O962" s="27"/>
    </row>
    <row r="963">
      <c r="O963" s="27"/>
    </row>
    <row r="964">
      <c r="O964" s="27"/>
    </row>
    <row r="965">
      <c r="O965" s="27"/>
    </row>
    <row r="966">
      <c r="O966" s="27"/>
    </row>
    <row r="967">
      <c r="O967" s="27"/>
    </row>
    <row r="968">
      <c r="O968" s="27"/>
    </row>
    <row r="969">
      <c r="O969" s="27"/>
    </row>
    <row r="970">
      <c r="O970" s="27"/>
    </row>
    <row r="971">
      <c r="O971" s="27"/>
    </row>
    <row r="972">
      <c r="O972" s="27"/>
    </row>
    <row r="973">
      <c r="O973" s="27"/>
    </row>
    <row r="974">
      <c r="O974" s="27"/>
    </row>
    <row r="975">
      <c r="O975" s="27"/>
    </row>
    <row r="976">
      <c r="O976" s="27"/>
    </row>
    <row r="977">
      <c r="O977" s="27"/>
    </row>
    <row r="978">
      <c r="O978" s="27"/>
    </row>
    <row r="979">
      <c r="O979" s="27"/>
    </row>
    <row r="980">
      <c r="O980" s="27"/>
    </row>
    <row r="981">
      <c r="O981" s="27"/>
    </row>
    <row r="982">
      <c r="O982" s="27"/>
    </row>
    <row r="983">
      <c r="O983" s="27"/>
    </row>
    <row r="984">
      <c r="O984" s="27"/>
    </row>
    <row r="985">
      <c r="O985" s="27"/>
    </row>
    <row r="986">
      <c r="O986" s="27"/>
    </row>
    <row r="987">
      <c r="O987" s="27"/>
    </row>
    <row r="988">
      <c r="O988" s="27"/>
    </row>
    <row r="989">
      <c r="O989" s="27"/>
    </row>
    <row r="990">
      <c r="O990" s="27"/>
    </row>
    <row r="991">
      <c r="O991" s="27"/>
    </row>
    <row r="992">
      <c r="O992" s="27"/>
    </row>
    <row r="993">
      <c r="O993" s="27"/>
    </row>
    <row r="994">
      <c r="O994" s="27"/>
    </row>
    <row r="995">
      <c r="O995" s="27"/>
    </row>
    <row r="996">
      <c r="O996" s="27"/>
    </row>
    <row r="997">
      <c r="O997" s="27"/>
    </row>
    <row r="998">
      <c r="O998" s="27"/>
    </row>
    <row r="999">
      <c r="O999" s="27"/>
    </row>
  </sheetData>
  <dataValidations>
    <dataValidation type="list" allowBlank="1" showErrorMessage="1" sqref="J11:J99">
      <formula1>"Fail,Pass"</formula1>
    </dataValidation>
    <dataValidation type="list" allowBlank="1" showErrorMessage="1" sqref="O11:O999">
      <formula1>"Solved,Unsolved"</formula1>
    </dataValidation>
    <dataValidation type="list" allowBlank="1" showErrorMessage="1" sqref="K11:K99">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 r:id="rId41" ref="L51"/>
    <hyperlink r:id="rId42" ref="L52"/>
    <hyperlink r:id="rId43" ref="L53"/>
    <hyperlink r:id="rId44" ref="L54"/>
    <hyperlink r:id="rId45" ref="L55"/>
    <hyperlink r:id="rId46" ref="L56"/>
    <hyperlink r:id="rId47" ref="L57"/>
  </hyperlinks>
  <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28"/>
      <c r="B1" s="28"/>
      <c r="C1" s="28"/>
      <c r="D1" s="28"/>
      <c r="E1" s="1"/>
      <c r="F1" s="1"/>
      <c r="G1" s="28"/>
      <c r="H1" s="28"/>
      <c r="I1" s="28"/>
      <c r="J1" s="28"/>
      <c r="K1" s="28"/>
      <c r="L1" s="28"/>
      <c r="M1" s="28"/>
      <c r="N1" s="28"/>
      <c r="O1" s="28"/>
      <c r="P1" s="28"/>
    </row>
    <row r="2">
      <c r="A2" s="29" t="s">
        <v>0</v>
      </c>
      <c r="B2" s="30"/>
      <c r="C2" s="28"/>
      <c r="D2" s="4" t="s">
        <v>2</v>
      </c>
      <c r="E2" s="4" t="s">
        <v>3</v>
      </c>
      <c r="F2" s="28"/>
      <c r="G2" s="28"/>
      <c r="H2" s="28"/>
      <c r="I2" s="28"/>
      <c r="J2" s="28"/>
      <c r="K2" s="28"/>
      <c r="L2" s="28"/>
      <c r="M2" s="28"/>
      <c r="N2" s="28"/>
      <c r="O2" s="28"/>
      <c r="P2" s="28"/>
    </row>
    <row r="3">
      <c r="A3" s="29" t="s">
        <v>4</v>
      </c>
      <c r="B3" s="31"/>
      <c r="C3" s="28"/>
      <c r="D3" s="7" t="s">
        <v>6</v>
      </c>
      <c r="E3" s="32">
        <f>COUNTIF(K14:K1005, "High")</f>
        <v>0</v>
      </c>
      <c r="F3" s="28"/>
      <c r="G3" s="28"/>
      <c r="H3" s="28"/>
      <c r="I3" s="28"/>
      <c r="J3" s="28"/>
      <c r="K3" s="28"/>
      <c r="L3" s="28"/>
      <c r="M3" s="28"/>
      <c r="N3" s="28"/>
      <c r="O3" s="28"/>
      <c r="P3" s="28"/>
    </row>
    <row r="4">
      <c r="A4" s="29" t="s">
        <v>7</v>
      </c>
      <c r="B4" s="33"/>
      <c r="C4" s="28"/>
      <c r="D4" s="7" t="s">
        <v>8</v>
      </c>
      <c r="E4" s="32">
        <f>COUNTIF(K14:K1006, "Medium")</f>
        <v>0</v>
      </c>
      <c r="F4" s="28"/>
      <c r="G4" s="28"/>
      <c r="H4" s="28"/>
      <c r="I4" s="28"/>
      <c r="J4" s="28"/>
      <c r="K4" s="28"/>
      <c r="L4" s="28"/>
      <c r="M4" s="28"/>
      <c r="N4" s="28"/>
      <c r="O4" s="28"/>
      <c r="P4" s="28"/>
    </row>
    <row r="5">
      <c r="A5" s="29" t="s">
        <v>9</v>
      </c>
      <c r="B5" s="34"/>
      <c r="C5" s="28"/>
      <c r="D5" s="7" t="s">
        <v>11</v>
      </c>
      <c r="E5" s="32">
        <f>COUNTIF(K14:K1007, "Low") </f>
        <v>0</v>
      </c>
      <c r="F5" s="28"/>
      <c r="G5" s="28"/>
      <c r="H5" s="28"/>
      <c r="I5" s="28"/>
      <c r="J5" s="28"/>
      <c r="K5" s="28"/>
      <c r="L5" s="28"/>
      <c r="M5" s="28"/>
      <c r="N5" s="28"/>
      <c r="O5" s="28"/>
      <c r="P5" s="28"/>
    </row>
    <row r="6">
      <c r="A6" s="29" t="s">
        <v>12</v>
      </c>
      <c r="B6" s="34"/>
      <c r="C6" s="28"/>
      <c r="D6" s="28"/>
      <c r="E6" s="28"/>
      <c r="F6" s="28"/>
      <c r="G6" s="28"/>
      <c r="H6" s="28"/>
      <c r="I6" s="28"/>
      <c r="J6" s="28"/>
      <c r="K6" s="28"/>
      <c r="L6" s="28"/>
      <c r="M6" s="28"/>
      <c r="N6" s="28"/>
      <c r="O6" s="28"/>
      <c r="P6" s="28"/>
    </row>
    <row r="7">
      <c r="A7" s="35" t="s">
        <v>13</v>
      </c>
      <c r="B7" s="34"/>
      <c r="C7" s="28"/>
      <c r="D7" s="36" t="s">
        <v>14</v>
      </c>
      <c r="E7" s="37">
        <f>SUM(E3:E5)</f>
        <v>0</v>
      </c>
      <c r="F7" s="28"/>
      <c r="G7" s="28"/>
      <c r="H7" s="28"/>
      <c r="I7" s="28"/>
      <c r="J7" s="28"/>
      <c r="K7" s="28"/>
      <c r="L7" s="28"/>
      <c r="M7" s="28"/>
      <c r="N7" s="28"/>
      <c r="O7" s="28"/>
      <c r="P7" s="28"/>
    </row>
    <row r="8">
      <c r="A8" s="28"/>
      <c r="B8" s="28"/>
      <c r="C8" s="28"/>
      <c r="D8" s="36" t="s">
        <v>15</v>
      </c>
      <c r="E8" s="34"/>
      <c r="F8" s="28"/>
      <c r="G8" s="28"/>
      <c r="H8" s="28"/>
      <c r="I8" s="28"/>
      <c r="J8" s="28"/>
      <c r="K8" s="28"/>
      <c r="L8" s="28"/>
      <c r="M8" s="28"/>
      <c r="N8" s="28"/>
      <c r="O8" s="28"/>
      <c r="P8" s="28"/>
    </row>
    <row r="9">
      <c r="A9" s="28"/>
      <c r="B9" s="28"/>
      <c r="C9" s="28"/>
      <c r="D9" s="28"/>
      <c r="E9" s="28"/>
      <c r="F9" s="28"/>
      <c r="G9" s="28"/>
      <c r="H9" s="28"/>
      <c r="I9" s="28"/>
      <c r="J9" s="28"/>
      <c r="K9" s="28"/>
      <c r="L9" s="28"/>
      <c r="M9" s="28"/>
      <c r="N9" s="28"/>
      <c r="O9" s="28"/>
      <c r="P9" s="28"/>
    </row>
    <row r="10">
      <c r="A10" s="28"/>
      <c r="B10" s="28"/>
      <c r="C10" s="28"/>
      <c r="D10" s="28"/>
      <c r="E10" s="28"/>
      <c r="F10" s="28"/>
      <c r="G10" s="28"/>
      <c r="H10" s="28"/>
      <c r="I10" s="28"/>
      <c r="J10" s="28"/>
      <c r="K10" s="28"/>
      <c r="L10" s="28"/>
      <c r="M10" s="28"/>
      <c r="N10" s="28"/>
      <c r="O10" s="28"/>
      <c r="P10" s="28"/>
    </row>
    <row r="11">
      <c r="A11" s="28"/>
      <c r="B11" s="28"/>
      <c r="C11" s="28"/>
      <c r="D11" s="28"/>
      <c r="E11" s="28"/>
      <c r="F11" s="28"/>
      <c r="G11" s="28"/>
      <c r="H11" s="28"/>
      <c r="I11" s="28"/>
      <c r="J11" s="28"/>
      <c r="K11" s="28"/>
      <c r="L11" s="28"/>
      <c r="M11" s="28"/>
      <c r="N11" s="28"/>
      <c r="O11" s="28"/>
      <c r="P11" s="28"/>
    </row>
    <row r="12">
      <c r="A12" s="28"/>
      <c r="B12" s="28"/>
      <c r="C12" s="28"/>
      <c r="D12" s="28"/>
      <c r="E12" s="28"/>
      <c r="F12" s="28"/>
      <c r="G12" s="28"/>
      <c r="H12" s="28"/>
      <c r="I12" s="28"/>
      <c r="J12" s="28"/>
      <c r="K12" s="28"/>
      <c r="L12" s="28"/>
      <c r="M12" s="28"/>
      <c r="N12" s="28"/>
      <c r="O12" s="28"/>
      <c r="P12" s="28"/>
    </row>
    <row r="13">
      <c r="A13" s="28"/>
      <c r="B13" s="28"/>
      <c r="C13" s="28"/>
      <c r="D13" s="28"/>
      <c r="E13" s="28"/>
      <c r="F13" s="28"/>
      <c r="G13" s="28"/>
      <c r="H13" s="28"/>
      <c r="I13" s="28"/>
      <c r="J13" s="28"/>
      <c r="K13" s="28"/>
      <c r="L13" s="28"/>
      <c r="M13" s="28"/>
      <c r="N13" s="28"/>
      <c r="O13" s="28"/>
      <c r="P13" s="28"/>
    </row>
    <row r="14">
      <c r="A14" s="38" t="s">
        <v>16</v>
      </c>
      <c r="B14" s="38" t="s">
        <v>17</v>
      </c>
      <c r="C14" s="38" t="s">
        <v>18</v>
      </c>
      <c r="D14" s="38" t="s">
        <v>19</v>
      </c>
      <c r="E14" s="38" t="s">
        <v>20</v>
      </c>
      <c r="F14" s="38" t="s">
        <v>21</v>
      </c>
      <c r="G14" s="38" t="s">
        <v>22</v>
      </c>
      <c r="H14" s="38" t="s">
        <v>23</v>
      </c>
      <c r="I14" s="38" t="s">
        <v>24</v>
      </c>
      <c r="J14" s="38" t="s">
        <v>25</v>
      </c>
      <c r="K14" s="38" t="s">
        <v>2</v>
      </c>
      <c r="L14" s="38" t="s">
        <v>26</v>
      </c>
      <c r="M14" s="38" t="s">
        <v>27</v>
      </c>
      <c r="N14" s="38" t="s">
        <v>29</v>
      </c>
      <c r="O14" s="28"/>
      <c r="P14" s="28"/>
    </row>
    <row r="15">
      <c r="A15" s="39"/>
      <c r="B15" s="39"/>
      <c r="C15" s="39"/>
      <c r="D15" s="39"/>
      <c r="E15" s="39"/>
      <c r="F15" s="39"/>
      <c r="G15" s="39"/>
      <c r="H15" s="39"/>
      <c r="I15" s="39"/>
      <c r="J15" s="39"/>
      <c r="K15" s="39"/>
      <c r="L15" s="40"/>
      <c r="M15" s="39"/>
      <c r="N15" s="39"/>
      <c r="O15" s="28"/>
      <c r="P15" s="28"/>
    </row>
    <row r="16">
      <c r="A16" s="41"/>
      <c r="B16" s="41"/>
      <c r="C16" s="41"/>
      <c r="D16" s="41"/>
      <c r="E16" s="41"/>
      <c r="F16" s="41"/>
      <c r="G16" s="41"/>
      <c r="H16" s="41"/>
      <c r="I16" s="41"/>
      <c r="J16" s="41"/>
      <c r="K16" s="41"/>
      <c r="L16" s="42"/>
      <c r="M16" s="41"/>
      <c r="N16" s="43"/>
      <c r="O16" s="28"/>
      <c r="P16" s="28"/>
    </row>
    <row r="17">
      <c r="A17" s="44"/>
      <c r="B17" s="39"/>
      <c r="C17" s="39"/>
      <c r="D17" s="39"/>
      <c r="E17" s="39"/>
      <c r="F17" s="39"/>
      <c r="G17" s="39"/>
      <c r="H17" s="39"/>
      <c r="I17" s="39"/>
      <c r="J17" s="39"/>
      <c r="K17" s="39"/>
      <c r="L17" s="40"/>
      <c r="M17" s="39"/>
      <c r="N17" s="39"/>
      <c r="O17" s="28"/>
      <c r="P17" s="28"/>
    </row>
    <row r="18">
      <c r="A18" s="39"/>
      <c r="B18" s="41"/>
      <c r="C18" s="41"/>
      <c r="D18" s="41"/>
      <c r="E18" s="41"/>
      <c r="F18" s="41"/>
      <c r="G18" s="41"/>
      <c r="H18" s="41"/>
      <c r="I18" s="41"/>
      <c r="J18" s="41"/>
      <c r="K18" s="41"/>
      <c r="L18" s="42"/>
      <c r="M18" s="41"/>
      <c r="N18" s="43"/>
      <c r="O18" s="28"/>
      <c r="P18" s="28"/>
    </row>
    <row r="19">
      <c r="A19" s="41"/>
      <c r="B19" s="39"/>
      <c r="C19" s="39"/>
      <c r="D19" s="39"/>
      <c r="E19" s="39"/>
      <c r="F19" s="39"/>
      <c r="G19" s="39"/>
      <c r="H19" s="39"/>
      <c r="I19" s="39"/>
      <c r="J19" s="39"/>
      <c r="K19" s="39"/>
      <c r="L19" s="40"/>
      <c r="M19" s="39"/>
      <c r="N19" s="39"/>
      <c r="O19" s="28"/>
      <c r="P19" s="28"/>
    </row>
    <row r="20">
      <c r="A20" s="44"/>
      <c r="B20" s="41"/>
      <c r="C20" s="41"/>
      <c r="D20" s="41"/>
      <c r="E20" s="41"/>
      <c r="F20" s="41"/>
      <c r="G20" s="41"/>
      <c r="H20" s="41"/>
      <c r="I20" s="41"/>
      <c r="J20" s="41"/>
      <c r="K20" s="41"/>
      <c r="L20" s="42"/>
      <c r="M20" s="41"/>
      <c r="N20" s="43"/>
      <c r="O20" s="28"/>
      <c r="P20" s="28"/>
    </row>
    <row r="21">
      <c r="A21" s="39"/>
      <c r="B21" s="39"/>
      <c r="C21" s="39"/>
      <c r="D21" s="39"/>
      <c r="E21" s="39"/>
      <c r="F21" s="39"/>
      <c r="G21" s="39"/>
      <c r="H21" s="39"/>
      <c r="I21" s="39"/>
      <c r="J21" s="39"/>
      <c r="K21" s="39"/>
      <c r="L21" s="40"/>
      <c r="M21" s="39"/>
      <c r="N21" s="39"/>
      <c r="O21" s="28"/>
      <c r="P21" s="28"/>
    </row>
    <row r="22">
      <c r="A22" s="41"/>
      <c r="B22" s="41"/>
      <c r="C22" s="41"/>
      <c r="D22" s="41"/>
      <c r="E22" s="41"/>
      <c r="F22" s="41"/>
      <c r="G22" s="41"/>
      <c r="H22" s="41"/>
      <c r="I22" s="41"/>
      <c r="J22" s="41"/>
      <c r="K22" s="41"/>
      <c r="L22" s="42"/>
      <c r="M22" s="41"/>
      <c r="N22" s="43"/>
      <c r="O22" s="28"/>
      <c r="P22" s="28"/>
    </row>
    <row r="23">
      <c r="A23" s="44"/>
      <c r="B23" s="39"/>
      <c r="C23" s="39"/>
      <c r="D23" s="39"/>
      <c r="E23" s="39"/>
      <c r="F23" s="39"/>
      <c r="G23" s="39"/>
      <c r="H23" s="39"/>
      <c r="I23" s="39"/>
      <c r="J23" s="39"/>
      <c r="K23" s="39"/>
      <c r="L23" s="40"/>
      <c r="M23" s="39"/>
      <c r="N23" s="39"/>
      <c r="O23" s="28"/>
      <c r="P23" s="28"/>
    </row>
    <row r="24">
      <c r="A24" s="39"/>
      <c r="B24" s="41"/>
      <c r="C24" s="41"/>
      <c r="D24" s="41"/>
      <c r="E24" s="41"/>
      <c r="F24" s="41"/>
      <c r="G24" s="41"/>
      <c r="H24" s="41"/>
      <c r="I24" s="41"/>
      <c r="J24" s="41"/>
      <c r="K24" s="41"/>
      <c r="L24" s="42"/>
      <c r="M24" s="41"/>
      <c r="N24" s="43"/>
      <c r="O24" s="28"/>
      <c r="P24" s="28"/>
    </row>
    <row r="25">
      <c r="A25" s="41"/>
      <c r="B25" s="39"/>
      <c r="C25" s="39"/>
      <c r="D25" s="39"/>
      <c r="E25" s="39"/>
      <c r="F25" s="39"/>
      <c r="G25" s="39"/>
      <c r="H25" s="39"/>
      <c r="I25" s="39"/>
      <c r="J25" s="39"/>
      <c r="K25" s="39"/>
      <c r="L25" s="40"/>
      <c r="M25" s="39"/>
      <c r="N25" s="39"/>
      <c r="O25" s="28"/>
      <c r="P25" s="28"/>
    </row>
    <row r="26">
      <c r="A26" s="44"/>
      <c r="B26" s="41"/>
      <c r="C26" s="41"/>
      <c r="D26" s="41"/>
      <c r="E26" s="41"/>
      <c r="F26" s="41"/>
      <c r="G26" s="41"/>
      <c r="H26" s="41"/>
      <c r="I26" s="41"/>
      <c r="J26" s="41"/>
      <c r="K26" s="41"/>
      <c r="L26" s="42"/>
      <c r="M26" s="41"/>
      <c r="N26" s="43"/>
      <c r="O26" s="28"/>
      <c r="P26" s="28"/>
    </row>
    <row r="27">
      <c r="A27" s="39"/>
      <c r="B27" s="39"/>
      <c r="C27" s="39"/>
      <c r="D27" s="39"/>
      <c r="E27" s="39"/>
      <c r="F27" s="39"/>
      <c r="G27" s="39"/>
      <c r="H27" s="39"/>
      <c r="I27" s="39"/>
      <c r="J27" s="39"/>
      <c r="K27" s="39"/>
      <c r="L27" s="40"/>
      <c r="M27" s="39"/>
      <c r="N27" s="39"/>
      <c r="O27" s="28"/>
      <c r="P27" s="28"/>
    </row>
    <row r="28">
      <c r="A28" s="41"/>
      <c r="B28" s="41"/>
      <c r="C28" s="41"/>
      <c r="D28" s="41"/>
      <c r="E28" s="41"/>
      <c r="F28" s="41"/>
      <c r="G28" s="41"/>
      <c r="H28" s="41"/>
      <c r="I28" s="41"/>
      <c r="J28" s="41"/>
      <c r="K28" s="41"/>
      <c r="L28" s="42"/>
      <c r="M28" s="41"/>
      <c r="N28" s="43"/>
      <c r="O28" s="28"/>
      <c r="P28" s="28"/>
    </row>
    <row r="29">
      <c r="A29" s="44"/>
      <c r="B29" s="39"/>
      <c r="C29" s="39"/>
      <c r="D29" s="39"/>
      <c r="E29" s="39"/>
      <c r="F29" s="39"/>
      <c r="G29" s="39"/>
      <c r="H29" s="39"/>
      <c r="I29" s="39"/>
      <c r="J29" s="39"/>
      <c r="K29" s="39"/>
      <c r="L29" s="40"/>
      <c r="M29" s="39"/>
      <c r="N29" s="39"/>
      <c r="O29" s="28"/>
      <c r="P29" s="28"/>
    </row>
    <row r="30">
      <c r="A30" s="39"/>
      <c r="B30" s="41"/>
      <c r="C30" s="41"/>
      <c r="D30" s="41"/>
      <c r="E30" s="41"/>
      <c r="F30" s="41"/>
      <c r="G30" s="41"/>
      <c r="H30" s="41"/>
      <c r="I30" s="41"/>
      <c r="J30" s="41"/>
      <c r="K30" s="41"/>
      <c r="L30" s="42"/>
      <c r="M30" s="41"/>
      <c r="N30" s="43"/>
      <c r="O30" s="28"/>
      <c r="P30" s="28"/>
    </row>
    <row r="31">
      <c r="A31" s="41"/>
      <c r="B31" s="39"/>
      <c r="C31" s="39"/>
      <c r="D31" s="39"/>
      <c r="E31" s="39"/>
      <c r="F31" s="39"/>
      <c r="G31" s="39"/>
      <c r="H31" s="39"/>
      <c r="I31" s="39"/>
      <c r="J31" s="39"/>
      <c r="K31" s="39"/>
      <c r="L31" s="40"/>
      <c r="M31" s="39"/>
      <c r="N31" s="39"/>
      <c r="O31" s="28"/>
      <c r="P31" s="28"/>
    </row>
    <row r="32">
      <c r="A32" s="44"/>
      <c r="B32" s="41"/>
      <c r="C32" s="41"/>
      <c r="D32" s="41"/>
      <c r="E32" s="41"/>
      <c r="F32" s="41"/>
      <c r="G32" s="41"/>
      <c r="H32" s="41"/>
      <c r="I32" s="41"/>
      <c r="J32" s="41"/>
      <c r="K32" s="41"/>
      <c r="L32" s="42"/>
      <c r="M32" s="41"/>
      <c r="N32" s="43"/>
      <c r="O32" s="28"/>
      <c r="P32" s="28"/>
    </row>
    <row r="33">
      <c r="A33" s="39"/>
      <c r="B33" s="39"/>
      <c r="C33" s="39"/>
      <c r="D33" s="39"/>
      <c r="E33" s="39"/>
      <c r="F33" s="39"/>
      <c r="G33" s="39"/>
      <c r="H33" s="39"/>
      <c r="I33" s="39"/>
      <c r="J33" s="39"/>
      <c r="K33" s="39"/>
      <c r="L33" s="40"/>
      <c r="M33" s="39"/>
      <c r="N33" s="39"/>
      <c r="O33" s="28"/>
      <c r="P33" s="28"/>
    </row>
    <row r="34">
      <c r="A34" s="41"/>
      <c r="B34" s="41"/>
      <c r="C34" s="41"/>
      <c r="D34" s="41"/>
      <c r="E34" s="41"/>
      <c r="F34" s="41"/>
      <c r="G34" s="41"/>
      <c r="H34" s="41"/>
      <c r="I34" s="41"/>
      <c r="J34" s="41"/>
      <c r="K34" s="41"/>
      <c r="L34" s="42"/>
      <c r="M34" s="41"/>
      <c r="N34" s="43"/>
      <c r="O34" s="28"/>
      <c r="P34" s="28"/>
    </row>
    <row r="35">
      <c r="A35" s="44"/>
      <c r="B35" s="39"/>
      <c r="C35" s="39"/>
      <c r="D35" s="39"/>
      <c r="E35" s="39"/>
      <c r="F35" s="39"/>
      <c r="G35" s="39"/>
      <c r="H35" s="39"/>
      <c r="I35" s="39"/>
      <c r="J35" s="39"/>
      <c r="K35" s="39"/>
      <c r="L35" s="40"/>
      <c r="M35" s="39"/>
      <c r="N35" s="39"/>
      <c r="O35" s="28"/>
      <c r="P35" s="28"/>
    </row>
    <row r="36">
      <c r="A36" s="39"/>
      <c r="B36" s="41"/>
      <c r="C36" s="41"/>
      <c r="D36" s="41"/>
      <c r="E36" s="41"/>
      <c r="F36" s="41"/>
      <c r="G36" s="41"/>
      <c r="H36" s="41"/>
      <c r="I36" s="41"/>
      <c r="J36" s="41"/>
      <c r="K36" s="41"/>
      <c r="L36" s="42"/>
      <c r="M36" s="41"/>
      <c r="N36" s="43"/>
      <c r="O36" s="28"/>
      <c r="P36" s="28"/>
    </row>
    <row r="37">
      <c r="A37" s="41"/>
      <c r="B37" s="39"/>
      <c r="C37" s="39"/>
      <c r="D37" s="39"/>
      <c r="E37" s="39"/>
      <c r="F37" s="39"/>
      <c r="G37" s="39"/>
      <c r="H37" s="39"/>
      <c r="I37" s="39"/>
      <c r="J37" s="39"/>
      <c r="K37" s="39"/>
      <c r="L37" s="40"/>
      <c r="M37" s="39"/>
      <c r="N37" s="39"/>
      <c r="O37" s="28"/>
      <c r="P37" s="28"/>
    </row>
    <row r="38">
      <c r="A38" s="44"/>
      <c r="B38" s="41"/>
      <c r="C38" s="41"/>
      <c r="D38" s="41"/>
      <c r="E38" s="41"/>
      <c r="F38" s="41"/>
      <c r="G38" s="41"/>
      <c r="H38" s="41"/>
      <c r="I38" s="41"/>
      <c r="J38" s="41"/>
      <c r="K38" s="41"/>
      <c r="L38" s="42"/>
      <c r="M38" s="41"/>
      <c r="N38" s="43"/>
      <c r="O38" s="28"/>
      <c r="P38" s="28"/>
    </row>
    <row r="39">
      <c r="A39" s="39"/>
      <c r="B39" s="39"/>
      <c r="C39" s="39"/>
      <c r="D39" s="39"/>
      <c r="E39" s="39"/>
      <c r="F39" s="39"/>
      <c r="G39" s="39"/>
      <c r="H39" s="39"/>
      <c r="I39" s="39"/>
      <c r="J39" s="39"/>
      <c r="K39" s="39"/>
      <c r="L39" s="40"/>
      <c r="M39" s="39"/>
      <c r="N39" s="39"/>
      <c r="O39" s="28"/>
      <c r="P39" s="28"/>
    </row>
    <row r="40">
      <c r="A40" s="41"/>
      <c r="B40" s="41"/>
      <c r="C40" s="41"/>
      <c r="D40" s="41"/>
      <c r="E40" s="41"/>
      <c r="F40" s="41"/>
      <c r="G40" s="41"/>
      <c r="H40" s="41"/>
      <c r="I40" s="41"/>
      <c r="J40" s="41"/>
      <c r="K40" s="41"/>
      <c r="L40" s="42"/>
      <c r="M40" s="41"/>
      <c r="N40" s="43"/>
      <c r="O40" s="28"/>
      <c r="P40" s="28"/>
    </row>
    <row r="41">
      <c r="A41" s="44"/>
      <c r="B41" s="39"/>
      <c r="C41" s="39"/>
      <c r="D41" s="39"/>
      <c r="E41" s="39"/>
      <c r="F41" s="39"/>
      <c r="G41" s="39"/>
      <c r="H41" s="39"/>
      <c r="I41" s="39"/>
      <c r="J41" s="39"/>
      <c r="K41" s="39"/>
      <c r="L41" s="40"/>
      <c r="M41" s="39"/>
      <c r="N41" s="39"/>
      <c r="O41" s="28"/>
      <c r="P41" s="28"/>
    </row>
    <row r="42">
      <c r="A42" s="39"/>
      <c r="B42" s="41"/>
      <c r="C42" s="41"/>
      <c r="D42" s="41"/>
      <c r="E42" s="41"/>
      <c r="F42" s="41"/>
      <c r="G42" s="41"/>
      <c r="H42" s="41"/>
      <c r="I42" s="41"/>
      <c r="J42" s="41"/>
      <c r="K42" s="41"/>
      <c r="L42" s="42"/>
      <c r="M42" s="41"/>
      <c r="N42" s="43"/>
      <c r="O42" s="28"/>
      <c r="P42" s="28"/>
    </row>
    <row r="43">
      <c r="A43" s="41"/>
      <c r="B43" s="39"/>
      <c r="C43" s="39"/>
      <c r="D43" s="39"/>
      <c r="E43" s="39"/>
      <c r="F43" s="39"/>
      <c r="G43" s="39"/>
      <c r="H43" s="39"/>
      <c r="I43" s="39"/>
      <c r="J43" s="39"/>
      <c r="K43" s="39"/>
      <c r="L43" s="40"/>
      <c r="M43" s="39"/>
      <c r="N43" s="39"/>
      <c r="O43" s="28"/>
      <c r="P43" s="28"/>
    </row>
    <row r="44">
      <c r="A44" s="44"/>
      <c r="B44" s="41"/>
      <c r="C44" s="41"/>
      <c r="D44" s="41"/>
      <c r="E44" s="41"/>
      <c r="F44" s="41"/>
      <c r="G44" s="41"/>
      <c r="H44" s="41"/>
      <c r="I44" s="41"/>
      <c r="J44" s="41"/>
      <c r="K44" s="41"/>
      <c r="L44" s="42"/>
      <c r="M44" s="41"/>
      <c r="N44" s="43"/>
      <c r="O44" s="28"/>
      <c r="P44" s="28"/>
    </row>
    <row r="45">
      <c r="A45" s="39"/>
      <c r="B45" s="39"/>
      <c r="C45" s="39"/>
      <c r="D45" s="39"/>
      <c r="E45" s="39"/>
      <c r="F45" s="39"/>
      <c r="G45" s="39"/>
      <c r="H45" s="39"/>
      <c r="I45" s="39"/>
      <c r="J45" s="39"/>
      <c r="K45" s="39"/>
      <c r="L45" s="40"/>
      <c r="M45" s="39"/>
      <c r="N45" s="39"/>
      <c r="O45" s="28"/>
      <c r="P45" s="28"/>
    </row>
    <row r="46">
      <c r="A46" s="41"/>
      <c r="B46" s="41"/>
      <c r="C46" s="41"/>
      <c r="D46" s="41"/>
      <c r="E46" s="41"/>
      <c r="F46" s="41"/>
      <c r="G46" s="41"/>
      <c r="H46" s="41"/>
      <c r="I46" s="41"/>
      <c r="J46" s="41"/>
      <c r="K46" s="41"/>
      <c r="L46" s="42"/>
      <c r="M46" s="41"/>
      <c r="N46" s="43"/>
      <c r="O46" s="28"/>
      <c r="P46" s="28"/>
    </row>
    <row r="47">
      <c r="A47" s="44"/>
      <c r="B47" s="39"/>
      <c r="C47" s="39"/>
      <c r="D47" s="39"/>
      <c r="E47" s="39"/>
      <c r="F47" s="39"/>
      <c r="G47" s="39"/>
      <c r="H47" s="39"/>
      <c r="I47" s="39"/>
      <c r="J47" s="39"/>
      <c r="K47" s="39"/>
      <c r="L47" s="40"/>
      <c r="M47" s="39"/>
      <c r="N47" s="39"/>
      <c r="O47" s="28"/>
      <c r="P47" s="28"/>
    </row>
    <row r="48">
      <c r="A48" s="39"/>
      <c r="B48" s="41"/>
      <c r="C48" s="41"/>
      <c r="D48" s="41"/>
      <c r="E48" s="41"/>
      <c r="F48" s="41"/>
      <c r="G48" s="41"/>
      <c r="H48" s="41"/>
      <c r="I48" s="41"/>
      <c r="J48" s="41"/>
      <c r="K48" s="41"/>
      <c r="L48" s="42"/>
      <c r="M48" s="41"/>
      <c r="N48" s="43"/>
      <c r="O48" s="28"/>
      <c r="P48" s="28"/>
    </row>
    <row r="49">
      <c r="A49" s="41"/>
      <c r="B49" s="39"/>
      <c r="C49" s="39"/>
      <c r="D49" s="39"/>
      <c r="E49" s="39"/>
      <c r="F49" s="39"/>
      <c r="G49" s="39"/>
      <c r="H49" s="39"/>
      <c r="I49" s="39"/>
      <c r="J49" s="39"/>
      <c r="K49" s="39"/>
      <c r="L49" s="40"/>
      <c r="M49" s="39"/>
      <c r="N49" s="39"/>
      <c r="O49" s="28"/>
      <c r="P49" s="28"/>
    </row>
    <row r="50">
      <c r="A50" s="44"/>
      <c r="B50" s="41"/>
      <c r="C50" s="41"/>
      <c r="D50" s="41"/>
      <c r="E50" s="41"/>
      <c r="F50" s="41"/>
      <c r="G50" s="41"/>
      <c r="H50" s="41"/>
      <c r="I50" s="41"/>
      <c r="J50" s="41"/>
      <c r="K50" s="41"/>
      <c r="L50" s="42"/>
      <c r="M50" s="41"/>
      <c r="N50" s="43"/>
      <c r="O50" s="28"/>
      <c r="P50" s="28"/>
    </row>
    <row r="51">
      <c r="A51" s="39"/>
      <c r="B51" s="39"/>
      <c r="C51" s="39"/>
      <c r="D51" s="39"/>
      <c r="E51" s="39"/>
      <c r="F51" s="39"/>
      <c r="G51" s="39"/>
      <c r="H51" s="39"/>
      <c r="I51" s="39"/>
      <c r="J51" s="39"/>
      <c r="K51" s="39"/>
      <c r="L51" s="40"/>
      <c r="M51" s="39"/>
      <c r="N51" s="39"/>
      <c r="O51" s="28"/>
      <c r="P51" s="28"/>
    </row>
    <row r="52">
      <c r="A52" s="41"/>
      <c r="B52" s="41"/>
      <c r="C52" s="41"/>
      <c r="D52" s="41"/>
      <c r="E52" s="41"/>
      <c r="F52" s="41"/>
      <c r="G52" s="41"/>
      <c r="H52" s="41"/>
      <c r="I52" s="41"/>
      <c r="J52" s="41"/>
      <c r="K52" s="41"/>
      <c r="L52" s="42"/>
      <c r="M52" s="41"/>
      <c r="N52" s="43"/>
      <c r="O52" s="28"/>
      <c r="P52" s="28"/>
    </row>
    <row r="53">
      <c r="A53" s="44"/>
      <c r="B53" s="39"/>
      <c r="C53" s="39"/>
      <c r="D53" s="39"/>
      <c r="E53" s="39"/>
      <c r="F53" s="39"/>
      <c r="G53" s="39"/>
      <c r="H53" s="39"/>
      <c r="I53" s="39"/>
      <c r="J53" s="39"/>
      <c r="K53" s="39"/>
      <c r="L53" s="40"/>
      <c r="M53" s="39"/>
      <c r="N53" s="39"/>
      <c r="O53" s="28"/>
      <c r="P53" s="28"/>
    </row>
    <row r="54">
      <c r="A54" s="39"/>
      <c r="B54" s="41"/>
      <c r="C54" s="41"/>
      <c r="D54" s="41"/>
      <c r="E54" s="41"/>
      <c r="F54" s="41"/>
      <c r="G54" s="41"/>
      <c r="H54" s="41"/>
      <c r="I54" s="41"/>
      <c r="J54" s="41"/>
      <c r="K54" s="41"/>
      <c r="L54" s="42"/>
      <c r="M54" s="41"/>
      <c r="N54" s="43"/>
      <c r="O54" s="28"/>
      <c r="P54" s="28"/>
    </row>
    <row r="55">
      <c r="A55" s="41"/>
      <c r="B55" s="39"/>
      <c r="C55" s="39"/>
      <c r="D55" s="39"/>
      <c r="E55" s="39"/>
      <c r="F55" s="39"/>
      <c r="G55" s="39"/>
      <c r="H55" s="39"/>
      <c r="I55" s="39"/>
      <c r="J55" s="39"/>
      <c r="K55" s="39"/>
      <c r="L55" s="40"/>
      <c r="M55" s="39"/>
      <c r="N55" s="39"/>
      <c r="O55" s="28"/>
      <c r="P55" s="28"/>
    </row>
    <row r="56">
      <c r="A56" s="44"/>
      <c r="B56" s="41"/>
      <c r="C56" s="41"/>
      <c r="D56" s="41"/>
      <c r="E56" s="41"/>
      <c r="F56" s="41"/>
      <c r="G56" s="41"/>
      <c r="H56" s="41"/>
      <c r="I56" s="41"/>
      <c r="J56" s="41"/>
      <c r="K56" s="41"/>
      <c r="L56" s="42"/>
      <c r="M56" s="41"/>
      <c r="N56" s="43"/>
      <c r="O56" s="28"/>
      <c r="P56" s="28"/>
    </row>
    <row r="57">
      <c r="A57" s="39"/>
      <c r="B57" s="39"/>
      <c r="C57" s="39"/>
      <c r="D57" s="39"/>
      <c r="E57" s="39"/>
      <c r="F57" s="39"/>
      <c r="G57" s="39"/>
      <c r="H57" s="39"/>
      <c r="I57" s="39"/>
      <c r="J57" s="39"/>
      <c r="K57" s="39"/>
      <c r="L57" s="40"/>
      <c r="M57" s="39"/>
      <c r="N57" s="39"/>
      <c r="O57" s="28"/>
      <c r="P57" s="28"/>
    </row>
    <row r="58">
      <c r="A58" s="41"/>
      <c r="B58" s="41"/>
      <c r="C58" s="41"/>
      <c r="D58" s="41"/>
      <c r="E58" s="41"/>
      <c r="F58" s="41"/>
      <c r="G58" s="41"/>
      <c r="H58" s="41"/>
      <c r="I58" s="41"/>
      <c r="J58" s="41"/>
      <c r="K58" s="41"/>
      <c r="L58" s="42"/>
      <c r="M58" s="41"/>
      <c r="N58" s="43"/>
      <c r="O58" s="28"/>
      <c r="P58" s="28"/>
    </row>
    <row r="59">
      <c r="A59" s="44"/>
      <c r="B59" s="39"/>
      <c r="C59" s="39"/>
      <c r="D59" s="39"/>
      <c r="E59" s="39"/>
      <c r="F59" s="39"/>
      <c r="G59" s="39"/>
      <c r="H59" s="39"/>
      <c r="I59" s="39"/>
      <c r="J59" s="39"/>
      <c r="K59" s="39"/>
      <c r="L59" s="40"/>
      <c r="M59" s="39"/>
      <c r="N59" s="39"/>
      <c r="O59" s="28"/>
      <c r="P59" s="28"/>
    </row>
    <row r="60">
      <c r="A60" s="39"/>
      <c r="B60" s="41"/>
      <c r="C60" s="41"/>
      <c r="D60" s="41"/>
      <c r="E60" s="41"/>
      <c r="F60" s="41"/>
      <c r="G60" s="41"/>
      <c r="H60" s="41"/>
      <c r="I60" s="41"/>
      <c r="J60" s="41"/>
      <c r="K60" s="41"/>
      <c r="L60" s="42"/>
      <c r="M60" s="41"/>
      <c r="N60" s="43"/>
      <c r="O60" s="28"/>
      <c r="P60" s="28"/>
    </row>
    <row r="61">
      <c r="A61" s="41"/>
      <c r="B61" s="39"/>
      <c r="C61" s="39"/>
      <c r="D61" s="39"/>
      <c r="E61" s="39"/>
      <c r="F61" s="39"/>
      <c r="G61" s="39"/>
      <c r="H61" s="39"/>
      <c r="I61" s="39"/>
      <c r="J61" s="39"/>
      <c r="K61" s="39"/>
      <c r="L61" s="40"/>
      <c r="M61" s="39"/>
      <c r="N61" s="39"/>
      <c r="O61" s="28"/>
      <c r="P61" s="28"/>
    </row>
    <row r="62">
      <c r="A62" s="44"/>
      <c r="B62" s="41"/>
      <c r="C62" s="41"/>
      <c r="D62" s="41"/>
      <c r="E62" s="41"/>
      <c r="F62" s="41"/>
      <c r="G62" s="41"/>
      <c r="H62" s="41"/>
      <c r="I62" s="41"/>
      <c r="J62" s="41"/>
      <c r="K62" s="41"/>
      <c r="L62" s="42"/>
      <c r="M62" s="41"/>
      <c r="N62" s="43"/>
      <c r="O62" s="28"/>
      <c r="P62" s="28"/>
    </row>
    <row r="63">
      <c r="A63" s="39"/>
      <c r="B63" s="39"/>
      <c r="C63" s="39"/>
      <c r="D63" s="39"/>
      <c r="E63" s="39"/>
      <c r="F63" s="39"/>
      <c r="G63" s="39"/>
      <c r="H63" s="39"/>
      <c r="I63" s="39"/>
      <c r="J63" s="39"/>
      <c r="K63" s="39"/>
      <c r="L63" s="40"/>
      <c r="M63" s="39"/>
      <c r="N63" s="39"/>
      <c r="O63" s="28"/>
      <c r="P63" s="28"/>
    </row>
    <row r="64">
      <c r="A64" s="41"/>
      <c r="B64" s="41"/>
      <c r="C64" s="41"/>
      <c r="D64" s="41"/>
      <c r="E64" s="41"/>
      <c r="F64" s="41"/>
      <c r="G64" s="41"/>
      <c r="H64" s="41"/>
      <c r="I64" s="41"/>
      <c r="J64" s="41"/>
      <c r="K64" s="41"/>
      <c r="L64" s="42"/>
      <c r="M64" s="41"/>
      <c r="N64" s="43"/>
      <c r="O64" s="28"/>
      <c r="P64" s="28"/>
    </row>
    <row r="65">
      <c r="A65" s="44"/>
      <c r="B65" s="39"/>
      <c r="C65" s="39"/>
      <c r="D65" s="39"/>
      <c r="E65" s="39"/>
      <c r="F65" s="39"/>
      <c r="G65" s="39"/>
      <c r="H65" s="39"/>
      <c r="I65" s="39"/>
      <c r="J65" s="39"/>
      <c r="K65" s="39"/>
      <c r="L65" s="40"/>
      <c r="M65" s="39"/>
      <c r="N65" s="39"/>
      <c r="O65" s="28"/>
      <c r="P65" s="28"/>
    </row>
    <row r="66">
      <c r="A66" s="39"/>
      <c r="B66" s="41"/>
      <c r="C66" s="41"/>
      <c r="D66" s="41"/>
      <c r="E66" s="41"/>
      <c r="F66" s="41"/>
      <c r="G66" s="41"/>
      <c r="H66" s="41"/>
      <c r="I66" s="41"/>
      <c r="J66" s="41"/>
      <c r="K66" s="41"/>
      <c r="L66" s="42"/>
      <c r="M66" s="41"/>
      <c r="N66" s="43"/>
      <c r="O66" s="28"/>
      <c r="P66" s="28"/>
    </row>
    <row r="67">
      <c r="A67" s="41"/>
      <c r="B67" s="39"/>
      <c r="C67" s="39"/>
      <c r="D67" s="39"/>
      <c r="E67" s="39"/>
      <c r="F67" s="39"/>
      <c r="G67" s="39"/>
      <c r="H67" s="39"/>
      <c r="I67" s="39"/>
      <c r="J67" s="39"/>
      <c r="K67" s="39"/>
      <c r="L67" s="40"/>
      <c r="M67" s="39"/>
      <c r="N67" s="39"/>
      <c r="O67" s="28"/>
      <c r="P67" s="28"/>
    </row>
    <row r="68">
      <c r="A68" s="44"/>
      <c r="B68" s="41"/>
      <c r="C68" s="41"/>
      <c r="D68" s="41"/>
      <c r="E68" s="41"/>
      <c r="F68" s="41"/>
      <c r="G68" s="41"/>
      <c r="H68" s="41"/>
      <c r="I68" s="41"/>
      <c r="J68" s="41"/>
      <c r="K68" s="41"/>
      <c r="L68" s="42"/>
      <c r="M68" s="41"/>
      <c r="N68" s="43"/>
      <c r="O68" s="28"/>
      <c r="P68" s="28"/>
    </row>
    <row r="69">
      <c r="A69" s="39"/>
      <c r="B69" s="39"/>
      <c r="C69" s="39"/>
      <c r="D69" s="39"/>
      <c r="E69" s="39"/>
      <c r="F69" s="39"/>
      <c r="G69" s="39"/>
      <c r="H69" s="39"/>
      <c r="I69" s="39"/>
      <c r="J69" s="39"/>
      <c r="K69" s="39"/>
      <c r="L69" s="40"/>
      <c r="M69" s="39"/>
      <c r="N69" s="39"/>
      <c r="O69" s="28"/>
      <c r="P69" s="28"/>
    </row>
    <row r="70">
      <c r="A70" s="41"/>
      <c r="B70" s="41"/>
      <c r="C70" s="41"/>
      <c r="D70" s="41"/>
      <c r="E70" s="41"/>
      <c r="F70" s="41"/>
      <c r="G70" s="41"/>
      <c r="H70" s="41"/>
      <c r="I70" s="41"/>
      <c r="J70" s="41"/>
      <c r="K70" s="41"/>
      <c r="L70" s="42"/>
      <c r="M70" s="41"/>
      <c r="N70" s="43"/>
      <c r="O70" s="28"/>
      <c r="P70" s="28"/>
    </row>
    <row r="71">
      <c r="A71" s="44"/>
      <c r="B71" s="39"/>
      <c r="C71" s="39"/>
      <c r="D71" s="39"/>
      <c r="E71" s="39"/>
      <c r="F71" s="39"/>
      <c r="G71" s="39"/>
      <c r="H71" s="39"/>
      <c r="I71" s="39"/>
      <c r="J71" s="39"/>
      <c r="K71" s="39"/>
      <c r="L71" s="40"/>
      <c r="M71" s="39"/>
      <c r="N71" s="39"/>
      <c r="O71" s="28"/>
      <c r="P71" s="28"/>
    </row>
    <row r="72">
      <c r="A72" s="39"/>
      <c r="B72" s="41"/>
      <c r="C72" s="41"/>
      <c r="D72" s="41"/>
      <c r="E72" s="41"/>
      <c r="F72" s="41"/>
      <c r="G72" s="41"/>
      <c r="H72" s="41"/>
      <c r="I72" s="41"/>
      <c r="J72" s="41"/>
      <c r="K72" s="41"/>
      <c r="L72" s="42"/>
      <c r="M72" s="41"/>
      <c r="N72" s="43"/>
      <c r="O72" s="28"/>
      <c r="P72" s="28"/>
    </row>
    <row r="73">
      <c r="A73" s="41"/>
      <c r="B73" s="39"/>
      <c r="C73" s="39"/>
      <c r="D73" s="39"/>
      <c r="E73" s="39"/>
      <c r="F73" s="39"/>
      <c r="G73" s="39"/>
      <c r="H73" s="39"/>
      <c r="I73" s="39"/>
      <c r="J73" s="39"/>
      <c r="K73" s="39"/>
      <c r="L73" s="40"/>
      <c r="M73" s="39"/>
      <c r="N73" s="39"/>
      <c r="O73" s="28"/>
      <c r="P73" s="28"/>
    </row>
    <row r="74">
      <c r="A74" s="44"/>
      <c r="B74" s="41"/>
      <c r="C74" s="41"/>
      <c r="D74" s="41"/>
      <c r="E74" s="41"/>
      <c r="F74" s="41"/>
      <c r="G74" s="41"/>
      <c r="H74" s="41"/>
      <c r="I74" s="41"/>
      <c r="J74" s="41"/>
      <c r="K74" s="41"/>
      <c r="L74" s="42"/>
      <c r="M74" s="41"/>
      <c r="N74" s="43"/>
      <c r="O74" s="28"/>
      <c r="P74" s="28"/>
    </row>
    <row r="75">
      <c r="A75" s="39"/>
      <c r="B75" s="39"/>
      <c r="C75" s="39"/>
      <c r="D75" s="39"/>
      <c r="E75" s="39"/>
      <c r="F75" s="39"/>
      <c r="G75" s="39"/>
      <c r="H75" s="39"/>
      <c r="I75" s="39"/>
      <c r="J75" s="39"/>
      <c r="K75" s="39"/>
      <c r="L75" s="40"/>
      <c r="M75" s="39"/>
      <c r="N75" s="39"/>
      <c r="O75" s="28"/>
      <c r="P75" s="28"/>
    </row>
    <row r="76">
      <c r="A76" s="41"/>
      <c r="B76" s="41"/>
      <c r="C76" s="41"/>
      <c r="D76" s="41"/>
      <c r="E76" s="41"/>
      <c r="F76" s="41"/>
      <c r="G76" s="41"/>
      <c r="H76" s="41"/>
      <c r="I76" s="41"/>
      <c r="J76" s="41"/>
      <c r="K76" s="41"/>
      <c r="L76" s="42"/>
      <c r="M76" s="41"/>
      <c r="N76" s="43"/>
      <c r="O76" s="28"/>
      <c r="P76" s="28"/>
    </row>
    <row r="77">
      <c r="A77" s="44"/>
      <c r="B77" s="39"/>
      <c r="C77" s="39"/>
      <c r="D77" s="39"/>
      <c r="E77" s="39"/>
      <c r="F77" s="39"/>
      <c r="G77" s="39"/>
      <c r="H77" s="39"/>
      <c r="I77" s="39"/>
      <c r="J77" s="39"/>
      <c r="K77" s="39"/>
      <c r="L77" s="40"/>
      <c r="M77" s="39"/>
      <c r="N77" s="39"/>
      <c r="O77" s="28"/>
      <c r="P77" s="28"/>
    </row>
    <row r="78">
      <c r="A78" s="39"/>
      <c r="B78" s="41"/>
      <c r="C78" s="41"/>
      <c r="D78" s="41"/>
      <c r="E78" s="41"/>
      <c r="F78" s="41"/>
      <c r="G78" s="41"/>
      <c r="H78" s="41"/>
      <c r="I78" s="41"/>
      <c r="J78" s="41"/>
      <c r="K78" s="41"/>
      <c r="L78" s="42"/>
      <c r="M78" s="41"/>
      <c r="N78" s="43"/>
      <c r="O78" s="28"/>
      <c r="P78" s="28"/>
    </row>
    <row r="79">
      <c r="A79" s="41"/>
      <c r="B79" s="39"/>
      <c r="C79" s="39"/>
      <c r="D79" s="39"/>
      <c r="E79" s="39"/>
      <c r="F79" s="39"/>
      <c r="G79" s="39"/>
      <c r="H79" s="39"/>
      <c r="I79" s="39"/>
      <c r="J79" s="39"/>
      <c r="K79" s="39"/>
      <c r="L79" s="40"/>
      <c r="M79" s="39"/>
      <c r="N79" s="39"/>
      <c r="O79" s="28"/>
      <c r="P79" s="28"/>
    </row>
    <row r="80">
      <c r="A80" s="44"/>
      <c r="B80" s="41"/>
      <c r="C80" s="41"/>
      <c r="D80" s="41"/>
      <c r="E80" s="41"/>
      <c r="F80" s="41"/>
      <c r="G80" s="41"/>
      <c r="H80" s="41"/>
      <c r="I80" s="41"/>
      <c r="J80" s="41"/>
      <c r="K80" s="41"/>
      <c r="L80" s="42"/>
      <c r="M80" s="41"/>
      <c r="N80" s="43"/>
      <c r="O80" s="28"/>
      <c r="P80" s="28"/>
    </row>
    <row r="81">
      <c r="A81" s="39"/>
      <c r="B81" s="39"/>
      <c r="C81" s="39"/>
      <c r="D81" s="39"/>
      <c r="E81" s="39"/>
      <c r="F81" s="39"/>
      <c r="G81" s="39"/>
      <c r="H81" s="39"/>
      <c r="I81" s="39"/>
      <c r="J81" s="39"/>
      <c r="K81" s="39"/>
      <c r="L81" s="40"/>
      <c r="M81" s="39"/>
      <c r="N81" s="39"/>
      <c r="O81" s="28"/>
      <c r="P81" s="28"/>
    </row>
    <row r="82">
      <c r="A82" s="41"/>
      <c r="B82" s="41"/>
      <c r="C82" s="41"/>
      <c r="D82" s="41"/>
      <c r="E82" s="41"/>
      <c r="F82" s="41"/>
      <c r="G82" s="41"/>
      <c r="H82" s="41"/>
      <c r="I82" s="41"/>
      <c r="J82" s="41"/>
      <c r="K82" s="41"/>
      <c r="L82" s="42"/>
      <c r="M82" s="41"/>
      <c r="N82" s="43"/>
      <c r="O82" s="28"/>
      <c r="P82" s="28"/>
    </row>
    <row r="83">
      <c r="A83" s="44"/>
      <c r="B83" s="39"/>
      <c r="C83" s="39"/>
      <c r="D83" s="39"/>
      <c r="E83" s="39"/>
      <c r="F83" s="39"/>
      <c r="G83" s="39"/>
      <c r="H83" s="39"/>
      <c r="I83" s="39"/>
      <c r="J83" s="39"/>
      <c r="K83" s="39"/>
      <c r="L83" s="40"/>
      <c r="M83" s="39"/>
      <c r="N83" s="39"/>
      <c r="O83" s="28"/>
      <c r="P83" s="28"/>
    </row>
    <row r="84">
      <c r="A84" s="39"/>
      <c r="B84" s="41"/>
      <c r="C84" s="41"/>
      <c r="D84" s="41"/>
      <c r="E84" s="41"/>
      <c r="F84" s="41"/>
      <c r="G84" s="41"/>
      <c r="H84" s="41"/>
      <c r="I84" s="41"/>
      <c r="J84" s="41"/>
      <c r="K84" s="41"/>
      <c r="L84" s="42"/>
      <c r="M84" s="41"/>
      <c r="N84" s="43"/>
      <c r="O84" s="28"/>
      <c r="P84" s="28"/>
    </row>
    <row r="85">
      <c r="A85" s="41"/>
      <c r="B85" s="39"/>
      <c r="C85" s="39"/>
      <c r="D85" s="39"/>
      <c r="E85" s="39"/>
      <c r="F85" s="39"/>
      <c r="G85" s="39"/>
      <c r="H85" s="39"/>
      <c r="I85" s="39"/>
      <c r="J85" s="39"/>
      <c r="K85" s="39"/>
      <c r="L85" s="40"/>
      <c r="M85" s="39"/>
      <c r="N85" s="39"/>
      <c r="O85" s="28"/>
      <c r="P85" s="28"/>
    </row>
    <row r="86">
      <c r="A86" s="44"/>
      <c r="B86" s="41"/>
      <c r="C86" s="41"/>
      <c r="D86" s="41"/>
      <c r="E86" s="41"/>
      <c r="F86" s="41"/>
      <c r="G86" s="41"/>
      <c r="H86" s="41"/>
      <c r="I86" s="41"/>
      <c r="J86" s="41"/>
      <c r="K86" s="41"/>
      <c r="L86" s="42"/>
      <c r="M86" s="41"/>
      <c r="N86" s="43"/>
      <c r="O86" s="28"/>
      <c r="P86" s="28"/>
    </row>
    <row r="87">
      <c r="A87" s="39"/>
      <c r="B87" s="39"/>
      <c r="C87" s="39"/>
      <c r="D87" s="39"/>
      <c r="E87" s="39"/>
      <c r="F87" s="39"/>
      <c r="G87" s="39"/>
      <c r="H87" s="39"/>
      <c r="I87" s="39"/>
      <c r="J87" s="39"/>
      <c r="K87" s="39"/>
      <c r="L87" s="40"/>
      <c r="M87" s="39"/>
      <c r="N87" s="39"/>
      <c r="O87" s="28"/>
      <c r="P87" s="28"/>
    </row>
    <row r="88">
      <c r="A88" s="41"/>
      <c r="B88" s="41"/>
      <c r="C88" s="41"/>
      <c r="D88" s="41"/>
      <c r="E88" s="41"/>
      <c r="F88" s="41"/>
      <c r="G88" s="41"/>
      <c r="H88" s="41"/>
      <c r="I88" s="41"/>
      <c r="J88" s="41"/>
      <c r="K88" s="41"/>
      <c r="L88" s="42"/>
      <c r="M88" s="41"/>
      <c r="N88" s="43"/>
      <c r="O88" s="28"/>
      <c r="P88" s="28"/>
    </row>
    <row r="89">
      <c r="A89" s="44"/>
      <c r="B89" s="39"/>
      <c r="C89" s="39"/>
      <c r="D89" s="39"/>
      <c r="E89" s="39"/>
      <c r="F89" s="39"/>
      <c r="G89" s="39"/>
      <c r="H89" s="39"/>
      <c r="I89" s="39"/>
      <c r="J89" s="39"/>
      <c r="K89" s="39"/>
      <c r="L89" s="40"/>
      <c r="M89" s="39"/>
      <c r="N89" s="39"/>
      <c r="O89" s="28"/>
      <c r="P89" s="28"/>
    </row>
    <row r="90">
      <c r="A90" s="39"/>
      <c r="B90" s="41"/>
      <c r="C90" s="41"/>
      <c r="D90" s="41"/>
      <c r="E90" s="41"/>
      <c r="F90" s="41"/>
      <c r="G90" s="41"/>
      <c r="H90" s="41"/>
      <c r="I90" s="41"/>
      <c r="J90" s="41"/>
      <c r="K90" s="41"/>
      <c r="L90" s="42"/>
      <c r="M90" s="41"/>
      <c r="N90" s="43"/>
      <c r="O90" s="28"/>
      <c r="P90" s="28"/>
    </row>
    <row r="91">
      <c r="A91" s="41"/>
      <c r="B91" s="39"/>
      <c r="C91" s="39"/>
      <c r="D91" s="39"/>
      <c r="E91" s="39"/>
      <c r="F91" s="39"/>
      <c r="G91" s="39"/>
      <c r="H91" s="39"/>
      <c r="I91" s="39"/>
      <c r="J91" s="39"/>
      <c r="K91" s="39"/>
      <c r="L91" s="40"/>
      <c r="M91" s="39"/>
      <c r="N91" s="39"/>
      <c r="O91" s="28"/>
      <c r="P91" s="28"/>
    </row>
    <row r="92">
      <c r="A92" s="44"/>
      <c r="B92" s="41"/>
      <c r="C92" s="41"/>
      <c r="D92" s="41"/>
      <c r="E92" s="41"/>
      <c r="F92" s="41"/>
      <c r="G92" s="41"/>
      <c r="H92" s="41"/>
      <c r="I92" s="41"/>
      <c r="J92" s="41"/>
      <c r="K92" s="41"/>
      <c r="L92" s="42"/>
      <c r="M92" s="41"/>
      <c r="N92" s="43"/>
      <c r="O92" s="28"/>
      <c r="P92" s="28"/>
    </row>
    <row r="93">
      <c r="A93" s="39"/>
      <c r="B93" s="39"/>
      <c r="C93" s="39"/>
      <c r="D93" s="39"/>
      <c r="E93" s="39"/>
      <c r="F93" s="39"/>
      <c r="G93" s="39"/>
      <c r="H93" s="39"/>
      <c r="I93" s="39"/>
      <c r="J93" s="39"/>
      <c r="K93" s="39"/>
      <c r="L93" s="40"/>
      <c r="M93" s="39"/>
      <c r="N93" s="39"/>
      <c r="O93" s="28"/>
      <c r="P93" s="28"/>
    </row>
    <row r="94">
      <c r="A94" s="41"/>
      <c r="B94" s="41"/>
      <c r="C94" s="41"/>
      <c r="D94" s="41"/>
      <c r="E94" s="41"/>
      <c r="F94" s="41"/>
      <c r="G94" s="41"/>
      <c r="H94" s="41"/>
      <c r="I94" s="41"/>
      <c r="J94" s="41"/>
      <c r="K94" s="41"/>
      <c r="L94" s="42"/>
      <c r="M94" s="41"/>
      <c r="N94" s="43"/>
      <c r="O94" s="28"/>
      <c r="P94" s="28"/>
    </row>
    <row r="95">
      <c r="A95" s="44"/>
      <c r="B95" s="39"/>
      <c r="C95" s="39"/>
      <c r="D95" s="39"/>
      <c r="E95" s="39"/>
      <c r="F95" s="39"/>
      <c r="G95" s="39"/>
      <c r="H95" s="39"/>
      <c r="I95" s="39"/>
      <c r="J95" s="39"/>
      <c r="K95" s="39"/>
      <c r="L95" s="40"/>
      <c r="M95" s="39"/>
      <c r="N95" s="39"/>
      <c r="O95" s="28"/>
      <c r="P95" s="28"/>
    </row>
    <row r="96">
      <c r="A96" s="39"/>
      <c r="B96" s="41"/>
      <c r="C96" s="41"/>
      <c r="D96" s="41"/>
      <c r="E96" s="41"/>
      <c r="F96" s="41"/>
      <c r="G96" s="41"/>
      <c r="H96" s="41"/>
      <c r="I96" s="41"/>
      <c r="J96" s="41"/>
      <c r="K96" s="41"/>
      <c r="L96" s="42"/>
      <c r="M96" s="41"/>
      <c r="N96" s="43"/>
      <c r="O96" s="28"/>
      <c r="P96" s="28"/>
    </row>
    <row r="97">
      <c r="A97" s="41"/>
      <c r="B97" s="39"/>
      <c r="C97" s="39"/>
      <c r="D97" s="39"/>
      <c r="E97" s="39"/>
      <c r="F97" s="39"/>
      <c r="G97" s="39"/>
      <c r="H97" s="39"/>
      <c r="I97" s="39"/>
      <c r="J97" s="39"/>
      <c r="K97" s="39"/>
      <c r="L97" s="40"/>
      <c r="M97" s="39"/>
      <c r="N97" s="39"/>
      <c r="O97" s="28"/>
      <c r="P97" s="28"/>
    </row>
    <row r="98">
      <c r="A98" s="44"/>
      <c r="B98" s="41"/>
      <c r="C98" s="41"/>
      <c r="D98" s="41"/>
      <c r="E98" s="41"/>
      <c r="F98" s="41"/>
      <c r="G98" s="41"/>
      <c r="H98" s="41"/>
      <c r="I98" s="41"/>
      <c r="J98" s="41"/>
      <c r="K98" s="41"/>
      <c r="L98" s="42"/>
      <c r="M98" s="41"/>
      <c r="N98" s="43"/>
      <c r="O98" s="28"/>
      <c r="P98" s="28"/>
    </row>
    <row r="99">
      <c r="A99" s="39"/>
      <c r="B99" s="39"/>
      <c r="C99" s="39"/>
      <c r="D99" s="39"/>
      <c r="E99" s="39"/>
      <c r="F99" s="39"/>
      <c r="G99" s="39"/>
      <c r="H99" s="39"/>
      <c r="I99" s="39"/>
      <c r="J99" s="39"/>
      <c r="K99" s="39"/>
      <c r="L99" s="40"/>
      <c r="M99" s="39"/>
      <c r="N99" s="39"/>
      <c r="O99" s="28"/>
      <c r="P99" s="28"/>
    </row>
    <row r="100">
      <c r="A100" s="28"/>
      <c r="B100" s="28"/>
      <c r="C100" s="28"/>
      <c r="D100" s="28"/>
      <c r="E100" s="28"/>
      <c r="F100" s="28"/>
      <c r="G100" s="28"/>
      <c r="H100" s="28"/>
      <c r="I100" s="28"/>
      <c r="J100" s="28"/>
      <c r="K100" s="28"/>
      <c r="L100" s="28"/>
      <c r="M100" s="28"/>
      <c r="N100" s="28"/>
      <c r="O100" s="28"/>
      <c r="P100" s="28"/>
    </row>
    <row r="101">
      <c r="A101" s="28"/>
      <c r="B101" s="28"/>
      <c r="C101" s="28"/>
      <c r="D101" s="28"/>
      <c r="E101" s="28"/>
      <c r="F101" s="28"/>
      <c r="G101" s="28"/>
      <c r="H101" s="28"/>
      <c r="I101" s="28"/>
      <c r="J101" s="28"/>
      <c r="K101" s="28"/>
      <c r="L101" s="28"/>
      <c r="M101" s="28"/>
      <c r="N101" s="28"/>
      <c r="O101" s="28"/>
      <c r="P101" s="28"/>
    </row>
    <row r="102">
      <c r="A102" s="28"/>
      <c r="B102" s="28"/>
      <c r="C102" s="28"/>
      <c r="D102" s="28"/>
      <c r="E102" s="28"/>
      <c r="F102" s="28"/>
      <c r="G102" s="28"/>
      <c r="H102" s="28"/>
      <c r="I102" s="28"/>
      <c r="J102" s="28"/>
      <c r="K102" s="28"/>
      <c r="L102" s="28"/>
      <c r="M102" s="28"/>
      <c r="N102" s="28"/>
      <c r="O102" s="28"/>
      <c r="P102" s="28"/>
    </row>
    <row r="103">
      <c r="A103" s="28"/>
      <c r="B103" s="28"/>
      <c r="C103" s="28"/>
      <c r="D103" s="28"/>
      <c r="E103" s="28"/>
      <c r="F103" s="28"/>
      <c r="G103" s="28"/>
      <c r="H103" s="28"/>
      <c r="I103" s="28"/>
      <c r="J103" s="28"/>
      <c r="K103" s="28"/>
      <c r="L103" s="28"/>
      <c r="M103" s="28"/>
      <c r="N103" s="28"/>
      <c r="O103" s="28"/>
      <c r="P103" s="28"/>
    </row>
    <row r="104">
      <c r="A104" s="28"/>
      <c r="B104" s="28"/>
      <c r="C104" s="28"/>
      <c r="D104" s="28"/>
      <c r="E104" s="28"/>
      <c r="F104" s="28"/>
      <c r="G104" s="28"/>
      <c r="H104" s="28"/>
      <c r="I104" s="28"/>
      <c r="J104" s="28"/>
      <c r="K104" s="28"/>
      <c r="L104" s="28"/>
      <c r="M104" s="28"/>
      <c r="N104" s="28"/>
      <c r="O104" s="28"/>
      <c r="P104" s="28"/>
    </row>
    <row r="105">
      <c r="A105" s="28"/>
      <c r="B105" s="28"/>
      <c r="C105" s="28"/>
      <c r="D105" s="28"/>
      <c r="E105" s="28"/>
      <c r="F105" s="28"/>
      <c r="G105" s="28"/>
      <c r="H105" s="28"/>
      <c r="I105" s="28"/>
      <c r="J105" s="28"/>
      <c r="K105" s="28"/>
      <c r="L105" s="28"/>
      <c r="M105" s="28"/>
      <c r="N105" s="28"/>
      <c r="O105" s="28"/>
      <c r="P105" s="28"/>
    </row>
  </sheetData>
  <dataValidations>
    <dataValidation type="list" allowBlank="1" showErrorMessage="1" sqref="N15 N17 N19 N21 N23 N25 N27 N29 N31 N33 N35 N37 N39 N41 N43 N45 N47 N49 N51 N53 N55 N57 N59 N61 N63 N65 N67 N69 N71 N73 N75 N77 N79 N81 N83 N85 N87 N89 N91 N93 N95 N97 N99">
      <formula1>"Solved,Unsolved"</formula1>
    </dataValidation>
    <dataValidation type="list" allowBlank="1" showErrorMessage="1" sqref="K15 K17 K19 K21 K23 K25 K27 K29 K31 K33 K35 K37 K39 K41 K43 K45 K47 K49 K51 K53 K55 K57 K59 K61 K63 K65 K67 K69 K71 K73 K75 K77 K79 K81 K83 K85 K87 K89 K91 K93 K95 K97 K99">
      <formula1>"High,Medium,Low,Severity"</formula1>
    </dataValidation>
    <dataValidation type="list" allowBlank="1" showErrorMessage="1" sqref="J15 J17 J19 J21 J23 J25 J27 J29 J31 J33 J35 J37 J39 J41 J43 J45 J47 J49 J51 J53 J55 J57 J59 J61 J63 J65 J67 J69 J71 J73 J75 J77 J79 J81 J83 J85 J87 J89 J91 J93 J95 J97 J99">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88"/>
    <col customWidth="1" min="4" max="4" width="20.13"/>
    <col customWidth="1" min="5" max="5" width="14.38"/>
    <col customWidth="1" min="6" max="6" width="22.13"/>
    <col customWidth="1" min="7" max="7" width="16.63"/>
    <col customWidth="1" min="8" max="8" width="17.63"/>
    <col customWidth="1" min="9" max="9" width="16.5"/>
    <col customWidth="1" min="10" max="10" width="9.75"/>
    <col customWidth="1" min="11" max="11" width="14.25"/>
    <col customWidth="1" min="12" max="12" width="16.38"/>
    <col customWidth="1" min="13" max="13" width="17.88"/>
    <col customWidth="1" min="14" max="14" width="15.5"/>
  </cols>
  <sheetData>
    <row r="1">
      <c r="A1" s="45" t="s">
        <v>0</v>
      </c>
      <c r="B1" s="46" t="s">
        <v>1</v>
      </c>
      <c r="C1" s="47"/>
      <c r="D1" s="47"/>
      <c r="E1" s="47"/>
      <c r="F1" s="47"/>
      <c r="G1" s="47"/>
      <c r="H1" s="47"/>
      <c r="I1" s="47"/>
      <c r="J1" s="47"/>
      <c r="K1" s="47"/>
      <c r="L1" s="47"/>
      <c r="M1" s="47"/>
      <c r="N1" s="47"/>
      <c r="O1" s="47"/>
      <c r="P1" s="47"/>
      <c r="Q1" s="47"/>
      <c r="R1" s="47"/>
      <c r="S1" s="47"/>
      <c r="T1" s="47"/>
      <c r="U1" s="47"/>
      <c r="V1" s="47"/>
      <c r="W1" s="47"/>
      <c r="X1" s="47"/>
      <c r="Y1" s="47"/>
      <c r="Z1" s="47"/>
    </row>
    <row r="2">
      <c r="A2" s="45" t="s">
        <v>4</v>
      </c>
      <c r="B2" s="48" t="s">
        <v>5</v>
      </c>
      <c r="C2" s="47"/>
      <c r="D2" s="47"/>
      <c r="E2" s="47"/>
      <c r="F2" s="47"/>
      <c r="G2" s="47"/>
      <c r="H2" s="47"/>
      <c r="I2" s="47"/>
      <c r="J2" s="47"/>
      <c r="K2" s="47"/>
      <c r="L2" s="47"/>
      <c r="M2" s="47"/>
      <c r="N2" s="47"/>
      <c r="O2" s="47"/>
      <c r="P2" s="47"/>
      <c r="Q2" s="47"/>
      <c r="R2" s="47"/>
      <c r="S2" s="47"/>
      <c r="T2" s="47"/>
      <c r="U2" s="47"/>
      <c r="V2" s="47"/>
      <c r="W2" s="47"/>
      <c r="X2" s="47"/>
      <c r="Y2" s="47"/>
      <c r="Z2" s="47"/>
    </row>
    <row r="3">
      <c r="A3" s="45" t="s">
        <v>9</v>
      </c>
      <c r="B3" s="46" t="s">
        <v>10</v>
      </c>
      <c r="C3" s="47"/>
      <c r="D3" s="47"/>
      <c r="E3" s="47"/>
      <c r="F3" s="47"/>
      <c r="G3" s="47"/>
      <c r="H3" s="47"/>
      <c r="I3" s="47"/>
      <c r="J3" s="47"/>
      <c r="K3" s="47"/>
      <c r="L3" s="47"/>
      <c r="M3" s="47"/>
      <c r="N3" s="47"/>
      <c r="O3" s="47"/>
      <c r="P3" s="47"/>
      <c r="Q3" s="47"/>
      <c r="R3" s="47"/>
      <c r="S3" s="47"/>
      <c r="T3" s="47"/>
      <c r="U3" s="47"/>
      <c r="V3" s="47"/>
      <c r="W3" s="47"/>
      <c r="X3" s="47"/>
      <c r="Y3" s="47"/>
      <c r="Z3" s="47"/>
    </row>
    <row r="4">
      <c r="A4" s="45" t="s">
        <v>12</v>
      </c>
      <c r="B4" s="49"/>
      <c r="C4" s="47"/>
      <c r="D4" s="47"/>
      <c r="E4" s="47"/>
      <c r="F4" s="47"/>
      <c r="G4" s="47"/>
      <c r="H4" s="47"/>
      <c r="I4" s="47"/>
      <c r="J4" s="47"/>
      <c r="K4" s="47"/>
      <c r="L4" s="47"/>
      <c r="M4" s="47"/>
      <c r="N4" s="47"/>
      <c r="O4" s="47"/>
      <c r="P4" s="47"/>
      <c r="Q4" s="47"/>
      <c r="R4" s="47"/>
      <c r="S4" s="47"/>
      <c r="T4" s="47"/>
      <c r="U4" s="47"/>
      <c r="V4" s="47"/>
      <c r="W4" s="47"/>
      <c r="X4" s="47"/>
      <c r="Y4" s="47"/>
      <c r="Z4" s="47"/>
    </row>
    <row r="5">
      <c r="A5" s="45" t="s">
        <v>13</v>
      </c>
      <c r="B5" s="49"/>
      <c r="C5" s="47"/>
      <c r="D5" s="47"/>
      <c r="E5" s="47"/>
      <c r="F5" s="47"/>
      <c r="G5" s="47"/>
      <c r="H5" s="47"/>
      <c r="I5" s="47"/>
      <c r="J5" s="47"/>
      <c r="K5" s="47"/>
      <c r="L5" s="47"/>
      <c r="M5" s="47"/>
      <c r="N5" s="47"/>
      <c r="O5" s="47"/>
      <c r="P5" s="47"/>
      <c r="Q5" s="47"/>
      <c r="R5" s="47"/>
      <c r="S5" s="47"/>
      <c r="T5" s="47"/>
      <c r="U5" s="47"/>
      <c r="V5" s="47"/>
      <c r="W5" s="47"/>
      <c r="X5" s="47"/>
      <c r="Y5" s="47"/>
      <c r="Z5" s="47"/>
    </row>
    <row r="6">
      <c r="A6" s="47"/>
      <c r="B6" s="47"/>
      <c r="C6" s="47"/>
      <c r="D6" s="47"/>
      <c r="E6" s="47"/>
      <c r="F6" s="47"/>
      <c r="G6" s="47"/>
      <c r="H6" s="47"/>
      <c r="I6" s="47"/>
      <c r="J6" s="47"/>
      <c r="K6" s="47"/>
      <c r="L6" s="47"/>
      <c r="M6" s="47"/>
      <c r="N6" s="47"/>
      <c r="O6" s="47"/>
      <c r="P6" s="47"/>
      <c r="Q6" s="47"/>
      <c r="R6" s="47"/>
      <c r="S6" s="47"/>
      <c r="T6" s="47"/>
      <c r="U6" s="47"/>
      <c r="V6" s="47"/>
      <c r="W6" s="47"/>
      <c r="X6" s="47"/>
      <c r="Y6" s="47"/>
      <c r="Z6" s="47"/>
    </row>
    <row r="7">
      <c r="A7" s="50" t="s">
        <v>84</v>
      </c>
      <c r="B7" s="50" t="s">
        <v>17</v>
      </c>
      <c r="C7" s="50" t="s">
        <v>18</v>
      </c>
      <c r="D7" s="50" t="s">
        <v>19</v>
      </c>
      <c r="E7" s="50" t="s">
        <v>20</v>
      </c>
      <c r="F7" s="50" t="s">
        <v>21</v>
      </c>
      <c r="G7" s="50" t="s">
        <v>22</v>
      </c>
      <c r="H7" s="50" t="s">
        <v>23</v>
      </c>
      <c r="I7" s="50" t="s">
        <v>24</v>
      </c>
      <c r="J7" s="50" t="s">
        <v>25</v>
      </c>
      <c r="K7" s="50" t="s">
        <v>2</v>
      </c>
      <c r="L7" s="50" t="s">
        <v>26</v>
      </c>
      <c r="M7" s="50" t="s">
        <v>27</v>
      </c>
      <c r="N7" s="50" t="s">
        <v>29</v>
      </c>
      <c r="O7" s="47"/>
      <c r="P7" s="47"/>
      <c r="Q7" s="47"/>
      <c r="R7" s="47"/>
      <c r="S7" s="47"/>
      <c r="T7" s="47"/>
      <c r="U7" s="47"/>
      <c r="V7" s="47"/>
      <c r="W7" s="47"/>
      <c r="X7" s="47"/>
      <c r="Y7" s="47"/>
      <c r="Z7" s="47"/>
    </row>
    <row r="8">
      <c r="A8" s="51" t="s">
        <v>31</v>
      </c>
      <c r="B8" s="46" t="s">
        <v>85</v>
      </c>
      <c r="C8" s="46" t="s">
        <v>86</v>
      </c>
      <c r="D8" s="51" t="s">
        <v>87</v>
      </c>
      <c r="E8" s="51" t="s">
        <v>88</v>
      </c>
      <c r="F8" s="52" t="s">
        <v>89</v>
      </c>
      <c r="G8" s="51" t="s">
        <v>90</v>
      </c>
      <c r="H8" s="51" t="s">
        <v>91</v>
      </c>
      <c r="I8" s="51" t="s">
        <v>92</v>
      </c>
      <c r="J8" s="51" t="s">
        <v>93</v>
      </c>
      <c r="K8" s="51" t="s">
        <v>11</v>
      </c>
      <c r="L8" s="53" t="s">
        <v>94</v>
      </c>
      <c r="M8" s="51"/>
      <c r="N8" s="51"/>
      <c r="O8" s="47"/>
      <c r="P8" s="47"/>
      <c r="Q8" s="47"/>
      <c r="R8" s="47"/>
      <c r="S8" s="47"/>
      <c r="T8" s="47"/>
      <c r="U8" s="47"/>
      <c r="V8" s="47"/>
      <c r="W8" s="47"/>
      <c r="X8" s="47"/>
      <c r="Y8" s="47"/>
      <c r="Z8" s="47"/>
    </row>
    <row r="9">
      <c r="A9" s="47"/>
      <c r="B9" s="47"/>
      <c r="C9" s="47"/>
      <c r="D9" s="47"/>
      <c r="E9" s="47"/>
      <c r="F9" s="54"/>
      <c r="G9" s="47"/>
      <c r="H9" s="47"/>
      <c r="I9" s="47"/>
      <c r="J9" s="47"/>
      <c r="K9" s="47"/>
      <c r="L9" s="47"/>
      <c r="M9" s="47"/>
      <c r="N9" s="47"/>
      <c r="O9" s="47"/>
      <c r="P9" s="47"/>
      <c r="Q9" s="47"/>
      <c r="R9" s="47"/>
      <c r="S9" s="47"/>
      <c r="T9" s="47"/>
      <c r="U9" s="47"/>
      <c r="V9" s="47"/>
      <c r="W9" s="47"/>
      <c r="X9" s="47"/>
      <c r="Y9" s="47"/>
      <c r="Z9" s="47"/>
    </row>
    <row r="10">
      <c r="A10" s="46" t="s">
        <v>32</v>
      </c>
      <c r="B10" s="46" t="s">
        <v>85</v>
      </c>
      <c r="C10" s="46" t="s">
        <v>86</v>
      </c>
      <c r="D10" s="46" t="s">
        <v>95</v>
      </c>
      <c r="E10" s="46" t="s">
        <v>88</v>
      </c>
      <c r="F10" s="55" t="s">
        <v>96</v>
      </c>
      <c r="G10" s="46" t="s">
        <v>90</v>
      </c>
      <c r="H10" s="46" t="s">
        <v>97</v>
      </c>
      <c r="I10" s="46" t="s">
        <v>98</v>
      </c>
      <c r="J10" s="46" t="s">
        <v>93</v>
      </c>
      <c r="K10" s="46" t="s">
        <v>11</v>
      </c>
      <c r="L10" s="56" t="s">
        <v>99</v>
      </c>
      <c r="M10" s="46" t="s">
        <v>100</v>
      </c>
      <c r="N10" s="46"/>
      <c r="O10" s="47"/>
      <c r="P10" s="47"/>
      <c r="Q10" s="47"/>
      <c r="R10" s="47"/>
      <c r="S10" s="47"/>
      <c r="T10" s="47"/>
      <c r="U10" s="47"/>
      <c r="V10" s="47"/>
      <c r="W10" s="47"/>
      <c r="X10" s="47"/>
      <c r="Y10" s="47"/>
      <c r="Z10" s="47"/>
    </row>
    <row r="11">
      <c r="A11" s="47"/>
      <c r="B11" s="47"/>
      <c r="C11" s="47"/>
      <c r="D11" s="47"/>
      <c r="E11" s="47"/>
      <c r="F11" s="54"/>
      <c r="G11" s="47"/>
      <c r="H11" s="47"/>
      <c r="I11" s="47"/>
      <c r="J11" s="47"/>
      <c r="K11" s="47"/>
      <c r="L11" s="47"/>
      <c r="M11" s="47"/>
      <c r="N11" s="47"/>
      <c r="O11" s="47"/>
      <c r="P11" s="47"/>
      <c r="Q11" s="47"/>
      <c r="R11" s="47"/>
      <c r="S11" s="47"/>
      <c r="T11" s="47"/>
      <c r="U11" s="47"/>
      <c r="V11" s="47"/>
      <c r="W11" s="47"/>
      <c r="X11" s="47"/>
      <c r="Y11" s="47"/>
      <c r="Z11" s="47"/>
    </row>
    <row r="12">
      <c r="A12" s="46" t="s">
        <v>34</v>
      </c>
      <c r="B12" s="46" t="s">
        <v>85</v>
      </c>
      <c r="C12" s="46" t="s">
        <v>86</v>
      </c>
      <c r="D12" s="46" t="s">
        <v>101</v>
      </c>
      <c r="E12" s="46" t="s">
        <v>88</v>
      </c>
      <c r="F12" s="55" t="s">
        <v>96</v>
      </c>
      <c r="G12" s="46" t="s">
        <v>90</v>
      </c>
      <c r="H12" s="46" t="s">
        <v>102</v>
      </c>
      <c r="I12" s="46" t="s">
        <v>103</v>
      </c>
      <c r="J12" s="46" t="s">
        <v>93</v>
      </c>
      <c r="K12" s="46" t="s">
        <v>8</v>
      </c>
      <c r="L12" s="57" t="s">
        <v>104</v>
      </c>
      <c r="M12" s="58"/>
      <c r="N12" s="46"/>
      <c r="O12" s="47"/>
      <c r="P12" s="47"/>
      <c r="Q12" s="47"/>
      <c r="R12" s="47"/>
      <c r="S12" s="47"/>
      <c r="T12" s="47"/>
      <c r="U12" s="47"/>
      <c r="V12" s="47"/>
      <c r="W12" s="47"/>
      <c r="X12" s="47"/>
      <c r="Y12" s="47"/>
      <c r="Z12" s="47"/>
    </row>
    <row r="13">
      <c r="A13" s="47"/>
      <c r="B13" s="47"/>
      <c r="C13" s="47"/>
      <c r="D13" s="47"/>
      <c r="E13" s="47"/>
      <c r="F13" s="54"/>
      <c r="G13" s="47"/>
      <c r="H13" s="47"/>
      <c r="I13" s="47"/>
      <c r="J13" s="47"/>
      <c r="K13" s="47"/>
      <c r="L13" s="47"/>
      <c r="M13" s="47"/>
      <c r="N13" s="47"/>
      <c r="O13" s="47"/>
      <c r="P13" s="47"/>
      <c r="Q13" s="47"/>
      <c r="R13" s="47"/>
      <c r="S13" s="47"/>
      <c r="T13" s="47"/>
      <c r="U13" s="47"/>
      <c r="V13" s="47"/>
      <c r="W13" s="47"/>
      <c r="X13" s="47"/>
      <c r="Y13" s="47"/>
      <c r="Z13" s="47"/>
    </row>
    <row r="14">
      <c r="A14" s="46" t="s">
        <v>35</v>
      </c>
      <c r="B14" s="46" t="s">
        <v>85</v>
      </c>
      <c r="C14" s="46" t="s">
        <v>105</v>
      </c>
      <c r="D14" s="46" t="s">
        <v>106</v>
      </c>
      <c r="E14" s="46" t="s">
        <v>88</v>
      </c>
      <c r="F14" s="55" t="s">
        <v>107</v>
      </c>
      <c r="G14" s="46" t="s">
        <v>90</v>
      </c>
      <c r="H14" s="46" t="s">
        <v>108</v>
      </c>
      <c r="I14" s="46" t="s">
        <v>109</v>
      </c>
      <c r="J14" s="46" t="s">
        <v>93</v>
      </c>
      <c r="K14" s="46" t="s">
        <v>11</v>
      </c>
      <c r="L14" s="56" t="s">
        <v>110</v>
      </c>
      <c r="M14" s="48"/>
      <c r="N14" s="46"/>
      <c r="O14" s="47"/>
      <c r="P14" s="47"/>
      <c r="Q14" s="47"/>
      <c r="R14" s="47"/>
      <c r="S14" s="47"/>
      <c r="T14" s="47"/>
      <c r="U14" s="47"/>
      <c r="V14" s="47"/>
      <c r="W14" s="47"/>
      <c r="X14" s="47"/>
      <c r="Y14" s="47"/>
      <c r="Z14" s="47"/>
    </row>
    <row r="15">
      <c r="A15" s="47"/>
      <c r="B15" s="47"/>
      <c r="C15" s="47"/>
      <c r="D15" s="47"/>
      <c r="E15" s="47"/>
      <c r="F15" s="54"/>
      <c r="G15" s="47"/>
      <c r="H15" s="47"/>
      <c r="I15" s="47"/>
      <c r="J15" s="47"/>
      <c r="K15" s="47"/>
      <c r="L15" s="47"/>
      <c r="M15" s="47"/>
      <c r="N15" s="47"/>
      <c r="O15" s="47"/>
      <c r="P15" s="47"/>
      <c r="Q15" s="47"/>
      <c r="R15" s="47"/>
      <c r="S15" s="47"/>
      <c r="T15" s="47"/>
      <c r="U15" s="47"/>
      <c r="V15" s="47"/>
      <c r="W15" s="47"/>
      <c r="X15" s="47"/>
      <c r="Y15" s="47"/>
      <c r="Z15" s="47"/>
    </row>
    <row r="16">
      <c r="A16" s="46" t="s">
        <v>36</v>
      </c>
      <c r="B16" s="46" t="s">
        <v>85</v>
      </c>
      <c r="C16" s="46" t="s">
        <v>105</v>
      </c>
      <c r="D16" s="46" t="s">
        <v>111</v>
      </c>
      <c r="E16" s="46" t="s">
        <v>88</v>
      </c>
      <c r="F16" s="55" t="s">
        <v>107</v>
      </c>
      <c r="G16" s="46" t="s">
        <v>90</v>
      </c>
      <c r="H16" s="46" t="s">
        <v>112</v>
      </c>
      <c r="I16" s="46" t="s">
        <v>113</v>
      </c>
      <c r="J16" s="46" t="s">
        <v>93</v>
      </c>
      <c r="K16" s="46" t="s">
        <v>11</v>
      </c>
      <c r="L16" s="56" t="s">
        <v>114</v>
      </c>
      <c r="M16" s="58"/>
      <c r="N16" s="46"/>
      <c r="O16" s="47"/>
      <c r="P16" s="47"/>
      <c r="Q16" s="47"/>
      <c r="R16" s="47"/>
      <c r="S16" s="47"/>
      <c r="T16" s="47"/>
      <c r="U16" s="47"/>
      <c r="V16" s="47"/>
      <c r="W16" s="47"/>
      <c r="X16" s="47"/>
      <c r="Y16" s="47"/>
      <c r="Z16" s="47"/>
    </row>
    <row r="17">
      <c r="A17" s="47"/>
      <c r="B17" s="47"/>
      <c r="C17" s="47"/>
      <c r="D17" s="47"/>
      <c r="E17" s="47"/>
      <c r="F17" s="54"/>
      <c r="G17" s="47"/>
      <c r="H17" s="47"/>
      <c r="I17" s="47"/>
      <c r="J17" s="47"/>
      <c r="K17" s="47"/>
      <c r="L17" s="47"/>
      <c r="M17" s="47"/>
      <c r="N17" s="47"/>
      <c r="O17" s="47"/>
      <c r="P17" s="47"/>
      <c r="Q17" s="47"/>
      <c r="R17" s="47"/>
      <c r="S17" s="47"/>
      <c r="T17" s="47"/>
      <c r="U17" s="47"/>
      <c r="V17" s="47"/>
      <c r="W17" s="47"/>
      <c r="X17" s="47"/>
      <c r="Y17" s="47"/>
      <c r="Z17" s="47"/>
    </row>
    <row r="18">
      <c r="A18" s="46" t="s">
        <v>37</v>
      </c>
      <c r="B18" s="46" t="s">
        <v>85</v>
      </c>
      <c r="C18" s="46" t="s">
        <v>105</v>
      </c>
      <c r="D18" s="46" t="s">
        <v>115</v>
      </c>
      <c r="E18" s="46" t="s">
        <v>88</v>
      </c>
      <c r="F18" s="55" t="s">
        <v>107</v>
      </c>
      <c r="G18" s="46" t="s">
        <v>90</v>
      </c>
      <c r="H18" s="46" t="s">
        <v>116</v>
      </c>
      <c r="I18" s="46" t="s">
        <v>117</v>
      </c>
      <c r="J18" s="46" t="s">
        <v>93</v>
      </c>
      <c r="K18" s="46" t="s">
        <v>11</v>
      </c>
      <c r="L18" s="56" t="s">
        <v>118</v>
      </c>
      <c r="M18" s="58"/>
      <c r="N18" s="46"/>
      <c r="O18" s="47"/>
      <c r="P18" s="47"/>
      <c r="Q18" s="47"/>
      <c r="R18" s="47"/>
      <c r="S18" s="47"/>
      <c r="T18" s="47"/>
      <c r="U18" s="47"/>
      <c r="V18" s="47"/>
      <c r="W18" s="47"/>
      <c r="X18" s="47"/>
      <c r="Y18" s="47"/>
      <c r="Z18" s="47"/>
    </row>
    <row r="19">
      <c r="A19" s="47"/>
      <c r="B19" s="47"/>
      <c r="C19" s="47"/>
      <c r="D19" s="47"/>
      <c r="E19" s="47"/>
      <c r="F19" s="54"/>
      <c r="G19" s="47"/>
      <c r="H19" s="47"/>
      <c r="I19" s="47"/>
      <c r="J19" s="47"/>
      <c r="K19" s="47"/>
      <c r="L19" s="47"/>
      <c r="M19" s="47"/>
      <c r="N19" s="47"/>
      <c r="O19" s="47"/>
      <c r="P19" s="47"/>
      <c r="Q19" s="47"/>
      <c r="R19" s="47"/>
      <c r="S19" s="47"/>
      <c r="T19" s="47"/>
      <c r="U19" s="47"/>
      <c r="V19" s="47"/>
      <c r="W19" s="47"/>
      <c r="X19" s="47"/>
      <c r="Y19" s="47"/>
      <c r="Z19" s="47"/>
    </row>
    <row r="20">
      <c r="A20" s="46" t="s">
        <v>38</v>
      </c>
      <c r="B20" s="46" t="s">
        <v>85</v>
      </c>
      <c r="C20" s="46" t="s">
        <v>119</v>
      </c>
      <c r="D20" s="46" t="s">
        <v>120</v>
      </c>
      <c r="E20" s="46" t="s">
        <v>88</v>
      </c>
      <c r="F20" s="55" t="s">
        <v>121</v>
      </c>
      <c r="G20" s="46" t="s">
        <v>90</v>
      </c>
      <c r="H20" s="46" t="s">
        <v>122</v>
      </c>
      <c r="I20" s="46" t="s">
        <v>123</v>
      </c>
      <c r="J20" s="46" t="s">
        <v>93</v>
      </c>
      <c r="K20" s="46" t="s">
        <v>6</v>
      </c>
      <c r="L20" s="56" t="s">
        <v>124</v>
      </c>
      <c r="M20" s="58"/>
      <c r="N20" s="46"/>
      <c r="O20" s="47"/>
      <c r="P20" s="47"/>
      <c r="Q20" s="47"/>
      <c r="R20" s="47"/>
      <c r="S20" s="47"/>
      <c r="T20" s="47"/>
      <c r="U20" s="47"/>
      <c r="V20" s="47"/>
      <c r="W20" s="47"/>
      <c r="X20" s="47"/>
      <c r="Y20" s="47"/>
      <c r="Z20" s="47"/>
    </row>
    <row r="21">
      <c r="A21" s="47"/>
      <c r="B21" s="47"/>
      <c r="C21" s="47"/>
      <c r="D21" s="47"/>
      <c r="E21" s="47"/>
      <c r="F21" s="54"/>
      <c r="G21" s="47"/>
      <c r="H21" s="47"/>
      <c r="I21" s="47"/>
      <c r="J21" s="47"/>
      <c r="K21" s="47"/>
      <c r="L21" s="47"/>
      <c r="M21" s="47"/>
      <c r="N21" s="47"/>
      <c r="O21" s="47"/>
      <c r="P21" s="47"/>
      <c r="Q21" s="47"/>
      <c r="R21" s="47"/>
      <c r="S21" s="47"/>
      <c r="T21" s="47"/>
      <c r="U21" s="47"/>
      <c r="V21" s="47"/>
      <c r="W21" s="47"/>
      <c r="X21" s="47"/>
      <c r="Y21" s="47"/>
      <c r="Z21" s="47"/>
    </row>
    <row r="22">
      <c r="A22" s="46" t="s">
        <v>39</v>
      </c>
      <c r="B22" s="46" t="s">
        <v>85</v>
      </c>
      <c r="C22" s="46" t="s">
        <v>125</v>
      </c>
      <c r="D22" s="46" t="s">
        <v>126</v>
      </c>
      <c r="E22" s="46" t="s">
        <v>88</v>
      </c>
      <c r="F22" s="55" t="s">
        <v>127</v>
      </c>
      <c r="G22" s="46" t="s">
        <v>128</v>
      </c>
      <c r="H22" s="46" t="s">
        <v>129</v>
      </c>
      <c r="I22" s="46" t="s">
        <v>130</v>
      </c>
      <c r="J22" s="46" t="s">
        <v>93</v>
      </c>
      <c r="K22" s="46" t="s">
        <v>6</v>
      </c>
      <c r="L22" s="56" t="s">
        <v>131</v>
      </c>
      <c r="M22" s="58"/>
      <c r="N22" s="46"/>
      <c r="O22" s="47"/>
      <c r="P22" s="47"/>
      <c r="Q22" s="47"/>
      <c r="R22" s="47"/>
      <c r="S22" s="47"/>
      <c r="T22" s="47"/>
      <c r="U22" s="47"/>
      <c r="V22" s="47"/>
      <c r="W22" s="47"/>
      <c r="X22" s="47"/>
      <c r="Y22" s="47"/>
      <c r="Z22" s="47"/>
    </row>
    <row r="23">
      <c r="A23" s="47"/>
      <c r="B23" s="46"/>
      <c r="C23" s="47"/>
      <c r="D23" s="47"/>
      <c r="E23" s="47"/>
      <c r="F23" s="54"/>
      <c r="G23" s="47"/>
      <c r="H23" s="47"/>
      <c r="I23" s="47"/>
      <c r="J23" s="47"/>
      <c r="K23" s="47"/>
      <c r="L23" s="47"/>
      <c r="M23" s="47"/>
      <c r="N23" s="47"/>
      <c r="O23" s="47"/>
      <c r="P23" s="47"/>
      <c r="Q23" s="47"/>
      <c r="R23" s="47"/>
      <c r="S23" s="47"/>
      <c r="T23" s="47"/>
      <c r="U23" s="47"/>
      <c r="V23" s="47"/>
      <c r="W23" s="47"/>
      <c r="X23" s="47"/>
      <c r="Y23" s="47"/>
      <c r="Z23" s="47"/>
    </row>
    <row r="24">
      <c r="A24" s="46" t="s">
        <v>40</v>
      </c>
      <c r="B24" s="46" t="s">
        <v>85</v>
      </c>
      <c r="C24" s="46" t="s">
        <v>125</v>
      </c>
      <c r="D24" s="46" t="s">
        <v>132</v>
      </c>
      <c r="E24" s="46" t="s">
        <v>88</v>
      </c>
      <c r="F24" s="55" t="s">
        <v>127</v>
      </c>
      <c r="G24" s="46" t="s">
        <v>128</v>
      </c>
      <c r="H24" s="46" t="s">
        <v>129</v>
      </c>
      <c r="I24" s="46" t="s">
        <v>133</v>
      </c>
      <c r="J24" s="46" t="s">
        <v>93</v>
      </c>
      <c r="K24" s="46" t="s">
        <v>8</v>
      </c>
      <c r="L24" s="56" t="s">
        <v>134</v>
      </c>
      <c r="M24" s="58"/>
      <c r="N24" s="58"/>
      <c r="O24" s="47"/>
      <c r="P24" s="47"/>
      <c r="Q24" s="47"/>
      <c r="R24" s="47"/>
      <c r="S24" s="47"/>
      <c r="T24" s="47"/>
      <c r="U24" s="47"/>
      <c r="V24" s="47"/>
      <c r="W24" s="47"/>
      <c r="X24" s="47"/>
      <c r="Y24" s="47"/>
      <c r="Z24" s="47"/>
    </row>
    <row r="25">
      <c r="A25" s="47"/>
      <c r="B25" s="47"/>
      <c r="C25" s="47"/>
      <c r="D25" s="47"/>
      <c r="E25" s="47"/>
      <c r="F25" s="54"/>
      <c r="G25" s="47"/>
      <c r="H25" s="47"/>
      <c r="I25" s="47"/>
      <c r="J25" s="47"/>
      <c r="K25" s="47"/>
      <c r="L25" s="47"/>
      <c r="M25" s="47"/>
      <c r="N25" s="47"/>
      <c r="O25" s="47"/>
      <c r="P25" s="47"/>
      <c r="Q25" s="47"/>
      <c r="R25" s="47"/>
      <c r="S25" s="47"/>
      <c r="T25" s="47"/>
      <c r="U25" s="47"/>
      <c r="V25" s="47"/>
      <c r="W25" s="47"/>
      <c r="X25" s="47"/>
      <c r="Y25" s="47"/>
      <c r="Z25" s="47"/>
    </row>
    <row r="26">
      <c r="A26" s="46" t="s">
        <v>41</v>
      </c>
      <c r="B26" s="46" t="s">
        <v>85</v>
      </c>
      <c r="C26" s="46" t="s">
        <v>135</v>
      </c>
      <c r="D26" s="46" t="s">
        <v>136</v>
      </c>
      <c r="E26" s="46" t="s">
        <v>88</v>
      </c>
      <c r="F26" s="55" t="s">
        <v>137</v>
      </c>
      <c r="G26" s="46" t="s">
        <v>128</v>
      </c>
      <c r="H26" s="46" t="s">
        <v>138</v>
      </c>
      <c r="I26" s="46" t="s">
        <v>139</v>
      </c>
      <c r="J26" s="46" t="s">
        <v>93</v>
      </c>
      <c r="K26" s="46" t="s">
        <v>8</v>
      </c>
      <c r="L26" s="57" t="s">
        <v>140</v>
      </c>
      <c r="M26" s="58"/>
      <c r="N26" s="58"/>
      <c r="O26" s="47"/>
      <c r="P26" s="47"/>
      <c r="Q26" s="47"/>
      <c r="R26" s="47"/>
      <c r="S26" s="47"/>
      <c r="T26" s="47"/>
      <c r="U26" s="47"/>
      <c r="V26" s="47"/>
      <c r="W26" s="47"/>
      <c r="X26" s="47"/>
      <c r="Y26" s="47"/>
      <c r="Z26" s="47"/>
    </row>
    <row r="27">
      <c r="A27" s="47"/>
      <c r="B27" s="47"/>
      <c r="C27" s="47"/>
      <c r="D27" s="47"/>
      <c r="E27" s="47"/>
      <c r="F27" s="54"/>
      <c r="G27" s="47"/>
      <c r="H27" s="47"/>
      <c r="I27" s="47"/>
      <c r="J27" s="47"/>
      <c r="K27" s="47"/>
      <c r="L27" s="47"/>
      <c r="M27" s="47"/>
      <c r="N27" s="47"/>
      <c r="O27" s="47"/>
      <c r="P27" s="47"/>
      <c r="Q27" s="47"/>
      <c r="R27" s="47"/>
      <c r="S27" s="47"/>
      <c r="T27" s="47"/>
      <c r="U27" s="47"/>
      <c r="V27" s="47"/>
      <c r="W27" s="47"/>
      <c r="X27" s="47"/>
      <c r="Y27" s="47"/>
      <c r="Z27" s="47"/>
    </row>
    <row r="28">
      <c r="A28" s="46" t="s">
        <v>42</v>
      </c>
      <c r="B28" s="46" t="s">
        <v>85</v>
      </c>
      <c r="C28" s="46" t="s">
        <v>125</v>
      </c>
      <c r="D28" s="46" t="s">
        <v>141</v>
      </c>
      <c r="E28" s="46" t="s">
        <v>88</v>
      </c>
      <c r="F28" s="55" t="s">
        <v>142</v>
      </c>
      <c r="G28" s="46" t="s">
        <v>128</v>
      </c>
      <c r="H28" s="46" t="s">
        <v>143</v>
      </c>
      <c r="I28" s="46" t="s">
        <v>144</v>
      </c>
      <c r="J28" s="46" t="s">
        <v>93</v>
      </c>
      <c r="K28" s="46" t="s">
        <v>11</v>
      </c>
      <c r="L28" s="56" t="s">
        <v>145</v>
      </c>
      <c r="M28" s="58"/>
      <c r="N28" s="58"/>
      <c r="O28" s="47"/>
      <c r="P28" s="47"/>
      <c r="Q28" s="47"/>
      <c r="R28" s="47"/>
      <c r="S28" s="47"/>
      <c r="T28" s="47"/>
      <c r="U28" s="47"/>
      <c r="V28" s="47"/>
      <c r="W28" s="47"/>
      <c r="X28" s="47"/>
      <c r="Y28" s="47"/>
      <c r="Z28" s="47"/>
    </row>
    <row r="29">
      <c r="A29" s="47"/>
      <c r="B29" s="47"/>
      <c r="C29" s="47"/>
      <c r="D29" s="47"/>
      <c r="E29" s="47"/>
      <c r="F29" s="54"/>
      <c r="G29" s="47"/>
      <c r="H29" s="47"/>
      <c r="I29" s="47"/>
      <c r="J29" s="47"/>
      <c r="K29" s="47"/>
      <c r="L29" s="47"/>
      <c r="M29" s="47"/>
      <c r="N29" s="47"/>
      <c r="O29" s="47"/>
      <c r="P29" s="47"/>
      <c r="Q29" s="47"/>
      <c r="R29" s="47"/>
      <c r="S29" s="47"/>
      <c r="T29" s="47"/>
      <c r="U29" s="47"/>
      <c r="V29" s="47"/>
      <c r="W29" s="47"/>
      <c r="X29" s="47"/>
      <c r="Y29" s="47"/>
      <c r="Z29" s="47"/>
    </row>
    <row r="30">
      <c r="A30" s="46" t="s">
        <v>44</v>
      </c>
      <c r="B30" s="46" t="s">
        <v>85</v>
      </c>
      <c r="C30" s="46" t="s">
        <v>146</v>
      </c>
      <c r="D30" s="46" t="s">
        <v>147</v>
      </c>
      <c r="E30" s="46" t="s">
        <v>88</v>
      </c>
      <c r="F30" s="55" t="s">
        <v>148</v>
      </c>
      <c r="G30" s="46" t="s">
        <v>128</v>
      </c>
      <c r="H30" s="46" t="s">
        <v>149</v>
      </c>
      <c r="I30" s="46" t="s">
        <v>150</v>
      </c>
      <c r="J30" s="46" t="s">
        <v>93</v>
      </c>
      <c r="K30" s="46" t="s">
        <v>8</v>
      </c>
      <c r="L30" s="56" t="s">
        <v>151</v>
      </c>
      <c r="M30" s="58"/>
      <c r="N30" s="58"/>
      <c r="O30" s="47"/>
      <c r="P30" s="47"/>
      <c r="Q30" s="47"/>
      <c r="R30" s="47"/>
      <c r="S30" s="47"/>
      <c r="T30" s="47"/>
      <c r="U30" s="47"/>
      <c r="V30" s="47"/>
      <c r="W30" s="47"/>
      <c r="X30" s="47"/>
      <c r="Y30" s="47"/>
      <c r="Z30" s="47"/>
    </row>
    <row r="31">
      <c r="A31" s="47"/>
      <c r="B31" s="47"/>
      <c r="C31" s="47"/>
      <c r="D31" s="47"/>
      <c r="E31" s="47"/>
      <c r="F31" s="54"/>
      <c r="G31" s="47"/>
      <c r="H31" s="47"/>
      <c r="I31" s="47"/>
      <c r="J31" s="47"/>
      <c r="K31" s="47"/>
      <c r="L31" s="47"/>
      <c r="M31" s="47"/>
      <c r="N31" s="47"/>
      <c r="O31" s="47"/>
      <c r="P31" s="47"/>
      <c r="Q31" s="47"/>
      <c r="R31" s="47"/>
      <c r="S31" s="47"/>
      <c r="T31" s="47"/>
      <c r="U31" s="47"/>
      <c r="V31" s="47"/>
      <c r="W31" s="47"/>
      <c r="X31" s="47"/>
      <c r="Y31" s="47"/>
      <c r="Z31" s="47"/>
    </row>
    <row r="32">
      <c r="A32" s="46" t="s">
        <v>45</v>
      </c>
      <c r="B32" s="46" t="s">
        <v>85</v>
      </c>
      <c r="C32" s="46" t="s">
        <v>152</v>
      </c>
      <c r="D32" s="46" t="s">
        <v>153</v>
      </c>
      <c r="E32" s="46" t="s">
        <v>88</v>
      </c>
      <c r="F32" s="55" t="s">
        <v>148</v>
      </c>
      <c r="G32" s="46" t="s">
        <v>128</v>
      </c>
      <c r="H32" s="46" t="s">
        <v>154</v>
      </c>
      <c r="I32" s="46" t="s">
        <v>155</v>
      </c>
      <c r="J32" s="46" t="s">
        <v>93</v>
      </c>
      <c r="K32" s="46" t="s">
        <v>6</v>
      </c>
      <c r="L32" s="56" t="s">
        <v>156</v>
      </c>
      <c r="M32" s="58"/>
      <c r="N32" s="58"/>
      <c r="O32" s="47"/>
      <c r="P32" s="47"/>
      <c r="Q32" s="47"/>
      <c r="R32" s="47"/>
      <c r="S32" s="47"/>
      <c r="T32" s="47"/>
      <c r="U32" s="47"/>
      <c r="V32" s="47"/>
      <c r="W32" s="47"/>
      <c r="X32" s="47"/>
      <c r="Y32" s="47"/>
      <c r="Z32" s="47"/>
    </row>
    <row r="33">
      <c r="A33" s="47"/>
      <c r="B33" s="47"/>
      <c r="C33" s="47"/>
      <c r="D33" s="47"/>
      <c r="E33" s="47"/>
      <c r="F33" s="54"/>
      <c r="G33" s="47"/>
      <c r="H33" s="47"/>
      <c r="I33" s="47"/>
      <c r="J33" s="47"/>
      <c r="K33" s="47"/>
      <c r="L33" s="47"/>
      <c r="M33" s="47"/>
      <c r="N33" s="47"/>
      <c r="O33" s="47"/>
      <c r="P33" s="47"/>
      <c r="Q33" s="47"/>
      <c r="R33" s="47"/>
      <c r="S33" s="47"/>
      <c r="T33" s="47"/>
      <c r="U33" s="47"/>
      <c r="V33" s="47"/>
      <c r="W33" s="47"/>
      <c r="X33" s="47"/>
      <c r="Y33" s="47"/>
      <c r="Z33" s="47"/>
    </row>
    <row r="34">
      <c r="A34" s="46" t="s">
        <v>46</v>
      </c>
      <c r="B34" s="46" t="s">
        <v>85</v>
      </c>
      <c r="C34" s="46" t="s">
        <v>152</v>
      </c>
      <c r="D34" s="46" t="s">
        <v>157</v>
      </c>
      <c r="E34" s="46" t="s">
        <v>88</v>
      </c>
      <c r="F34" s="55" t="s">
        <v>148</v>
      </c>
      <c r="G34" s="46" t="s">
        <v>128</v>
      </c>
      <c r="H34" s="46" t="s">
        <v>158</v>
      </c>
      <c r="I34" s="46" t="s">
        <v>159</v>
      </c>
      <c r="J34" s="46" t="s">
        <v>93</v>
      </c>
      <c r="K34" s="46" t="s">
        <v>6</v>
      </c>
      <c r="L34" s="56" t="s">
        <v>160</v>
      </c>
      <c r="M34" s="58"/>
      <c r="N34" s="58"/>
      <c r="O34" s="47"/>
      <c r="P34" s="47"/>
      <c r="Q34" s="47"/>
      <c r="R34" s="47"/>
      <c r="S34" s="47"/>
      <c r="T34" s="47"/>
      <c r="U34" s="47"/>
      <c r="V34" s="47"/>
      <c r="W34" s="47"/>
      <c r="X34" s="47"/>
      <c r="Y34" s="47"/>
      <c r="Z34" s="47"/>
    </row>
    <row r="35">
      <c r="A35" s="47"/>
      <c r="B35" s="47"/>
      <c r="C35" s="47"/>
      <c r="D35" s="47"/>
      <c r="E35" s="47"/>
      <c r="F35" s="54"/>
      <c r="G35" s="47"/>
      <c r="H35" s="47"/>
      <c r="I35" s="47"/>
      <c r="J35" s="47"/>
      <c r="K35" s="47"/>
      <c r="L35" s="47"/>
      <c r="M35" s="47"/>
      <c r="N35" s="47"/>
      <c r="O35" s="47"/>
      <c r="P35" s="47"/>
      <c r="Q35" s="47"/>
      <c r="R35" s="47"/>
      <c r="S35" s="47"/>
      <c r="T35" s="47"/>
      <c r="U35" s="47"/>
      <c r="V35" s="47"/>
      <c r="W35" s="47"/>
      <c r="X35" s="47"/>
      <c r="Y35" s="47"/>
      <c r="Z35" s="47"/>
    </row>
    <row r="36">
      <c r="A36" s="46" t="s">
        <v>48</v>
      </c>
      <c r="B36" s="46" t="s">
        <v>85</v>
      </c>
      <c r="C36" s="46" t="s">
        <v>161</v>
      </c>
      <c r="D36" s="46" t="s">
        <v>162</v>
      </c>
      <c r="E36" s="46" t="s">
        <v>88</v>
      </c>
      <c r="F36" s="55" t="s">
        <v>163</v>
      </c>
      <c r="G36" s="46" t="s">
        <v>128</v>
      </c>
      <c r="H36" s="46" t="s">
        <v>164</v>
      </c>
      <c r="I36" s="46" t="s">
        <v>165</v>
      </c>
      <c r="J36" s="46" t="s">
        <v>93</v>
      </c>
      <c r="K36" s="46" t="s">
        <v>6</v>
      </c>
      <c r="L36" s="56" t="s">
        <v>166</v>
      </c>
      <c r="M36" s="58"/>
      <c r="N36" s="58"/>
      <c r="O36" s="47"/>
      <c r="P36" s="47"/>
      <c r="Q36" s="47"/>
      <c r="R36" s="47"/>
      <c r="S36" s="47"/>
      <c r="T36" s="47"/>
      <c r="U36" s="47"/>
      <c r="V36" s="47"/>
      <c r="W36" s="47"/>
      <c r="X36" s="47"/>
      <c r="Y36" s="47"/>
      <c r="Z36" s="47"/>
    </row>
    <row r="37">
      <c r="A37" s="47"/>
      <c r="B37" s="47"/>
      <c r="C37" s="47"/>
      <c r="D37" s="47"/>
      <c r="E37" s="47"/>
      <c r="F37" s="54"/>
      <c r="G37" s="47"/>
      <c r="H37" s="47"/>
      <c r="I37" s="47"/>
      <c r="J37" s="47"/>
      <c r="K37" s="47"/>
      <c r="L37" s="47"/>
      <c r="M37" s="47"/>
      <c r="N37" s="47"/>
      <c r="O37" s="47"/>
      <c r="P37" s="47"/>
      <c r="Q37" s="47"/>
      <c r="R37" s="47"/>
      <c r="S37" s="47"/>
      <c r="T37" s="47"/>
      <c r="U37" s="47"/>
      <c r="V37" s="47"/>
      <c r="W37" s="47"/>
      <c r="X37" s="47"/>
      <c r="Y37" s="47"/>
      <c r="Z37" s="47"/>
    </row>
    <row r="38">
      <c r="A38" s="46" t="s">
        <v>49</v>
      </c>
      <c r="B38" s="46" t="s">
        <v>85</v>
      </c>
      <c r="C38" s="46" t="s">
        <v>161</v>
      </c>
      <c r="D38" s="46" t="s">
        <v>167</v>
      </c>
      <c r="E38" s="46" t="s">
        <v>88</v>
      </c>
      <c r="F38" s="55" t="s">
        <v>163</v>
      </c>
      <c r="G38" s="46" t="s">
        <v>128</v>
      </c>
      <c r="H38" s="46" t="s">
        <v>168</v>
      </c>
      <c r="I38" s="46" t="s">
        <v>169</v>
      </c>
      <c r="J38" s="46" t="s">
        <v>93</v>
      </c>
      <c r="K38" s="46" t="s">
        <v>6</v>
      </c>
      <c r="L38" s="56" t="s">
        <v>170</v>
      </c>
      <c r="M38" s="58"/>
      <c r="N38" s="58"/>
      <c r="O38" s="47"/>
      <c r="P38" s="47"/>
      <c r="Q38" s="47"/>
      <c r="R38" s="47"/>
      <c r="S38" s="47"/>
      <c r="T38" s="47"/>
      <c r="U38" s="47"/>
      <c r="V38" s="47"/>
      <c r="W38" s="47"/>
      <c r="X38" s="47"/>
      <c r="Y38" s="47"/>
      <c r="Z38" s="47"/>
    </row>
    <row r="39">
      <c r="A39" s="47"/>
      <c r="B39" s="47"/>
      <c r="C39" s="47"/>
      <c r="D39" s="47"/>
      <c r="E39" s="47"/>
      <c r="F39" s="54"/>
      <c r="G39" s="47"/>
      <c r="H39" s="47"/>
      <c r="I39" s="47"/>
      <c r="J39" s="47"/>
      <c r="K39" s="47"/>
      <c r="L39" s="47"/>
      <c r="M39" s="47"/>
      <c r="N39" s="47"/>
      <c r="O39" s="47"/>
      <c r="P39" s="47"/>
      <c r="Q39" s="47"/>
      <c r="R39" s="47"/>
      <c r="S39" s="47"/>
      <c r="T39" s="47"/>
      <c r="U39" s="47"/>
      <c r="V39" s="47"/>
      <c r="W39" s="47"/>
      <c r="X39" s="47"/>
      <c r="Y39" s="47"/>
      <c r="Z39" s="47"/>
    </row>
    <row r="40">
      <c r="A40" s="46" t="s">
        <v>50</v>
      </c>
      <c r="B40" s="46" t="s">
        <v>85</v>
      </c>
      <c r="C40" s="46" t="s">
        <v>125</v>
      </c>
      <c r="D40" s="46" t="s">
        <v>171</v>
      </c>
      <c r="E40" s="46" t="s">
        <v>88</v>
      </c>
      <c r="F40" s="55" t="s">
        <v>172</v>
      </c>
      <c r="G40" s="46" t="s">
        <v>128</v>
      </c>
      <c r="H40" s="46" t="s">
        <v>173</v>
      </c>
      <c r="I40" s="46" t="s">
        <v>174</v>
      </c>
      <c r="J40" s="46" t="s">
        <v>93</v>
      </c>
      <c r="K40" s="46" t="s">
        <v>8</v>
      </c>
      <c r="L40" s="56" t="s">
        <v>175</v>
      </c>
      <c r="M40" s="58"/>
      <c r="N40" s="58"/>
      <c r="O40" s="47"/>
      <c r="P40" s="47"/>
      <c r="Q40" s="47"/>
      <c r="R40" s="47"/>
      <c r="S40" s="47"/>
      <c r="T40" s="47"/>
      <c r="U40" s="47"/>
      <c r="V40" s="47"/>
      <c r="W40" s="47"/>
      <c r="X40" s="47"/>
      <c r="Y40" s="47"/>
      <c r="Z40" s="47"/>
    </row>
    <row r="41">
      <c r="A41" s="47"/>
      <c r="B41" s="47"/>
      <c r="C41" s="47"/>
      <c r="D41" s="47"/>
      <c r="E41" s="47"/>
      <c r="F41" s="54"/>
      <c r="G41" s="47"/>
      <c r="H41" s="47"/>
      <c r="I41" s="47"/>
      <c r="J41" s="47"/>
      <c r="K41" s="47"/>
      <c r="L41" s="47"/>
      <c r="M41" s="47"/>
      <c r="N41" s="47"/>
      <c r="O41" s="47"/>
      <c r="P41" s="47"/>
      <c r="Q41" s="47"/>
      <c r="R41" s="47"/>
      <c r="S41" s="47"/>
      <c r="T41" s="47"/>
      <c r="U41" s="47"/>
      <c r="V41" s="47"/>
      <c r="W41" s="47"/>
      <c r="X41" s="47"/>
      <c r="Y41" s="47"/>
      <c r="Z41" s="47"/>
    </row>
    <row r="42">
      <c r="A42" s="46" t="s">
        <v>51</v>
      </c>
      <c r="B42" s="46" t="s">
        <v>85</v>
      </c>
      <c r="C42" s="46" t="s">
        <v>125</v>
      </c>
      <c r="D42" s="46" t="s">
        <v>176</v>
      </c>
      <c r="E42" s="46" t="s">
        <v>88</v>
      </c>
      <c r="F42" s="55" t="s">
        <v>172</v>
      </c>
      <c r="G42" s="46" t="s">
        <v>128</v>
      </c>
      <c r="H42" s="46" t="s">
        <v>177</v>
      </c>
      <c r="I42" s="46" t="s">
        <v>178</v>
      </c>
      <c r="J42" s="46" t="s">
        <v>93</v>
      </c>
      <c r="K42" s="46" t="s">
        <v>8</v>
      </c>
      <c r="L42" s="56" t="s">
        <v>179</v>
      </c>
      <c r="M42" s="58"/>
      <c r="N42" s="58"/>
      <c r="O42" s="47"/>
      <c r="P42" s="47"/>
      <c r="Q42" s="47"/>
      <c r="R42" s="47"/>
      <c r="S42" s="47"/>
      <c r="T42" s="47"/>
      <c r="U42" s="47"/>
      <c r="V42" s="47"/>
      <c r="W42" s="47"/>
      <c r="X42" s="47"/>
      <c r="Y42" s="47"/>
      <c r="Z42" s="47"/>
    </row>
    <row r="43">
      <c r="A43" s="47"/>
      <c r="B43" s="47"/>
      <c r="C43" s="47"/>
      <c r="D43" s="47"/>
      <c r="E43" s="47"/>
      <c r="F43" s="54"/>
      <c r="G43" s="47"/>
      <c r="H43" s="47"/>
      <c r="I43" s="47"/>
      <c r="J43" s="47"/>
      <c r="K43" s="47"/>
      <c r="L43" s="47"/>
      <c r="M43" s="47"/>
      <c r="N43" s="47"/>
      <c r="O43" s="47"/>
      <c r="P43" s="47"/>
      <c r="Q43" s="47"/>
      <c r="R43" s="47"/>
      <c r="S43" s="47"/>
      <c r="T43" s="47"/>
      <c r="U43" s="47"/>
      <c r="V43" s="47"/>
      <c r="W43" s="47"/>
      <c r="X43" s="47"/>
      <c r="Y43" s="47"/>
      <c r="Z43" s="47"/>
    </row>
    <row r="44">
      <c r="A44" s="46" t="s">
        <v>52</v>
      </c>
      <c r="B44" s="46" t="s">
        <v>85</v>
      </c>
      <c r="C44" s="46" t="s">
        <v>125</v>
      </c>
      <c r="D44" s="46" t="s">
        <v>180</v>
      </c>
      <c r="E44" s="46" t="s">
        <v>88</v>
      </c>
      <c r="F44" s="55" t="s">
        <v>172</v>
      </c>
      <c r="G44" s="46" t="s">
        <v>128</v>
      </c>
      <c r="H44" s="46" t="s">
        <v>181</v>
      </c>
      <c r="I44" s="46" t="s">
        <v>182</v>
      </c>
      <c r="J44" s="46" t="s">
        <v>93</v>
      </c>
      <c r="K44" s="46" t="s">
        <v>11</v>
      </c>
      <c r="L44" s="56" t="s">
        <v>183</v>
      </c>
      <c r="M44" s="58"/>
      <c r="N44" s="58"/>
      <c r="O44" s="47"/>
      <c r="P44" s="47"/>
      <c r="Q44" s="47"/>
      <c r="R44" s="47"/>
      <c r="S44" s="47"/>
      <c r="T44" s="47"/>
      <c r="U44" s="47"/>
      <c r="V44" s="47"/>
      <c r="W44" s="47"/>
      <c r="X44" s="47"/>
      <c r="Y44" s="47"/>
      <c r="Z44" s="47"/>
    </row>
    <row r="45">
      <c r="A45" s="47"/>
      <c r="B45" s="47"/>
      <c r="C45" s="47"/>
      <c r="D45" s="47"/>
      <c r="E45" s="47"/>
      <c r="F45" s="54"/>
      <c r="G45" s="47"/>
      <c r="H45" s="47"/>
      <c r="I45" s="47"/>
      <c r="J45" s="47"/>
      <c r="K45" s="47"/>
      <c r="L45" s="47"/>
      <c r="M45" s="47"/>
      <c r="N45" s="47"/>
      <c r="O45" s="47"/>
      <c r="P45" s="47"/>
      <c r="Q45" s="47"/>
      <c r="R45" s="47"/>
      <c r="S45" s="47"/>
      <c r="T45" s="47"/>
      <c r="U45" s="47"/>
      <c r="V45" s="47"/>
      <c r="W45" s="47"/>
      <c r="X45" s="47"/>
      <c r="Y45" s="47"/>
      <c r="Z45" s="47"/>
    </row>
    <row r="46">
      <c r="A46" s="46" t="s">
        <v>53</v>
      </c>
      <c r="B46" s="46" t="s">
        <v>85</v>
      </c>
      <c r="C46" s="46" t="s">
        <v>125</v>
      </c>
      <c r="D46" s="46" t="s">
        <v>184</v>
      </c>
      <c r="E46" s="46" t="s">
        <v>88</v>
      </c>
      <c r="F46" s="55" t="s">
        <v>172</v>
      </c>
      <c r="G46" s="46" t="s">
        <v>128</v>
      </c>
      <c r="H46" s="46" t="s">
        <v>185</v>
      </c>
      <c r="I46" s="46" t="s">
        <v>186</v>
      </c>
      <c r="J46" s="46" t="s">
        <v>93</v>
      </c>
      <c r="K46" s="46" t="s">
        <v>8</v>
      </c>
      <c r="L46" s="56" t="s">
        <v>187</v>
      </c>
      <c r="M46" s="46" t="s">
        <v>188</v>
      </c>
      <c r="N46" s="58"/>
      <c r="O46" s="47"/>
      <c r="P46" s="47"/>
      <c r="Q46" s="47"/>
      <c r="R46" s="47"/>
      <c r="S46" s="47"/>
      <c r="T46" s="47"/>
      <c r="U46" s="47"/>
      <c r="V46" s="47"/>
      <c r="W46" s="47"/>
      <c r="X46" s="47"/>
      <c r="Y46" s="47"/>
      <c r="Z46" s="47"/>
    </row>
    <row r="47">
      <c r="A47" s="47"/>
      <c r="B47" s="47"/>
      <c r="C47" s="47"/>
      <c r="D47" s="47"/>
      <c r="E47" s="47"/>
      <c r="F47" s="54"/>
      <c r="G47" s="47"/>
      <c r="H47" s="47"/>
      <c r="I47" s="47"/>
      <c r="J47" s="47"/>
      <c r="K47" s="47"/>
      <c r="L47" s="47"/>
      <c r="M47" s="47"/>
      <c r="N47" s="47"/>
      <c r="O47" s="47"/>
      <c r="P47" s="47"/>
      <c r="Q47" s="47"/>
      <c r="R47" s="47"/>
      <c r="S47" s="47"/>
      <c r="T47" s="47"/>
      <c r="U47" s="47"/>
      <c r="V47" s="47"/>
      <c r="W47" s="47"/>
      <c r="X47" s="47"/>
      <c r="Y47" s="47"/>
      <c r="Z47" s="47"/>
    </row>
    <row r="48">
      <c r="A48" s="46" t="s">
        <v>54</v>
      </c>
      <c r="B48" s="46" t="s">
        <v>85</v>
      </c>
      <c r="C48" s="46" t="s">
        <v>125</v>
      </c>
      <c r="D48" s="46" t="s">
        <v>189</v>
      </c>
      <c r="E48" s="46" t="s">
        <v>88</v>
      </c>
      <c r="F48" s="55" t="s">
        <v>172</v>
      </c>
      <c r="G48" s="46" t="s">
        <v>128</v>
      </c>
      <c r="H48" s="46" t="s">
        <v>185</v>
      </c>
      <c r="I48" s="46" t="s">
        <v>186</v>
      </c>
      <c r="J48" s="46" t="s">
        <v>93</v>
      </c>
      <c r="K48" s="46" t="s">
        <v>6</v>
      </c>
      <c r="L48" s="56" t="s">
        <v>190</v>
      </c>
      <c r="M48" s="46" t="s">
        <v>188</v>
      </c>
      <c r="N48" s="58"/>
      <c r="O48" s="47"/>
      <c r="P48" s="47"/>
      <c r="Q48" s="47"/>
      <c r="R48" s="47"/>
      <c r="S48" s="47"/>
      <c r="T48" s="47"/>
      <c r="U48" s="47"/>
      <c r="V48" s="47"/>
      <c r="W48" s="47"/>
      <c r="X48" s="47"/>
      <c r="Y48" s="47"/>
      <c r="Z48" s="47"/>
    </row>
    <row r="49">
      <c r="A49" s="47"/>
      <c r="B49" s="47"/>
      <c r="C49" s="47"/>
      <c r="D49" s="47"/>
      <c r="E49" s="47"/>
      <c r="F49" s="54"/>
      <c r="G49" s="47"/>
      <c r="H49" s="47"/>
      <c r="I49" s="47"/>
      <c r="J49" s="47"/>
      <c r="K49" s="47"/>
      <c r="L49" s="47"/>
      <c r="M49" s="47"/>
      <c r="N49" s="47"/>
      <c r="O49" s="47"/>
      <c r="P49" s="47"/>
      <c r="Q49" s="47"/>
      <c r="R49" s="47"/>
      <c r="S49" s="47"/>
      <c r="T49" s="47"/>
      <c r="U49" s="47"/>
      <c r="V49" s="47"/>
      <c r="W49" s="47"/>
      <c r="X49" s="47"/>
      <c r="Y49" s="47"/>
      <c r="Z49" s="47"/>
    </row>
    <row r="50">
      <c r="A50" s="46" t="s">
        <v>55</v>
      </c>
      <c r="B50" s="46" t="s">
        <v>85</v>
      </c>
      <c r="C50" s="46" t="s">
        <v>125</v>
      </c>
      <c r="D50" s="46" t="s">
        <v>191</v>
      </c>
      <c r="E50" s="46" t="s">
        <v>88</v>
      </c>
      <c r="F50" s="55" t="s">
        <v>172</v>
      </c>
      <c r="G50" s="46" t="s">
        <v>192</v>
      </c>
      <c r="H50" s="46" t="s">
        <v>193</v>
      </c>
      <c r="I50" s="46" t="s">
        <v>194</v>
      </c>
      <c r="J50" s="46" t="s">
        <v>93</v>
      </c>
      <c r="K50" s="46" t="s">
        <v>6</v>
      </c>
      <c r="L50" s="56" t="s">
        <v>195</v>
      </c>
      <c r="M50" s="58"/>
      <c r="N50" s="58"/>
      <c r="O50" s="47"/>
      <c r="P50" s="47"/>
      <c r="Q50" s="47"/>
      <c r="R50" s="47"/>
      <c r="S50" s="47"/>
      <c r="T50" s="47"/>
      <c r="U50" s="47"/>
      <c r="V50" s="47"/>
      <c r="W50" s="47"/>
      <c r="X50" s="47"/>
      <c r="Y50" s="47"/>
      <c r="Z50" s="47"/>
    </row>
    <row r="51">
      <c r="A51" s="47"/>
      <c r="B51" s="47"/>
      <c r="C51" s="47"/>
      <c r="D51" s="47"/>
      <c r="E51" s="47"/>
      <c r="F51" s="54"/>
      <c r="G51" s="47"/>
      <c r="H51" s="47"/>
      <c r="I51" s="47"/>
      <c r="J51" s="47"/>
      <c r="K51" s="47"/>
      <c r="L51" s="47"/>
      <c r="M51" s="47"/>
      <c r="N51" s="47"/>
      <c r="O51" s="47"/>
      <c r="P51" s="47"/>
      <c r="Q51" s="47"/>
      <c r="R51" s="47"/>
      <c r="S51" s="47"/>
      <c r="T51" s="47"/>
      <c r="U51" s="47"/>
      <c r="V51" s="47"/>
      <c r="W51" s="47"/>
      <c r="X51" s="47"/>
      <c r="Y51" s="47"/>
      <c r="Z51" s="47"/>
    </row>
    <row r="52">
      <c r="A52" s="46" t="s">
        <v>56</v>
      </c>
      <c r="B52" s="46" t="s">
        <v>85</v>
      </c>
      <c r="C52" s="46" t="s">
        <v>196</v>
      </c>
      <c r="D52" s="46" t="s">
        <v>197</v>
      </c>
      <c r="E52" s="46" t="s">
        <v>88</v>
      </c>
      <c r="F52" s="55" t="s">
        <v>198</v>
      </c>
      <c r="G52" s="46" t="s">
        <v>192</v>
      </c>
      <c r="H52" s="46" t="s">
        <v>199</v>
      </c>
      <c r="I52" s="46" t="s">
        <v>200</v>
      </c>
      <c r="J52" s="46" t="s">
        <v>93</v>
      </c>
      <c r="K52" s="46" t="s">
        <v>6</v>
      </c>
      <c r="L52" s="56" t="s">
        <v>201</v>
      </c>
      <c r="M52" s="58"/>
      <c r="N52" s="58"/>
      <c r="O52" s="47"/>
      <c r="P52" s="47"/>
      <c r="Q52" s="47"/>
      <c r="R52" s="47"/>
      <c r="S52" s="47"/>
      <c r="T52" s="47"/>
      <c r="U52" s="47"/>
      <c r="V52" s="47"/>
      <c r="W52" s="47"/>
      <c r="X52" s="47"/>
      <c r="Y52" s="47"/>
      <c r="Z52" s="47"/>
    </row>
    <row r="53">
      <c r="A53" s="47"/>
      <c r="B53" s="47"/>
      <c r="C53" s="47"/>
      <c r="D53" s="47"/>
      <c r="E53" s="47"/>
      <c r="F53" s="54"/>
      <c r="G53" s="47"/>
      <c r="H53" s="47"/>
      <c r="I53" s="47"/>
      <c r="J53" s="47"/>
      <c r="K53" s="47"/>
      <c r="L53" s="47"/>
      <c r="M53" s="47"/>
      <c r="N53" s="47"/>
      <c r="O53" s="47"/>
      <c r="P53" s="47"/>
      <c r="Q53" s="47"/>
      <c r="R53" s="47"/>
      <c r="S53" s="47"/>
      <c r="T53" s="47"/>
      <c r="U53" s="47"/>
      <c r="V53" s="47"/>
      <c r="W53" s="47"/>
      <c r="X53" s="47"/>
      <c r="Y53" s="47"/>
      <c r="Z53" s="47"/>
    </row>
    <row r="54">
      <c r="A54" s="46" t="s">
        <v>57</v>
      </c>
      <c r="B54" s="46" t="s">
        <v>85</v>
      </c>
      <c r="C54" s="46" t="s">
        <v>202</v>
      </c>
      <c r="D54" s="46" t="s">
        <v>203</v>
      </c>
      <c r="E54" s="46" t="s">
        <v>88</v>
      </c>
      <c r="F54" s="55" t="s">
        <v>204</v>
      </c>
      <c r="G54" s="46" t="s">
        <v>192</v>
      </c>
      <c r="H54" s="46" t="s">
        <v>205</v>
      </c>
      <c r="I54" s="46" t="s">
        <v>206</v>
      </c>
      <c r="J54" s="46" t="s">
        <v>93</v>
      </c>
      <c r="K54" s="46" t="s">
        <v>6</v>
      </c>
      <c r="L54" s="56" t="s">
        <v>207</v>
      </c>
      <c r="M54" s="58"/>
      <c r="N54" s="58"/>
      <c r="O54" s="47"/>
      <c r="P54" s="47"/>
      <c r="Q54" s="47"/>
      <c r="R54" s="47"/>
      <c r="S54" s="47"/>
      <c r="T54" s="47"/>
      <c r="U54" s="47"/>
      <c r="V54" s="47"/>
      <c r="W54" s="47"/>
      <c r="X54" s="47"/>
      <c r="Y54" s="47"/>
      <c r="Z54" s="47"/>
    </row>
    <row r="55">
      <c r="A55" s="47"/>
      <c r="B55" s="47"/>
      <c r="C55" s="47"/>
      <c r="D55" s="47"/>
      <c r="E55" s="47"/>
      <c r="F55" s="54"/>
      <c r="G55" s="47"/>
      <c r="H55" s="47"/>
      <c r="I55" s="47"/>
      <c r="J55" s="47"/>
      <c r="K55" s="47"/>
      <c r="L55" s="47"/>
      <c r="M55" s="47"/>
      <c r="N55" s="47"/>
      <c r="O55" s="47"/>
      <c r="P55" s="47"/>
      <c r="Q55" s="47"/>
      <c r="R55" s="47"/>
      <c r="S55" s="47"/>
      <c r="T55" s="47"/>
      <c r="U55" s="47"/>
      <c r="V55" s="47"/>
      <c r="W55" s="47"/>
      <c r="X55" s="47"/>
      <c r="Y55" s="47"/>
      <c r="Z55" s="47"/>
    </row>
    <row r="56">
      <c r="A56" s="46" t="s">
        <v>58</v>
      </c>
      <c r="B56" s="46" t="s">
        <v>85</v>
      </c>
      <c r="C56" s="46" t="s">
        <v>208</v>
      </c>
      <c r="D56" s="46" t="s">
        <v>209</v>
      </c>
      <c r="E56" s="46" t="s">
        <v>88</v>
      </c>
      <c r="F56" s="55" t="s">
        <v>204</v>
      </c>
      <c r="G56" s="46" t="s">
        <v>192</v>
      </c>
      <c r="H56" s="46" t="s">
        <v>210</v>
      </c>
      <c r="I56" s="46" t="s">
        <v>211</v>
      </c>
      <c r="J56" s="46" t="s">
        <v>93</v>
      </c>
      <c r="K56" s="46" t="s">
        <v>11</v>
      </c>
      <c r="L56" s="56" t="s">
        <v>212</v>
      </c>
      <c r="M56" s="58"/>
      <c r="N56" s="58"/>
      <c r="O56" s="47"/>
      <c r="P56" s="47"/>
      <c r="Q56" s="47"/>
      <c r="R56" s="47"/>
      <c r="S56" s="47"/>
      <c r="T56" s="47"/>
      <c r="U56" s="47"/>
      <c r="V56" s="47"/>
      <c r="W56" s="47"/>
      <c r="X56" s="47"/>
      <c r="Y56" s="47"/>
      <c r="Z56" s="47"/>
    </row>
    <row r="57">
      <c r="A57" s="47"/>
      <c r="B57" s="47"/>
      <c r="C57" s="47"/>
      <c r="D57" s="47"/>
      <c r="E57" s="47"/>
      <c r="F57" s="54"/>
      <c r="G57" s="47"/>
      <c r="H57" s="47"/>
      <c r="I57" s="47"/>
      <c r="J57" s="47"/>
      <c r="K57" s="47"/>
      <c r="L57" s="47"/>
      <c r="M57" s="47"/>
      <c r="N57" s="47"/>
      <c r="O57" s="47"/>
      <c r="P57" s="47"/>
      <c r="Q57" s="47"/>
      <c r="R57" s="47"/>
      <c r="S57" s="47"/>
      <c r="T57" s="47"/>
      <c r="U57" s="47"/>
      <c r="V57" s="47"/>
      <c r="W57" s="47"/>
      <c r="X57" s="47"/>
      <c r="Y57" s="47"/>
      <c r="Z57" s="47"/>
    </row>
    <row r="58">
      <c r="A58" s="46" t="s">
        <v>59</v>
      </c>
      <c r="B58" s="46" t="s">
        <v>85</v>
      </c>
      <c r="C58" s="46" t="s">
        <v>208</v>
      </c>
      <c r="D58" s="46" t="s">
        <v>213</v>
      </c>
      <c r="E58" s="46" t="s">
        <v>88</v>
      </c>
      <c r="F58" s="55" t="s">
        <v>204</v>
      </c>
      <c r="G58" s="46" t="s">
        <v>192</v>
      </c>
      <c r="H58" s="46" t="s">
        <v>210</v>
      </c>
      <c r="I58" s="46" t="s">
        <v>211</v>
      </c>
      <c r="J58" s="46" t="s">
        <v>93</v>
      </c>
      <c r="K58" s="46" t="s">
        <v>11</v>
      </c>
      <c r="L58" s="56" t="s">
        <v>214</v>
      </c>
      <c r="M58" s="58"/>
      <c r="N58" s="58"/>
      <c r="O58" s="47"/>
      <c r="P58" s="47"/>
      <c r="Q58" s="47"/>
      <c r="R58" s="47"/>
      <c r="S58" s="47"/>
      <c r="T58" s="47"/>
      <c r="U58" s="47"/>
      <c r="V58" s="47"/>
      <c r="W58" s="47"/>
      <c r="X58" s="47"/>
      <c r="Y58" s="47"/>
      <c r="Z58" s="47"/>
    </row>
    <row r="59">
      <c r="A59" s="47"/>
      <c r="B59" s="47"/>
      <c r="C59" s="47"/>
      <c r="D59" s="47"/>
      <c r="E59" s="47"/>
      <c r="F59" s="54"/>
      <c r="G59" s="47"/>
      <c r="H59" s="47"/>
      <c r="I59" s="47"/>
      <c r="J59" s="47"/>
      <c r="K59" s="47"/>
      <c r="L59" s="47"/>
      <c r="M59" s="47"/>
      <c r="N59" s="47"/>
      <c r="O59" s="47"/>
      <c r="P59" s="47"/>
      <c r="Q59" s="47"/>
      <c r="R59" s="47"/>
      <c r="S59" s="47"/>
      <c r="T59" s="47"/>
      <c r="U59" s="47"/>
      <c r="V59" s="47"/>
      <c r="W59" s="47"/>
      <c r="X59" s="47"/>
      <c r="Y59" s="47"/>
      <c r="Z59" s="47"/>
    </row>
    <row r="60">
      <c r="A60" s="46" t="s">
        <v>60</v>
      </c>
      <c r="B60" s="46" t="s">
        <v>85</v>
      </c>
      <c r="C60" s="46" t="s">
        <v>208</v>
      </c>
      <c r="D60" s="46" t="s">
        <v>215</v>
      </c>
      <c r="E60" s="46" t="s">
        <v>88</v>
      </c>
      <c r="F60" s="55" t="s">
        <v>204</v>
      </c>
      <c r="G60" s="46" t="s">
        <v>192</v>
      </c>
      <c r="H60" s="46" t="s">
        <v>216</v>
      </c>
      <c r="I60" s="46" t="s">
        <v>217</v>
      </c>
      <c r="J60" s="46" t="s">
        <v>93</v>
      </c>
      <c r="K60" s="46" t="s">
        <v>8</v>
      </c>
      <c r="L60" s="56" t="s">
        <v>218</v>
      </c>
      <c r="M60" s="58"/>
      <c r="N60" s="58"/>
      <c r="O60" s="47"/>
      <c r="P60" s="47"/>
      <c r="Q60" s="47"/>
      <c r="R60" s="47"/>
      <c r="S60" s="47"/>
      <c r="T60" s="47"/>
      <c r="U60" s="47"/>
      <c r="V60" s="47"/>
      <c r="W60" s="47"/>
      <c r="X60" s="47"/>
      <c r="Y60" s="47"/>
      <c r="Z60" s="47"/>
    </row>
    <row r="61">
      <c r="A61" s="47"/>
      <c r="B61" s="47"/>
      <c r="C61" s="47"/>
      <c r="D61" s="47"/>
      <c r="E61" s="47"/>
      <c r="F61" s="54"/>
      <c r="G61" s="47"/>
      <c r="H61" s="47"/>
      <c r="I61" s="47"/>
      <c r="J61" s="47"/>
      <c r="K61" s="47"/>
      <c r="L61" s="47"/>
      <c r="M61" s="47"/>
      <c r="N61" s="47"/>
      <c r="O61" s="47"/>
      <c r="P61" s="47"/>
      <c r="Q61" s="47"/>
      <c r="R61" s="47"/>
      <c r="S61" s="47"/>
      <c r="T61" s="47"/>
      <c r="U61" s="47"/>
      <c r="V61" s="47"/>
      <c r="W61" s="47"/>
      <c r="X61" s="47"/>
      <c r="Y61" s="47"/>
      <c r="Z61" s="47"/>
    </row>
    <row r="62">
      <c r="A62" s="46" t="s">
        <v>61</v>
      </c>
      <c r="B62" s="46" t="s">
        <v>85</v>
      </c>
      <c r="C62" s="46" t="s">
        <v>208</v>
      </c>
      <c r="D62" s="46" t="s">
        <v>219</v>
      </c>
      <c r="E62" s="46" t="s">
        <v>88</v>
      </c>
      <c r="F62" s="55" t="s">
        <v>204</v>
      </c>
      <c r="G62" s="46" t="s">
        <v>192</v>
      </c>
      <c r="H62" s="46" t="s">
        <v>220</v>
      </c>
      <c r="I62" s="46" t="s">
        <v>221</v>
      </c>
      <c r="J62" s="46" t="s">
        <v>93</v>
      </c>
      <c r="K62" s="46" t="s">
        <v>11</v>
      </c>
      <c r="L62" s="56" t="s">
        <v>222</v>
      </c>
      <c r="M62" s="58"/>
      <c r="N62" s="58"/>
      <c r="O62" s="47"/>
      <c r="P62" s="47"/>
      <c r="Q62" s="47"/>
      <c r="R62" s="47"/>
      <c r="S62" s="47"/>
      <c r="T62" s="47"/>
      <c r="U62" s="47"/>
      <c r="V62" s="47"/>
      <c r="W62" s="47"/>
      <c r="X62" s="47"/>
      <c r="Y62" s="47"/>
      <c r="Z62" s="47"/>
    </row>
    <row r="63">
      <c r="A63" s="47"/>
      <c r="B63" s="47"/>
      <c r="C63" s="47"/>
      <c r="D63" s="47"/>
      <c r="E63" s="47"/>
      <c r="F63" s="54"/>
      <c r="G63" s="47"/>
      <c r="H63" s="47"/>
      <c r="I63" s="47"/>
      <c r="J63" s="47"/>
      <c r="K63" s="47"/>
      <c r="L63" s="47"/>
      <c r="M63" s="47"/>
      <c r="N63" s="47"/>
      <c r="O63" s="47"/>
      <c r="P63" s="47"/>
      <c r="Q63" s="47"/>
      <c r="R63" s="47"/>
      <c r="S63" s="47"/>
      <c r="T63" s="47"/>
      <c r="U63" s="47"/>
      <c r="V63" s="47"/>
      <c r="W63" s="47"/>
      <c r="X63" s="47"/>
      <c r="Y63" s="47"/>
      <c r="Z63" s="47"/>
    </row>
    <row r="64">
      <c r="A64" s="46" t="s">
        <v>62</v>
      </c>
      <c r="B64" s="46" t="s">
        <v>85</v>
      </c>
      <c r="C64" s="46" t="s">
        <v>208</v>
      </c>
      <c r="D64" s="46" t="s">
        <v>223</v>
      </c>
      <c r="E64" s="46" t="s">
        <v>88</v>
      </c>
      <c r="F64" s="55" t="s">
        <v>224</v>
      </c>
      <c r="G64" s="46" t="s">
        <v>192</v>
      </c>
      <c r="H64" s="46" t="s">
        <v>210</v>
      </c>
      <c r="I64" s="46" t="s">
        <v>211</v>
      </c>
      <c r="J64" s="46" t="s">
        <v>93</v>
      </c>
      <c r="K64" s="46" t="s">
        <v>11</v>
      </c>
      <c r="L64" s="56" t="s">
        <v>225</v>
      </c>
      <c r="M64" s="58"/>
      <c r="N64" s="58"/>
      <c r="O64" s="47"/>
      <c r="P64" s="47"/>
      <c r="Q64" s="47"/>
      <c r="R64" s="47"/>
      <c r="S64" s="47"/>
      <c r="T64" s="47"/>
      <c r="U64" s="47"/>
      <c r="V64" s="47"/>
      <c r="W64" s="47"/>
      <c r="X64" s="47"/>
      <c r="Y64" s="47"/>
      <c r="Z64" s="47"/>
    </row>
    <row r="65">
      <c r="A65" s="47"/>
      <c r="B65" s="47"/>
      <c r="C65" s="47"/>
      <c r="D65" s="47"/>
      <c r="E65" s="47"/>
      <c r="F65" s="54"/>
      <c r="G65" s="47"/>
      <c r="H65" s="47"/>
      <c r="I65" s="47"/>
      <c r="J65" s="47"/>
      <c r="K65" s="47"/>
      <c r="L65" s="47"/>
      <c r="M65" s="47"/>
      <c r="N65" s="47"/>
      <c r="O65" s="47"/>
      <c r="P65" s="47"/>
      <c r="Q65" s="47"/>
      <c r="R65" s="47"/>
      <c r="S65" s="47"/>
      <c r="T65" s="47"/>
      <c r="U65" s="47"/>
      <c r="V65" s="47"/>
      <c r="W65" s="47"/>
      <c r="X65" s="47"/>
      <c r="Y65" s="47"/>
      <c r="Z65" s="47"/>
    </row>
    <row r="66">
      <c r="A66" s="46" t="s">
        <v>63</v>
      </c>
      <c r="B66" s="46" t="s">
        <v>85</v>
      </c>
      <c r="C66" s="46" t="s">
        <v>208</v>
      </c>
      <c r="D66" s="46" t="s">
        <v>226</v>
      </c>
      <c r="E66" s="46" t="s">
        <v>88</v>
      </c>
      <c r="F66" s="55" t="s">
        <v>224</v>
      </c>
      <c r="G66" s="46" t="s">
        <v>192</v>
      </c>
      <c r="H66" s="46" t="s">
        <v>210</v>
      </c>
      <c r="I66" s="46" t="s">
        <v>211</v>
      </c>
      <c r="J66" s="46" t="s">
        <v>93</v>
      </c>
      <c r="K66" s="46" t="s">
        <v>11</v>
      </c>
      <c r="L66" s="56" t="s">
        <v>227</v>
      </c>
      <c r="M66" s="58"/>
      <c r="N66" s="58"/>
      <c r="O66" s="47"/>
      <c r="P66" s="47"/>
      <c r="Q66" s="47"/>
      <c r="R66" s="47"/>
      <c r="S66" s="47"/>
      <c r="T66" s="47"/>
      <c r="U66" s="47"/>
      <c r="V66" s="47"/>
      <c r="W66" s="47"/>
      <c r="X66" s="47"/>
      <c r="Y66" s="47"/>
      <c r="Z66" s="47"/>
    </row>
    <row r="67">
      <c r="A67" s="47"/>
      <c r="B67" s="47"/>
      <c r="C67" s="47"/>
      <c r="D67" s="47"/>
      <c r="E67" s="47"/>
      <c r="F67" s="54"/>
      <c r="G67" s="47"/>
      <c r="H67" s="47"/>
      <c r="I67" s="47"/>
      <c r="J67" s="47"/>
      <c r="K67" s="47"/>
      <c r="L67" s="47"/>
      <c r="M67" s="47"/>
      <c r="N67" s="47"/>
      <c r="O67" s="47"/>
      <c r="P67" s="47"/>
      <c r="Q67" s="47"/>
      <c r="R67" s="47"/>
      <c r="S67" s="47"/>
      <c r="T67" s="47"/>
      <c r="U67" s="47"/>
      <c r="V67" s="47"/>
      <c r="W67" s="47"/>
      <c r="X67" s="47"/>
      <c r="Y67" s="47"/>
      <c r="Z67" s="47"/>
    </row>
    <row r="68">
      <c r="A68" s="46" t="s">
        <v>64</v>
      </c>
      <c r="B68" s="46" t="s">
        <v>85</v>
      </c>
      <c r="C68" s="46" t="s">
        <v>208</v>
      </c>
      <c r="D68" s="46" t="s">
        <v>226</v>
      </c>
      <c r="E68" s="46" t="s">
        <v>88</v>
      </c>
      <c r="F68" s="55" t="s">
        <v>224</v>
      </c>
      <c r="G68" s="46" t="s">
        <v>192</v>
      </c>
      <c r="H68" s="46" t="s">
        <v>210</v>
      </c>
      <c r="I68" s="46" t="s">
        <v>211</v>
      </c>
      <c r="J68" s="46" t="s">
        <v>93</v>
      </c>
      <c r="K68" s="46" t="s">
        <v>11</v>
      </c>
      <c r="L68" s="56" t="s">
        <v>228</v>
      </c>
      <c r="M68" s="58"/>
      <c r="N68" s="58"/>
      <c r="O68" s="47"/>
      <c r="P68" s="47"/>
      <c r="Q68" s="47"/>
      <c r="R68" s="47"/>
      <c r="S68" s="47"/>
      <c r="T68" s="47"/>
      <c r="U68" s="47"/>
      <c r="V68" s="47"/>
      <c r="W68" s="47"/>
      <c r="X68" s="47"/>
      <c r="Y68" s="47"/>
      <c r="Z68" s="47"/>
    </row>
    <row r="69">
      <c r="A69" s="47"/>
      <c r="B69" s="47"/>
      <c r="C69" s="47"/>
      <c r="D69" s="47"/>
      <c r="E69" s="47"/>
      <c r="F69" s="54"/>
      <c r="G69" s="47"/>
      <c r="H69" s="47"/>
      <c r="I69" s="47"/>
      <c r="J69" s="47"/>
      <c r="K69" s="47"/>
      <c r="L69" s="47"/>
      <c r="M69" s="47"/>
      <c r="N69" s="47"/>
      <c r="O69" s="47"/>
      <c r="P69" s="47"/>
      <c r="Q69" s="47"/>
      <c r="R69" s="47"/>
      <c r="S69" s="47"/>
      <c r="T69" s="47"/>
      <c r="U69" s="47"/>
      <c r="V69" s="47"/>
      <c r="W69" s="47"/>
      <c r="X69" s="47"/>
      <c r="Y69" s="47"/>
      <c r="Z69" s="47"/>
    </row>
    <row r="70">
      <c r="A70" s="46" t="s">
        <v>65</v>
      </c>
      <c r="B70" s="46" t="s">
        <v>85</v>
      </c>
      <c r="C70" s="46" t="s">
        <v>208</v>
      </c>
      <c r="D70" s="46" t="s">
        <v>226</v>
      </c>
      <c r="E70" s="46" t="s">
        <v>88</v>
      </c>
      <c r="F70" s="55" t="s">
        <v>224</v>
      </c>
      <c r="G70" s="46" t="s">
        <v>192</v>
      </c>
      <c r="H70" s="46" t="s">
        <v>210</v>
      </c>
      <c r="I70" s="46" t="s">
        <v>211</v>
      </c>
      <c r="J70" s="46" t="s">
        <v>93</v>
      </c>
      <c r="K70" s="46" t="s">
        <v>11</v>
      </c>
      <c r="L70" s="56" t="s">
        <v>229</v>
      </c>
      <c r="M70" s="58"/>
      <c r="N70" s="58"/>
      <c r="O70" s="47"/>
      <c r="P70" s="47"/>
      <c r="Q70" s="47"/>
      <c r="R70" s="47"/>
      <c r="S70" s="47"/>
      <c r="T70" s="47"/>
      <c r="U70" s="47"/>
      <c r="V70" s="47"/>
      <c r="W70" s="47"/>
      <c r="X70" s="47"/>
      <c r="Y70" s="47"/>
      <c r="Z70" s="47"/>
    </row>
    <row r="71">
      <c r="A71" s="47"/>
      <c r="B71" s="47"/>
      <c r="C71" s="47"/>
      <c r="D71" s="47"/>
      <c r="E71" s="47"/>
      <c r="F71" s="54"/>
      <c r="G71" s="47"/>
      <c r="H71" s="47"/>
      <c r="I71" s="47"/>
      <c r="J71" s="47"/>
      <c r="K71" s="47"/>
      <c r="L71" s="47"/>
      <c r="M71" s="47"/>
      <c r="N71" s="47"/>
      <c r="O71" s="47"/>
      <c r="P71" s="47"/>
      <c r="Q71" s="47"/>
      <c r="R71" s="47"/>
      <c r="S71" s="47"/>
      <c r="T71" s="47"/>
      <c r="U71" s="47"/>
      <c r="V71" s="47"/>
      <c r="W71" s="47"/>
      <c r="X71" s="47"/>
      <c r="Y71" s="47"/>
      <c r="Z71" s="47"/>
    </row>
    <row r="72">
      <c r="A72" s="46" t="s">
        <v>66</v>
      </c>
      <c r="B72" s="46" t="s">
        <v>85</v>
      </c>
      <c r="C72" s="46" t="s">
        <v>208</v>
      </c>
      <c r="D72" s="46" t="s">
        <v>226</v>
      </c>
      <c r="E72" s="46" t="s">
        <v>88</v>
      </c>
      <c r="F72" s="55" t="s">
        <v>224</v>
      </c>
      <c r="G72" s="46" t="s">
        <v>192</v>
      </c>
      <c r="H72" s="46" t="s">
        <v>230</v>
      </c>
      <c r="I72" s="46" t="s">
        <v>231</v>
      </c>
      <c r="J72" s="46" t="s">
        <v>93</v>
      </c>
      <c r="K72" s="46" t="s">
        <v>6</v>
      </c>
      <c r="L72" s="56" t="s">
        <v>232</v>
      </c>
      <c r="M72" s="58"/>
      <c r="N72" s="58"/>
      <c r="O72" s="47"/>
      <c r="P72" s="47"/>
      <c r="Q72" s="47"/>
      <c r="R72" s="47"/>
      <c r="S72" s="47"/>
      <c r="T72" s="47"/>
      <c r="U72" s="47"/>
      <c r="V72" s="47"/>
      <c r="W72" s="47"/>
      <c r="X72" s="47"/>
      <c r="Y72" s="47"/>
      <c r="Z72" s="47"/>
    </row>
    <row r="73">
      <c r="A73" s="47"/>
      <c r="B73" s="47"/>
      <c r="C73" s="47"/>
      <c r="D73" s="47"/>
      <c r="E73" s="47"/>
      <c r="F73" s="54"/>
      <c r="G73" s="47"/>
      <c r="H73" s="47"/>
      <c r="I73" s="47"/>
      <c r="J73" s="47"/>
      <c r="K73" s="47"/>
      <c r="L73" s="47"/>
      <c r="M73" s="47"/>
      <c r="N73" s="47"/>
      <c r="O73" s="47"/>
      <c r="P73" s="47"/>
      <c r="Q73" s="47"/>
      <c r="R73" s="47"/>
      <c r="S73" s="47"/>
      <c r="T73" s="47"/>
      <c r="U73" s="47"/>
      <c r="V73" s="47"/>
      <c r="W73" s="47"/>
      <c r="X73" s="47"/>
      <c r="Y73" s="47"/>
      <c r="Z73" s="47"/>
    </row>
    <row r="74">
      <c r="A74" s="46" t="s">
        <v>67</v>
      </c>
      <c r="B74" s="46" t="s">
        <v>85</v>
      </c>
      <c r="C74" s="46" t="s">
        <v>161</v>
      </c>
      <c r="D74" s="46" t="s">
        <v>233</v>
      </c>
      <c r="E74" s="46" t="s">
        <v>88</v>
      </c>
      <c r="F74" s="55" t="s">
        <v>234</v>
      </c>
      <c r="G74" s="46" t="s">
        <v>192</v>
      </c>
      <c r="H74" s="46" t="s">
        <v>235</v>
      </c>
      <c r="I74" s="46" t="s">
        <v>236</v>
      </c>
      <c r="J74" s="46" t="s">
        <v>93</v>
      </c>
      <c r="K74" s="46" t="s">
        <v>6</v>
      </c>
      <c r="L74" s="56" t="s">
        <v>237</v>
      </c>
      <c r="M74" s="58"/>
      <c r="N74" s="58"/>
      <c r="O74" s="47"/>
      <c r="P74" s="47"/>
      <c r="Q74" s="47"/>
      <c r="R74" s="47"/>
      <c r="S74" s="47"/>
      <c r="T74" s="47"/>
      <c r="U74" s="47"/>
      <c r="V74" s="47"/>
      <c r="W74" s="47"/>
      <c r="X74" s="47"/>
      <c r="Y74" s="47"/>
      <c r="Z74" s="47"/>
    </row>
    <row r="75">
      <c r="A75" s="47"/>
      <c r="B75" s="47"/>
      <c r="C75" s="47"/>
      <c r="D75" s="47"/>
      <c r="E75" s="47"/>
      <c r="F75" s="54"/>
      <c r="G75" s="47"/>
      <c r="H75" s="47"/>
      <c r="I75" s="47"/>
      <c r="J75" s="47"/>
      <c r="K75" s="47"/>
      <c r="L75" s="47"/>
      <c r="M75" s="47"/>
      <c r="N75" s="47"/>
      <c r="O75" s="47"/>
      <c r="P75" s="47"/>
      <c r="Q75" s="47"/>
      <c r="R75" s="47"/>
      <c r="S75" s="47"/>
      <c r="T75" s="47"/>
      <c r="U75" s="47"/>
      <c r="V75" s="47"/>
      <c r="W75" s="47"/>
      <c r="X75" s="47"/>
      <c r="Y75" s="47"/>
      <c r="Z75" s="47"/>
    </row>
    <row r="76">
      <c r="A76" s="46" t="s">
        <v>68</v>
      </c>
      <c r="B76" s="46" t="s">
        <v>85</v>
      </c>
      <c r="C76" s="46" t="s">
        <v>238</v>
      </c>
      <c r="D76" s="46" t="s">
        <v>239</v>
      </c>
      <c r="E76" s="46" t="s">
        <v>88</v>
      </c>
      <c r="F76" s="55" t="s">
        <v>240</v>
      </c>
      <c r="G76" s="46" t="s">
        <v>192</v>
      </c>
      <c r="H76" s="46" t="s">
        <v>210</v>
      </c>
      <c r="I76" s="46" t="s">
        <v>211</v>
      </c>
      <c r="J76" s="46" t="s">
        <v>93</v>
      </c>
      <c r="K76" s="46" t="s">
        <v>11</v>
      </c>
      <c r="L76" s="56" t="s">
        <v>241</v>
      </c>
      <c r="M76" s="58"/>
      <c r="N76" s="58"/>
      <c r="O76" s="47"/>
      <c r="P76" s="47"/>
      <c r="Q76" s="47"/>
      <c r="R76" s="47"/>
      <c r="S76" s="47"/>
      <c r="T76" s="47"/>
      <c r="U76" s="47"/>
      <c r="V76" s="47"/>
      <c r="W76" s="47"/>
      <c r="X76" s="47"/>
      <c r="Y76" s="47"/>
      <c r="Z76" s="47"/>
    </row>
    <row r="77">
      <c r="A77" s="47"/>
      <c r="B77" s="47"/>
      <c r="C77" s="47"/>
      <c r="D77" s="47"/>
      <c r="E77" s="47"/>
      <c r="F77" s="54"/>
      <c r="G77" s="47"/>
      <c r="H77" s="47"/>
      <c r="I77" s="47"/>
      <c r="J77" s="47"/>
      <c r="K77" s="47"/>
      <c r="L77" s="47"/>
      <c r="M77" s="47"/>
      <c r="N77" s="47"/>
      <c r="O77" s="47"/>
      <c r="P77" s="47"/>
      <c r="Q77" s="47"/>
      <c r="R77" s="47"/>
      <c r="S77" s="47"/>
      <c r="T77" s="47"/>
      <c r="U77" s="47"/>
      <c r="V77" s="47"/>
      <c r="W77" s="47"/>
      <c r="X77" s="47"/>
      <c r="Y77" s="47"/>
      <c r="Z77" s="47"/>
    </row>
    <row r="78">
      <c r="A78" s="46" t="s">
        <v>69</v>
      </c>
      <c r="B78" s="46" t="s">
        <v>85</v>
      </c>
      <c r="C78" s="46" t="s">
        <v>238</v>
      </c>
      <c r="D78" s="46" t="s">
        <v>242</v>
      </c>
      <c r="E78" s="46" t="s">
        <v>88</v>
      </c>
      <c r="F78" s="55" t="s">
        <v>243</v>
      </c>
      <c r="G78" s="46" t="s">
        <v>192</v>
      </c>
      <c r="H78" s="46" t="s">
        <v>244</v>
      </c>
      <c r="I78" s="46" t="s">
        <v>245</v>
      </c>
      <c r="J78" s="46" t="s">
        <v>93</v>
      </c>
      <c r="K78" s="46" t="s">
        <v>6</v>
      </c>
      <c r="L78" s="56" t="s">
        <v>246</v>
      </c>
      <c r="M78" s="58"/>
      <c r="N78" s="58"/>
      <c r="O78" s="47"/>
      <c r="P78" s="47"/>
      <c r="Q78" s="47"/>
      <c r="R78" s="47"/>
      <c r="S78" s="47"/>
      <c r="T78" s="47"/>
      <c r="U78" s="47"/>
      <c r="V78" s="47"/>
      <c r="W78" s="47"/>
      <c r="X78" s="47"/>
      <c r="Y78" s="47"/>
      <c r="Z78" s="47"/>
    </row>
    <row r="79">
      <c r="A79" s="47"/>
      <c r="B79" s="47"/>
      <c r="C79" s="47"/>
      <c r="D79" s="47"/>
      <c r="E79" s="47"/>
      <c r="F79" s="54"/>
      <c r="G79" s="47"/>
      <c r="H79" s="47"/>
      <c r="I79" s="47"/>
      <c r="J79" s="47"/>
      <c r="K79" s="47"/>
      <c r="L79" s="47"/>
      <c r="M79" s="47"/>
      <c r="N79" s="47"/>
      <c r="O79" s="47"/>
      <c r="P79" s="47"/>
      <c r="Q79" s="47"/>
      <c r="R79" s="47"/>
      <c r="S79" s="47"/>
      <c r="T79" s="47"/>
      <c r="U79" s="47"/>
      <c r="V79" s="47"/>
      <c r="W79" s="47"/>
      <c r="X79" s="47"/>
      <c r="Y79" s="47"/>
      <c r="Z79" s="47"/>
    </row>
    <row r="80">
      <c r="A80" s="46" t="s">
        <v>70</v>
      </c>
      <c r="B80" s="46" t="s">
        <v>85</v>
      </c>
      <c r="C80" s="46" t="s">
        <v>247</v>
      </c>
      <c r="D80" s="46" t="s">
        <v>248</v>
      </c>
      <c r="E80" s="46" t="s">
        <v>88</v>
      </c>
      <c r="F80" s="55" t="s">
        <v>249</v>
      </c>
      <c r="G80" s="46" t="s">
        <v>192</v>
      </c>
      <c r="H80" s="46" t="s">
        <v>210</v>
      </c>
      <c r="I80" s="46" t="s">
        <v>211</v>
      </c>
      <c r="J80" s="46" t="s">
        <v>93</v>
      </c>
      <c r="K80" s="46" t="s">
        <v>11</v>
      </c>
      <c r="L80" s="56" t="s">
        <v>250</v>
      </c>
      <c r="M80" s="58"/>
      <c r="N80" s="58"/>
      <c r="O80" s="47"/>
      <c r="P80" s="47"/>
      <c r="Q80" s="47"/>
      <c r="R80" s="47"/>
      <c r="S80" s="47"/>
      <c r="T80" s="47"/>
      <c r="U80" s="47"/>
      <c r="V80" s="47"/>
      <c r="W80" s="47"/>
      <c r="X80" s="47"/>
      <c r="Y80" s="47"/>
      <c r="Z80" s="47"/>
    </row>
    <row r="81">
      <c r="A81" s="47"/>
      <c r="B81" s="47"/>
      <c r="C81" s="47"/>
      <c r="D81" s="47"/>
      <c r="E81" s="47"/>
      <c r="F81" s="54"/>
      <c r="G81" s="47"/>
      <c r="H81" s="47"/>
      <c r="I81" s="47"/>
      <c r="J81" s="47"/>
      <c r="K81" s="47"/>
      <c r="L81" s="47"/>
      <c r="M81" s="47"/>
      <c r="N81" s="47"/>
      <c r="O81" s="47"/>
      <c r="P81" s="47"/>
      <c r="Q81" s="47"/>
      <c r="R81" s="47"/>
      <c r="S81" s="47"/>
      <c r="T81" s="47"/>
      <c r="U81" s="47"/>
      <c r="V81" s="47"/>
      <c r="W81" s="47"/>
      <c r="X81" s="47"/>
      <c r="Y81" s="47"/>
      <c r="Z81" s="47"/>
    </row>
    <row r="82">
      <c r="A82" s="46" t="s">
        <v>71</v>
      </c>
      <c r="B82" s="46" t="s">
        <v>85</v>
      </c>
      <c r="C82" s="46" t="s">
        <v>251</v>
      </c>
      <c r="D82" s="46" t="s">
        <v>248</v>
      </c>
      <c r="E82" s="46" t="s">
        <v>88</v>
      </c>
      <c r="F82" s="55" t="s">
        <v>252</v>
      </c>
      <c r="G82" s="46" t="s">
        <v>192</v>
      </c>
      <c r="H82" s="46" t="s">
        <v>210</v>
      </c>
      <c r="I82" s="46" t="s">
        <v>211</v>
      </c>
      <c r="J82" s="46" t="s">
        <v>93</v>
      </c>
      <c r="K82" s="46" t="s">
        <v>11</v>
      </c>
      <c r="L82" s="56" t="s">
        <v>253</v>
      </c>
      <c r="M82" s="58"/>
      <c r="N82" s="58"/>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6" t="s">
        <v>72</v>
      </c>
      <c r="B84" s="46" t="s">
        <v>85</v>
      </c>
      <c r="C84" s="46" t="s">
        <v>251</v>
      </c>
      <c r="D84" s="46" t="s">
        <v>248</v>
      </c>
      <c r="E84" s="46" t="s">
        <v>88</v>
      </c>
      <c r="F84" s="55" t="s">
        <v>252</v>
      </c>
      <c r="G84" s="46" t="s">
        <v>192</v>
      </c>
      <c r="H84" s="46" t="s">
        <v>210</v>
      </c>
      <c r="I84" s="46" t="s">
        <v>211</v>
      </c>
      <c r="J84" s="46" t="s">
        <v>93</v>
      </c>
      <c r="K84" s="46" t="s">
        <v>11</v>
      </c>
      <c r="L84" s="57" t="s">
        <v>254</v>
      </c>
      <c r="M84" s="58"/>
      <c r="N84" s="58"/>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6" t="s">
        <v>73</v>
      </c>
      <c r="B86" s="46" t="s">
        <v>85</v>
      </c>
      <c r="C86" s="46" t="s">
        <v>251</v>
      </c>
      <c r="D86" s="46" t="s">
        <v>255</v>
      </c>
      <c r="E86" s="46" t="s">
        <v>88</v>
      </c>
      <c r="F86" s="55" t="s">
        <v>252</v>
      </c>
      <c r="G86" s="46" t="s">
        <v>192</v>
      </c>
      <c r="H86" s="46" t="s">
        <v>256</v>
      </c>
      <c r="I86" s="46" t="s">
        <v>257</v>
      </c>
      <c r="J86" s="46" t="s">
        <v>93</v>
      </c>
      <c r="K86" s="46" t="s">
        <v>8</v>
      </c>
      <c r="L86" s="57" t="s">
        <v>258</v>
      </c>
      <c r="M86" s="58"/>
      <c r="N86" s="58"/>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6" t="s">
        <v>74</v>
      </c>
      <c r="B88" s="46" t="s">
        <v>85</v>
      </c>
      <c r="C88" s="46" t="s">
        <v>251</v>
      </c>
      <c r="D88" s="46" t="s">
        <v>259</v>
      </c>
      <c r="E88" s="46" t="s">
        <v>88</v>
      </c>
      <c r="F88" s="55" t="s">
        <v>252</v>
      </c>
      <c r="G88" s="46" t="s">
        <v>192</v>
      </c>
      <c r="H88" s="46" t="s">
        <v>260</v>
      </c>
      <c r="I88" s="46" t="s">
        <v>261</v>
      </c>
      <c r="J88" s="46" t="s">
        <v>93</v>
      </c>
      <c r="K88" s="46" t="s">
        <v>11</v>
      </c>
      <c r="L88" s="57" t="s">
        <v>262</v>
      </c>
      <c r="M88" s="58"/>
      <c r="N88" s="58"/>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6" t="s">
        <v>75</v>
      </c>
      <c r="B90" s="46" t="s">
        <v>85</v>
      </c>
      <c r="C90" s="46" t="s">
        <v>263</v>
      </c>
      <c r="D90" s="46" t="s">
        <v>264</v>
      </c>
      <c r="E90" s="46" t="s">
        <v>88</v>
      </c>
      <c r="F90" s="55" t="s">
        <v>265</v>
      </c>
      <c r="G90" s="46"/>
      <c r="H90" s="46" t="s">
        <v>266</v>
      </c>
      <c r="I90" s="46" t="s">
        <v>267</v>
      </c>
      <c r="J90" s="46" t="s">
        <v>93</v>
      </c>
      <c r="K90" s="46" t="s">
        <v>11</v>
      </c>
      <c r="L90" s="57" t="s">
        <v>268</v>
      </c>
      <c r="M90" s="58"/>
      <c r="N90" s="58"/>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6" t="s">
        <v>76</v>
      </c>
      <c r="B92" s="46" t="s">
        <v>85</v>
      </c>
      <c r="C92" s="46" t="s">
        <v>269</v>
      </c>
      <c r="D92" s="46" t="s">
        <v>270</v>
      </c>
      <c r="E92" s="46" t="s">
        <v>88</v>
      </c>
      <c r="F92" s="55" t="s">
        <v>271</v>
      </c>
      <c r="G92" s="46" t="s">
        <v>272</v>
      </c>
      <c r="H92" s="46" t="s">
        <v>273</v>
      </c>
      <c r="I92" s="46" t="s">
        <v>274</v>
      </c>
      <c r="J92" s="46" t="s">
        <v>93</v>
      </c>
      <c r="K92" s="46" t="s">
        <v>6</v>
      </c>
      <c r="L92" s="57" t="s">
        <v>275</v>
      </c>
      <c r="M92" s="58"/>
      <c r="N92" s="58"/>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6" t="s">
        <v>77</v>
      </c>
      <c r="B94" s="46" t="s">
        <v>85</v>
      </c>
      <c r="C94" s="46" t="s">
        <v>269</v>
      </c>
      <c r="D94" s="46" t="s">
        <v>276</v>
      </c>
      <c r="E94" s="46" t="s">
        <v>88</v>
      </c>
      <c r="F94" s="55" t="s">
        <v>271</v>
      </c>
      <c r="G94" s="46" t="s">
        <v>272</v>
      </c>
      <c r="H94" s="46" t="s">
        <v>277</v>
      </c>
      <c r="I94" s="46" t="s">
        <v>278</v>
      </c>
      <c r="J94" s="46" t="s">
        <v>93</v>
      </c>
      <c r="K94" s="46" t="s">
        <v>6</v>
      </c>
      <c r="L94" s="57" t="s">
        <v>279</v>
      </c>
      <c r="M94" s="58"/>
      <c r="N94" s="58"/>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6" t="s">
        <v>78</v>
      </c>
      <c r="B96" s="46" t="s">
        <v>85</v>
      </c>
      <c r="C96" s="46" t="s">
        <v>269</v>
      </c>
      <c r="D96" s="46" t="s">
        <v>280</v>
      </c>
      <c r="E96" s="46" t="s">
        <v>88</v>
      </c>
      <c r="F96" s="55" t="s">
        <v>271</v>
      </c>
      <c r="G96" s="46" t="s">
        <v>272</v>
      </c>
      <c r="H96" s="46" t="s">
        <v>281</v>
      </c>
      <c r="I96" s="46" t="s">
        <v>282</v>
      </c>
      <c r="J96" s="46" t="s">
        <v>93</v>
      </c>
      <c r="K96" s="46" t="s">
        <v>6</v>
      </c>
      <c r="L96" s="57" t="s">
        <v>283</v>
      </c>
      <c r="M96" s="58"/>
      <c r="N96" s="58"/>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6" t="s">
        <v>79</v>
      </c>
      <c r="B98" s="46" t="s">
        <v>85</v>
      </c>
      <c r="C98" s="46" t="s">
        <v>269</v>
      </c>
      <c r="D98" s="46" t="s">
        <v>284</v>
      </c>
      <c r="E98" s="46" t="s">
        <v>88</v>
      </c>
      <c r="F98" s="55" t="s">
        <v>271</v>
      </c>
      <c r="G98" s="46" t="s">
        <v>272</v>
      </c>
      <c r="H98" s="46" t="s">
        <v>285</v>
      </c>
      <c r="I98" s="46" t="s">
        <v>286</v>
      </c>
      <c r="J98" s="46" t="s">
        <v>93</v>
      </c>
      <c r="K98" s="46" t="s">
        <v>6</v>
      </c>
      <c r="L98" s="57" t="s">
        <v>287</v>
      </c>
      <c r="M98" s="58"/>
      <c r="N98" s="58"/>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6" t="s">
        <v>80</v>
      </c>
      <c r="B100" s="46" t="s">
        <v>85</v>
      </c>
      <c r="C100" s="46" t="s">
        <v>269</v>
      </c>
      <c r="D100" s="46" t="s">
        <v>288</v>
      </c>
      <c r="E100" s="46" t="s">
        <v>88</v>
      </c>
      <c r="F100" s="55" t="s">
        <v>271</v>
      </c>
      <c r="G100" s="46" t="s">
        <v>272</v>
      </c>
      <c r="H100" s="46" t="s">
        <v>210</v>
      </c>
      <c r="I100" s="46" t="s">
        <v>211</v>
      </c>
      <c r="J100" s="46" t="s">
        <v>93</v>
      </c>
      <c r="K100" s="46" t="s">
        <v>11</v>
      </c>
      <c r="L100" s="57" t="s">
        <v>289</v>
      </c>
      <c r="M100" s="58"/>
      <c r="N100" s="58"/>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6" t="s">
        <v>81</v>
      </c>
      <c r="B102" s="46"/>
      <c r="C102" s="46"/>
      <c r="D102" s="46"/>
      <c r="E102" s="46"/>
      <c r="F102" s="55"/>
      <c r="G102" s="46"/>
      <c r="H102" s="46"/>
      <c r="I102" s="46"/>
      <c r="J102" s="46"/>
      <c r="K102" s="46"/>
      <c r="L102" s="46"/>
      <c r="M102" s="58"/>
      <c r="N102" s="58"/>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6" t="s">
        <v>82</v>
      </c>
      <c r="B104" s="46"/>
      <c r="C104" s="46"/>
      <c r="D104" s="46"/>
      <c r="E104" s="46"/>
      <c r="F104" s="55"/>
      <c r="G104" s="46"/>
      <c r="H104" s="46"/>
      <c r="I104" s="46"/>
      <c r="J104" s="46"/>
      <c r="K104" s="46"/>
      <c r="L104" s="46"/>
      <c r="M104" s="58"/>
      <c r="N104" s="58"/>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6" t="s">
        <v>83</v>
      </c>
      <c r="B106" s="46"/>
      <c r="C106" s="46"/>
      <c r="D106" s="46"/>
      <c r="E106" s="46"/>
      <c r="F106" s="55"/>
      <c r="G106" s="46"/>
      <c r="H106" s="46"/>
      <c r="I106" s="46"/>
      <c r="J106" s="46"/>
      <c r="K106" s="46"/>
      <c r="L106" s="46"/>
      <c r="M106" s="58"/>
      <c r="N106" s="58"/>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6" t="s">
        <v>290</v>
      </c>
      <c r="B108" s="46"/>
      <c r="C108" s="46"/>
      <c r="D108" s="46"/>
      <c r="E108" s="46"/>
      <c r="F108" s="55"/>
      <c r="G108" s="46"/>
      <c r="H108" s="46"/>
      <c r="I108" s="46"/>
      <c r="J108" s="46"/>
      <c r="K108" s="46"/>
      <c r="L108" s="46"/>
      <c r="M108" s="58"/>
      <c r="N108" s="58"/>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6" t="s">
        <v>291</v>
      </c>
      <c r="B110" s="46"/>
      <c r="C110" s="46"/>
      <c r="D110" s="46"/>
      <c r="E110" s="46"/>
      <c r="F110" s="55"/>
      <c r="G110" s="46"/>
      <c r="H110" s="46"/>
      <c r="I110" s="46"/>
      <c r="J110" s="46"/>
      <c r="K110" s="46"/>
      <c r="L110" s="46"/>
      <c r="M110" s="58"/>
      <c r="N110" s="58"/>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6" t="s">
        <v>292</v>
      </c>
      <c r="B112" s="46"/>
      <c r="C112" s="46"/>
      <c r="D112" s="46"/>
      <c r="E112" s="46"/>
      <c r="F112" s="55"/>
      <c r="G112" s="46"/>
      <c r="H112" s="46"/>
      <c r="I112" s="46"/>
      <c r="J112" s="46"/>
      <c r="K112" s="46"/>
      <c r="L112" s="46"/>
      <c r="M112" s="58"/>
      <c r="N112" s="58"/>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c r="A1002" s="47"/>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47"/>
      <c r="Y1002" s="47"/>
      <c r="Z1002" s="47"/>
    </row>
  </sheetData>
  <dataValidations>
    <dataValidation type="list" allowBlank="1" showErrorMessage="1" sqref="N8 N10 N12 N14 N16 N18 N20 N22 N24 N26 N28 N30 N32 N34 N36 N38 N40 N42 N44 N46 N48 N50 N52 N54 N56 N58 N60 N62 N64 N66 N68 N70 N72 N74 N76 N78 N80 N82 N84 N86 N88 N90 N92 N94 N96 N98 N100 N102 N104 N106 N108 N110 N112">
      <formula1>"Solved,Unsolve"</formula1>
    </dataValidation>
    <dataValidation type="list" allowBlank="1" showErrorMessage="1" sqref="J8 J10 J12 J14 J16 J18 J20 J22 J24 J26 J28 J30 J32 J34 J36 J38 J40 J42 J44 J46 J48 J50 J52 J54 J56 J58 J60 J62 J64 J66 J68 J70 J72 J74 J76 J78 J80 J82 J84 J86 J88 J90 J92 J94 J96 J98 J100 J102 J104 J106 J108 J110 J112">
      <formula1>"Pass,Fail"</formula1>
    </dataValidation>
    <dataValidation type="list" allowBlank="1" showErrorMessage="1" sqref="K8 K10 K12 K14 K16 K18 K20 K22 K24 K26 K28 K30 K32 K34 K36 K38 K40 K42 K44 K46 K48 K50 K52 K54 K56 K58 K60 K62 K64 K66 K68 K70 K72 K74 K76 K78 K80 K82 K84 K86 K88 K90 K92 K94 K96 K98 K100 K102 K104 K106 K108 K110 K112">
      <formula1>"High,Medium,Low"</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 r:id="rId41" ref="L88"/>
    <hyperlink r:id="rId42" ref="L90"/>
    <hyperlink r:id="rId43" ref="L92"/>
    <hyperlink r:id="rId44" ref="L94"/>
    <hyperlink r:id="rId45" ref="L96"/>
    <hyperlink r:id="rId46" ref="L98"/>
    <hyperlink r:id="rId47" ref="L100"/>
  </hyperlinks>
  <drawing r:id="rId4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3" width="18.5"/>
    <col customWidth="1" min="4" max="4" width="13.88"/>
    <col customWidth="1" min="5" max="5" width="14.13"/>
    <col customWidth="1" min="6" max="6" width="14.88"/>
  </cols>
  <sheetData>
    <row r="1">
      <c r="A1" s="59" t="s">
        <v>17</v>
      </c>
      <c r="B1" s="59" t="s">
        <v>18</v>
      </c>
      <c r="C1" s="59" t="s">
        <v>293</v>
      </c>
      <c r="D1" s="59" t="s">
        <v>294</v>
      </c>
      <c r="E1" s="59" t="s">
        <v>295</v>
      </c>
      <c r="F1" s="59" t="s">
        <v>296</v>
      </c>
      <c r="G1" s="19"/>
      <c r="H1" s="19"/>
      <c r="I1" s="19"/>
      <c r="J1" s="19"/>
      <c r="K1" s="19"/>
      <c r="L1" s="19"/>
      <c r="M1" s="19"/>
      <c r="N1" s="19"/>
      <c r="O1" s="19"/>
      <c r="P1" s="19"/>
      <c r="Q1" s="19"/>
      <c r="R1" s="19"/>
      <c r="S1" s="19"/>
      <c r="T1" s="19"/>
      <c r="U1" s="19"/>
      <c r="V1" s="19"/>
      <c r="W1" s="19"/>
      <c r="X1" s="19"/>
      <c r="Y1" s="19"/>
      <c r="Z1" s="19"/>
      <c r="AA1" s="19"/>
    </row>
    <row r="2">
      <c r="A2" s="60" t="str">
        <f>IFERROR(__xludf.DUMMYFUNCTION("UNIQUE(FILTER('Main Report'!B11:B1000, 'Main Report'!B11:B1000 &lt;&gt; """"))"),"Client (APK)")</f>
        <v>Client (APK)</v>
      </c>
      <c r="B2" s="21" t="str">
        <f>IFERROR(__xludf.DUMMYFUNCTION("UNIQUE(FILTER('Main Report'!C11:C1000, 'Main Report'!C11:C1000 &lt;&gt; """"))"),"Add card")</f>
        <v>Add card</v>
      </c>
      <c r="C2" s="21" t="str">
        <f>IFERROR(__xludf.DUMMYFUNCTION("IFERROR(TEXTJOIN("", "", TRUE, FILTER('Main Report'!$A$11:$A1000, 'Main Report'!$C$11:$C1000 = B2)), """")
"),"BR-001")</f>
        <v>BR-001</v>
      </c>
      <c r="D2" s="61">
        <f>IF(COUNTIFS('Main Report'!$B$11:$B1000, A2, 'Main Report'!$K$11:$K1000, "&lt;&gt;")=0, "", COUNTIFS('Main Report'!$B$11:$B1000, A2, 'Main Report'!$K$11:$K1000, "&lt;&gt;"))
</f>
        <v>47</v>
      </c>
      <c r="E2" s="61" t="str">
        <f>IF(OR(D2=0, 'Main Report'!$E$7=0), "", TEXT(D2 / 'Main Report'!$E$7 * 100, "0.00") &amp; "%")
</f>
        <v>100.00%</v>
      </c>
      <c r="F2" s="61" t="str">
        <f>"High: " &amp; COUNTIFS('Main Report'!B11:B1000, A2, 'Main Report'!K11:K1000, "High") &amp; CHAR(10) &amp;
"Medium: " &amp; COUNTIFS('Main Report'!B11:B1000, A2, 'Main Report'!K11:K1000, "Medium") &amp; CHAR(10) &amp;
"Low: " &amp; COUNTIFS('Main Report'!B11:B1000, A2, 'Main Report'!K11:K1000, "Low")</f>
        <v>High: 17
Medium: 9
Low: 21</v>
      </c>
      <c r="G2" s="62" t="s">
        <v>297</v>
      </c>
      <c r="H2" s="19"/>
      <c r="I2" s="19"/>
      <c r="J2" s="19"/>
      <c r="K2" s="19"/>
      <c r="L2" s="19"/>
      <c r="M2" s="19"/>
      <c r="N2" s="19"/>
      <c r="O2" s="19"/>
      <c r="P2" s="19"/>
      <c r="Q2" s="19"/>
      <c r="R2" s="19"/>
      <c r="S2" s="19"/>
      <c r="T2" s="19"/>
      <c r="U2" s="19"/>
      <c r="V2" s="19"/>
      <c r="W2" s="19"/>
      <c r="X2" s="19"/>
      <c r="Y2" s="19"/>
      <c r="Z2" s="19"/>
      <c r="AA2" s="19"/>
    </row>
    <row r="3">
      <c r="A3" s="63"/>
      <c r="B3" s="21" t="str">
        <f>IFERROR(__xludf.DUMMYFUNCTION("""COMPUTED_VALUE"""),"Appointment")</f>
        <v>Appointment</v>
      </c>
      <c r="C3" s="21" t="str">
        <f>IFERROR(__xludf.DUMMYFUNCTION("IFERROR(TEXTJOIN("", "", TRUE, FILTER('Main Report'!$A$11:$A1000, 'Main Report'!$C$11:$C1000 = B3)), """")
"),"BR-002, BR-003, BR-004, BR-005, BR-006, BR-007, BR-008, BR-009, BR-010")</f>
        <v>BR-002, BR-003, BR-004, BR-005, BR-006, BR-007, BR-008, BR-009, BR-010</v>
      </c>
      <c r="D3" s="63"/>
      <c r="E3" s="63"/>
      <c r="F3" s="63"/>
      <c r="G3" s="19" t="str">
        <f>IFERROR(__xludf.DUMMYFUNCTION("TEXTJOIN("", "", TRUE, UNIQUE(FILTER('Main Report'!P12:P1000, 'Main Report'!B12:B1000 = A3)))
"),"")</f>
        <v/>
      </c>
      <c r="H3" s="19"/>
      <c r="I3" s="19"/>
      <c r="J3" s="19"/>
      <c r="K3" s="19"/>
      <c r="L3" s="19"/>
      <c r="M3" s="19"/>
      <c r="N3" s="19"/>
      <c r="O3" s="19"/>
      <c r="P3" s="19"/>
      <c r="Q3" s="19"/>
      <c r="R3" s="19"/>
      <c r="S3" s="19"/>
      <c r="T3" s="19"/>
      <c r="U3" s="19"/>
      <c r="V3" s="19"/>
      <c r="W3" s="19"/>
      <c r="X3" s="19"/>
      <c r="Y3" s="19"/>
      <c r="Z3" s="19"/>
      <c r="AA3" s="19"/>
    </row>
    <row r="4">
      <c r="A4" s="63"/>
      <c r="B4" s="21" t="str">
        <f>IFERROR(__xludf.DUMMYFUNCTION("""COMPUTED_VALUE"""),"Bookings")</f>
        <v>Bookings</v>
      </c>
      <c r="C4" s="21" t="str">
        <f>IFERROR(__xludf.DUMMYFUNCTION("IFERROR(TEXTJOIN("", "", TRUE, FILTER('Main Report'!$A$11:$A1000, 'Main Report'!$C$11:$C1000 = B4)), """")
"),"BR-011, BR-012, BR-013, BR-014")</f>
        <v>BR-011, BR-012, BR-013, BR-014</v>
      </c>
      <c r="D4" s="63"/>
      <c r="E4" s="63"/>
      <c r="F4" s="63"/>
      <c r="G4" s="19" t="str">
        <f>IFERROR(__xludf.DUMMYFUNCTION("TEXTJOIN("", "", TRUE, UNIQUE(FILTER('Main Report'!P13:P1000, 'Main Report'!B13:B1000 = A4)))
"),"")</f>
        <v/>
      </c>
      <c r="H4" s="19"/>
      <c r="I4" s="19"/>
      <c r="J4" s="19"/>
      <c r="K4" s="19"/>
      <c r="L4" s="19"/>
      <c r="M4" s="19"/>
      <c r="N4" s="19"/>
      <c r="O4" s="19"/>
      <c r="P4" s="19"/>
      <c r="Q4" s="19"/>
      <c r="R4" s="19"/>
      <c r="S4" s="19"/>
      <c r="T4" s="19"/>
      <c r="U4" s="19"/>
      <c r="V4" s="19"/>
      <c r="W4" s="19"/>
      <c r="X4" s="19"/>
      <c r="Y4" s="19"/>
      <c r="Z4" s="19"/>
      <c r="AA4" s="19"/>
    </row>
    <row r="5">
      <c r="A5" s="63"/>
      <c r="B5" s="21" t="str">
        <f>IFERROR(__xludf.DUMMYFUNCTION("""COMPUTED_VALUE"""),"Card Information")</f>
        <v>Card Information</v>
      </c>
      <c r="C5" s="21" t="str">
        <f>IFERROR(__xludf.DUMMYFUNCTION("IFERROR(TEXTJOIN("", "", TRUE, FILTER('Main Report'!$A$11:$A1000, 'Main Report'!$C$11:$C1000 = B5)), """")
"),"BR-015, BR-016")</f>
        <v>BR-015, BR-016</v>
      </c>
      <c r="D5" s="63"/>
      <c r="E5" s="63"/>
      <c r="F5" s="63"/>
      <c r="G5" s="19"/>
      <c r="H5" s="19"/>
      <c r="I5" s="19"/>
      <c r="J5" s="19"/>
      <c r="K5" s="19"/>
      <c r="L5" s="19"/>
      <c r="M5" s="19"/>
      <c r="N5" s="19"/>
      <c r="O5" s="19"/>
      <c r="P5" s="19"/>
      <c r="Q5" s="19"/>
      <c r="R5" s="19"/>
      <c r="S5" s="19"/>
      <c r="T5" s="19"/>
      <c r="U5" s="19"/>
      <c r="V5" s="19"/>
      <c r="W5" s="19"/>
      <c r="X5" s="19"/>
      <c r="Y5" s="19"/>
      <c r="Z5" s="19"/>
      <c r="AA5" s="19"/>
    </row>
    <row r="6">
      <c r="A6" s="63"/>
      <c r="B6" s="21" t="str">
        <f>IFERROR(__xludf.DUMMYFUNCTION("""COMPUTED_VALUE"""),"Chat")</f>
        <v>Chat</v>
      </c>
      <c r="C6" s="21" t="str">
        <f>IFERROR(__xludf.DUMMYFUNCTION("IFERROR(TEXTJOIN("", "", TRUE, FILTER('Main Report'!$A$11:$A1000, 'Main Report'!$C$11:$C1000 = B6)), """")
"),"BR-017, BR-018, BR-019, BR-020, BR-021")</f>
        <v>BR-017, BR-018, BR-019, BR-020, BR-021</v>
      </c>
      <c r="D6" s="63"/>
      <c r="E6" s="63"/>
      <c r="F6" s="63"/>
      <c r="G6" s="19"/>
      <c r="H6" s="19"/>
      <c r="I6" s="19"/>
      <c r="J6" s="19"/>
      <c r="K6" s="19"/>
      <c r="L6" s="19"/>
      <c r="M6" s="19"/>
      <c r="N6" s="19"/>
      <c r="O6" s="19"/>
      <c r="P6" s="19"/>
      <c r="Q6" s="19"/>
      <c r="R6" s="19"/>
      <c r="S6" s="19"/>
      <c r="T6" s="19"/>
      <c r="U6" s="19"/>
      <c r="V6" s="19"/>
      <c r="W6" s="19"/>
      <c r="X6" s="19"/>
      <c r="Y6" s="19"/>
      <c r="Z6" s="19"/>
      <c r="AA6" s="19"/>
    </row>
    <row r="7">
      <c r="A7" s="63"/>
      <c r="B7" s="21" t="str">
        <f>IFERROR(__xludf.DUMMYFUNCTION("""COMPUTED_VALUE"""),"Forget Password")</f>
        <v>Forget Password</v>
      </c>
      <c r="C7" s="21" t="str">
        <f>IFERROR(__xludf.DUMMYFUNCTION("IFERROR(TEXTJOIN("", "", TRUE, FILTER('Main Report'!$A$11:$A1000, 'Main Report'!$C$11:$C1000 = B7)), """")
"),"BR-022")</f>
        <v>BR-022</v>
      </c>
      <c r="D7" s="63"/>
      <c r="E7" s="63"/>
      <c r="F7" s="63"/>
      <c r="G7" s="19"/>
      <c r="H7" s="19"/>
      <c r="I7" s="19"/>
      <c r="J7" s="19"/>
      <c r="K7" s="19"/>
      <c r="L7" s="19"/>
      <c r="M7" s="19"/>
      <c r="N7" s="19"/>
      <c r="O7" s="19"/>
      <c r="P7" s="19"/>
      <c r="Q7" s="19"/>
      <c r="R7" s="19"/>
      <c r="S7" s="19"/>
      <c r="T7" s="19"/>
      <c r="U7" s="19"/>
      <c r="V7" s="19"/>
      <c r="W7" s="19"/>
      <c r="X7" s="19"/>
      <c r="Y7" s="19"/>
      <c r="Z7" s="19"/>
      <c r="AA7" s="19"/>
    </row>
    <row r="8">
      <c r="A8" s="63"/>
      <c r="B8" s="21" t="str">
        <f>IFERROR(__xludf.DUMMYFUNCTION("""COMPUTED_VALUE"""),"Home")</f>
        <v>Home</v>
      </c>
      <c r="C8" s="21" t="str">
        <f>IFERROR(__xludf.DUMMYFUNCTION("IFERROR(TEXTJOIN("", "", TRUE, FILTER('Main Report'!$A$11:$A1000, 'Main Report'!$C$11:$C1000 = B8)), """")
"),"BR-023, BR-024, BR-025")</f>
        <v>BR-023, BR-024, BR-025</v>
      </c>
      <c r="D8" s="63"/>
      <c r="E8" s="63"/>
      <c r="F8" s="63"/>
      <c r="G8" s="19"/>
      <c r="H8" s="19"/>
      <c r="I8" s="19"/>
      <c r="J8" s="19"/>
      <c r="K8" s="19"/>
      <c r="L8" s="19"/>
      <c r="M8" s="19"/>
      <c r="N8" s="19"/>
      <c r="O8" s="19"/>
      <c r="P8" s="19"/>
      <c r="Q8" s="19"/>
      <c r="R8" s="19"/>
      <c r="S8" s="19"/>
      <c r="T8" s="19"/>
      <c r="U8" s="19"/>
      <c r="V8" s="19"/>
      <c r="W8" s="19"/>
      <c r="X8" s="19"/>
      <c r="Y8" s="19"/>
      <c r="Z8" s="19"/>
      <c r="AA8" s="19"/>
    </row>
    <row r="9">
      <c r="A9" s="63"/>
      <c r="B9" s="21" t="str">
        <f>IFERROR(__xludf.DUMMYFUNCTION("""COMPUTED_VALUE"""),"Login")</f>
        <v>Login</v>
      </c>
      <c r="C9" s="21" t="str">
        <f>IFERROR(__xludf.DUMMYFUNCTION("IFERROR(TEXTJOIN("", "", TRUE, FILTER('Main Report'!$A$11:$A1000, 'Main Report'!$C$11:$C1000 = B9)), """")
"),"BR-026, BR-027, BR-028")</f>
        <v>BR-026, BR-027, BR-028</v>
      </c>
      <c r="D9" s="63"/>
      <c r="E9" s="63"/>
      <c r="F9" s="63"/>
      <c r="G9" s="19"/>
      <c r="H9" s="19"/>
      <c r="I9" s="19"/>
      <c r="J9" s="19"/>
      <c r="K9" s="19"/>
      <c r="L9" s="19"/>
      <c r="M9" s="19"/>
      <c r="N9" s="19"/>
      <c r="O9" s="19"/>
      <c r="P9" s="19"/>
      <c r="Q9" s="19"/>
      <c r="R9" s="19"/>
      <c r="S9" s="19"/>
      <c r="T9" s="19"/>
      <c r="U9" s="19"/>
      <c r="V9" s="19"/>
      <c r="W9" s="19"/>
      <c r="X9" s="19"/>
      <c r="Y9" s="19"/>
      <c r="Z9" s="19"/>
      <c r="AA9" s="19"/>
    </row>
    <row r="10">
      <c r="A10" s="63"/>
      <c r="B10" s="21" t="str">
        <f>IFERROR(__xludf.DUMMYFUNCTION("""COMPUTED_VALUE"""),"Notification")</f>
        <v>Notification</v>
      </c>
      <c r="C10" s="21" t="str">
        <f>IFERROR(__xludf.DUMMYFUNCTION("IFERROR(TEXTJOIN("", "", TRUE, FILTER('Main Report'!$A$11:$A1000, 'Main Report'!$C$11:$C1000 = B10)), """")
"),"BR-029")</f>
        <v>BR-029</v>
      </c>
      <c r="D10" s="63"/>
      <c r="E10" s="63"/>
      <c r="F10" s="63"/>
      <c r="G10" s="19"/>
      <c r="H10" s="19"/>
      <c r="I10" s="19"/>
      <c r="J10" s="19"/>
      <c r="K10" s="19"/>
      <c r="L10" s="19"/>
      <c r="M10" s="19"/>
      <c r="N10" s="19"/>
      <c r="O10" s="19"/>
      <c r="P10" s="19"/>
      <c r="Q10" s="19"/>
      <c r="R10" s="19"/>
      <c r="S10" s="19"/>
      <c r="T10" s="19"/>
      <c r="U10" s="19"/>
      <c r="V10" s="19"/>
      <c r="W10" s="19"/>
      <c r="X10" s="19"/>
      <c r="Y10" s="19"/>
      <c r="Z10" s="19"/>
      <c r="AA10" s="19"/>
    </row>
    <row r="11">
      <c r="A11" s="63"/>
      <c r="B11" s="21" t="str">
        <f>IFERROR(__xludf.DUMMYFUNCTION("""COMPUTED_VALUE"""),"OTP Mail")</f>
        <v>OTP Mail</v>
      </c>
      <c r="C11" s="21" t="str">
        <f>IFERROR(__xludf.DUMMYFUNCTION("IFERROR(TEXTJOIN("", "", TRUE, FILTER('Main Report'!$A$11:$A1000, 'Main Report'!$C$11:$C1000 = B11)), """")
"),"BR-030")</f>
        <v>BR-030</v>
      </c>
      <c r="D11" s="63"/>
      <c r="E11" s="63"/>
      <c r="F11" s="63"/>
      <c r="G11" s="19"/>
      <c r="H11" s="19"/>
      <c r="I11" s="19"/>
      <c r="J11" s="19"/>
      <c r="K11" s="19"/>
      <c r="L11" s="19"/>
      <c r="M11" s="19"/>
      <c r="N11" s="19"/>
      <c r="O11" s="19"/>
      <c r="P11" s="19"/>
      <c r="Q11" s="19"/>
      <c r="R11" s="19"/>
      <c r="S11" s="19"/>
      <c r="T11" s="19"/>
      <c r="U11" s="19"/>
      <c r="V11" s="19"/>
      <c r="W11" s="19"/>
      <c r="X11" s="19"/>
      <c r="Y11" s="19"/>
      <c r="Z11" s="19"/>
      <c r="AA11" s="19"/>
    </row>
    <row r="12">
      <c r="A12" s="63"/>
      <c r="B12" s="21" t="str">
        <f>IFERROR(__xludf.DUMMYFUNCTION("""COMPUTED_VALUE"""),"Payment")</f>
        <v>Payment</v>
      </c>
      <c r="C12" s="21" t="str">
        <f>IFERROR(__xludf.DUMMYFUNCTION("IFERROR(TEXTJOIN("", "", TRUE, FILTER('Main Report'!$A$11:$A1000, 'Main Report'!$C$11:$C1000 = B12)), """")
"),"BR-031")</f>
        <v>BR-031</v>
      </c>
      <c r="D12" s="63"/>
      <c r="E12" s="63"/>
      <c r="F12" s="63"/>
      <c r="G12" s="19"/>
      <c r="H12" s="19"/>
      <c r="I12" s="19"/>
      <c r="J12" s="19"/>
      <c r="K12" s="19"/>
      <c r="L12" s="19"/>
      <c r="M12" s="19"/>
      <c r="N12" s="19"/>
      <c r="O12" s="19"/>
      <c r="P12" s="19"/>
      <c r="Q12" s="19"/>
      <c r="R12" s="19"/>
      <c r="S12" s="19"/>
      <c r="T12" s="19"/>
      <c r="U12" s="19"/>
      <c r="V12" s="19"/>
      <c r="W12" s="19"/>
      <c r="X12" s="19"/>
      <c r="Y12" s="19"/>
      <c r="Z12" s="19"/>
      <c r="AA12" s="19"/>
    </row>
    <row r="13">
      <c r="A13" s="63"/>
      <c r="B13" s="21" t="str">
        <f>IFERROR(__xludf.DUMMYFUNCTION("""COMPUTED_VALUE"""),"Profile")</f>
        <v>Profile</v>
      </c>
      <c r="C13" s="21" t="str">
        <f>IFERROR(__xludf.DUMMYFUNCTION("IFERROR(TEXTJOIN("", "", TRUE, FILTER('Main Report'!$A$11:$A1000, 'Main Report'!$C$11:$C1000 = B13)), """")
"),"BR-032, BR-033, BR-034, BR-035, BR-036, BR-037, BR-038, BR-039, BR-040")</f>
        <v>BR-032, BR-033, BR-034, BR-035, BR-036, BR-037, BR-038, BR-039, BR-040</v>
      </c>
      <c r="D13" s="63"/>
      <c r="E13" s="63"/>
      <c r="F13" s="63"/>
      <c r="G13" s="19"/>
      <c r="H13" s="19"/>
      <c r="I13" s="19"/>
      <c r="J13" s="19"/>
      <c r="K13" s="19"/>
      <c r="L13" s="19"/>
      <c r="M13" s="19"/>
      <c r="N13" s="19"/>
      <c r="O13" s="19"/>
      <c r="P13" s="19"/>
      <c r="Q13" s="19"/>
      <c r="R13" s="19"/>
      <c r="S13" s="19"/>
      <c r="T13" s="19"/>
      <c r="U13" s="19"/>
      <c r="V13" s="19"/>
      <c r="W13" s="19"/>
      <c r="X13" s="19"/>
      <c r="Y13" s="19"/>
      <c r="Z13" s="19"/>
      <c r="AA13" s="19"/>
    </row>
    <row r="14">
      <c r="A14" s="63"/>
      <c r="B14" s="21" t="str">
        <f>IFERROR(__xludf.DUMMYFUNCTION("""COMPUTED_VALUE"""),"Rewards")</f>
        <v>Rewards</v>
      </c>
      <c r="C14" s="21" t="str">
        <f>IFERROR(__xludf.DUMMYFUNCTION("IFERROR(TEXTJOIN("", "", TRUE, FILTER('Main Report'!$A$11:$A1000, 'Main Report'!$C$11:$C1000 = B14)), """")
"),"BR-041")</f>
        <v>BR-041</v>
      </c>
      <c r="D14" s="63"/>
      <c r="E14" s="63"/>
      <c r="F14" s="63"/>
      <c r="G14" s="19"/>
      <c r="H14" s="19"/>
      <c r="I14" s="19"/>
      <c r="J14" s="19"/>
      <c r="K14" s="19"/>
      <c r="L14" s="19"/>
      <c r="M14" s="19"/>
      <c r="N14" s="19"/>
      <c r="O14" s="19"/>
      <c r="P14" s="19"/>
      <c r="Q14" s="19"/>
      <c r="R14" s="19"/>
      <c r="S14" s="19"/>
      <c r="T14" s="19"/>
      <c r="U14" s="19"/>
      <c r="V14" s="19"/>
      <c r="W14" s="19"/>
      <c r="X14" s="19"/>
      <c r="Y14" s="19"/>
      <c r="Z14" s="19"/>
      <c r="AA14" s="19"/>
    </row>
    <row r="15">
      <c r="A15" s="63"/>
      <c r="B15" s="21" t="str">
        <f>IFERROR(__xludf.DUMMYFUNCTION("""COMPUTED_VALUE"""),"SignUp")</f>
        <v>SignUp</v>
      </c>
      <c r="C15" s="21" t="str">
        <f>IFERROR(__xludf.DUMMYFUNCTION("IFERROR(TEXTJOIN("", "", TRUE, FILTER('Main Report'!$A$11:$A1000, 'Main Report'!$C$11:$C1000 = B15)), """")
"),"BR-042, BR-043, BR-044")</f>
        <v>BR-042, BR-043, BR-044</v>
      </c>
      <c r="D15" s="63"/>
      <c r="E15" s="63"/>
      <c r="F15" s="63"/>
      <c r="G15" s="19"/>
      <c r="H15" s="19"/>
      <c r="I15" s="19"/>
      <c r="J15" s="19"/>
      <c r="K15" s="19"/>
      <c r="L15" s="19"/>
      <c r="M15" s="19"/>
      <c r="N15" s="19"/>
      <c r="O15" s="19"/>
      <c r="P15" s="19"/>
      <c r="Q15" s="19"/>
      <c r="R15" s="19"/>
      <c r="S15" s="19"/>
      <c r="T15" s="19"/>
      <c r="U15" s="19"/>
      <c r="V15" s="19"/>
      <c r="W15" s="19"/>
      <c r="X15" s="19"/>
      <c r="Y15" s="19"/>
      <c r="Z15" s="19"/>
      <c r="AA15" s="19"/>
    </row>
    <row r="16">
      <c r="A16" s="63"/>
      <c r="B16" s="21" t="str">
        <f>IFERROR(__xludf.DUMMYFUNCTION("""COMPUTED_VALUE"""),"Start Page")</f>
        <v>Start Page</v>
      </c>
      <c r="C16" s="21" t="str">
        <f>IFERROR(__xludf.DUMMYFUNCTION("IFERROR(TEXTJOIN("", "", TRUE, FILTER('Main Report'!$A$11:$A1000, 'Main Report'!$C$11:$C1000 = B16)), """")
"),"BR-045")</f>
        <v>BR-045</v>
      </c>
      <c r="D16" s="63"/>
      <c r="E16" s="63"/>
      <c r="F16" s="63"/>
      <c r="G16" s="19"/>
      <c r="H16" s="19"/>
      <c r="I16" s="19"/>
      <c r="J16" s="19"/>
      <c r="K16" s="19"/>
      <c r="L16" s="19"/>
      <c r="M16" s="19"/>
      <c r="N16" s="19"/>
      <c r="O16" s="19"/>
      <c r="P16" s="19"/>
      <c r="Q16" s="19"/>
      <c r="R16" s="19"/>
      <c r="S16" s="19"/>
      <c r="T16" s="19"/>
      <c r="U16" s="19"/>
      <c r="V16" s="19"/>
      <c r="W16" s="19"/>
      <c r="X16" s="19"/>
      <c r="Y16" s="19"/>
      <c r="Z16" s="19"/>
      <c r="AA16" s="19"/>
    </row>
    <row r="17">
      <c r="A17" s="64"/>
      <c r="B17" s="21" t="str">
        <f>IFERROR(__xludf.DUMMYFUNCTION("""COMPUTED_VALUE"""),"Wallet")</f>
        <v>Wallet</v>
      </c>
      <c r="C17" s="21" t="str">
        <f>IFERROR(__xludf.DUMMYFUNCTION("IFERROR(TEXTJOIN("", "", TRUE, FILTER('Main Report'!$A$11:$A1000, 'Main Report'!$C$11:$C1000 = B17)), """")
"),"BR-046, BR-047")</f>
        <v>BR-046, BR-047</v>
      </c>
      <c r="D17" s="64"/>
      <c r="E17" s="64"/>
      <c r="F17" s="64"/>
      <c r="G17" s="19"/>
      <c r="H17" s="19"/>
      <c r="I17" s="19"/>
      <c r="J17" s="19"/>
      <c r="K17" s="19"/>
      <c r="L17" s="19"/>
      <c r="M17" s="19"/>
      <c r="N17" s="19"/>
      <c r="O17" s="19"/>
      <c r="P17" s="19"/>
      <c r="Q17" s="19"/>
      <c r="R17" s="19"/>
      <c r="S17" s="19"/>
      <c r="T17" s="19"/>
      <c r="U17" s="19"/>
      <c r="V17" s="19"/>
      <c r="W17" s="19"/>
      <c r="X17" s="19"/>
      <c r="Y17" s="19"/>
      <c r="Z17" s="19"/>
      <c r="AA17" s="19"/>
    </row>
    <row r="18">
      <c r="A18" s="19"/>
      <c r="B18" s="21"/>
      <c r="C18" s="21"/>
      <c r="D18" s="19"/>
      <c r="E18" s="19" t="str">
        <f>IF(OR(D18=0, 'Main Report'!$E$7=0), "", TEXT(D18 / 'Main Report'!$E$7 * 100, "0.00") &amp; "%")
</f>
        <v/>
      </c>
      <c r="F18" s="19"/>
      <c r="G18" s="19"/>
      <c r="H18" s="19"/>
      <c r="I18" s="19"/>
      <c r="J18" s="19"/>
      <c r="K18" s="19"/>
      <c r="L18" s="19"/>
      <c r="M18" s="19"/>
      <c r="N18" s="19"/>
      <c r="O18" s="19"/>
      <c r="P18" s="19"/>
      <c r="Q18" s="19"/>
      <c r="R18" s="19"/>
      <c r="S18" s="19"/>
      <c r="T18" s="19"/>
      <c r="U18" s="19"/>
      <c r="V18" s="19"/>
      <c r="W18" s="19"/>
      <c r="X18" s="19"/>
      <c r="Y18" s="19"/>
      <c r="Z18" s="19"/>
      <c r="AA18" s="19"/>
    </row>
    <row r="19">
      <c r="A19" s="19"/>
      <c r="B19" s="21"/>
      <c r="C19" s="21"/>
      <c r="D19" s="19"/>
      <c r="E19" s="19" t="str">
        <f>IF(OR(D19=0, 'Main Report'!$E$7=0), "", TEXT(D19 / 'Main Report'!$E$7 * 100, "0.00") &amp; "%")
</f>
        <v/>
      </c>
      <c r="F19" s="19"/>
      <c r="G19" s="19"/>
      <c r="H19" s="19"/>
      <c r="I19" s="19"/>
      <c r="J19" s="19"/>
      <c r="K19" s="19"/>
      <c r="L19" s="19"/>
      <c r="M19" s="19"/>
      <c r="N19" s="19"/>
      <c r="O19" s="19"/>
      <c r="P19" s="19"/>
      <c r="Q19" s="19"/>
      <c r="R19" s="19"/>
      <c r="S19" s="19"/>
      <c r="T19" s="19"/>
      <c r="U19" s="19"/>
      <c r="V19" s="19"/>
      <c r="W19" s="19"/>
      <c r="X19" s="19"/>
      <c r="Y19" s="19"/>
      <c r="Z19" s="19"/>
      <c r="AA19" s="19"/>
    </row>
    <row r="20">
      <c r="A20" s="19"/>
      <c r="B20" s="21"/>
      <c r="C20" s="21"/>
      <c r="D20" s="19"/>
      <c r="E20" s="19" t="str">
        <f>IF(OR(D20=0, 'Main Report'!$E$7=0), "", TEXT(D20 / 'Main Report'!$E$7 * 100, "0.00") &amp; "%")
</f>
        <v/>
      </c>
      <c r="F20" s="19"/>
      <c r="G20" s="19"/>
      <c r="H20" s="19"/>
      <c r="I20" s="19"/>
      <c r="J20" s="19"/>
      <c r="K20" s="19"/>
      <c r="L20" s="19"/>
      <c r="M20" s="19"/>
      <c r="N20" s="19"/>
      <c r="O20" s="19"/>
      <c r="P20" s="19"/>
      <c r="Q20" s="19"/>
      <c r="R20" s="19"/>
      <c r="S20" s="19"/>
      <c r="T20" s="19"/>
      <c r="U20" s="19"/>
      <c r="V20" s="19"/>
      <c r="W20" s="19"/>
      <c r="X20" s="19"/>
      <c r="Y20" s="19"/>
      <c r="Z20" s="19"/>
      <c r="AA20" s="19"/>
    </row>
    <row r="21">
      <c r="A21" s="19"/>
      <c r="B21" s="21"/>
      <c r="C21" s="21"/>
      <c r="D21" s="19"/>
      <c r="E21" s="19" t="str">
        <f>IF(OR(D21=0, 'Main Report'!$E$7=0), "", TEXT(D21 / 'Main Report'!$E$7 * 100, "0.00") &amp; "%")
</f>
        <v/>
      </c>
      <c r="F21" s="19"/>
      <c r="G21" s="19"/>
      <c r="H21" s="19"/>
      <c r="I21" s="19"/>
      <c r="J21" s="19"/>
      <c r="K21" s="19"/>
      <c r="L21" s="19"/>
      <c r="M21" s="19"/>
      <c r="N21" s="19"/>
      <c r="O21" s="19"/>
      <c r="P21" s="19"/>
      <c r="Q21" s="19"/>
      <c r="R21" s="19"/>
      <c r="S21" s="19"/>
      <c r="T21" s="19"/>
      <c r="U21" s="19"/>
      <c r="V21" s="19"/>
      <c r="W21" s="19"/>
      <c r="X21" s="19"/>
      <c r="Y21" s="19"/>
      <c r="Z21" s="19"/>
      <c r="AA21" s="19"/>
    </row>
    <row r="22">
      <c r="A22" s="19"/>
      <c r="B22" s="19"/>
      <c r="C22" s="19"/>
      <c r="D22" s="19"/>
      <c r="E22" s="19" t="str">
        <f>IF(OR(D22=0, 'Main Report'!$E$7=0), "", TEXT(D22 / 'Main Report'!$E$7 * 100, "0.00") &amp; "%")
</f>
        <v/>
      </c>
      <c r="F22" s="19"/>
      <c r="G22" s="19"/>
      <c r="H22" s="19"/>
      <c r="I22" s="19"/>
      <c r="J22" s="19"/>
      <c r="K22" s="19"/>
      <c r="L22" s="19"/>
      <c r="M22" s="19"/>
      <c r="N22" s="19"/>
      <c r="O22" s="19"/>
      <c r="P22" s="19"/>
      <c r="Q22" s="19"/>
      <c r="R22" s="19"/>
      <c r="S22" s="19"/>
      <c r="T22" s="19"/>
      <c r="U22" s="19"/>
      <c r="V22" s="19"/>
      <c r="W22" s="19"/>
      <c r="X22" s="19"/>
      <c r="Y22" s="19"/>
      <c r="Z22" s="19"/>
      <c r="AA22" s="19"/>
    </row>
    <row r="23">
      <c r="A23" s="19"/>
      <c r="B23" s="19"/>
      <c r="C23" s="19"/>
      <c r="D23" s="19"/>
      <c r="E23" s="19" t="str">
        <f>IF(OR(D23=0, 'Main Report'!$E$7=0), "", TEXT(D23 / 'Main Report'!$E$7 * 100, "0.00") &amp; "%")
</f>
        <v/>
      </c>
      <c r="F23" s="19"/>
      <c r="G23" s="19"/>
      <c r="H23" s="19"/>
      <c r="I23" s="19"/>
      <c r="J23" s="19"/>
      <c r="K23" s="19"/>
      <c r="L23" s="19"/>
      <c r="M23" s="19"/>
      <c r="N23" s="19"/>
      <c r="O23" s="19"/>
      <c r="P23" s="19"/>
      <c r="Q23" s="19"/>
      <c r="R23" s="19"/>
      <c r="S23" s="19"/>
      <c r="T23" s="19"/>
      <c r="U23" s="19"/>
      <c r="V23" s="19"/>
      <c r="W23" s="19"/>
      <c r="X23" s="19"/>
      <c r="Y23" s="19"/>
      <c r="Z23" s="19"/>
      <c r="AA23" s="19"/>
    </row>
    <row r="24">
      <c r="A24" s="19"/>
      <c r="B24" s="19"/>
      <c r="C24" s="19"/>
      <c r="D24" s="19"/>
      <c r="E24" s="19" t="str">
        <f>IF(OR(D24=0, 'Main Report'!$E$7=0), "", TEXT(D24 / 'Main Report'!$E$7 * 100, "0.00") &amp; "%")
</f>
        <v/>
      </c>
      <c r="F24" s="19"/>
      <c r="G24" s="19"/>
      <c r="H24" s="19"/>
      <c r="I24" s="19"/>
      <c r="J24" s="19"/>
      <c r="K24" s="19"/>
      <c r="L24" s="19"/>
      <c r="M24" s="19"/>
      <c r="N24" s="19"/>
      <c r="O24" s="19"/>
      <c r="P24" s="19"/>
      <c r="Q24" s="19"/>
      <c r="R24" s="19"/>
      <c r="S24" s="19"/>
      <c r="T24" s="19"/>
      <c r="U24" s="19"/>
      <c r="V24" s="19"/>
      <c r="W24" s="19"/>
      <c r="X24" s="19"/>
      <c r="Y24" s="19"/>
      <c r="Z24" s="19"/>
      <c r="AA24" s="19"/>
    </row>
    <row r="25">
      <c r="A25" s="19"/>
      <c r="B25" s="19"/>
      <c r="C25" s="19"/>
      <c r="D25" s="19"/>
      <c r="E25" s="19" t="str">
        <f>IF(OR(D25=0, 'Main Report'!$E$7=0), "", TEXT(D25 / 'Main Report'!$E$7 * 100, "0.00") &amp; "%")
</f>
        <v/>
      </c>
      <c r="F25" s="19"/>
      <c r="G25" s="19"/>
      <c r="H25" s="19"/>
      <c r="I25" s="19"/>
      <c r="J25" s="19"/>
      <c r="K25" s="19"/>
      <c r="L25" s="19"/>
      <c r="M25" s="19"/>
      <c r="N25" s="19"/>
      <c r="O25" s="19"/>
      <c r="P25" s="19"/>
      <c r="Q25" s="19"/>
      <c r="R25" s="19"/>
      <c r="S25" s="19"/>
      <c r="T25" s="19"/>
      <c r="U25" s="19"/>
      <c r="V25" s="19"/>
      <c r="W25" s="19"/>
      <c r="X25" s="19"/>
      <c r="Y25" s="19"/>
      <c r="Z25" s="19"/>
      <c r="AA25" s="19"/>
    </row>
    <row r="26">
      <c r="A26" s="19"/>
      <c r="B26" s="19"/>
      <c r="C26" s="19"/>
      <c r="D26" s="19"/>
      <c r="E26" s="19" t="str">
        <f>IF(OR(D26=0, 'Main Report'!$E$7=0), "", TEXT(D26 / 'Main Report'!$E$7 * 100, "0.00") &amp; "%")
</f>
        <v/>
      </c>
      <c r="F26" s="19"/>
      <c r="G26" s="19"/>
      <c r="H26" s="19"/>
      <c r="I26" s="19"/>
      <c r="J26" s="19"/>
      <c r="K26" s="19"/>
      <c r="L26" s="19"/>
      <c r="M26" s="19"/>
      <c r="N26" s="19"/>
      <c r="O26" s="19"/>
      <c r="P26" s="19"/>
      <c r="Q26" s="19"/>
      <c r="R26" s="19"/>
      <c r="S26" s="19"/>
      <c r="T26" s="19"/>
      <c r="U26" s="19"/>
      <c r="V26" s="19"/>
      <c r="W26" s="19"/>
      <c r="X26" s="19"/>
      <c r="Y26" s="19"/>
      <c r="Z26" s="19"/>
      <c r="AA26" s="19"/>
    </row>
    <row r="27">
      <c r="A27" s="19"/>
      <c r="B27" s="19"/>
      <c r="C27" s="19"/>
      <c r="D27" s="19"/>
      <c r="E27" s="19" t="str">
        <f>IF(OR(D27=0, 'Main Report'!$E$7=0), "", TEXT(D27 / 'Main Report'!$E$7 * 100, "0.00") &amp; "%")
</f>
        <v/>
      </c>
      <c r="F27" s="19"/>
      <c r="G27" s="19"/>
      <c r="H27" s="19"/>
      <c r="I27" s="19"/>
      <c r="J27" s="19"/>
      <c r="K27" s="19"/>
      <c r="L27" s="19"/>
      <c r="M27" s="19"/>
      <c r="N27" s="19"/>
      <c r="O27" s="19"/>
      <c r="P27" s="19"/>
      <c r="Q27" s="19"/>
      <c r="R27" s="19"/>
      <c r="S27" s="19"/>
      <c r="T27" s="19"/>
      <c r="U27" s="19"/>
      <c r="V27" s="19"/>
      <c r="W27" s="19"/>
      <c r="X27" s="19"/>
      <c r="Y27" s="19"/>
      <c r="Z27" s="19"/>
      <c r="AA27" s="19"/>
    </row>
    <row r="28">
      <c r="A28" s="19"/>
      <c r="B28" s="19"/>
      <c r="C28" s="19"/>
      <c r="D28" s="19"/>
      <c r="E28" s="19" t="str">
        <f>IF(OR(D28=0, 'Main Report'!$E$7=0), "", TEXT(D28 / 'Main Report'!$E$7 * 100, "0.00") &amp; "%")
</f>
        <v/>
      </c>
      <c r="F28" s="19"/>
      <c r="G28" s="19"/>
      <c r="H28" s="19"/>
      <c r="I28" s="19"/>
      <c r="J28" s="19"/>
      <c r="K28" s="19"/>
      <c r="L28" s="19"/>
      <c r="M28" s="19"/>
      <c r="N28" s="19"/>
      <c r="O28" s="19"/>
      <c r="P28" s="19"/>
      <c r="Q28" s="19"/>
      <c r="R28" s="19"/>
      <c r="S28" s="19"/>
      <c r="T28" s="19"/>
      <c r="U28" s="19"/>
      <c r="V28" s="19"/>
      <c r="W28" s="19"/>
      <c r="X28" s="19"/>
      <c r="Y28" s="19"/>
      <c r="Z28" s="19"/>
      <c r="AA28" s="19"/>
    </row>
    <row r="29">
      <c r="A29" s="19"/>
      <c r="B29" s="19"/>
      <c r="C29" s="19"/>
      <c r="D29" s="19"/>
      <c r="E29" s="19" t="str">
        <f>IF(OR(D29=0, 'Main Report'!$E$7=0), "", TEXT(D29 / 'Main Report'!$E$7 * 100, "0.00") &amp; "%")
</f>
        <v/>
      </c>
      <c r="F29" s="19"/>
      <c r="G29" s="19"/>
      <c r="H29" s="19"/>
      <c r="I29" s="19"/>
      <c r="J29" s="19"/>
      <c r="K29" s="19"/>
      <c r="L29" s="19"/>
      <c r="M29" s="19"/>
      <c r="N29" s="19"/>
      <c r="O29" s="19"/>
      <c r="P29" s="19"/>
      <c r="Q29" s="19"/>
      <c r="R29" s="19"/>
      <c r="S29" s="19"/>
      <c r="T29" s="19"/>
      <c r="U29" s="19"/>
      <c r="V29" s="19"/>
      <c r="W29" s="19"/>
      <c r="X29" s="19"/>
      <c r="Y29" s="19"/>
      <c r="Z29" s="19"/>
      <c r="AA29" s="19"/>
    </row>
    <row r="30">
      <c r="A30" s="19"/>
      <c r="B30" s="19"/>
      <c r="C30" s="19"/>
      <c r="D30" s="19"/>
      <c r="E30" s="19" t="str">
        <f>IF(OR(D30=0, 'Main Report'!$E$7=0), "", TEXT(D30 / 'Main Report'!$E$7 * 100, "0.00") &amp; "%")
</f>
        <v/>
      </c>
      <c r="F30" s="19"/>
      <c r="G30" s="19"/>
      <c r="H30" s="19"/>
      <c r="I30" s="19"/>
      <c r="J30" s="19"/>
      <c r="K30" s="19"/>
      <c r="L30" s="19"/>
      <c r="M30" s="19"/>
      <c r="N30" s="19"/>
      <c r="O30" s="19"/>
      <c r="P30" s="19"/>
      <c r="Q30" s="19"/>
      <c r="R30" s="19"/>
      <c r="S30" s="19"/>
      <c r="T30" s="19"/>
      <c r="U30" s="19"/>
      <c r="V30" s="19"/>
      <c r="W30" s="19"/>
      <c r="X30" s="19"/>
      <c r="Y30" s="19"/>
      <c r="Z30" s="19"/>
      <c r="AA30" s="19"/>
    </row>
    <row r="31">
      <c r="A31" s="19"/>
      <c r="B31" s="19"/>
      <c r="C31" s="19"/>
      <c r="D31" s="19"/>
      <c r="E31" s="19" t="str">
        <f>IF(OR(D31=0, 'Main Report'!$E$7=0), "", TEXT(D31 / 'Main Report'!$E$7 * 100, "0.00") &amp; "%")
</f>
        <v/>
      </c>
      <c r="F31" s="19"/>
      <c r="G31" s="19"/>
      <c r="H31" s="19"/>
      <c r="I31" s="19"/>
      <c r="J31" s="19"/>
      <c r="K31" s="19"/>
      <c r="L31" s="19"/>
      <c r="M31" s="19"/>
      <c r="N31" s="19"/>
      <c r="O31" s="19"/>
      <c r="P31" s="19"/>
      <c r="Q31" s="19"/>
      <c r="R31" s="19"/>
      <c r="S31" s="19"/>
      <c r="T31" s="19"/>
      <c r="U31" s="19"/>
      <c r="V31" s="19"/>
      <c r="W31" s="19"/>
      <c r="X31" s="19"/>
      <c r="Y31" s="19"/>
      <c r="Z31" s="19"/>
      <c r="AA31" s="19"/>
    </row>
    <row r="32">
      <c r="A32" s="19"/>
      <c r="B32" s="19"/>
      <c r="C32" s="19"/>
      <c r="D32" s="19"/>
      <c r="E32" s="19" t="str">
        <f>IF(OR(D32=0, 'Main Report'!$E$7=0), "", TEXT(D32 / 'Main Report'!$E$7 * 100, "0.00") &amp; "%")
</f>
        <v/>
      </c>
      <c r="F32" s="19"/>
      <c r="G32" s="19"/>
      <c r="H32" s="19"/>
      <c r="I32" s="19"/>
      <c r="J32" s="19"/>
      <c r="K32" s="19"/>
      <c r="L32" s="19"/>
      <c r="M32" s="19"/>
      <c r="N32" s="19"/>
      <c r="O32" s="19"/>
      <c r="P32" s="19"/>
      <c r="Q32" s="19"/>
      <c r="R32" s="19"/>
      <c r="S32" s="19"/>
      <c r="T32" s="19"/>
      <c r="U32" s="19"/>
      <c r="V32" s="19"/>
      <c r="W32" s="19"/>
      <c r="X32" s="19"/>
      <c r="Y32" s="19"/>
      <c r="Z32" s="19"/>
      <c r="AA32" s="19"/>
    </row>
    <row r="33">
      <c r="A33" s="19"/>
      <c r="B33" s="19"/>
      <c r="C33" s="19"/>
      <c r="D33" s="19"/>
      <c r="E33" s="19" t="str">
        <f>IF(OR(D33=0, 'Main Report'!$E$7=0), "", TEXT(D33 / 'Main Report'!$E$7 * 100, "0.00") &amp; "%")
</f>
        <v/>
      </c>
      <c r="F33" s="19"/>
      <c r="G33" s="19"/>
      <c r="H33" s="19"/>
      <c r="I33" s="19"/>
      <c r="J33" s="19"/>
      <c r="K33" s="19"/>
      <c r="L33" s="19"/>
      <c r="M33" s="19"/>
      <c r="N33" s="19"/>
      <c r="O33" s="19"/>
      <c r="P33" s="19"/>
      <c r="Q33" s="19"/>
      <c r="R33" s="19"/>
      <c r="S33" s="19"/>
      <c r="T33" s="19"/>
      <c r="U33" s="19"/>
      <c r="V33" s="19"/>
      <c r="W33" s="19"/>
      <c r="X33" s="19"/>
      <c r="Y33" s="19"/>
      <c r="Z33" s="19"/>
      <c r="AA33" s="19"/>
    </row>
    <row r="34">
      <c r="A34" s="19"/>
      <c r="B34" s="19"/>
      <c r="C34" s="19"/>
      <c r="D34" s="19"/>
      <c r="E34" s="19" t="str">
        <f>IF(OR(D34=0, 'Main Report'!$E$7=0), "", TEXT(D34 / 'Main Report'!$E$7 * 100, "0.00") &amp; "%")
</f>
        <v/>
      </c>
      <c r="F34" s="19"/>
      <c r="G34" s="19"/>
      <c r="H34" s="19"/>
      <c r="I34" s="19"/>
      <c r="J34" s="19"/>
      <c r="K34" s="19"/>
      <c r="L34" s="19"/>
      <c r="M34" s="19"/>
      <c r="N34" s="19"/>
      <c r="O34" s="19"/>
      <c r="P34" s="19"/>
      <c r="Q34" s="19"/>
      <c r="R34" s="19"/>
      <c r="S34" s="19"/>
      <c r="T34" s="19"/>
      <c r="U34" s="19"/>
      <c r="V34" s="19"/>
      <c r="W34" s="19"/>
      <c r="X34" s="19"/>
      <c r="Y34" s="19"/>
      <c r="Z34" s="19"/>
      <c r="AA34" s="19"/>
    </row>
    <row r="35">
      <c r="A35" s="19"/>
      <c r="B35" s="19"/>
      <c r="C35" s="19"/>
      <c r="D35" s="19"/>
      <c r="E35" s="19" t="str">
        <f>IF(OR(D35=0, 'Main Report'!$E$7=0), "", TEXT(D35 / 'Main Report'!$E$7 * 100, "0.00") &amp; "%")
</f>
        <v/>
      </c>
      <c r="F35" s="19"/>
      <c r="G35" s="19"/>
      <c r="H35" s="19"/>
      <c r="I35" s="19"/>
      <c r="J35" s="19"/>
      <c r="K35" s="19"/>
      <c r="L35" s="19"/>
      <c r="M35" s="19"/>
      <c r="N35" s="19"/>
      <c r="O35" s="19"/>
      <c r="P35" s="19"/>
      <c r="Q35" s="19"/>
      <c r="R35" s="19"/>
      <c r="S35" s="19"/>
      <c r="T35" s="19"/>
      <c r="U35" s="19"/>
      <c r="V35" s="19"/>
      <c r="W35" s="19"/>
      <c r="X35" s="19"/>
      <c r="Y35" s="19"/>
      <c r="Z35" s="19"/>
      <c r="AA35" s="19"/>
    </row>
    <row r="36">
      <c r="A36" s="19"/>
      <c r="B36" s="19"/>
      <c r="C36" s="19"/>
      <c r="D36" s="19"/>
      <c r="E36" s="19" t="str">
        <f>IF(OR(D36=0, 'Main Report'!$E$7=0), "", TEXT(D36 / 'Main Report'!$E$7 * 100, "0.00") &amp; "%")
</f>
        <v/>
      </c>
      <c r="F36" s="19"/>
      <c r="G36" s="19"/>
      <c r="H36" s="19"/>
      <c r="I36" s="19"/>
      <c r="J36" s="19"/>
      <c r="K36" s="19"/>
      <c r="L36" s="19"/>
      <c r="M36" s="19"/>
      <c r="N36" s="19"/>
      <c r="O36" s="19"/>
      <c r="P36" s="19"/>
      <c r="Q36" s="19"/>
      <c r="R36" s="19"/>
      <c r="S36" s="19"/>
      <c r="T36" s="19"/>
      <c r="U36" s="19"/>
      <c r="V36" s="19"/>
      <c r="W36" s="19"/>
      <c r="X36" s="19"/>
      <c r="Y36" s="19"/>
      <c r="Z36" s="19"/>
      <c r="AA36" s="19"/>
    </row>
    <row r="37">
      <c r="A37" s="19"/>
      <c r="B37" s="19"/>
      <c r="C37" s="19"/>
      <c r="D37" s="19"/>
      <c r="E37" s="19" t="str">
        <f>IF(OR(D37=0, 'Main Report'!$E$7=0), "", TEXT(D37 / 'Main Report'!$E$7 * 100, "0.00") &amp; "%")
</f>
        <v/>
      </c>
      <c r="F37" s="19"/>
      <c r="G37" s="19"/>
      <c r="H37" s="19"/>
      <c r="I37" s="19"/>
      <c r="J37" s="19"/>
      <c r="K37" s="19"/>
      <c r="L37" s="19"/>
      <c r="M37" s="19"/>
      <c r="N37" s="19"/>
      <c r="O37" s="19"/>
      <c r="P37" s="19"/>
      <c r="Q37" s="19"/>
      <c r="R37" s="19"/>
      <c r="S37" s="19"/>
      <c r="T37" s="19"/>
      <c r="U37" s="19"/>
      <c r="V37" s="19"/>
      <c r="W37" s="19"/>
      <c r="X37" s="19"/>
      <c r="Y37" s="19"/>
      <c r="Z37" s="19"/>
      <c r="AA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mergeCells count="4">
    <mergeCell ref="A2:A17"/>
    <mergeCell ref="D2:D17"/>
    <mergeCell ref="E2:E17"/>
    <mergeCell ref="F2:F17"/>
  </mergeCells>
  <drawing r:id="rId1"/>
</worksheet>
</file>