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had" sheetId="1" r:id="rId5"/>
    <sheet state="hidden" name="Tahsin" sheetId="2" r:id="rId6"/>
    <sheet state="visible" name="Summary Report" sheetId="3" r:id="rId7"/>
    <sheet state="visible" name="Main Report" sheetId="4" r:id="rId8"/>
  </sheets>
  <definedNames/>
  <calcPr/>
</workbook>
</file>

<file path=xl/sharedStrings.xml><?xml version="1.0" encoding="utf-8"?>
<sst xmlns="http://schemas.openxmlformats.org/spreadsheetml/2006/main" count="421" uniqueCount="169">
  <si>
    <t xml:space="preserve">Tester : </t>
  </si>
  <si>
    <t>Mohammed Fahad Faisal</t>
  </si>
  <si>
    <t>Project Name:</t>
  </si>
  <si>
    <t>Treat Island</t>
  </si>
  <si>
    <t>Developer:</t>
  </si>
  <si>
    <t>AI Venture</t>
  </si>
  <si>
    <t xml:space="preserve">OS: </t>
  </si>
  <si>
    <t>Windows 11 Pro 
Version:24H2 
OS build:26100.4946</t>
  </si>
  <si>
    <t>Environment:</t>
  </si>
  <si>
    <t>Brave 1.81.135 
(Official Build) (64-bit)
Chromium: 139.0.7258.127</t>
  </si>
  <si>
    <t>Place solve if the issue resolves 
|
\/</t>
  </si>
  <si>
    <t>Mention which Stack solved the issue 
|
\/</t>
  </si>
  <si>
    <t>Test ID</t>
  </si>
  <si>
    <t>Module</t>
  </si>
  <si>
    <t>Sub Module</t>
  </si>
  <si>
    <t>Test Case Description</t>
  </si>
  <si>
    <t>Preconditions</t>
  </si>
  <si>
    <t>Test Steps</t>
  </si>
  <si>
    <t>Test Data</t>
  </si>
  <si>
    <t>Expected Result</t>
  </si>
  <si>
    <t>Actual Result</t>
  </si>
  <si>
    <t>Status</t>
  </si>
  <si>
    <t>Severity</t>
  </si>
  <si>
    <t>Screen Shots</t>
  </si>
  <si>
    <t>Suggestion</t>
  </si>
  <si>
    <t>Feedback</t>
  </si>
  <si>
    <t>Stack</t>
  </si>
  <si>
    <t>Comment</t>
  </si>
  <si>
    <t>BR_001</t>
  </si>
  <si>
    <t>Signup</t>
  </si>
  <si>
    <t xml:space="preserve">Can sign up with a password shorter than 8 digits. </t>
  </si>
  <si>
    <t>User needs to access the app by downloading it onto their device.</t>
  </si>
  <si>
    <t>1. Open treat island app</t>
  </si>
  <si>
    <t>N/A</t>
  </si>
  <si>
    <t>Strong password generator should be displayed to guide the user in creating a secure password.</t>
  </si>
  <si>
    <t>Can set up an account with a weak password.</t>
  </si>
  <si>
    <t>Fail</t>
  </si>
  <si>
    <t>High</t>
  </si>
  <si>
    <t>001.jpg</t>
  </si>
  <si>
    <t>Solved</t>
  </si>
  <si>
    <t>Front-End</t>
  </si>
  <si>
    <t>solved</t>
  </si>
  <si>
    <t>BR_002</t>
  </si>
  <si>
    <t>OTP</t>
  </si>
  <si>
    <t>Code was sent to the provided email but appeared as if it was sent to a phone number.</t>
  </si>
  <si>
    <t>1. Open treat island app
2. Click on signup</t>
  </si>
  <si>
    <t>Should be displayed email address where the OTP was sent.</t>
  </si>
  <si>
    <t>Displays a random number and mentions that an OTP was sent to it.</t>
  </si>
  <si>
    <t>002.jpg</t>
  </si>
  <si>
    <t>BR_003</t>
  </si>
  <si>
    <t>OTP content in the email body is plain.</t>
  </si>
  <si>
    <t>1. Open treat island app
2. Click on signup
3. Receive OTP</t>
  </si>
  <si>
    <t>User Creds</t>
  </si>
  <si>
    <t>OTP email body should include more information than just the plain OTP message.</t>
  </si>
  <si>
    <t>Plain OTP message has been spotted.</t>
  </si>
  <si>
    <t>Low</t>
  </si>
  <si>
    <t>003.png</t>
  </si>
  <si>
    <t>Back-End</t>
  </si>
  <si>
    <t>BR_004</t>
  </si>
  <si>
    <t>Home</t>
  </si>
  <si>
    <t>Can set number as username</t>
  </si>
  <si>
    <t>1. Open treat island app
2. Click on signup
3. Receive OTP
4. Set user name</t>
  </si>
  <si>
    <t>Usernames should consist only of letters or a combination of letters and numbers.</t>
  </si>
  <si>
    <t>Can be set using only numbers.</t>
  </si>
  <si>
    <t>Medium</t>
  </si>
  <si>
    <t>004.jpg</t>
  </si>
  <si>
    <t>BR_005</t>
  </si>
  <si>
    <t xml:space="preserve">Footer button congested </t>
  </si>
  <si>
    <t>1. Open treat island app
2. Signin using valid creds
3. goto home</t>
  </si>
  <si>
    <t>Route button should remain uncluttered.</t>
  </si>
  <si>
    <t>Congested route button has been spotted.</t>
  </si>
  <si>
    <t>005.jpg</t>
  </si>
  <si>
    <t>BR_006</t>
  </si>
  <si>
    <t>Event</t>
  </si>
  <si>
    <t>Free space has been noticed in the organized event section.</t>
  </si>
  <si>
    <t xml:space="preserve">1. Open treat island app
2. Signin using valid creds
3. goto home
4. Click on organize on event </t>
  </si>
  <si>
    <t>There shouldn’t be any free space included in the app.</t>
  </si>
  <si>
    <t>Free space has been noticed and can be reduced by adding more spacing between the content.</t>
  </si>
  <si>
    <t>006.jpg</t>
  </si>
  <si>
    <t>BR_007</t>
  </si>
  <si>
    <t>An issue has been noticed where need to click on the date multiple times to select it.</t>
  </si>
  <si>
    <t>Single tap on the date should select the date.</t>
  </si>
  <si>
    <t>Need to tap multiple times to select the preferred date.</t>
  </si>
  <si>
    <t>007.mp4</t>
  </si>
  <si>
    <t>Unsolved</t>
  </si>
  <si>
    <t>When a user selects a date in the calendar, the following five days should be selected automatically, as per the client's requiremen</t>
  </si>
  <si>
    <t>BR_008</t>
  </si>
  <si>
    <t xml:space="preserve">Alignment issue has been noticed </t>
  </si>
  <si>
    <t>Alignment should match the Figma design.</t>
  </si>
  <si>
    <t>An alignment mismatch has been noticed</t>
  </si>
  <si>
    <t>008.jpg</t>
  </si>
  <si>
    <t>BR_009</t>
  </si>
  <si>
    <t>Login</t>
  </si>
  <si>
    <t>Forgot password feature isn’t working.</t>
  </si>
  <si>
    <t>009.jpg</t>
  </si>
  <si>
    <t>BR_010</t>
  </si>
  <si>
    <t>Profile</t>
  </si>
  <si>
    <t>UI layout is different from the Figma design.</t>
  </si>
  <si>
    <t>1. Open treat island app
2. Signin using valid creds
3. goto home
4. Click on profile icon in option</t>
  </si>
  <si>
    <t>010.jpg</t>
  </si>
  <si>
    <t>BR_011</t>
  </si>
  <si>
    <t>Help Center option isn’t working.</t>
  </si>
  <si>
    <t>011.jpg</t>
  </si>
  <si>
    <t>BR_012</t>
  </si>
  <si>
    <t xml:space="preserve">Typo has been noticed </t>
  </si>
  <si>
    <t>012.jpg</t>
  </si>
  <si>
    <t>BR_013</t>
  </si>
  <si>
    <t>Amount keep appearing continuously when holding down the backspace button on the keyboard.</t>
  </si>
  <si>
    <t>1. Open treat island app
2. Signin using valid creds
3. goto home
4. Click on organize on event 
5. Click on organization name</t>
  </si>
  <si>
    <t>013.mp4</t>
  </si>
  <si>
    <t>BR_014</t>
  </si>
  <si>
    <t>Unable to select multiple tags</t>
  </si>
  <si>
    <t>1. Open treat island app
2. Signin using valid creds
3. goto home
4. Click on organize on event 
5. Click on organization type</t>
  </si>
  <si>
    <t>014.jpg</t>
  </si>
  <si>
    <t>single selection option</t>
  </si>
  <si>
    <t>BR_015</t>
  </si>
  <si>
    <t>Countdown on the event page is not updating.</t>
  </si>
  <si>
    <t>1. Open treat island app
2. Signin using valid creds
3. goto home
4. Create event
5. Click on event to view</t>
  </si>
  <si>
    <t>015.jpg</t>
  </si>
  <si>
    <t>BR_016</t>
  </si>
  <si>
    <t>URL end point have /design on invite</t>
  </si>
  <si>
    <t>1. Open treat island app
2. Signin using valid creds
3. goto home
4. Create event
5. Click on event to view
6. Click on checklist and select team to fundraise</t>
  </si>
  <si>
    <t>016.jpg</t>
  </si>
  <si>
    <t>BR_017</t>
  </si>
  <si>
    <t>Add payment on the event when an OTP is sent to a phone number that the user has not provided.</t>
  </si>
  <si>
    <t>1. Open treat island app
2. Signin using valid creds
3. goto home
4. Create event
5. Click on event to view
6. Click on checklist and select add payment metod</t>
  </si>
  <si>
    <t>017.jpg</t>
  </si>
  <si>
    <t>BR_018</t>
  </si>
  <si>
    <t>non-functional module</t>
  </si>
  <si>
    <t>1. Open treat island app
2. Signin using valid creds
3. goto home
4. Create event
5. Click on event to view
6. Click on checklist and select invite team</t>
  </si>
  <si>
    <t>018.jpg</t>
  </si>
  <si>
    <t>BR_019</t>
  </si>
  <si>
    <t>Code contains characters but only allows numbers to be entered.</t>
  </si>
  <si>
    <t>1. Open treat island app
2. Signin using valid creds
3. goto home
4. Click on Enter event code</t>
  </si>
  <si>
    <t>019.jpg</t>
  </si>
  <si>
    <t>BR_020</t>
  </si>
  <si>
    <t>Provided token is invalid.</t>
  </si>
  <si>
    <t>1. Open treat island app
2. Signin using valid creds
3. goto home
4. Create event</t>
  </si>
  <si>
    <t>020.jpg</t>
  </si>
  <si>
    <t>Issues</t>
  </si>
  <si>
    <t>Project URL:</t>
  </si>
  <si>
    <t>Environment</t>
  </si>
  <si>
    <t>Total Test Cases:</t>
  </si>
  <si>
    <t>Test Case Solved :</t>
  </si>
  <si>
    <t>Test Case ID</t>
  </si>
  <si>
    <t>Bug Count</t>
  </si>
  <si>
    <t>-</t>
  </si>
  <si>
    <t>Bug Severity</t>
  </si>
  <si>
    <t>Tester</t>
  </si>
  <si>
    <t>BR-002</t>
  </si>
  <si>
    <t>BR-003</t>
  </si>
  <si>
    <t>BR-004</t>
  </si>
  <si>
    <t>BR-005</t>
  </si>
  <si>
    <t>BR-006</t>
  </si>
  <si>
    <t>BR-007</t>
  </si>
  <si>
    <t>BR-008</t>
  </si>
  <si>
    <t>BR-009</t>
  </si>
  <si>
    <t>BR-010</t>
  </si>
  <si>
    <t>BR-011</t>
  </si>
  <si>
    <t>BR-012</t>
  </si>
  <si>
    <t>BR-013</t>
  </si>
  <si>
    <t>BR-014</t>
  </si>
  <si>
    <t>BR-015</t>
  </si>
  <si>
    <t>BR-016</t>
  </si>
  <si>
    <t>BR-017</t>
  </si>
  <si>
    <t>BR-018</t>
  </si>
  <si>
    <t>BR-019</t>
  </si>
  <si>
    <t>BR-020</t>
  </si>
  <si>
    <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</si>
</sst>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2.0"/>
      <color theme="1"/>
      <name val="Calibri"/>
    </font>
    <font>
      <sz val="12.0"/>
      <color theme="1"/>
      <name val="Calibri"/>
    </font>
    <font>
      <color theme="1"/>
      <name val="Arial"/>
    </font>
    <font>
      <color rgb="FF1E2624"/>
      <name val="Inter"/>
    </font>
    <font>
      <b/>
      <color theme="1"/>
      <name val="Times New Roman"/>
    </font>
    <font>
      <color rgb="FF1E2624"/>
      <name val="Arial"/>
    </font>
    <font>
      <color theme="1"/>
      <name val="Times New Roman"/>
    </font>
    <font>
      <b/>
      <sz val="13.0"/>
      <color theme="1"/>
      <name val="Times New Roman"/>
    </font>
    <font>
      <b/>
      <sz val="15.0"/>
      <color theme="1"/>
      <name val="Calibri"/>
    </font>
    <font>
      <sz val="12.0"/>
      <color theme="1"/>
      <name val="Times New Roman"/>
    </font>
    <font>
      <u/>
      <color theme="1"/>
      <name val="Arial"/>
      <scheme val="minor"/>
    </font>
    <font>
      <color theme="1"/>
      <name val="Arial"/>
      <scheme val="minor"/>
    </font>
    <font>
      <u/>
      <sz val="12.0"/>
      <color rgb="FF1155CC"/>
      <name val="Times New Roman"/>
    </font>
    <font>
      <u/>
      <color theme="1"/>
      <name val="Arial"/>
      <scheme val="minor"/>
    </font>
    <font>
      <u/>
      <sz val="12.0"/>
      <color rgb="FF1155CC"/>
      <name val="Times New Roman"/>
    </font>
    <font>
      <b/>
      <sz val="12.0"/>
      <color theme="1"/>
      <name val="Arial"/>
    </font>
    <font>
      <u/>
      <color rgb="FF1155CC"/>
      <name val="Arial"/>
    </font>
    <font>
      <b/>
      <sz val="11.0"/>
      <color theme="1"/>
      <name val="Calibri"/>
    </font>
    <font>
      <sz val="11.0"/>
      <color theme="1"/>
      <name val="Calibri"/>
    </font>
    <font>
      <b/>
      <color rgb="FF000000"/>
      <name val="Arial"/>
      <scheme val="minor"/>
    </font>
    <font>
      <b/>
      <color theme="1"/>
      <name val="Arial"/>
    </font>
    <font>
      <u/>
      <color theme="1"/>
      <name val="Arial"/>
      <scheme val="minor"/>
    </font>
    <font>
      <u/>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FFD966"/>
        <bgColor rgb="FFFFD966"/>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0" fontId="1" numFmtId="0" xfId="0" applyAlignment="1" applyBorder="1" applyFont="1">
      <alignment horizontal="right" shrinkToFit="0" vertical="center" wrapText="1"/>
    </xf>
    <xf borderId="1" fillId="0" fontId="2" numFmtId="0" xfId="0" applyAlignment="1" applyBorder="1" applyFont="1">
      <alignment horizontal="center" readingOrder="0" vertical="center"/>
    </xf>
    <xf borderId="0" fillId="0" fontId="3" numFmtId="0" xfId="0" applyFont="1"/>
    <xf borderId="1"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1" fillId="2" fontId="4" numFmtId="0" xfId="0" applyAlignment="1" applyBorder="1" applyFill="1" applyFont="1">
      <alignment horizontal="center" readingOrder="0" vertical="center"/>
    </xf>
    <xf borderId="0" fillId="0" fontId="5" numFmtId="0" xfId="0" applyAlignment="1" applyFont="1">
      <alignment horizontal="center" shrinkToFit="0" wrapText="1"/>
    </xf>
    <xf borderId="1" fillId="0" fontId="1" numFmtId="0" xfId="0" applyAlignment="1" applyBorder="1" applyFont="1">
      <alignment horizontal="right" readingOrder="0" vertical="center"/>
    </xf>
    <xf borderId="1" fillId="2" fontId="6" numFmtId="0" xfId="0" applyAlignment="1" applyBorder="1" applyFont="1">
      <alignment horizontal="center" readingOrder="0" vertical="center"/>
    </xf>
    <xf borderId="0" fillId="3" fontId="7" numFmtId="0" xfId="0" applyAlignment="1" applyFill="1" applyFont="1">
      <alignment horizontal="center" readingOrder="0" shrinkToFit="0" wrapText="1"/>
    </xf>
    <xf borderId="2" fillId="4" fontId="8" numFmtId="0" xfId="0" applyAlignment="1" applyBorder="1" applyFill="1" applyFont="1">
      <alignment horizontal="center" shrinkToFit="0" vertical="center" wrapText="1"/>
    </xf>
    <xf borderId="2" fillId="4" fontId="9" numFmtId="0" xfId="0" applyAlignment="1" applyBorder="1" applyFont="1">
      <alignment horizontal="center" shrinkToFit="0" vertical="center" wrapText="1"/>
    </xf>
    <xf borderId="2" fillId="4" fontId="9" numFmtId="0" xfId="0" applyAlignment="1" applyBorder="1" applyFont="1">
      <alignment horizontal="center" readingOrder="0" shrinkToFit="0" vertical="center" wrapText="1"/>
    </xf>
    <xf borderId="3"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3" fillId="0" fontId="10" numFmtId="0" xfId="0" applyAlignment="1" applyBorder="1" applyFont="1">
      <alignment horizontal="left" readingOrder="0" shrinkToFit="0" vertical="center" wrapText="1"/>
    </xf>
    <xf borderId="3" fillId="0" fontId="3" numFmtId="0" xfId="0" applyAlignment="1" applyBorder="1" applyFont="1">
      <alignment horizontal="center" readingOrder="0" shrinkToFit="0" vertical="center" wrapText="1"/>
    </xf>
    <xf borderId="4" fillId="0" fontId="1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12" numFmtId="0" xfId="0" applyAlignment="1" applyFont="1">
      <alignment horizontal="center" shrinkToFit="0" vertical="center" wrapText="1"/>
    </xf>
    <xf borderId="0" fillId="0" fontId="12" numFmtId="0" xfId="0" applyAlignment="1" applyFont="1">
      <alignment horizontal="left" shrinkToFit="0" vertical="center" wrapText="1"/>
    </xf>
    <xf borderId="0" fillId="0" fontId="3" numFmtId="0" xfId="0" applyAlignment="1" applyFont="1">
      <alignment horizontal="center" shrinkToFit="0" vertical="center" wrapText="1"/>
    </xf>
    <xf borderId="1" fillId="0" fontId="10" numFmtId="0" xfId="0" applyAlignment="1" applyBorder="1" applyFont="1">
      <alignment horizontal="left" readingOrder="0" shrinkToFit="0" vertical="center" wrapText="1"/>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1" fillId="0" fontId="10" numFmtId="0" xfId="0" applyAlignment="1" applyBorder="1" applyFont="1">
      <alignment horizontal="left" shrinkToFit="0" vertical="center" wrapText="1"/>
    </xf>
    <xf borderId="1" fillId="0" fontId="15" numFmtId="0" xfId="0" applyAlignment="1" applyBorder="1" applyFont="1">
      <alignment horizontal="center" shrinkToFit="0" vertical="center" wrapText="1"/>
    </xf>
    <xf borderId="0" fillId="0" fontId="3" numFmtId="0" xfId="0" applyAlignment="1" applyFont="1">
      <alignment vertical="bottom"/>
    </xf>
    <xf borderId="1" fillId="0" fontId="1"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6" numFmtId="0" xfId="0" applyAlignment="1" applyBorder="1" applyFont="1">
      <alignment horizontal="center" shrinkToFit="0" wrapText="1"/>
    </xf>
    <xf borderId="1" fillId="0" fontId="3" numFmtId="0" xfId="0" applyAlignment="1" applyBorder="1" applyFont="1">
      <alignment horizontal="center" readingOrder="0" vertical="bottom"/>
    </xf>
    <xf borderId="1" fillId="0" fontId="3" numFmtId="0" xfId="0" applyAlignment="1" applyBorder="1" applyFont="1">
      <alignment horizontal="center" shrinkToFit="0" wrapText="1"/>
    </xf>
    <xf borderId="1" fillId="0" fontId="3" numFmtId="0" xfId="0" applyAlignment="1" applyBorder="1" applyFont="1">
      <alignment horizontal="center"/>
    </xf>
    <xf borderId="1" fillId="0" fontId="17" numFmtId="0" xfId="0" applyAlignment="1" applyBorder="1" applyFont="1">
      <alignment horizontal="center" readingOrder="0" shrinkToFit="0" vertical="bottom" wrapText="1"/>
    </xf>
    <xf borderId="1" fillId="0" fontId="3" numFmtId="0" xfId="0" applyAlignment="1" applyBorder="1" applyFont="1">
      <alignment vertical="bottom"/>
    </xf>
    <xf borderId="1" fillId="0" fontId="1" numFmtId="0" xfId="0" applyAlignment="1" applyBorder="1" applyFont="1">
      <alignment horizontal="right" vertical="bottom"/>
    </xf>
    <xf borderId="1" fillId="0" fontId="18" numFmtId="0" xfId="0" applyAlignment="1" applyBorder="1" applyFont="1">
      <alignment horizontal="right" vertical="bottom"/>
    </xf>
    <xf borderId="1" fillId="0" fontId="3" numFmtId="0" xfId="0" applyAlignment="1" applyBorder="1" applyFont="1">
      <alignment horizontal="center" vertical="bottom"/>
    </xf>
    <xf borderId="2" fillId="5" fontId="8" numFmtId="0" xfId="0" applyAlignment="1" applyBorder="1" applyFill="1" applyFont="1">
      <alignment horizontal="center" shrinkToFit="0" vertical="center" wrapText="1"/>
    </xf>
    <xf borderId="2" fillId="5" fontId="9" numFmtId="0" xfId="0" applyAlignment="1" applyBorder="1" applyFont="1">
      <alignment horizontal="center" shrinkToFit="0" vertical="center" wrapText="1"/>
    </xf>
    <xf borderId="2" fillId="5" fontId="9"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2" fillId="5" fontId="8" numFmtId="0" xfId="0" applyAlignment="1" applyBorder="1" applyFont="1">
      <alignment horizontal="center" shrinkToFit="0" vertical="center" wrapText="1"/>
    </xf>
    <xf borderId="2" fillId="5" fontId="8"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19"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6" fontId="21" numFmtId="0" xfId="0" applyAlignment="1" applyBorder="1" applyFill="1" applyFont="1">
      <alignment horizontal="center" shrinkToFit="0" vertical="center" wrapText="1"/>
    </xf>
    <xf borderId="1" fillId="0" fontId="21" numFmtId="0" xfId="0" applyAlignment="1" applyBorder="1" applyFont="1">
      <alignment horizontal="center" shrinkToFit="0" vertical="center" wrapText="1"/>
    </xf>
    <xf borderId="1" fillId="0" fontId="12" numFmtId="0" xfId="0" applyAlignment="1" applyBorder="1" applyFont="1">
      <alignment horizontal="center" readingOrder="0"/>
    </xf>
    <xf borderId="1" fillId="7" fontId="21" numFmtId="0" xfId="0" applyAlignment="1" applyBorder="1" applyFill="1" applyFont="1">
      <alignment horizontal="center" shrinkToFit="0" vertical="center" wrapText="1"/>
    </xf>
    <xf borderId="1" fillId="8" fontId="21" numFmtId="0" xfId="0" applyAlignment="1" applyBorder="1" applyFill="1" applyFont="1">
      <alignment horizontal="center" shrinkToFit="0" vertical="center" wrapText="1"/>
    </xf>
    <xf borderId="1" fillId="0" fontId="3" numFmtId="0" xfId="0" applyBorder="1" applyFont="1"/>
    <xf borderId="0" fillId="0" fontId="21" numFmtId="0" xfId="0" applyFont="1"/>
    <xf borderId="1" fillId="0" fontId="18" numFmtId="0" xfId="0" applyAlignment="1" applyBorder="1" applyFont="1">
      <alignment horizontal="center" shrinkToFit="0" wrapText="1"/>
    </xf>
    <xf borderId="1" fillId="0" fontId="21" numFmtId="0" xfId="0" applyAlignment="1" applyBorder="1" applyFont="1">
      <alignment horizontal="center" shrinkToFit="0" wrapText="1"/>
    </xf>
    <xf borderId="0" fillId="0" fontId="7" numFmtId="0" xfId="0" applyAlignment="1" applyFont="1">
      <alignment horizontal="center" readingOrder="0" shrinkToFit="0" vertical="center" wrapText="1"/>
    </xf>
    <xf borderId="2" fillId="9" fontId="9" numFmtId="0" xfId="0" applyAlignment="1" applyBorder="1" applyFill="1" applyFont="1">
      <alignment horizontal="center" shrinkToFit="0" vertical="center" wrapText="1"/>
    </xf>
    <xf borderId="2" fillId="9" fontId="9" numFmtId="0" xfId="0" applyAlignment="1" applyBorder="1" applyFont="1">
      <alignment horizontal="center" readingOrder="0" shrinkToFit="0" vertical="center" wrapText="1"/>
    </xf>
    <xf borderId="5" fillId="0" fontId="12" numFmtId="0" xfId="0" applyAlignment="1" applyBorder="1" applyFont="1">
      <alignment horizontal="center" readingOrder="0" shrinkToFit="0" vertical="center" wrapText="1"/>
    </xf>
    <xf borderId="3" fillId="0" fontId="12" numFmtId="0" xfId="0" applyAlignment="1" applyBorder="1" applyFont="1">
      <alignment horizontal="center" shrinkToFit="0" vertical="center" wrapText="1"/>
    </xf>
    <xf borderId="3" fillId="0" fontId="22" numFmtId="0" xfId="0" applyAlignment="1" applyBorder="1" applyFont="1">
      <alignment horizontal="center" shrinkToFit="0" vertical="center" wrapText="1"/>
    </xf>
    <xf borderId="3" fillId="0" fontId="12"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0" fillId="0" fontId="12" numFmtId="0" xfId="0" applyAlignment="1" applyFont="1">
      <alignment horizontal="center" readingOrder="0" shrinkToFit="0" vertical="center"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3676650"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Pzmk-rsMSziwQHbxv0NGcOn4iCjF-KUa/view?usp=sharing" TargetMode="External"/><Relationship Id="rId11" Type="http://schemas.openxmlformats.org/officeDocument/2006/relationships/hyperlink" Target="https://drive.google.com/file/d/1RKLJh4lpCk_AcJhDmOZbbI1uqC3v76uu/view?usp=sharing" TargetMode="External"/><Relationship Id="rId10" Type="http://schemas.openxmlformats.org/officeDocument/2006/relationships/hyperlink" Target="https://drive.google.com/file/d/1CeZydLlntSCrYVZ9NfOHp-k7omK4WT-E/view?usp=sharing" TargetMode="External"/><Relationship Id="rId21" Type="http://schemas.openxmlformats.org/officeDocument/2006/relationships/drawing" Target="../drawings/drawing1.xml"/><Relationship Id="rId13" Type="http://schemas.openxmlformats.org/officeDocument/2006/relationships/hyperlink" Target="https://drive.google.com/file/d/1YsR2gKIDy1z2IVYH8HtxrXi7YE4RtpAg/view?usp=sharing" TargetMode="External"/><Relationship Id="rId12" Type="http://schemas.openxmlformats.org/officeDocument/2006/relationships/hyperlink" Target="https://drive.google.com/file/d/1JpJiTSW7u8QU8zsB9yZWeY3n459XHfLT/view?usp=sharing" TargetMode="External"/><Relationship Id="rId1" Type="http://schemas.openxmlformats.org/officeDocument/2006/relationships/hyperlink" Target="https://drive.google.com/file/d/1LujCPLSIESs8zR_Pv_Shb0_Pn08_8ZQU/view?usp=sharing" TargetMode="External"/><Relationship Id="rId2" Type="http://schemas.openxmlformats.org/officeDocument/2006/relationships/hyperlink" Target="https://drive.google.com/file/d/13EnsKIAKz6Ke7c6wTGn-CPrxiadlFdOA/view?usp=sharing" TargetMode="External"/><Relationship Id="rId3" Type="http://schemas.openxmlformats.org/officeDocument/2006/relationships/hyperlink" Target="https://drive.google.com/file/d/1xL2c3pn1G8xT_6Z0JFxxNntRtUsQAYUJ/view?usp=sharing" TargetMode="External"/><Relationship Id="rId4" Type="http://schemas.openxmlformats.org/officeDocument/2006/relationships/hyperlink" Target="https://drive.google.com/file/d/1CbXMzJ6F3En55oBnSl5O3dAIalnstDhi/view?usp=sharing" TargetMode="External"/><Relationship Id="rId9" Type="http://schemas.openxmlformats.org/officeDocument/2006/relationships/hyperlink" Target="https://drive.google.com/file/d/1-w8XaFBtnbRP2iTB_obUI4mQDYSOUgXy/view?usp=sharing" TargetMode="External"/><Relationship Id="rId15" Type="http://schemas.openxmlformats.org/officeDocument/2006/relationships/hyperlink" Target="https://drive.google.com/file/d/1MPAIZ8cBcX1Nnzgrq1C4nVXqM1rBYmlP/view?usp=sharing" TargetMode="External"/><Relationship Id="rId14" Type="http://schemas.openxmlformats.org/officeDocument/2006/relationships/hyperlink" Target="https://drive.google.com/file/d/1ZHBFX59vVcmuSHglQ6eXEln4bla9HS7p/view?usp=drive_link" TargetMode="External"/><Relationship Id="rId17" Type="http://schemas.openxmlformats.org/officeDocument/2006/relationships/hyperlink" Target="https://drive.google.com/file/d/1L5ntGWbiD4cTc0ajF4nmocF7wljdlaU_/view?usp=sharing" TargetMode="External"/><Relationship Id="rId16" Type="http://schemas.openxmlformats.org/officeDocument/2006/relationships/hyperlink" Target="https://drive.google.com/file/d/1rA7EzitvQp2RqzZg6ffhqotkVCutFdbx/view?usp=sharing" TargetMode="External"/><Relationship Id="rId5" Type="http://schemas.openxmlformats.org/officeDocument/2006/relationships/hyperlink" Target="https://drive.google.com/file/d/1H8GtMBigP4hqcLjL9ehnBcalhLoCZ0Yu/view?usp=sharing" TargetMode="External"/><Relationship Id="rId19" Type="http://schemas.openxmlformats.org/officeDocument/2006/relationships/hyperlink" Target="https://drive.google.com/file/d/1iRpxEN7ZOxdxbPuaj2CATI-TYEHUHlhN/view?usp=drive_link" TargetMode="External"/><Relationship Id="rId6" Type="http://schemas.openxmlformats.org/officeDocument/2006/relationships/hyperlink" Target="https://drive.google.com/file/d/17SJG7kalc29keD4Z-LncPvaZTyaY3SLl/view?usp=sharing" TargetMode="External"/><Relationship Id="rId18" Type="http://schemas.openxmlformats.org/officeDocument/2006/relationships/hyperlink" Target="https://drive.google.com/file/d/1cCWuch1UBt3ZfvwZdpeb36YqtRvcDhSH/view?usp=drive_link" TargetMode="External"/><Relationship Id="rId7" Type="http://schemas.openxmlformats.org/officeDocument/2006/relationships/hyperlink" Target="https://drive.google.com/file/d/1NTVUcoCx7YtszqbZLz26yGdMuxsYqZ9J/view?usp=drive_link" TargetMode="External"/><Relationship Id="rId8" Type="http://schemas.openxmlformats.org/officeDocument/2006/relationships/hyperlink" Target="https://drive.google.com/file/d/1gTBHRxu7G3CL8RY4GAmkF8xpFYmEfUDC/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gTBHRxu7G3CL8RY4GAmkF8xpFYmEfUDC/view?usp=sharing" TargetMode="External"/><Relationship Id="rId11" Type="http://schemas.openxmlformats.org/officeDocument/2006/relationships/hyperlink" Target="https://drive.google.com/file/d/1Pzmk-rsMSziwQHbxv0NGcOn4iCjF-KUa/view?usp=sharing" TargetMode="External"/><Relationship Id="rId10" Type="http://schemas.openxmlformats.org/officeDocument/2006/relationships/hyperlink" Target="https://drive.google.com/file/d/1iRpxEN7ZOxdxbPuaj2CATI-TYEHUHlhN/view?usp=drive_link" TargetMode="External"/><Relationship Id="rId21" Type="http://schemas.openxmlformats.org/officeDocument/2006/relationships/drawing" Target="../drawings/drawing4.xml"/><Relationship Id="rId13" Type="http://schemas.openxmlformats.org/officeDocument/2006/relationships/hyperlink" Target="https://drive.google.com/file/d/1H8GtMBigP4hqcLjL9ehnBcalhLoCZ0Yu/view?usp=sharing" TargetMode="External"/><Relationship Id="rId12" Type="http://schemas.openxmlformats.org/officeDocument/2006/relationships/hyperlink" Target="https://drive.google.com/file/d/1CbXMzJ6F3En55oBnSl5O3dAIalnstDhi/view?usp=sharing" TargetMode="External"/><Relationship Id="rId1" Type="http://schemas.openxmlformats.org/officeDocument/2006/relationships/hyperlink" Target="https://drive.google.com/file/d/17SJG7kalc29keD4Z-LncPvaZTyaY3SLl/view?usp=sharing" TargetMode="External"/><Relationship Id="rId2" Type="http://schemas.openxmlformats.org/officeDocument/2006/relationships/hyperlink" Target="https://drive.google.com/file/d/1NTVUcoCx7YtszqbZLz26yGdMuxsYqZ9J/view?usp=drive_link" TargetMode="External"/><Relationship Id="rId3" Type="http://schemas.openxmlformats.org/officeDocument/2006/relationships/hyperlink" Target="https://drive.google.com/file/d/1JpJiTSW7u8QU8zsB9yZWeY3n459XHfLT/view?usp=sharing" TargetMode="External"/><Relationship Id="rId4" Type="http://schemas.openxmlformats.org/officeDocument/2006/relationships/hyperlink" Target="https://drive.google.com/file/d/1YsR2gKIDy1z2IVYH8HtxrXi7YE4RtpAg/view?usp=sharing" TargetMode="External"/><Relationship Id="rId9" Type="http://schemas.openxmlformats.org/officeDocument/2006/relationships/hyperlink" Target="https://drive.google.com/file/d/1cCWuch1UBt3ZfvwZdpeb36YqtRvcDhSH/view?usp=drive_link" TargetMode="External"/><Relationship Id="rId15" Type="http://schemas.openxmlformats.org/officeDocument/2006/relationships/hyperlink" Target="https://drive.google.com/file/d/13EnsKIAKz6Ke7c6wTGn-CPrxiadlFdOA/view?usp=sharing" TargetMode="External"/><Relationship Id="rId14" Type="http://schemas.openxmlformats.org/officeDocument/2006/relationships/hyperlink" Target="https://drive.google.com/file/d/1-w8XaFBtnbRP2iTB_obUI4mQDYSOUgXy/view?usp=sharing" TargetMode="External"/><Relationship Id="rId17" Type="http://schemas.openxmlformats.org/officeDocument/2006/relationships/hyperlink" Target="https://drive.google.com/file/d/1CeZydLlntSCrYVZ9NfOHp-k7omK4WT-E/view?usp=sharing" TargetMode="External"/><Relationship Id="rId16" Type="http://schemas.openxmlformats.org/officeDocument/2006/relationships/hyperlink" Target="https://drive.google.com/file/d/1xL2c3pn1G8xT_6Z0JFxxNntRtUsQAYUJ/view?usp=sharing" TargetMode="External"/><Relationship Id="rId5" Type="http://schemas.openxmlformats.org/officeDocument/2006/relationships/hyperlink" Target="https://drive.google.com/file/d/1ZHBFX59vVcmuSHglQ6eXEln4bla9HS7p/view?usp=drive_link" TargetMode="External"/><Relationship Id="rId19" Type="http://schemas.openxmlformats.org/officeDocument/2006/relationships/hyperlink" Target="https://drive.google.com/file/d/1LujCPLSIESs8zR_Pv_Shb0_Pn08_8ZQU/view?usp=sharing" TargetMode="External"/><Relationship Id="rId6" Type="http://schemas.openxmlformats.org/officeDocument/2006/relationships/hyperlink" Target="https://drive.google.com/file/d/1MPAIZ8cBcX1Nnzgrq1C4nVXqM1rBYmlP/view?usp=sharing" TargetMode="External"/><Relationship Id="rId18" Type="http://schemas.openxmlformats.org/officeDocument/2006/relationships/hyperlink" Target="https://drive.google.com/file/d/1RKLJh4lpCk_AcJhDmOZbbI1uqC3v76uu/view?usp=sharing" TargetMode="External"/><Relationship Id="rId7" Type="http://schemas.openxmlformats.org/officeDocument/2006/relationships/hyperlink" Target="https://drive.google.com/file/d/1rA7EzitvQp2RqzZg6ffhqotkVCutFdbx/view?usp=sharing" TargetMode="External"/><Relationship Id="rId8" Type="http://schemas.openxmlformats.org/officeDocument/2006/relationships/hyperlink" Target="https://drive.google.com/file/d/1L5ntGWbiD4cTc0ajF4nmocF7wljdlaU_/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1.25"/>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6.63"/>
    <col customWidth="1" min="15" max="15" width="15.88"/>
  </cols>
  <sheetData>
    <row r="1">
      <c r="A1" s="1" t="s">
        <v>0</v>
      </c>
      <c r="B1" s="2" t="s">
        <v>1</v>
      </c>
      <c r="C1" s="3"/>
      <c r="D1" s="3"/>
      <c r="E1" s="3"/>
      <c r="F1" s="3"/>
      <c r="G1" s="3"/>
      <c r="H1" s="3"/>
      <c r="I1" s="3"/>
      <c r="J1" s="3"/>
      <c r="K1" s="3"/>
      <c r="L1" s="3"/>
      <c r="M1" s="3"/>
    </row>
    <row r="2">
      <c r="A2" s="1" t="s">
        <v>2</v>
      </c>
      <c r="B2" s="4" t="s">
        <v>3</v>
      </c>
      <c r="C2" s="3"/>
      <c r="D2" s="3"/>
      <c r="E2" s="3"/>
      <c r="F2" s="3"/>
      <c r="G2" s="3"/>
      <c r="H2" s="3"/>
      <c r="I2" s="3"/>
      <c r="J2" s="3"/>
      <c r="K2" s="3"/>
      <c r="L2" s="3"/>
      <c r="M2" s="3"/>
    </row>
    <row r="3">
      <c r="A3" s="1" t="s">
        <v>4</v>
      </c>
      <c r="B3" s="5" t="s">
        <v>5</v>
      </c>
      <c r="C3" s="3"/>
      <c r="D3" s="3"/>
      <c r="E3" s="3"/>
      <c r="F3" s="3"/>
      <c r="G3" s="3"/>
      <c r="H3" s="3"/>
      <c r="I3" s="3"/>
      <c r="J3" s="3"/>
      <c r="K3" s="3"/>
      <c r="L3" s="3"/>
      <c r="M3" s="3"/>
    </row>
    <row r="4">
      <c r="A4" s="1" t="s">
        <v>6</v>
      </c>
      <c r="B4" s="6" t="s">
        <v>7</v>
      </c>
      <c r="C4" s="3"/>
      <c r="D4" s="3"/>
      <c r="E4" s="3"/>
      <c r="F4" s="3"/>
      <c r="G4" s="3"/>
      <c r="H4" s="3"/>
      <c r="I4" s="3"/>
      <c r="J4" s="3"/>
      <c r="K4" s="3"/>
      <c r="L4" s="3"/>
      <c r="M4" s="3"/>
      <c r="N4" s="7"/>
      <c r="O4" s="7"/>
    </row>
    <row r="5">
      <c r="A5" s="8" t="s">
        <v>8</v>
      </c>
      <c r="B5" s="9" t="s">
        <v>9</v>
      </c>
      <c r="C5" s="3"/>
      <c r="D5" s="3"/>
      <c r="E5" s="3"/>
      <c r="F5" s="3"/>
      <c r="G5" s="3"/>
      <c r="H5" s="3"/>
      <c r="I5" s="3"/>
      <c r="J5" s="3"/>
      <c r="K5" s="3"/>
      <c r="L5" s="3"/>
      <c r="M5" s="3"/>
      <c r="N5" s="10" t="s">
        <v>10</v>
      </c>
      <c r="O5" s="10" t="s">
        <v>11</v>
      </c>
    </row>
    <row r="6">
      <c r="A6" s="3"/>
      <c r="B6" s="3"/>
      <c r="C6" s="3"/>
      <c r="D6" s="3"/>
      <c r="E6" s="3"/>
      <c r="F6" s="3"/>
      <c r="G6" s="3"/>
      <c r="H6" s="3"/>
      <c r="I6" s="3"/>
      <c r="J6" s="3"/>
      <c r="K6" s="3"/>
      <c r="L6" s="3"/>
      <c r="M6" s="3"/>
    </row>
    <row r="7">
      <c r="A7" s="11" t="s">
        <v>12</v>
      </c>
      <c r="B7" s="11" t="s">
        <v>13</v>
      </c>
      <c r="C7" s="11" t="s">
        <v>14</v>
      </c>
      <c r="D7" s="11" t="s">
        <v>15</v>
      </c>
      <c r="E7" s="11" t="s">
        <v>16</v>
      </c>
      <c r="F7" s="11" t="s">
        <v>17</v>
      </c>
      <c r="G7" s="11" t="s">
        <v>18</v>
      </c>
      <c r="H7" s="11" t="s">
        <v>19</v>
      </c>
      <c r="I7" s="11" t="s">
        <v>20</v>
      </c>
      <c r="J7" s="11" t="s">
        <v>21</v>
      </c>
      <c r="K7" s="11" t="s">
        <v>22</v>
      </c>
      <c r="L7" s="11" t="s">
        <v>23</v>
      </c>
      <c r="M7" s="11" t="s">
        <v>24</v>
      </c>
      <c r="N7" s="12" t="s">
        <v>25</v>
      </c>
      <c r="O7" s="12" t="s">
        <v>26</v>
      </c>
      <c r="P7" s="13" t="s">
        <v>27</v>
      </c>
    </row>
    <row r="8">
      <c r="A8" s="14" t="s">
        <v>28</v>
      </c>
      <c r="B8" s="15" t="s">
        <v>29</v>
      </c>
      <c r="C8" s="15" t="s">
        <v>29</v>
      </c>
      <c r="D8" s="14" t="s">
        <v>30</v>
      </c>
      <c r="E8" s="14" t="s">
        <v>31</v>
      </c>
      <c r="F8" s="16" t="s">
        <v>32</v>
      </c>
      <c r="G8" s="17" t="s">
        <v>33</v>
      </c>
      <c r="H8" s="14" t="s">
        <v>34</v>
      </c>
      <c r="I8" s="14" t="s">
        <v>35</v>
      </c>
      <c r="J8" s="14" t="s">
        <v>36</v>
      </c>
      <c r="K8" s="14" t="s">
        <v>37</v>
      </c>
      <c r="L8" s="18" t="s">
        <v>38</v>
      </c>
      <c r="M8" s="17"/>
      <c r="N8" s="17" t="s">
        <v>39</v>
      </c>
      <c r="O8" s="17" t="s">
        <v>40</v>
      </c>
      <c r="P8" s="19" t="s">
        <v>41</v>
      </c>
      <c r="Q8" s="20"/>
    </row>
    <row r="9">
      <c r="A9" s="21"/>
      <c r="B9" s="21"/>
      <c r="C9" s="21"/>
      <c r="D9" s="21"/>
      <c r="E9" s="21"/>
      <c r="F9" s="22"/>
      <c r="G9" s="21"/>
      <c r="H9" s="21"/>
      <c r="I9" s="21"/>
      <c r="J9" s="21"/>
      <c r="K9" s="21"/>
      <c r="L9" s="21"/>
      <c r="M9" s="21"/>
      <c r="N9" s="23"/>
      <c r="O9" s="23"/>
      <c r="P9" s="21"/>
      <c r="Q9" s="21"/>
    </row>
    <row r="10">
      <c r="A10" s="15" t="s">
        <v>42</v>
      </c>
      <c r="B10" s="15" t="s">
        <v>43</v>
      </c>
      <c r="C10" s="15" t="s">
        <v>43</v>
      </c>
      <c r="D10" s="15" t="s">
        <v>44</v>
      </c>
      <c r="E10" s="15" t="s">
        <v>31</v>
      </c>
      <c r="F10" s="24" t="s">
        <v>45</v>
      </c>
      <c r="G10" s="19" t="s">
        <v>33</v>
      </c>
      <c r="H10" s="15" t="s">
        <v>46</v>
      </c>
      <c r="I10" s="15" t="s">
        <v>47</v>
      </c>
      <c r="J10" s="15" t="s">
        <v>36</v>
      </c>
      <c r="K10" s="15" t="s">
        <v>37</v>
      </c>
      <c r="L10" s="25" t="s">
        <v>48</v>
      </c>
      <c r="M10" s="19"/>
      <c r="N10" s="19" t="s">
        <v>39</v>
      </c>
      <c r="O10" s="19" t="s">
        <v>40</v>
      </c>
      <c r="P10" s="19"/>
      <c r="Q10" s="20"/>
    </row>
    <row r="11">
      <c r="A11" s="21"/>
      <c r="B11" s="21"/>
      <c r="C11" s="21"/>
      <c r="D11" s="21"/>
      <c r="E11" s="21"/>
      <c r="F11" s="22"/>
      <c r="G11" s="21"/>
      <c r="H11" s="21"/>
      <c r="I11" s="21"/>
      <c r="J11" s="21"/>
      <c r="K11" s="21"/>
      <c r="L11" s="21"/>
      <c r="M11" s="21"/>
      <c r="N11" s="23"/>
      <c r="O11" s="23"/>
      <c r="P11" s="21"/>
      <c r="Q11" s="21"/>
    </row>
    <row r="12">
      <c r="A12" s="15" t="s">
        <v>49</v>
      </c>
      <c r="B12" s="15" t="s">
        <v>43</v>
      </c>
      <c r="C12" s="15" t="s">
        <v>43</v>
      </c>
      <c r="D12" s="15" t="s">
        <v>50</v>
      </c>
      <c r="E12" s="15" t="s">
        <v>31</v>
      </c>
      <c r="F12" s="24" t="s">
        <v>51</v>
      </c>
      <c r="G12" s="19" t="s">
        <v>52</v>
      </c>
      <c r="H12" s="15" t="s">
        <v>53</v>
      </c>
      <c r="I12" s="15" t="s">
        <v>54</v>
      </c>
      <c r="J12" s="15" t="s">
        <v>36</v>
      </c>
      <c r="K12" s="15" t="s">
        <v>55</v>
      </c>
      <c r="L12" s="26" t="s">
        <v>56</v>
      </c>
      <c r="M12" s="19"/>
      <c r="N12" s="19" t="s">
        <v>39</v>
      </c>
      <c r="O12" s="19" t="s">
        <v>57</v>
      </c>
      <c r="P12" s="19" t="s">
        <v>39</v>
      </c>
      <c r="Q12" s="20"/>
    </row>
    <row r="13">
      <c r="A13" s="21"/>
      <c r="B13" s="21"/>
      <c r="C13" s="21"/>
      <c r="D13" s="21"/>
      <c r="E13" s="21"/>
      <c r="F13" s="22"/>
      <c r="G13" s="21"/>
      <c r="H13" s="21"/>
      <c r="I13" s="21"/>
      <c r="J13" s="21"/>
      <c r="K13" s="21"/>
      <c r="L13" s="21"/>
      <c r="M13" s="21"/>
      <c r="N13" s="23"/>
      <c r="O13" s="23"/>
      <c r="P13" s="21"/>
      <c r="Q13" s="21"/>
    </row>
    <row r="14">
      <c r="A14" s="15" t="s">
        <v>58</v>
      </c>
      <c r="B14" s="15" t="s">
        <v>59</v>
      </c>
      <c r="C14" s="15" t="s">
        <v>59</v>
      </c>
      <c r="D14" s="15" t="s">
        <v>60</v>
      </c>
      <c r="E14" s="15" t="s">
        <v>31</v>
      </c>
      <c r="F14" s="24" t="s">
        <v>61</v>
      </c>
      <c r="G14" s="19" t="s">
        <v>52</v>
      </c>
      <c r="H14" s="15" t="s">
        <v>62</v>
      </c>
      <c r="I14" s="15" t="s">
        <v>63</v>
      </c>
      <c r="J14" s="15" t="s">
        <v>36</v>
      </c>
      <c r="K14" s="15" t="s">
        <v>64</v>
      </c>
      <c r="L14" s="25" t="s">
        <v>65</v>
      </c>
      <c r="M14" s="27"/>
      <c r="N14" s="19" t="s">
        <v>39</v>
      </c>
      <c r="O14" s="19" t="s">
        <v>40</v>
      </c>
      <c r="P14" s="19"/>
      <c r="Q14" s="20"/>
    </row>
    <row r="15">
      <c r="A15" s="21"/>
      <c r="B15" s="21"/>
      <c r="C15" s="21"/>
      <c r="D15" s="21"/>
      <c r="E15" s="21"/>
      <c r="F15" s="22"/>
      <c r="G15" s="21"/>
      <c r="H15" s="21"/>
      <c r="I15" s="21"/>
      <c r="J15" s="21"/>
      <c r="K15" s="21"/>
      <c r="L15" s="21"/>
      <c r="M15" s="21"/>
      <c r="N15" s="23"/>
      <c r="O15" s="23"/>
      <c r="P15" s="21"/>
      <c r="Q15" s="21"/>
    </row>
    <row r="16">
      <c r="A16" s="15" t="s">
        <v>66</v>
      </c>
      <c r="B16" s="15" t="s">
        <v>59</v>
      </c>
      <c r="C16" s="15" t="s">
        <v>59</v>
      </c>
      <c r="D16" s="15" t="s">
        <v>67</v>
      </c>
      <c r="E16" s="15" t="s">
        <v>31</v>
      </c>
      <c r="F16" s="24" t="s">
        <v>68</v>
      </c>
      <c r="G16" s="19" t="s">
        <v>52</v>
      </c>
      <c r="H16" s="15" t="s">
        <v>69</v>
      </c>
      <c r="I16" s="15" t="s">
        <v>70</v>
      </c>
      <c r="J16" s="15" t="s">
        <v>36</v>
      </c>
      <c r="K16" s="15" t="s">
        <v>64</v>
      </c>
      <c r="L16" s="25" t="s">
        <v>71</v>
      </c>
      <c r="M16" s="28"/>
      <c r="N16" s="19" t="s">
        <v>39</v>
      </c>
      <c r="O16" s="19" t="s">
        <v>40</v>
      </c>
      <c r="P16" s="19"/>
      <c r="Q16" s="20"/>
    </row>
    <row r="17">
      <c r="A17" s="21"/>
      <c r="B17" s="21"/>
      <c r="C17" s="21"/>
      <c r="D17" s="21"/>
      <c r="E17" s="21"/>
      <c r="F17" s="22"/>
      <c r="G17" s="21"/>
      <c r="H17" s="21"/>
      <c r="I17" s="21"/>
      <c r="J17" s="21"/>
      <c r="K17" s="21"/>
      <c r="L17" s="21"/>
      <c r="M17" s="21"/>
      <c r="N17" s="23"/>
      <c r="O17" s="23"/>
      <c r="P17" s="21"/>
      <c r="Q17" s="21"/>
    </row>
    <row r="18">
      <c r="A18" s="15" t="s">
        <v>72</v>
      </c>
      <c r="B18" s="15" t="s">
        <v>73</v>
      </c>
      <c r="C18" s="15" t="s">
        <v>73</v>
      </c>
      <c r="D18" s="15" t="s">
        <v>74</v>
      </c>
      <c r="E18" s="15" t="s">
        <v>31</v>
      </c>
      <c r="F18" s="24" t="s">
        <v>75</v>
      </c>
      <c r="G18" s="19" t="s">
        <v>52</v>
      </c>
      <c r="H18" s="15" t="s">
        <v>76</v>
      </c>
      <c r="I18" s="15" t="s">
        <v>77</v>
      </c>
      <c r="J18" s="15" t="s">
        <v>36</v>
      </c>
      <c r="K18" s="15" t="s">
        <v>64</v>
      </c>
      <c r="L18" s="25" t="s">
        <v>78</v>
      </c>
      <c r="M18" s="29"/>
      <c r="N18" s="19" t="s">
        <v>39</v>
      </c>
      <c r="O18" s="19" t="s">
        <v>40</v>
      </c>
      <c r="P18" s="19"/>
      <c r="Q18" s="20"/>
    </row>
    <row r="19">
      <c r="A19" s="21"/>
      <c r="B19" s="21"/>
      <c r="C19" s="21"/>
      <c r="D19" s="21"/>
      <c r="E19" s="21"/>
      <c r="F19" s="22"/>
      <c r="G19" s="21"/>
      <c r="H19" s="21"/>
      <c r="I19" s="21"/>
      <c r="J19" s="21"/>
      <c r="K19" s="21"/>
      <c r="L19" s="21"/>
      <c r="M19" s="21"/>
      <c r="N19" s="23"/>
      <c r="O19" s="23"/>
      <c r="P19" s="21"/>
      <c r="Q19" s="21"/>
    </row>
    <row r="20">
      <c r="A20" s="15" t="s">
        <v>79</v>
      </c>
      <c r="B20" s="15" t="s">
        <v>73</v>
      </c>
      <c r="C20" s="15" t="s">
        <v>73</v>
      </c>
      <c r="D20" s="15" t="s">
        <v>80</v>
      </c>
      <c r="E20" s="15" t="s">
        <v>31</v>
      </c>
      <c r="F20" s="24" t="s">
        <v>75</v>
      </c>
      <c r="G20" s="19" t="s">
        <v>52</v>
      </c>
      <c r="H20" s="15" t="s">
        <v>81</v>
      </c>
      <c r="I20" s="15" t="s">
        <v>82</v>
      </c>
      <c r="J20" s="15" t="s">
        <v>36</v>
      </c>
      <c r="K20" s="15" t="s">
        <v>37</v>
      </c>
      <c r="L20" s="25" t="s">
        <v>83</v>
      </c>
      <c r="M20" s="29"/>
      <c r="N20" s="19" t="s">
        <v>84</v>
      </c>
      <c r="O20" s="19" t="s">
        <v>40</v>
      </c>
      <c r="P20" s="19" t="s">
        <v>85</v>
      </c>
      <c r="Q20" s="20"/>
    </row>
    <row r="21">
      <c r="A21" s="21"/>
      <c r="B21" s="21"/>
      <c r="C21" s="21"/>
      <c r="D21" s="21"/>
      <c r="E21" s="21"/>
      <c r="F21" s="22"/>
      <c r="G21" s="21"/>
      <c r="H21" s="21"/>
      <c r="I21" s="21"/>
      <c r="J21" s="21"/>
      <c r="K21" s="21"/>
      <c r="L21" s="21"/>
      <c r="M21" s="21"/>
      <c r="N21" s="23"/>
      <c r="O21" s="23"/>
      <c r="P21" s="21"/>
      <c r="Q21" s="21"/>
    </row>
    <row r="22">
      <c r="A22" s="15" t="s">
        <v>86</v>
      </c>
      <c r="B22" s="15" t="s">
        <v>29</v>
      </c>
      <c r="C22" s="15" t="s">
        <v>29</v>
      </c>
      <c r="D22" s="15" t="s">
        <v>87</v>
      </c>
      <c r="E22" s="15" t="s">
        <v>31</v>
      </c>
      <c r="F22" s="24" t="s">
        <v>45</v>
      </c>
      <c r="G22" s="19" t="s">
        <v>33</v>
      </c>
      <c r="H22" s="15" t="s">
        <v>88</v>
      </c>
      <c r="I22" s="15" t="s">
        <v>89</v>
      </c>
      <c r="J22" s="15" t="s">
        <v>36</v>
      </c>
      <c r="K22" s="15" t="s">
        <v>64</v>
      </c>
      <c r="L22" s="25" t="s">
        <v>90</v>
      </c>
      <c r="M22" s="29"/>
      <c r="N22" s="29"/>
      <c r="O22" s="29"/>
      <c r="P22" s="19"/>
      <c r="Q22" s="20"/>
    </row>
    <row r="23">
      <c r="A23" s="21"/>
      <c r="B23" s="21"/>
      <c r="C23" s="21"/>
      <c r="D23" s="21"/>
      <c r="E23" s="21"/>
      <c r="F23" s="22"/>
      <c r="G23" s="21"/>
      <c r="H23" s="21"/>
      <c r="I23" s="21"/>
      <c r="J23" s="21"/>
      <c r="K23" s="21"/>
      <c r="L23" s="21"/>
      <c r="M23" s="21"/>
      <c r="N23" s="23"/>
      <c r="O23" s="23"/>
      <c r="P23" s="21"/>
      <c r="Q23" s="21"/>
    </row>
    <row r="24">
      <c r="A24" s="15" t="s">
        <v>91</v>
      </c>
      <c r="B24" s="15" t="s">
        <v>92</v>
      </c>
      <c r="C24" s="15" t="s">
        <v>92</v>
      </c>
      <c r="D24" s="15" t="s">
        <v>93</v>
      </c>
      <c r="E24" s="15" t="s">
        <v>31</v>
      </c>
      <c r="F24" s="24" t="s">
        <v>32</v>
      </c>
      <c r="G24" s="19" t="s">
        <v>33</v>
      </c>
      <c r="H24" s="15"/>
      <c r="I24" s="15"/>
      <c r="J24" s="15" t="s">
        <v>36</v>
      </c>
      <c r="K24" s="15" t="s">
        <v>37</v>
      </c>
      <c r="L24" s="25" t="s">
        <v>94</v>
      </c>
      <c r="M24" s="29"/>
      <c r="N24" s="29"/>
      <c r="O24" s="29"/>
      <c r="P24" s="19"/>
      <c r="Q24" s="20"/>
    </row>
    <row r="25">
      <c r="A25" s="21"/>
      <c r="B25" s="21"/>
      <c r="C25" s="21"/>
      <c r="D25" s="21"/>
      <c r="E25" s="21"/>
      <c r="F25" s="22"/>
      <c r="G25" s="21"/>
      <c r="H25" s="21"/>
      <c r="I25" s="21"/>
      <c r="J25" s="21"/>
      <c r="K25" s="21"/>
      <c r="L25" s="21"/>
      <c r="M25" s="21"/>
      <c r="N25" s="23"/>
      <c r="O25" s="23"/>
      <c r="P25" s="21"/>
      <c r="Q25" s="21"/>
    </row>
    <row r="26">
      <c r="A26" s="15" t="s">
        <v>95</v>
      </c>
      <c r="B26" s="15" t="s">
        <v>96</v>
      </c>
      <c r="C26" s="15" t="s">
        <v>96</v>
      </c>
      <c r="D26" s="15" t="s">
        <v>97</v>
      </c>
      <c r="E26" s="15" t="s">
        <v>31</v>
      </c>
      <c r="F26" s="24" t="s">
        <v>98</v>
      </c>
      <c r="G26" s="19" t="s">
        <v>52</v>
      </c>
      <c r="H26" s="15"/>
      <c r="I26" s="15"/>
      <c r="J26" s="15" t="s">
        <v>36</v>
      </c>
      <c r="K26" s="15" t="s">
        <v>64</v>
      </c>
      <c r="L26" s="26" t="s">
        <v>99</v>
      </c>
      <c r="M26" s="29"/>
      <c r="N26" s="29"/>
      <c r="O26" s="29"/>
      <c r="P26" s="19"/>
      <c r="Q26" s="20"/>
    </row>
    <row r="27">
      <c r="A27" s="21"/>
      <c r="B27" s="21"/>
      <c r="C27" s="21"/>
      <c r="D27" s="21"/>
      <c r="E27" s="21"/>
      <c r="F27" s="22"/>
      <c r="G27" s="21"/>
      <c r="H27" s="21"/>
      <c r="I27" s="21"/>
      <c r="J27" s="21"/>
      <c r="K27" s="21"/>
      <c r="L27" s="21"/>
      <c r="M27" s="21"/>
      <c r="N27" s="23"/>
      <c r="O27" s="23"/>
      <c r="P27" s="21"/>
      <c r="Q27" s="21"/>
    </row>
    <row r="28">
      <c r="A28" s="15" t="s">
        <v>100</v>
      </c>
      <c r="B28" s="15" t="s">
        <v>96</v>
      </c>
      <c r="C28" s="15" t="s">
        <v>96</v>
      </c>
      <c r="D28" s="15" t="s">
        <v>101</v>
      </c>
      <c r="E28" s="15" t="s">
        <v>31</v>
      </c>
      <c r="F28" s="24" t="s">
        <v>98</v>
      </c>
      <c r="G28" s="19" t="s">
        <v>52</v>
      </c>
      <c r="H28" s="15"/>
      <c r="I28" s="15"/>
      <c r="J28" s="15" t="s">
        <v>36</v>
      </c>
      <c r="K28" s="15" t="s">
        <v>37</v>
      </c>
      <c r="L28" s="25" t="s">
        <v>102</v>
      </c>
      <c r="M28" s="29"/>
      <c r="N28" s="29"/>
      <c r="O28" s="29"/>
      <c r="P28" s="19"/>
      <c r="Q28" s="20"/>
    </row>
    <row r="29">
      <c r="A29" s="21"/>
      <c r="B29" s="21"/>
      <c r="C29" s="21"/>
      <c r="D29" s="21"/>
      <c r="E29" s="21"/>
      <c r="F29" s="22"/>
      <c r="G29" s="21"/>
      <c r="H29" s="21"/>
      <c r="I29" s="21"/>
      <c r="J29" s="21"/>
      <c r="K29" s="21"/>
      <c r="L29" s="21"/>
      <c r="M29" s="21"/>
      <c r="N29" s="23"/>
      <c r="O29" s="23"/>
      <c r="P29" s="21"/>
      <c r="Q29" s="21"/>
    </row>
    <row r="30">
      <c r="A30" s="15" t="s">
        <v>103</v>
      </c>
      <c r="B30" s="15" t="s">
        <v>73</v>
      </c>
      <c r="C30" s="15" t="s">
        <v>73</v>
      </c>
      <c r="D30" s="15" t="s">
        <v>104</v>
      </c>
      <c r="E30" s="15" t="s">
        <v>31</v>
      </c>
      <c r="F30" s="24" t="s">
        <v>75</v>
      </c>
      <c r="G30" s="19" t="s">
        <v>52</v>
      </c>
      <c r="H30" s="15"/>
      <c r="I30" s="15"/>
      <c r="J30" s="15" t="s">
        <v>36</v>
      </c>
      <c r="K30" s="15" t="s">
        <v>55</v>
      </c>
      <c r="L30" s="25" t="s">
        <v>105</v>
      </c>
      <c r="M30" s="29"/>
      <c r="N30" s="19" t="s">
        <v>39</v>
      </c>
      <c r="O30" s="19" t="s">
        <v>40</v>
      </c>
      <c r="P30" s="19"/>
      <c r="Q30" s="20"/>
    </row>
    <row r="31">
      <c r="A31" s="21"/>
      <c r="B31" s="21"/>
      <c r="C31" s="21"/>
      <c r="D31" s="21"/>
      <c r="E31" s="21"/>
      <c r="F31" s="22"/>
      <c r="G31" s="21"/>
      <c r="H31" s="21"/>
      <c r="I31" s="21"/>
      <c r="J31" s="21"/>
      <c r="K31" s="21"/>
      <c r="L31" s="21"/>
      <c r="M31" s="21"/>
      <c r="N31" s="23"/>
      <c r="O31" s="23"/>
      <c r="P31" s="21"/>
      <c r="Q31" s="21"/>
    </row>
    <row r="32">
      <c r="A32" s="15" t="s">
        <v>106</v>
      </c>
      <c r="B32" s="15" t="s">
        <v>73</v>
      </c>
      <c r="C32" s="15" t="s">
        <v>73</v>
      </c>
      <c r="D32" s="15" t="s">
        <v>107</v>
      </c>
      <c r="E32" s="15" t="s">
        <v>31</v>
      </c>
      <c r="F32" s="24" t="s">
        <v>108</v>
      </c>
      <c r="G32" s="19" t="s">
        <v>52</v>
      </c>
      <c r="H32" s="15"/>
      <c r="I32" s="15"/>
      <c r="J32" s="15" t="s">
        <v>36</v>
      </c>
      <c r="K32" s="15" t="s">
        <v>37</v>
      </c>
      <c r="L32" s="25" t="s">
        <v>109</v>
      </c>
      <c r="M32" s="29"/>
      <c r="N32" s="29"/>
      <c r="O32" s="29"/>
      <c r="P32" s="19"/>
      <c r="Q32" s="20"/>
    </row>
    <row r="33">
      <c r="A33" s="21"/>
      <c r="B33" s="21"/>
      <c r="C33" s="21"/>
      <c r="D33" s="21"/>
      <c r="E33" s="21"/>
      <c r="F33" s="22"/>
      <c r="G33" s="21"/>
      <c r="H33" s="21"/>
      <c r="I33" s="21"/>
      <c r="J33" s="21"/>
      <c r="K33" s="21"/>
      <c r="L33" s="21"/>
      <c r="M33" s="21"/>
      <c r="N33" s="23"/>
      <c r="O33" s="23"/>
      <c r="P33" s="21"/>
      <c r="Q33" s="21"/>
    </row>
    <row r="34">
      <c r="A34" s="15" t="s">
        <v>110</v>
      </c>
      <c r="B34" s="15" t="s">
        <v>73</v>
      </c>
      <c r="C34" s="15" t="s">
        <v>73</v>
      </c>
      <c r="D34" s="15" t="s">
        <v>111</v>
      </c>
      <c r="E34" s="15" t="s">
        <v>31</v>
      </c>
      <c r="F34" s="24" t="s">
        <v>112</v>
      </c>
      <c r="G34" s="19" t="s">
        <v>52</v>
      </c>
      <c r="H34" s="15"/>
      <c r="I34" s="15"/>
      <c r="J34" s="15" t="s">
        <v>36</v>
      </c>
      <c r="K34" s="15" t="s">
        <v>37</v>
      </c>
      <c r="L34" s="25" t="s">
        <v>113</v>
      </c>
      <c r="M34" s="29"/>
      <c r="N34" s="19" t="s">
        <v>84</v>
      </c>
      <c r="O34" s="19" t="s">
        <v>40</v>
      </c>
      <c r="P34" s="19" t="s">
        <v>114</v>
      </c>
      <c r="Q34" s="20"/>
    </row>
    <row r="35">
      <c r="A35" s="21"/>
      <c r="B35" s="21"/>
      <c r="C35" s="21"/>
      <c r="D35" s="21"/>
      <c r="E35" s="21"/>
      <c r="F35" s="22"/>
      <c r="G35" s="21"/>
      <c r="H35" s="21"/>
      <c r="I35" s="21"/>
      <c r="J35" s="21"/>
      <c r="K35" s="21"/>
      <c r="L35" s="21"/>
      <c r="M35" s="21"/>
      <c r="N35" s="23"/>
      <c r="O35" s="23"/>
      <c r="P35" s="21"/>
      <c r="Q35" s="21"/>
    </row>
    <row r="36">
      <c r="A36" s="15" t="s">
        <v>115</v>
      </c>
      <c r="B36" s="15" t="s">
        <v>73</v>
      </c>
      <c r="C36" s="15" t="s">
        <v>73</v>
      </c>
      <c r="D36" s="15" t="s">
        <v>116</v>
      </c>
      <c r="E36" s="15" t="s">
        <v>31</v>
      </c>
      <c r="F36" s="24" t="s">
        <v>117</v>
      </c>
      <c r="G36" s="19" t="s">
        <v>52</v>
      </c>
      <c r="H36" s="15"/>
      <c r="I36" s="15"/>
      <c r="J36" s="15" t="s">
        <v>36</v>
      </c>
      <c r="K36" s="15" t="s">
        <v>37</v>
      </c>
      <c r="L36" s="25" t="s">
        <v>118</v>
      </c>
      <c r="M36" s="29"/>
      <c r="N36" s="29"/>
      <c r="O36" s="29"/>
      <c r="P36" s="19"/>
      <c r="Q36" s="20"/>
    </row>
    <row r="37">
      <c r="A37" s="21"/>
      <c r="B37" s="21"/>
      <c r="C37" s="21"/>
      <c r="D37" s="21"/>
      <c r="E37" s="21"/>
      <c r="F37" s="22"/>
      <c r="G37" s="21"/>
      <c r="H37" s="21"/>
      <c r="I37" s="21"/>
      <c r="J37" s="21"/>
      <c r="K37" s="21"/>
      <c r="L37" s="21"/>
      <c r="M37" s="21"/>
      <c r="N37" s="23"/>
      <c r="O37" s="23"/>
      <c r="P37" s="21"/>
      <c r="Q37" s="21"/>
    </row>
    <row r="38">
      <c r="A38" s="15" t="s">
        <v>119</v>
      </c>
      <c r="B38" s="15" t="s">
        <v>73</v>
      </c>
      <c r="C38" s="15" t="s">
        <v>73</v>
      </c>
      <c r="D38" s="15" t="s">
        <v>120</v>
      </c>
      <c r="E38" s="15" t="s">
        <v>31</v>
      </c>
      <c r="F38" s="24" t="s">
        <v>121</v>
      </c>
      <c r="G38" s="19" t="s">
        <v>52</v>
      </c>
      <c r="H38" s="15"/>
      <c r="I38" s="15"/>
      <c r="J38" s="15" t="s">
        <v>36</v>
      </c>
      <c r="K38" s="15" t="s">
        <v>64</v>
      </c>
      <c r="L38" s="25" t="s">
        <v>122</v>
      </c>
      <c r="M38" s="29"/>
      <c r="N38" s="29"/>
      <c r="O38" s="29"/>
      <c r="P38" s="19"/>
      <c r="Q38" s="20"/>
    </row>
    <row r="39">
      <c r="A39" s="21"/>
      <c r="B39" s="21"/>
      <c r="C39" s="21"/>
      <c r="D39" s="21"/>
      <c r="E39" s="21"/>
      <c r="F39" s="22"/>
      <c r="G39" s="21"/>
      <c r="H39" s="21"/>
      <c r="I39" s="21"/>
      <c r="J39" s="21"/>
      <c r="K39" s="21"/>
      <c r="L39" s="21"/>
      <c r="M39" s="21"/>
      <c r="N39" s="23"/>
      <c r="O39" s="23"/>
      <c r="P39" s="21"/>
      <c r="Q39" s="21"/>
    </row>
    <row r="40">
      <c r="A40" s="15" t="s">
        <v>123</v>
      </c>
      <c r="B40" s="15" t="s">
        <v>73</v>
      </c>
      <c r="C40" s="15" t="s">
        <v>73</v>
      </c>
      <c r="D40" s="15" t="s">
        <v>124</v>
      </c>
      <c r="E40" s="15" t="s">
        <v>31</v>
      </c>
      <c r="F40" s="24" t="s">
        <v>125</v>
      </c>
      <c r="G40" s="19" t="s">
        <v>52</v>
      </c>
      <c r="H40" s="15"/>
      <c r="I40" s="15"/>
      <c r="J40" s="15" t="s">
        <v>36</v>
      </c>
      <c r="K40" s="15" t="s">
        <v>37</v>
      </c>
      <c r="L40" s="25" t="s">
        <v>126</v>
      </c>
      <c r="M40" s="29"/>
      <c r="N40" s="29"/>
      <c r="O40" s="29"/>
      <c r="P40" s="19"/>
      <c r="Q40" s="20"/>
    </row>
    <row r="41">
      <c r="A41" s="21"/>
      <c r="B41" s="21"/>
      <c r="C41" s="21"/>
      <c r="D41" s="21"/>
      <c r="E41" s="21"/>
      <c r="F41" s="22"/>
      <c r="G41" s="21"/>
      <c r="H41" s="21"/>
      <c r="I41" s="21"/>
      <c r="J41" s="21"/>
      <c r="K41" s="21"/>
      <c r="L41" s="21"/>
      <c r="M41" s="21"/>
      <c r="N41" s="23"/>
      <c r="O41" s="23"/>
      <c r="P41" s="21"/>
      <c r="Q41" s="21"/>
    </row>
    <row r="42">
      <c r="A42" s="15" t="s">
        <v>127</v>
      </c>
      <c r="B42" s="15" t="s">
        <v>73</v>
      </c>
      <c r="C42" s="15" t="s">
        <v>73</v>
      </c>
      <c r="D42" s="15" t="s">
        <v>128</v>
      </c>
      <c r="E42" s="15" t="s">
        <v>31</v>
      </c>
      <c r="F42" s="24" t="s">
        <v>129</v>
      </c>
      <c r="G42" s="19" t="s">
        <v>52</v>
      </c>
      <c r="H42" s="15"/>
      <c r="I42" s="15"/>
      <c r="J42" s="15" t="s">
        <v>36</v>
      </c>
      <c r="K42" s="15" t="s">
        <v>37</v>
      </c>
      <c r="L42" s="25" t="s">
        <v>130</v>
      </c>
      <c r="M42" s="29"/>
      <c r="N42" s="29"/>
      <c r="O42" s="29"/>
      <c r="P42" s="19"/>
      <c r="Q42" s="20"/>
    </row>
    <row r="43">
      <c r="A43" s="21"/>
      <c r="B43" s="21"/>
      <c r="C43" s="21"/>
      <c r="D43" s="21"/>
      <c r="E43" s="21"/>
      <c r="F43" s="22"/>
      <c r="G43" s="21"/>
      <c r="H43" s="21"/>
      <c r="I43" s="21"/>
      <c r="J43" s="21"/>
      <c r="K43" s="21"/>
      <c r="L43" s="21"/>
      <c r="M43" s="21"/>
      <c r="N43" s="23"/>
      <c r="O43" s="23"/>
      <c r="P43" s="21"/>
      <c r="Q43" s="21"/>
    </row>
    <row r="44">
      <c r="A44" s="15" t="s">
        <v>131</v>
      </c>
      <c r="B44" s="15" t="s">
        <v>73</v>
      </c>
      <c r="C44" s="15" t="s">
        <v>73</v>
      </c>
      <c r="D44" s="15" t="s">
        <v>132</v>
      </c>
      <c r="E44" s="15" t="s">
        <v>31</v>
      </c>
      <c r="F44" s="24" t="s">
        <v>133</v>
      </c>
      <c r="G44" s="19" t="s">
        <v>52</v>
      </c>
      <c r="H44" s="15"/>
      <c r="I44" s="15"/>
      <c r="J44" s="15" t="s">
        <v>36</v>
      </c>
      <c r="K44" s="15" t="s">
        <v>37</v>
      </c>
      <c r="L44" s="25" t="s">
        <v>134</v>
      </c>
      <c r="M44" s="29"/>
      <c r="N44" s="29"/>
      <c r="O44" s="29"/>
      <c r="P44" s="19"/>
      <c r="Q44" s="20"/>
    </row>
    <row r="45">
      <c r="A45" s="21"/>
      <c r="B45" s="21"/>
      <c r="C45" s="21"/>
      <c r="D45" s="21"/>
      <c r="E45" s="21"/>
      <c r="F45" s="22"/>
      <c r="G45" s="21"/>
      <c r="H45" s="21"/>
      <c r="I45" s="21"/>
      <c r="J45" s="21"/>
      <c r="K45" s="21"/>
      <c r="L45" s="21"/>
      <c r="M45" s="21"/>
      <c r="N45" s="23"/>
      <c r="O45" s="23"/>
      <c r="P45" s="21"/>
      <c r="Q45" s="21"/>
    </row>
    <row r="46">
      <c r="A46" s="15" t="s">
        <v>135</v>
      </c>
      <c r="B46" s="15" t="s">
        <v>73</v>
      </c>
      <c r="C46" s="15" t="s">
        <v>73</v>
      </c>
      <c r="D46" s="15" t="s">
        <v>136</v>
      </c>
      <c r="E46" s="15" t="s">
        <v>31</v>
      </c>
      <c r="F46" s="24" t="s">
        <v>137</v>
      </c>
      <c r="G46" s="19" t="s">
        <v>52</v>
      </c>
      <c r="H46" s="15"/>
      <c r="I46" s="15"/>
      <c r="J46" s="15" t="s">
        <v>36</v>
      </c>
      <c r="K46" s="15" t="s">
        <v>37</v>
      </c>
      <c r="L46" s="25" t="s">
        <v>138</v>
      </c>
      <c r="M46" s="29"/>
      <c r="N46" s="29"/>
      <c r="O46" s="29"/>
      <c r="P46" s="19"/>
      <c r="Q46" s="20"/>
    </row>
    <row r="47">
      <c r="A47" s="21"/>
      <c r="B47" s="21"/>
      <c r="C47" s="21"/>
      <c r="D47" s="21"/>
      <c r="E47" s="21"/>
      <c r="F47" s="22"/>
      <c r="G47" s="21"/>
      <c r="H47" s="21"/>
      <c r="I47" s="21"/>
      <c r="J47" s="21"/>
      <c r="K47" s="21"/>
      <c r="L47" s="21"/>
      <c r="M47" s="21"/>
      <c r="N47" s="23"/>
      <c r="O47" s="23"/>
      <c r="P47" s="21"/>
      <c r="Q47" s="21"/>
    </row>
    <row r="48">
      <c r="A48" s="15"/>
      <c r="B48" s="15"/>
      <c r="C48" s="15"/>
      <c r="D48" s="15"/>
      <c r="E48" s="15"/>
      <c r="F48" s="24"/>
      <c r="G48" s="15"/>
      <c r="H48" s="15"/>
      <c r="I48" s="15"/>
      <c r="J48" s="15"/>
      <c r="K48" s="15"/>
      <c r="L48" s="25"/>
      <c r="M48" s="19"/>
      <c r="N48" s="29"/>
      <c r="O48" s="29"/>
      <c r="P48" s="19"/>
      <c r="Q48" s="20"/>
    </row>
    <row r="49">
      <c r="A49" s="21"/>
      <c r="B49" s="21"/>
      <c r="C49" s="21"/>
      <c r="D49" s="21"/>
      <c r="E49" s="21"/>
      <c r="F49" s="22"/>
      <c r="G49" s="21"/>
      <c r="H49" s="21"/>
      <c r="I49" s="21"/>
      <c r="J49" s="21"/>
      <c r="K49" s="21"/>
      <c r="L49" s="21"/>
      <c r="M49" s="21"/>
      <c r="N49" s="23"/>
      <c r="O49" s="23"/>
      <c r="P49" s="21"/>
      <c r="Q49" s="21"/>
    </row>
    <row r="50">
      <c r="A50" s="15"/>
      <c r="B50" s="15"/>
      <c r="C50" s="15"/>
      <c r="D50" s="15"/>
      <c r="E50" s="15"/>
      <c r="F50" s="24"/>
      <c r="G50" s="15"/>
      <c r="H50" s="15"/>
      <c r="I50" s="15"/>
      <c r="J50" s="15"/>
      <c r="K50" s="15"/>
      <c r="L50" s="25"/>
      <c r="M50" s="29"/>
      <c r="N50" s="29"/>
      <c r="O50" s="29"/>
      <c r="P50" s="19"/>
      <c r="Q50" s="20"/>
    </row>
    <row r="51">
      <c r="A51" s="21"/>
      <c r="B51" s="21"/>
      <c r="C51" s="21"/>
      <c r="D51" s="21"/>
      <c r="E51" s="21"/>
      <c r="F51" s="22"/>
      <c r="G51" s="21"/>
      <c r="H51" s="21"/>
      <c r="I51" s="21"/>
      <c r="J51" s="21"/>
      <c r="K51" s="21"/>
      <c r="L51" s="21"/>
      <c r="M51" s="21"/>
      <c r="N51" s="23"/>
      <c r="O51" s="23"/>
      <c r="P51" s="21"/>
      <c r="Q51" s="21"/>
    </row>
    <row r="52">
      <c r="A52" s="15"/>
      <c r="B52" s="15"/>
      <c r="C52" s="15"/>
      <c r="D52" s="15"/>
      <c r="E52" s="15"/>
      <c r="F52" s="24"/>
      <c r="G52" s="15"/>
      <c r="H52" s="15"/>
      <c r="I52" s="15"/>
      <c r="J52" s="15"/>
      <c r="K52" s="15"/>
      <c r="L52" s="30"/>
      <c r="M52" s="29"/>
      <c r="N52" s="29"/>
      <c r="O52" s="29"/>
      <c r="P52" s="19"/>
      <c r="Q52" s="20"/>
    </row>
    <row r="53">
      <c r="A53" s="21"/>
      <c r="B53" s="21"/>
      <c r="C53" s="21"/>
      <c r="D53" s="21"/>
      <c r="E53" s="21"/>
      <c r="F53" s="22"/>
      <c r="G53" s="21"/>
      <c r="H53" s="21"/>
      <c r="I53" s="21"/>
      <c r="J53" s="21"/>
      <c r="K53" s="21"/>
      <c r="L53" s="21"/>
      <c r="M53" s="21"/>
      <c r="N53" s="23"/>
      <c r="O53" s="23"/>
      <c r="P53" s="21"/>
      <c r="Q53" s="21"/>
    </row>
    <row r="54">
      <c r="A54" s="15"/>
      <c r="B54" s="15"/>
      <c r="C54" s="15"/>
      <c r="D54" s="15"/>
      <c r="E54" s="15"/>
      <c r="F54" s="24"/>
      <c r="G54" s="15"/>
      <c r="H54" s="15"/>
      <c r="I54" s="15"/>
      <c r="J54" s="15"/>
      <c r="K54" s="15"/>
      <c r="L54" s="25"/>
      <c r="M54" s="29"/>
      <c r="N54" s="29"/>
      <c r="O54" s="29"/>
      <c r="P54" s="19"/>
      <c r="Q54" s="20"/>
    </row>
    <row r="55">
      <c r="A55" s="21"/>
      <c r="B55" s="21"/>
      <c r="C55" s="21"/>
      <c r="D55" s="21"/>
      <c r="E55" s="21"/>
      <c r="F55" s="22"/>
      <c r="G55" s="21"/>
      <c r="H55" s="21"/>
      <c r="I55" s="21"/>
      <c r="J55" s="21"/>
      <c r="K55" s="21"/>
      <c r="L55" s="21"/>
      <c r="M55" s="21"/>
      <c r="N55" s="23"/>
      <c r="O55" s="23"/>
      <c r="P55" s="21"/>
      <c r="Q55" s="21"/>
    </row>
    <row r="56">
      <c r="A56" s="15"/>
      <c r="B56" s="15"/>
      <c r="C56" s="15"/>
      <c r="D56" s="15"/>
      <c r="E56" s="15"/>
      <c r="F56" s="24"/>
      <c r="G56" s="15"/>
      <c r="H56" s="15"/>
      <c r="I56" s="15"/>
      <c r="J56" s="15"/>
      <c r="K56" s="15"/>
      <c r="L56" s="25"/>
      <c r="M56" s="29"/>
      <c r="N56" s="29"/>
      <c r="O56" s="29"/>
      <c r="P56" s="19"/>
      <c r="Q56" s="20"/>
    </row>
    <row r="57">
      <c r="A57" s="21"/>
      <c r="B57" s="21"/>
      <c r="C57" s="21"/>
      <c r="D57" s="21"/>
      <c r="E57" s="21"/>
      <c r="F57" s="22"/>
      <c r="G57" s="21"/>
      <c r="H57" s="21"/>
      <c r="I57" s="21"/>
      <c r="J57" s="21"/>
      <c r="K57" s="21"/>
      <c r="L57" s="21"/>
      <c r="M57" s="21"/>
      <c r="N57" s="23"/>
      <c r="O57" s="23"/>
      <c r="P57" s="21"/>
      <c r="Q57" s="21"/>
    </row>
    <row r="58">
      <c r="A58" s="15"/>
      <c r="B58" s="15"/>
      <c r="C58" s="15"/>
      <c r="D58" s="15"/>
      <c r="E58" s="15"/>
      <c r="F58" s="24"/>
      <c r="G58" s="19"/>
      <c r="H58" s="15"/>
      <c r="I58" s="15"/>
      <c r="J58" s="15"/>
      <c r="K58" s="15"/>
      <c r="L58" s="25"/>
      <c r="M58" s="29"/>
      <c r="N58" s="29"/>
      <c r="O58" s="29"/>
      <c r="P58" s="19"/>
      <c r="Q58" s="20"/>
    </row>
    <row r="59">
      <c r="A59" s="21"/>
      <c r="B59" s="21"/>
      <c r="C59" s="21"/>
      <c r="D59" s="21"/>
      <c r="E59" s="21"/>
      <c r="F59" s="22"/>
      <c r="G59" s="21"/>
      <c r="H59" s="21"/>
      <c r="I59" s="21"/>
      <c r="J59" s="21"/>
      <c r="K59" s="21"/>
      <c r="L59" s="21"/>
      <c r="M59" s="21"/>
      <c r="N59" s="23"/>
      <c r="O59" s="23"/>
      <c r="P59" s="21"/>
      <c r="Q59" s="21"/>
    </row>
    <row r="60">
      <c r="A60" s="15"/>
      <c r="B60" s="15"/>
      <c r="C60" s="15"/>
      <c r="D60" s="15"/>
      <c r="E60" s="15"/>
      <c r="F60" s="24"/>
      <c r="G60" s="19"/>
      <c r="H60" s="15"/>
      <c r="I60" s="15"/>
      <c r="J60" s="15"/>
      <c r="K60" s="15"/>
      <c r="L60" s="25"/>
      <c r="M60" s="29"/>
      <c r="N60" s="29"/>
      <c r="O60" s="29"/>
      <c r="P60" s="19"/>
      <c r="Q60" s="20"/>
    </row>
    <row r="61">
      <c r="A61" s="21"/>
      <c r="B61" s="21"/>
      <c r="C61" s="21"/>
      <c r="D61" s="21"/>
      <c r="E61" s="21"/>
      <c r="F61" s="22"/>
      <c r="G61" s="21"/>
      <c r="H61" s="21"/>
      <c r="I61" s="21"/>
      <c r="J61" s="21"/>
      <c r="K61" s="21"/>
      <c r="L61" s="21"/>
      <c r="M61" s="21"/>
      <c r="N61" s="23"/>
      <c r="O61" s="23"/>
      <c r="P61" s="21"/>
      <c r="Q61" s="21"/>
    </row>
    <row r="62">
      <c r="A62" s="15"/>
      <c r="B62" s="28"/>
      <c r="C62" s="28"/>
      <c r="D62" s="28"/>
      <c r="E62" s="28"/>
      <c r="F62" s="31"/>
      <c r="G62" s="29"/>
      <c r="H62" s="28"/>
      <c r="I62" s="28"/>
      <c r="J62" s="28"/>
      <c r="K62" s="28"/>
      <c r="L62" s="32"/>
      <c r="M62" s="29"/>
      <c r="N62" s="29"/>
      <c r="O62" s="29"/>
      <c r="P62" s="19"/>
      <c r="Q62" s="20"/>
    </row>
    <row r="63">
      <c r="A63" s="21"/>
      <c r="B63" s="21"/>
      <c r="C63" s="21"/>
      <c r="D63" s="21"/>
      <c r="E63" s="21"/>
      <c r="F63" s="22"/>
      <c r="G63" s="21"/>
      <c r="H63" s="21"/>
      <c r="I63" s="21"/>
      <c r="J63" s="21"/>
      <c r="K63" s="21"/>
      <c r="L63" s="21"/>
      <c r="M63" s="21"/>
      <c r="N63" s="23"/>
      <c r="O63" s="23"/>
      <c r="P63" s="21"/>
      <c r="Q63" s="21"/>
    </row>
    <row r="64">
      <c r="A64" s="15"/>
      <c r="B64" s="28"/>
      <c r="C64" s="28"/>
      <c r="D64" s="28"/>
      <c r="E64" s="28"/>
      <c r="F64" s="31"/>
      <c r="G64" s="29"/>
      <c r="H64" s="28"/>
      <c r="I64" s="28"/>
      <c r="J64" s="28"/>
      <c r="K64" s="28"/>
      <c r="L64" s="32"/>
      <c r="M64" s="29"/>
      <c r="N64" s="29"/>
      <c r="O64" s="29"/>
      <c r="P64" s="19"/>
      <c r="Q64" s="20"/>
    </row>
    <row r="65">
      <c r="A65" s="21"/>
      <c r="B65" s="21"/>
      <c r="C65" s="21"/>
      <c r="D65" s="21"/>
      <c r="E65" s="21"/>
      <c r="F65" s="22"/>
      <c r="G65" s="21"/>
      <c r="H65" s="21"/>
      <c r="I65" s="21"/>
      <c r="J65" s="21"/>
      <c r="K65" s="21"/>
      <c r="L65" s="21"/>
      <c r="M65" s="21"/>
      <c r="N65" s="23"/>
      <c r="O65" s="23"/>
      <c r="P65" s="21"/>
      <c r="Q65" s="21"/>
    </row>
    <row r="66">
      <c r="A66" s="15"/>
      <c r="B66" s="28"/>
      <c r="C66" s="28"/>
      <c r="D66" s="28"/>
      <c r="E66" s="28"/>
      <c r="F66" s="31"/>
      <c r="G66" s="29"/>
      <c r="H66" s="28"/>
      <c r="I66" s="28"/>
      <c r="J66" s="28"/>
      <c r="K66" s="28"/>
      <c r="L66" s="32"/>
      <c r="M66" s="29"/>
      <c r="N66" s="29"/>
      <c r="O66" s="29"/>
      <c r="P66" s="19"/>
      <c r="Q66" s="20"/>
    </row>
    <row r="67">
      <c r="A67" s="21"/>
      <c r="B67" s="21"/>
      <c r="C67" s="21"/>
      <c r="D67" s="21"/>
      <c r="E67" s="21"/>
      <c r="F67" s="22"/>
      <c r="G67" s="21"/>
      <c r="H67" s="21"/>
      <c r="I67" s="21"/>
      <c r="J67" s="21"/>
      <c r="K67" s="21"/>
      <c r="L67" s="21"/>
      <c r="M67" s="21"/>
      <c r="N67" s="23"/>
      <c r="O67" s="23"/>
      <c r="P67" s="21"/>
      <c r="Q67" s="21"/>
    </row>
    <row r="68">
      <c r="A68" s="15"/>
      <c r="B68" s="28"/>
      <c r="C68" s="28"/>
      <c r="D68" s="28"/>
      <c r="E68" s="28"/>
      <c r="F68" s="31"/>
      <c r="G68" s="29"/>
      <c r="H68" s="28"/>
      <c r="I68" s="28"/>
      <c r="J68" s="28"/>
      <c r="K68" s="28"/>
      <c r="L68" s="32"/>
      <c r="M68" s="29"/>
      <c r="N68" s="29"/>
      <c r="O68" s="29"/>
      <c r="P68" s="19"/>
      <c r="Q68" s="20"/>
    </row>
    <row r="69">
      <c r="A69" s="21"/>
      <c r="B69" s="21"/>
      <c r="C69" s="21"/>
      <c r="D69" s="21"/>
      <c r="E69" s="21"/>
      <c r="F69" s="22"/>
      <c r="G69" s="21"/>
      <c r="H69" s="21"/>
      <c r="I69" s="21"/>
      <c r="J69" s="21"/>
      <c r="K69" s="21"/>
      <c r="L69" s="21"/>
      <c r="M69" s="21"/>
      <c r="N69" s="23"/>
      <c r="O69" s="23"/>
      <c r="P69" s="21"/>
      <c r="Q69" s="21"/>
    </row>
    <row r="70">
      <c r="A70" s="15"/>
      <c r="B70" s="28"/>
      <c r="C70" s="28"/>
      <c r="D70" s="28"/>
      <c r="E70" s="28"/>
      <c r="F70" s="31"/>
      <c r="G70" s="29"/>
      <c r="H70" s="28"/>
      <c r="I70" s="28"/>
      <c r="J70" s="28"/>
      <c r="K70" s="28"/>
      <c r="L70" s="32"/>
      <c r="M70" s="29"/>
      <c r="N70" s="29"/>
      <c r="O70" s="29"/>
      <c r="P70" s="19"/>
      <c r="Q70" s="20"/>
    </row>
    <row r="71">
      <c r="A71" s="21"/>
      <c r="B71" s="21"/>
      <c r="C71" s="21"/>
      <c r="D71" s="21"/>
      <c r="E71" s="21"/>
      <c r="F71" s="22"/>
      <c r="G71" s="21"/>
      <c r="H71" s="21"/>
      <c r="I71" s="21"/>
      <c r="J71" s="21"/>
      <c r="K71" s="21"/>
      <c r="L71" s="21"/>
      <c r="M71" s="21"/>
      <c r="N71" s="23"/>
      <c r="O71" s="23"/>
      <c r="P71" s="21"/>
      <c r="Q71" s="21"/>
    </row>
    <row r="72">
      <c r="A72" s="15"/>
      <c r="B72" s="28"/>
      <c r="C72" s="28"/>
      <c r="D72" s="28"/>
      <c r="E72" s="28"/>
      <c r="F72" s="31"/>
      <c r="G72" s="29"/>
      <c r="H72" s="28"/>
      <c r="I72" s="28"/>
      <c r="J72" s="28"/>
      <c r="K72" s="28"/>
      <c r="L72" s="32"/>
      <c r="M72" s="29"/>
      <c r="N72" s="29"/>
      <c r="O72" s="29"/>
      <c r="P72" s="19"/>
      <c r="Q72" s="20"/>
    </row>
    <row r="73">
      <c r="A73" s="21"/>
      <c r="B73" s="21"/>
      <c r="C73" s="21"/>
      <c r="D73" s="21"/>
      <c r="E73" s="21"/>
      <c r="F73" s="22"/>
      <c r="G73" s="21"/>
      <c r="H73" s="21"/>
      <c r="I73" s="21"/>
      <c r="J73" s="21"/>
      <c r="K73" s="21"/>
      <c r="L73" s="21"/>
      <c r="M73" s="21"/>
      <c r="N73" s="23"/>
      <c r="O73" s="23"/>
      <c r="P73" s="21"/>
      <c r="Q73" s="21"/>
    </row>
    <row r="74">
      <c r="A74" s="15"/>
      <c r="B74" s="28"/>
      <c r="C74" s="28"/>
      <c r="D74" s="28"/>
      <c r="E74" s="28"/>
      <c r="F74" s="31"/>
      <c r="G74" s="29"/>
      <c r="H74" s="28"/>
      <c r="I74" s="28"/>
      <c r="J74" s="28"/>
      <c r="K74" s="28"/>
      <c r="L74" s="32"/>
      <c r="M74" s="29"/>
      <c r="N74" s="29"/>
      <c r="O74" s="29"/>
      <c r="P74" s="19"/>
      <c r="Q74" s="20"/>
    </row>
    <row r="75">
      <c r="A75" s="21"/>
      <c r="B75" s="21"/>
      <c r="C75" s="21"/>
      <c r="D75" s="21"/>
      <c r="E75" s="21"/>
      <c r="F75" s="22"/>
      <c r="G75" s="21"/>
      <c r="H75" s="21"/>
      <c r="I75" s="21"/>
      <c r="J75" s="21"/>
      <c r="K75" s="21"/>
      <c r="L75" s="21"/>
      <c r="M75" s="21"/>
      <c r="N75" s="23"/>
      <c r="O75" s="23"/>
      <c r="P75" s="21"/>
      <c r="Q75" s="21"/>
    </row>
    <row r="76">
      <c r="A76" s="15"/>
      <c r="B76" s="28"/>
      <c r="C76" s="28"/>
      <c r="D76" s="28"/>
      <c r="E76" s="28"/>
      <c r="F76" s="31"/>
      <c r="G76" s="29"/>
      <c r="H76" s="28"/>
      <c r="I76" s="28"/>
      <c r="J76" s="28"/>
      <c r="K76" s="28"/>
      <c r="L76" s="32"/>
      <c r="M76" s="29"/>
      <c r="N76" s="29"/>
      <c r="O76" s="29"/>
      <c r="P76" s="19"/>
      <c r="Q76" s="20"/>
    </row>
    <row r="77">
      <c r="A77" s="21"/>
      <c r="B77" s="21"/>
      <c r="C77" s="21"/>
      <c r="D77" s="21"/>
      <c r="E77" s="21"/>
      <c r="F77" s="22"/>
      <c r="G77" s="21"/>
      <c r="H77" s="21"/>
      <c r="I77" s="21"/>
      <c r="J77" s="21"/>
      <c r="K77" s="21"/>
      <c r="L77" s="21"/>
      <c r="M77" s="21"/>
      <c r="N77" s="23"/>
      <c r="O77" s="23"/>
      <c r="P77" s="21"/>
      <c r="Q77" s="21"/>
    </row>
    <row r="78">
      <c r="A78" s="15"/>
      <c r="B78" s="28"/>
      <c r="C78" s="28"/>
      <c r="D78" s="28"/>
      <c r="E78" s="28"/>
      <c r="F78" s="31"/>
      <c r="G78" s="29"/>
      <c r="H78" s="28"/>
      <c r="I78" s="28"/>
      <c r="J78" s="28"/>
      <c r="K78" s="28"/>
      <c r="L78" s="32"/>
      <c r="M78" s="29"/>
      <c r="N78" s="29"/>
      <c r="O78" s="29"/>
      <c r="P78" s="19"/>
      <c r="Q78" s="20"/>
    </row>
    <row r="79">
      <c r="A79" s="21"/>
      <c r="B79" s="21"/>
      <c r="C79" s="21"/>
      <c r="D79" s="21"/>
      <c r="E79" s="21"/>
      <c r="F79" s="22"/>
      <c r="G79" s="21"/>
      <c r="H79" s="21"/>
      <c r="I79" s="21"/>
      <c r="J79" s="21"/>
      <c r="K79" s="21"/>
      <c r="L79" s="21"/>
      <c r="M79" s="21"/>
      <c r="N79" s="23"/>
      <c r="O79" s="23"/>
      <c r="P79" s="21"/>
      <c r="Q79" s="21"/>
    </row>
    <row r="80">
      <c r="A80" s="15"/>
      <c r="B80" s="28"/>
      <c r="C80" s="28"/>
      <c r="D80" s="28"/>
      <c r="E80" s="28"/>
      <c r="F80" s="31"/>
      <c r="G80" s="29"/>
      <c r="H80" s="28"/>
      <c r="I80" s="28"/>
      <c r="J80" s="28"/>
      <c r="K80" s="28"/>
      <c r="L80" s="32"/>
      <c r="M80" s="29"/>
      <c r="N80" s="29"/>
      <c r="O80" s="29"/>
      <c r="P80" s="19"/>
      <c r="Q80" s="20"/>
    </row>
    <row r="81">
      <c r="A81" s="21"/>
      <c r="B81" s="21"/>
      <c r="C81" s="21"/>
      <c r="D81" s="21"/>
      <c r="E81" s="21"/>
      <c r="F81" s="22"/>
      <c r="G81" s="21"/>
      <c r="H81" s="21"/>
      <c r="I81" s="21"/>
      <c r="J81" s="21"/>
      <c r="K81" s="21"/>
      <c r="L81" s="21"/>
      <c r="M81" s="21"/>
      <c r="N81" s="23"/>
      <c r="O81" s="23"/>
      <c r="P81" s="21"/>
      <c r="Q81" s="21"/>
    </row>
    <row r="82">
      <c r="A82" s="15"/>
      <c r="B82" s="28"/>
      <c r="C82" s="28"/>
      <c r="D82" s="28"/>
      <c r="E82" s="28"/>
      <c r="F82" s="28"/>
      <c r="G82" s="29"/>
      <c r="H82" s="28"/>
      <c r="I82" s="28"/>
      <c r="J82" s="28"/>
      <c r="K82" s="28"/>
      <c r="L82" s="32"/>
      <c r="M82" s="29"/>
      <c r="N82" s="29"/>
      <c r="O82" s="29"/>
      <c r="P82" s="19"/>
      <c r="Q82" s="20"/>
    </row>
  </sheetData>
  <mergeCells count="2">
    <mergeCell ref="N5:N6"/>
    <mergeCell ref="O5:O6"/>
  </mergeCells>
  <dataValidations>
    <dataValidation type="list" allowBlank="1" showErrorMessage="1" sqref="N8 N10 N12 N14 N16 N18 N20 N22 N24 N26 N28 N30 N32 N34 N36 N38 N40 N42 N44 N46 N48 N50 N52 N54 N56 N58 N60 N62 N64 N66 N68 N70 N72 N74 N76 N78 N80 N82">
      <formula1>"Solved,Unsolved"</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 type="list" allowBlank="1" showErrorMessage="1" sqref="O8 O10 O12 O14 O16 O18 O20 O22 O24 O26 O28 O30 O32 O34 O36 O38 O40 O42 O44 O46 O48 O50 O52 O54 O56 O58 O60 O62 O64 O66 O68 O70 O72 O74 O76 O78 O80 O82">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0"/>
    <col customWidth="1" min="15" max="15" width="14.13"/>
  </cols>
  <sheetData>
    <row r="1">
      <c r="A1" s="33"/>
      <c r="B1" s="33"/>
      <c r="C1" s="33"/>
      <c r="D1" s="33"/>
      <c r="E1" s="3"/>
      <c r="F1" s="3"/>
      <c r="G1" s="33"/>
      <c r="H1" s="33"/>
      <c r="I1" s="33"/>
      <c r="J1" s="33"/>
      <c r="K1" s="33"/>
      <c r="L1" s="33"/>
      <c r="M1" s="33"/>
      <c r="N1" s="33"/>
      <c r="O1" s="33"/>
    </row>
    <row r="2">
      <c r="A2" s="34" t="s">
        <v>0</v>
      </c>
      <c r="B2" s="35"/>
      <c r="C2" s="33"/>
      <c r="D2" s="36" t="s">
        <v>22</v>
      </c>
      <c r="E2" s="36" t="s">
        <v>139</v>
      </c>
      <c r="F2" s="33"/>
      <c r="G2" s="33"/>
      <c r="H2" s="33"/>
      <c r="I2" s="33"/>
      <c r="J2" s="33"/>
      <c r="K2" s="33"/>
      <c r="L2" s="33"/>
      <c r="M2" s="33"/>
      <c r="N2" s="33"/>
      <c r="O2" s="33"/>
    </row>
    <row r="3">
      <c r="A3" s="34" t="s">
        <v>2</v>
      </c>
      <c r="B3" s="37"/>
      <c r="C3" s="33"/>
      <c r="D3" s="38" t="s">
        <v>37</v>
      </c>
      <c r="E3" s="39">
        <f>COUNTIF(K14:K897, "High")</f>
        <v>0</v>
      </c>
      <c r="F3" s="33"/>
      <c r="G3" s="33"/>
      <c r="H3" s="33"/>
      <c r="I3" s="33"/>
      <c r="J3" s="33"/>
      <c r="K3" s="33"/>
      <c r="L3" s="33"/>
      <c r="M3" s="33"/>
      <c r="N3" s="33"/>
      <c r="O3" s="33"/>
    </row>
    <row r="4">
      <c r="A4" s="34" t="s">
        <v>140</v>
      </c>
      <c r="B4" s="40"/>
      <c r="C4" s="33"/>
      <c r="D4" s="38" t="s">
        <v>64</v>
      </c>
      <c r="E4" s="39">
        <f>COUNTIF(K14:K898, "Medium")</f>
        <v>0</v>
      </c>
      <c r="F4" s="33"/>
      <c r="G4" s="33"/>
      <c r="H4" s="33"/>
      <c r="I4" s="33"/>
      <c r="J4" s="33"/>
      <c r="K4" s="33"/>
      <c r="L4" s="33"/>
      <c r="M4" s="33"/>
      <c r="N4" s="33"/>
      <c r="O4" s="33"/>
    </row>
    <row r="5">
      <c r="A5" s="34" t="s">
        <v>4</v>
      </c>
      <c r="B5" s="41"/>
      <c r="C5" s="33"/>
      <c r="D5" s="38" t="s">
        <v>55</v>
      </c>
      <c r="E5" s="39">
        <f>COUNTIF(K14:K899, "Low") </f>
        <v>0</v>
      </c>
      <c r="F5" s="33"/>
      <c r="G5" s="33"/>
      <c r="H5" s="33"/>
      <c r="I5" s="33"/>
      <c r="J5" s="33"/>
      <c r="K5" s="33"/>
      <c r="L5" s="33"/>
      <c r="M5" s="33"/>
      <c r="N5" s="33"/>
      <c r="O5" s="33"/>
    </row>
    <row r="6">
      <c r="A6" s="34" t="s">
        <v>6</v>
      </c>
      <c r="B6" s="41"/>
      <c r="C6" s="33"/>
      <c r="D6" s="33"/>
      <c r="E6" s="33"/>
      <c r="F6" s="33"/>
      <c r="G6" s="33"/>
      <c r="H6" s="33"/>
      <c r="I6" s="33"/>
      <c r="J6" s="33"/>
      <c r="K6" s="33"/>
      <c r="L6" s="33"/>
      <c r="M6" s="33"/>
      <c r="N6" s="33"/>
      <c r="O6" s="33"/>
    </row>
    <row r="7">
      <c r="A7" s="42" t="s">
        <v>141</v>
      </c>
      <c r="B7" s="41"/>
      <c r="C7" s="33"/>
      <c r="D7" s="43" t="s">
        <v>142</v>
      </c>
      <c r="E7" s="44">
        <f>SUM(E3:E5)</f>
        <v>0</v>
      </c>
      <c r="F7" s="33"/>
      <c r="G7" s="33"/>
      <c r="H7" s="33"/>
      <c r="I7" s="33"/>
      <c r="J7" s="33"/>
      <c r="K7" s="33"/>
      <c r="L7" s="33"/>
      <c r="M7" s="33"/>
      <c r="N7" s="33"/>
      <c r="O7" s="33"/>
    </row>
    <row r="8">
      <c r="A8" s="33"/>
      <c r="B8" s="33"/>
      <c r="C8" s="33"/>
      <c r="D8" s="43" t="s">
        <v>143</v>
      </c>
      <c r="E8" s="41"/>
      <c r="F8" s="33"/>
      <c r="G8" s="33"/>
      <c r="H8" s="33"/>
      <c r="I8" s="33"/>
      <c r="J8" s="33"/>
      <c r="K8" s="33"/>
      <c r="L8" s="33"/>
      <c r="M8" s="33"/>
      <c r="N8" s="33"/>
      <c r="O8" s="33"/>
    </row>
    <row r="9">
      <c r="A9" s="33"/>
      <c r="B9" s="33"/>
      <c r="C9" s="33"/>
      <c r="D9" s="33"/>
      <c r="E9" s="33"/>
      <c r="F9" s="33"/>
      <c r="G9" s="33"/>
      <c r="H9" s="33"/>
      <c r="I9" s="33"/>
      <c r="J9" s="33"/>
      <c r="K9" s="33"/>
      <c r="L9" s="33"/>
      <c r="M9" s="33"/>
      <c r="N9" s="33"/>
      <c r="O9" s="33"/>
    </row>
    <row r="10">
      <c r="A10" s="45" t="s">
        <v>12</v>
      </c>
      <c r="B10" s="45" t="s">
        <v>13</v>
      </c>
      <c r="C10" s="45" t="s">
        <v>14</v>
      </c>
      <c r="D10" s="45" t="s">
        <v>15</v>
      </c>
      <c r="E10" s="45" t="s">
        <v>16</v>
      </c>
      <c r="F10" s="45" t="s">
        <v>17</v>
      </c>
      <c r="G10" s="45" t="s">
        <v>18</v>
      </c>
      <c r="H10" s="45" t="s">
        <v>19</v>
      </c>
      <c r="I10" s="45" t="s">
        <v>20</v>
      </c>
      <c r="J10" s="45" t="s">
        <v>21</v>
      </c>
      <c r="K10" s="45" t="s">
        <v>22</v>
      </c>
      <c r="L10" s="45" t="s">
        <v>23</v>
      </c>
      <c r="M10" s="45" t="s">
        <v>24</v>
      </c>
      <c r="N10" s="46" t="s">
        <v>25</v>
      </c>
      <c r="O10" s="46" t="s">
        <v>26</v>
      </c>
      <c r="P10" s="47" t="s">
        <v>27</v>
      </c>
    </row>
    <row r="11">
      <c r="A11" s="14"/>
      <c r="B11" s="15"/>
      <c r="C11" s="15"/>
      <c r="D11" s="14"/>
      <c r="E11" s="14"/>
      <c r="F11" s="16"/>
      <c r="G11" s="17"/>
      <c r="H11" s="14"/>
      <c r="I11" s="14"/>
      <c r="J11" s="14"/>
      <c r="K11" s="14"/>
      <c r="L11" s="48"/>
      <c r="M11" s="17"/>
      <c r="N11" s="17"/>
      <c r="O11" s="17"/>
      <c r="P11" s="19"/>
    </row>
    <row r="12">
      <c r="A12" s="21"/>
      <c r="B12" s="21"/>
      <c r="C12" s="21"/>
      <c r="D12" s="21"/>
      <c r="E12" s="21"/>
      <c r="F12" s="22"/>
      <c r="G12" s="21"/>
      <c r="H12" s="21"/>
      <c r="I12" s="21"/>
      <c r="J12" s="21"/>
      <c r="K12" s="21"/>
      <c r="L12" s="21"/>
      <c r="M12" s="21"/>
      <c r="N12" s="23"/>
      <c r="O12" s="23"/>
      <c r="P12" s="21"/>
    </row>
    <row r="13">
      <c r="A13" s="15"/>
      <c r="B13" s="15"/>
      <c r="C13" s="15"/>
      <c r="D13" s="15"/>
      <c r="E13" s="15"/>
      <c r="F13" s="24"/>
      <c r="G13" s="19"/>
      <c r="H13" s="15"/>
      <c r="I13" s="15"/>
      <c r="J13" s="15"/>
      <c r="K13" s="15"/>
      <c r="L13" s="30"/>
      <c r="M13" s="29"/>
      <c r="N13" s="29"/>
      <c r="O13" s="29"/>
      <c r="P13" s="19"/>
    </row>
  </sheetData>
  <dataValidations>
    <dataValidation type="list" allowBlank="1" showErrorMessage="1" sqref="N11 N13">
      <formula1>"Solved,Unsolved"</formula1>
    </dataValidation>
    <dataValidation type="list" allowBlank="1" showErrorMessage="1" sqref="J11 J13">
      <formula1>"Pass,Fail"</formula1>
    </dataValidation>
    <dataValidation type="list" allowBlank="1" showErrorMessage="1" sqref="K11 K13">
      <formula1>"High,Medium,Low"</formula1>
    </dataValidation>
    <dataValidation type="list" allowBlank="1" showErrorMessage="1" sqref="O11 O13">
      <formula1>"Front-End,Back-End,AI,UI/UX"</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49" t="s">
        <v>13</v>
      </c>
      <c r="B1" s="49" t="s">
        <v>14</v>
      </c>
      <c r="C1" s="50" t="s">
        <v>144</v>
      </c>
      <c r="D1" s="49" t="s">
        <v>145</v>
      </c>
      <c r="E1" s="50" t="s">
        <v>146</v>
      </c>
      <c r="F1" s="45" t="s">
        <v>147</v>
      </c>
      <c r="G1" s="23"/>
      <c r="H1" s="23"/>
      <c r="I1" s="23"/>
      <c r="J1" s="23"/>
      <c r="K1" s="23"/>
      <c r="L1" s="23"/>
      <c r="M1" s="23"/>
      <c r="N1" s="23"/>
      <c r="O1" s="23"/>
      <c r="P1" s="23"/>
      <c r="Q1" s="23"/>
      <c r="R1" s="23"/>
      <c r="S1" s="23"/>
      <c r="T1" s="23"/>
      <c r="U1" s="23"/>
      <c r="V1" s="23"/>
      <c r="W1" s="23"/>
      <c r="X1" s="23"/>
      <c r="Y1" s="23"/>
      <c r="Z1" s="23"/>
      <c r="AA1" s="23"/>
    </row>
    <row r="2">
      <c r="A2" s="51" t="str">
        <f>IFERROR(__xludf.DUMMYFUNCTION("SORT(
  SPLIT(
    UNIQUE(
      FILTER('Main Report'!B11:B100 &amp; ""♦"" &amp; 'Main Report'!C11:C100, LEN('Main Report'!C11:C100))
    ),
    ""♦""
  ),
  1, TRUE, 2, TRUE
)
"),"Event")</f>
        <v>Event</v>
      </c>
      <c r="B2" s="51" t="str">
        <f>IFERROR(__xludf.DUMMYFUNCTION("""COMPUTED_VALUE"""),"Event")</f>
        <v>Event</v>
      </c>
      <c r="C2" s="51" t="str">
        <f>IFERROR(__xludf.DUMMYFUNCTION("TEXTJOIN("", "", TRUE, 
  FILTER('Main Report'!A11:A100, 
    ('Main Report'!B11:B100=A2) * ('Main Report'!C11:C100=B2)
  )
)
"),"BR-001, BR-002, BR-003, BR-004, BR-005, BR-006, BR-007, BR-008, BR-009, BR-010, BR-011")</f>
        <v>BR-001, BR-002, BR-003, BR-004, BR-005, BR-006, BR-007, BR-008, BR-009, BR-010, BR-011</v>
      </c>
      <c r="D2" s="51">
        <f>IFERROR(__xludf.DUMMYFUNCTION("COUNTA(UNIQUE(TRANSPOSE(SPLIT(C2, "", ""))))
"),11.0)</f>
        <v>11</v>
      </c>
      <c r="E2" s="51" t="str">
        <f>IF(D2="", "", TEXT((D2 / 'Main Report'!$E$7), "0.00%"))
</f>
        <v>55.00%</v>
      </c>
      <c r="F2" s="52"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8
Medium: 2
Low: 1")</f>
        <v>High: 8
Medium: 2
Low: 1</v>
      </c>
      <c r="G2" s="23"/>
      <c r="H2" s="23"/>
      <c r="I2" s="23"/>
      <c r="J2" s="23"/>
      <c r="K2" s="23"/>
      <c r="L2" s="23"/>
      <c r="M2" s="23"/>
      <c r="N2" s="23"/>
      <c r="O2" s="23"/>
      <c r="P2" s="23"/>
      <c r="Q2" s="23"/>
      <c r="R2" s="23"/>
      <c r="S2" s="23"/>
      <c r="T2" s="23"/>
      <c r="U2" s="23"/>
      <c r="V2" s="23"/>
      <c r="W2" s="23"/>
      <c r="X2" s="23"/>
      <c r="Y2" s="23"/>
      <c r="Z2" s="23"/>
      <c r="AA2" s="23"/>
    </row>
    <row r="3">
      <c r="A3" s="29" t="str">
        <f>IFERROR(__xludf.DUMMYFUNCTION("""COMPUTED_VALUE"""),"Home")</f>
        <v>Home</v>
      </c>
      <c r="B3" s="29" t="str">
        <f>IFERROR(__xludf.DUMMYFUNCTION("""COMPUTED_VALUE"""),"Home")</f>
        <v>Home</v>
      </c>
      <c r="C3" s="29" t="str">
        <f>IFERROR(__xludf.DUMMYFUNCTION("TEXTJOIN("", "", TRUE, 
  FILTER('Main Report'!A12:A101, 
    ('Main Report'!B12:B101=A3) * ('Main Report'!C12:C101=B3)
  )
)
"),"BR-012, BR-013")</f>
        <v>BR-012, BR-013</v>
      </c>
      <c r="D3" s="51">
        <f>IFERROR(__xludf.DUMMYFUNCTION("COUNTA(UNIQUE(TRANSPOSE(SPLIT(C3, "", ""))))
"),2.0)</f>
        <v>2</v>
      </c>
      <c r="E3" s="29" t="str">
        <f>IF(D3="", "", TEXT((D3 / 'Main Report'!$E$7), "0.00%"))
</f>
        <v>10.00%</v>
      </c>
      <c r="F3" s="53"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0
Medium: 2
Low: 0")</f>
        <v>High: 0
Medium: 2
Low: 0</v>
      </c>
      <c r="G3" s="23"/>
      <c r="H3" s="23"/>
      <c r="I3" s="23"/>
      <c r="J3" s="23"/>
      <c r="K3" s="23"/>
      <c r="L3" s="23"/>
      <c r="M3" s="23"/>
      <c r="N3" s="23"/>
      <c r="O3" s="23"/>
      <c r="P3" s="23"/>
      <c r="Q3" s="23"/>
      <c r="R3" s="23"/>
      <c r="S3" s="23"/>
      <c r="T3" s="23"/>
      <c r="U3" s="23"/>
      <c r="V3" s="23"/>
      <c r="W3" s="23"/>
      <c r="X3" s="23"/>
      <c r="Y3" s="23"/>
      <c r="Z3" s="23"/>
      <c r="AA3" s="23"/>
    </row>
    <row r="4">
      <c r="A4" s="29" t="str">
        <f>IFERROR(__xludf.DUMMYFUNCTION("""COMPUTED_VALUE"""),"Login")</f>
        <v>Login</v>
      </c>
      <c r="B4" s="29" t="str">
        <f>IFERROR(__xludf.DUMMYFUNCTION("""COMPUTED_VALUE"""),"Login")</f>
        <v>Login</v>
      </c>
      <c r="C4" s="29" t="str">
        <f>IFERROR(__xludf.DUMMYFUNCTION("TEXTJOIN("", "", TRUE, 
  FILTER('Main Report'!A13:A102, 
    ('Main Report'!B13:B102=A4) * ('Main Report'!C13:C102=B4)
  )
)
"),"BR-014")</f>
        <v>BR-014</v>
      </c>
      <c r="D4" s="51">
        <f>IFERROR(__xludf.DUMMYFUNCTION("COUNTA(UNIQUE(TRANSPOSE(SPLIT(C4, "", ""))))
"),1.0)</f>
        <v>1</v>
      </c>
      <c r="E4" s="29" t="str">
        <f>IF(D4="", "", TEXT((D4 / 'Main Report'!$E$7), "0.00%"))
</f>
        <v>5.00%</v>
      </c>
      <c r="F4" s="53"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23"/>
      <c r="H4" s="23"/>
      <c r="I4" s="23"/>
      <c r="J4" s="23"/>
      <c r="K4" s="23"/>
      <c r="L4" s="23"/>
      <c r="M4" s="23"/>
      <c r="N4" s="23"/>
      <c r="O4" s="23"/>
      <c r="P4" s="23"/>
      <c r="Q4" s="23"/>
      <c r="R4" s="23"/>
      <c r="S4" s="23"/>
      <c r="T4" s="23"/>
      <c r="U4" s="23"/>
      <c r="V4" s="23"/>
      <c r="W4" s="23"/>
      <c r="X4" s="23"/>
      <c r="Y4" s="23"/>
      <c r="Z4" s="23"/>
      <c r="AA4" s="23"/>
    </row>
    <row r="5">
      <c r="A5" s="29" t="str">
        <f>IFERROR(__xludf.DUMMYFUNCTION("""COMPUTED_VALUE"""),"OTP")</f>
        <v>OTP</v>
      </c>
      <c r="B5" s="29" t="str">
        <f>IFERROR(__xludf.DUMMYFUNCTION("""COMPUTED_VALUE"""),"OTP")</f>
        <v>OTP</v>
      </c>
      <c r="C5" s="29" t="str">
        <f>IFERROR(__xludf.DUMMYFUNCTION("TEXTJOIN("", "", TRUE, 
  FILTER('Main Report'!A14:A103, 
    ('Main Report'!B14:B103=A5) * ('Main Report'!C14:C103=B5)
  )
)
"),"BR-015, BR-016")</f>
        <v>BR-015, BR-016</v>
      </c>
      <c r="D5" s="51">
        <f>IFERROR(__xludf.DUMMYFUNCTION("COUNTA(UNIQUE(TRANSPOSE(SPLIT(C5, "", ""))))
"),2.0)</f>
        <v>2</v>
      </c>
      <c r="E5" s="29" t="str">
        <f>IF(D5="", "", TEXT((D5 / 'Main Report'!$E$7), "0.00%"))
</f>
        <v>10.00%</v>
      </c>
      <c r="F5" s="53"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1
Medium: 0
Low: 1")</f>
        <v>High: 1
Medium: 0
Low: 1</v>
      </c>
      <c r="G5" s="23"/>
      <c r="H5" s="23"/>
      <c r="I5" s="23"/>
      <c r="J5" s="23"/>
      <c r="K5" s="23"/>
      <c r="L5" s="23"/>
      <c r="M5" s="23"/>
      <c r="N5" s="23"/>
      <c r="O5" s="23"/>
      <c r="P5" s="23"/>
      <c r="Q5" s="23"/>
      <c r="R5" s="23"/>
      <c r="S5" s="23"/>
      <c r="T5" s="23"/>
      <c r="U5" s="23"/>
      <c r="V5" s="23"/>
      <c r="W5" s="23"/>
      <c r="X5" s="23"/>
      <c r="Y5" s="23"/>
      <c r="Z5" s="23"/>
      <c r="AA5" s="23"/>
    </row>
    <row r="6">
      <c r="A6" s="29" t="str">
        <f>IFERROR(__xludf.DUMMYFUNCTION("""COMPUTED_VALUE"""),"Profile")</f>
        <v>Profile</v>
      </c>
      <c r="B6" s="29" t="str">
        <f>IFERROR(__xludf.DUMMYFUNCTION("""COMPUTED_VALUE"""),"Profile")</f>
        <v>Profile</v>
      </c>
      <c r="C6" s="29" t="str">
        <f>IFERROR(__xludf.DUMMYFUNCTION("TEXTJOIN("", "", TRUE, 
  FILTER('Main Report'!A15:A104, 
    ('Main Report'!B15:B104=A6) * ('Main Report'!C15:C104=B6)
  )
)
"),"BR-017, BR-018")</f>
        <v>BR-017, BR-018</v>
      </c>
      <c r="D6" s="51">
        <f>IFERROR(__xludf.DUMMYFUNCTION("COUNTA(UNIQUE(TRANSPOSE(SPLIT(C6, "", ""))))
"),2.0)</f>
        <v>2</v>
      </c>
      <c r="E6" s="29" t="str">
        <f>IF(D6="", "", TEXT((D6 / 'Main Report'!$E$7), "0.00%"))
</f>
        <v>10.00%</v>
      </c>
      <c r="F6" s="53"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1
Low: 0")</f>
        <v>High: 1
Medium: 1
Low: 0</v>
      </c>
      <c r="G6" s="23"/>
      <c r="H6" s="23"/>
      <c r="I6" s="23"/>
      <c r="J6" s="23"/>
      <c r="K6" s="23"/>
      <c r="L6" s="23"/>
      <c r="M6" s="23"/>
      <c r="N6" s="23"/>
      <c r="O6" s="23"/>
      <c r="P6" s="23"/>
      <c r="Q6" s="23"/>
      <c r="R6" s="23"/>
      <c r="S6" s="23"/>
      <c r="T6" s="23"/>
      <c r="U6" s="23"/>
      <c r="V6" s="23"/>
      <c r="W6" s="23"/>
      <c r="X6" s="23"/>
      <c r="Y6" s="23"/>
      <c r="Z6" s="23"/>
      <c r="AA6" s="23"/>
    </row>
    <row r="7">
      <c r="A7" s="29" t="str">
        <f>IFERROR(__xludf.DUMMYFUNCTION("""COMPUTED_VALUE"""),"Signup")</f>
        <v>Signup</v>
      </c>
      <c r="B7" s="29" t="str">
        <f>IFERROR(__xludf.DUMMYFUNCTION("""COMPUTED_VALUE"""),"Signup")</f>
        <v>Signup</v>
      </c>
      <c r="C7" s="29" t="str">
        <f>IFERROR(__xludf.DUMMYFUNCTION("TEXTJOIN("", "", TRUE, 
  FILTER('Main Report'!A16:A105, 
    ('Main Report'!B16:B105=A7) * ('Main Report'!C16:C105=B7)
  )
)
"),"BR-019, BR-020")</f>
        <v>BR-019, BR-020</v>
      </c>
      <c r="D7" s="51">
        <f>IFERROR(__xludf.DUMMYFUNCTION("COUNTA(UNIQUE(TRANSPOSE(SPLIT(C7, "", ""))))
"),2.0)</f>
        <v>2</v>
      </c>
      <c r="E7" s="29" t="str">
        <f>IF(D7="", "", TEXT((D7 / 'Main Report'!$E$7), "0.00%"))
</f>
        <v>10.00%</v>
      </c>
      <c r="F7" s="53"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1
Medium: 1
Low: 0")</f>
        <v>High: 1
Medium: 1
Low: 0</v>
      </c>
      <c r="G7" s="23"/>
      <c r="H7" s="23"/>
      <c r="I7" s="23"/>
      <c r="J7" s="23"/>
      <c r="K7" s="23"/>
      <c r="L7" s="23"/>
      <c r="M7" s="23"/>
      <c r="N7" s="23"/>
      <c r="O7" s="23"/>
      <c r="P7" s="23"/>
      <c r="Q7" s="23"/>
      <c r="R7" s="23"/>
      <c r="S7" s="23"/>
      <c r="T7" s="23"/>
      <c r="U7" s="23"/>
      <c r="V7" s="23"/>
      <c r="W7" s="23"/>
      <c r="X7" s="23"/>
      <c r="Y7" s="23"/>
      <c r="Z7" s="23"/>
      <c r="AA7" s="23"/>
    </row>
    <row r="8">
      <c r="A8" s="29"/>
      <c r="B8" s="29"/>
      <c r="C8" s="29" t="str">
        <f>IFERROR(__xludf.DUMMYFUNCTION("TEXTJOIN("", "", TRUE, 
  FILTER('Main Report'!A17:A106, 
    ('Main Report'!B17:B106=A8) * ('Main Report'!C17:C106=B8)
  )
)
"),"")</f>
        <v/>
      </c>
      <c r="D8" s="29"/>
      <c r="E8" s="29" t="str">
        <f>IF(D8="", "", TEXT((D8 / 'Main Report'!$E$7), "0.00%"))
</f>
        <v/>
      </c>
      <c r="F8" s="53"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f>
        <v/>
      </c>
      <c r="G8" s="23"/>
      <c r="H8" s="23"/>
      <c r="I8" s="23"/>
      <c r="J8" s="23"/>
      <c r="K8" s="23"/>
      <c r="L8" s="23"/>
      <c r="M8" s="23"/>
      <c r="N8" s="23"/>
      <c r="O8" s="23"/>
      <c r="P8" s="23"/>
      <c r="Q8" s="23"/>
      <c r="R8" s="23"/>
      <c r="S8" s="23"/>
      <c r="T8" s="23"/>
      <c r="U8" s="23"/>
      <c r="V8" s="23"/>
      <c r="W8" s="23"/>
      <c r="X8" s="23"/>
      <c r="Y8" s="23"/>
      <c r="Z8" s="23"/>
      <c r="AA8" s="23"/>
    </row>
    <row r="9">
      <c r="A9" s="29"/>
      <c r="B9" s="29"/>
      <c r="C9" s="29" t="str">
        <f>IFERROR(__xludf.DUMMYFUNCTION("TEXTJOIN("", "", TRUE, 
  FILTER('Main Report'!A18:A107, 
    ('Main Report'!B18:B107=A9) * ('Main Report'!C18:C107=B9)
  )
)
"),"")</f>
        <v/>
      </c>
      <c r="D9" s="29"/>
      <c r="E9" s="29" t="str">
        <f>IF(D9="", "", TEXT((D9 / 'Main Report'!$E$7), "0.00%"))
</f>
        <v/>
      </c>
      <c r="F9" s="53"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f>
        <v/>
      </c>
      <c r="G9" s="23"/>
      <c r="H9" s="23"/>
      <c r="I9" s="23"/>
      <c r="J9" s="23"/>
      <c r="K9" s="23"/>
      <c r="L9" s="23"/>
      <c r="M9" s="23"/>
      <c r="N9" s="23"/>
      <c r="O9" s="23"/>
      <c r="P9" s="23"/>
      <c r="Q9" s="23"/>
      <c r="R9" s="23"/>
      <c r="S9" s="23"/>
      <c r="T9" s="23"/>
      <c r="U9" s="23"/>
      <c r="V9" s="23"/>
      <c r="W9" s="23"/>
      <c r="X9" s="23"/>
      <c r="Y9" s="23"/>
      <c r="Z9" s="23"/>
      <c r="AA9" s="23"/>
    </row>
    <row r="10">
      <c r="A10" s="29"/>
      <c r="B10" s="29"/>
      <c r="C10" s="29" t="str">
        <f>IFERROR(__xludf.DUMMYFUNCTION("TEXTJOIN("", "", TRUE, 
  FILTER('Main Report'!A19:A108, 
    ('Main Report'!B19:B108=A10) * ('Main Report'!C19:C108=B10)
  )
)
"),"")</f>
        <v/>
      </c>
      <c r="D10" s="29"/>
      <c r="E10" s="29" t="str">
        <f>IF(D10="", "", TEXT((D10 / 'Main Report'!$E$7), "0.00%"))
</f>
        <v/>
      </c>
      <c r="F10" s="53"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f>
        <v/>
      </c>
      <c r="G10" s="23"/>
      <c r="H10" s="23"/>
      <c r="I10" s="23"/>
      <c r="J10" s="23"/>
      <c r="K10" s="23"/>
      <c r="L10" s="23"/>
      <c r="M10" s="23"/>
      <c r="N10" s="23"/>
      <c r="O10" s="23"/>
      <c r="P10" s="23"/>
      <c r="Q10" s="23"/>
      <c r="R10" s="23"/>
      <c r="S10" s="23"/>
      <c r="T10" s="23"/>
      <c r="U10" s="23"/>
      <c r="V10" s="23"/>
      <c r="W10" s="23"/>
      <c r="X10" s="23"/>
      <c r="Y10" s="23"/>
      <c r="Z10" s="23"/>
      <c r="AA10" s="23"/>
    </row>
    <row r="11">
      <c r="A11" s="29"/>
      <c r="B11" s="29"/>
      <c r="C11" s="29" t="str">
        <f>IFERROR(__xludf.DUMMYFUNCTION("TEXTJOIN("", "", TRUE, 
  FILTER('Main Report'!A20:A109, 
    ('Main Report'!B20:B109=A11) * ('Main Report'!C20:C109=B11)
  )
)
"),"")</f>
        <v/>
      </c>
      <c r="D11" s="29"/>
      <c r="E11" s="29" t="str">
        <f>IF(D11="", "", TEXT((D11 / 'Main Report'!$E$7), "0.00%"))
</f>
        <v/>
      </c>
      <c r="F11" s="53"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f>
        <v/>
      </c>
      <c r="G11" s="23"/>
      <c r="H11" s="23"/>
      <c r="I11" s="23"/>
      <c r="J11" s="23"/>
      <c r="K11" s="23"/>
      <c r="L11" s="23"/>
      <c r="M11" s="23"/>
      <c r="N11" s="23"/>
      <c r="O11" s="23"/>
      <c r="P11" s="23"/>
      <c r="Q11" s="23"/>
      <c r="R11" s="23"/>
      <c r="S11" s="23"/>
      <c r="T11" s="23"/>
      <c r="U11" s="23"/>
      <c r="V11" s="23"/>
      <c r="W11" s="23"/>
      <c r="X11" s="23"/>
      <c r="Y11" s="23"/>
      <c r="Z11" s="23"/>
      <c r="AA11" s="23"/>
    </row>
    <row r="12">
      <c r="A12" s="29"/>
      <c r="B12" s="29"/>
      <c r="C12" s="29" t="str">
        <f>IFERROR(__xludf.DUMMYFUNCTION("TEXTJOIN("", "", TRUE, 
  FILTER('Main Report'!A21:A110, 
    ('Main Report'!B21:B110=A12) * ('Main Report'!C21:C110=B12)
  )
)
"),"")</f>
        <v/>
      </c>
      <c r="D12" s="29"/>
      <c r="E12" s="29" t="str">
        <f>IF(D12="", "", TEXT((D12 / 'Main Report'!$E$7), "0.00%"))
</f>
        <v/>
      </c>
      <c r="F12" s="53"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f>
        <v/>
      </c>
      <c r="G12" s="23"/>
      <c r="H12" s="23"/>
      <c r="I12" s="23"/>
      <c r="J12" s="23"/>
      <c r="K12" s="23"/>
      <c r="L12" s="23"/>
      <c r="M12" s="23"/>
      <c r="N12" s="23"/>
      <c r="O12" s="23"/>
      <c r="P12" s="23"/>
      <c r="Q12" s="23"/>
      <c r="R12" s="23"/>
      <c r="S12" s="23"/>
      <c r="T12" s="23"/>
      <c r="U12" s="23"/>
      <c r="V12" s="23"/>
      <c r="W12" s="23"/>
      <c r="X12" s="23"/>
      <c r="Y12" s="23"/>
      <c r="Z12" s="23"/>
      <c r="AA12" s="23"/>
    </row>
    <row r="13">
      <c r="A13" s="29"/>
      <c r="B13" s="29"/>
      <c r="C13" s="29" t="str">
        <f>IFERROR(__xludf.DUMMYFUNCTION("TEXTJOIN("", "", TRUE, 
  FILTER('Main Report'!A22:A111, 
    ('Main Report'!B22:B111=A13) * ('Main Report'!C22:C111=B13)
  )
)
"),"")</f>
        <v/>
      </c>
      <c r="D13" s="29"/>
      <c r="E13" s="29" t="str">
        <f>IF(D13="", "", TEXT((D13 / 'Main Report'!$E$7), "0.00%"))
</f>
        <v/>
      </c>
      <c r="F13" s="53"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23"/>
      <c r="H13" s="23"/>
      <c r="I13" s="23"/>
      <c r="J13" s="23"/>
      <c r="K13" s="23"/>
      <c r="L13" s="23"/>
      <c r="M13" s="23"/>
      <c r="N13" s="23"/>
      <c r="O13" s="23"/>
      <c r="P13" s="23"/>
      <c r="Q13" s="23"/>
      <c r="R13" s="23"/>
      <c r="S13" s="23"/>
      <c r="T13" s="23"/>
      <c r="U13" s="23"/>
      <c r="V13" s="23"/>
      <c r="W13" s="23"/>
      <c r="X13" s="23"/>
      <c r="Y13" s="23"/>
      <c r="Z13" s="23"/>
      <c r="AA13" s="23"/>
    </row>
    <row r="14">
      <c r="A14" s="29"/>
      <c r="B14" s="29"/>
      <c r="C14" s="29" t="str">
        <f>IFERROR(__xludf.DUMMYFUNCTION("TEXTJOIN("", "", TRUE, 
  FILTER('Main Report'!A23:A112, 
    ('Main Report'!B23:B112=A14) * ('Main Report'!C23:C112=B14)
  )
)
"),"")</f>
        <v/>
      </c>
      <c r="D14" s="29"/>
      <c r="E14" s="29" t="str">
        <f>IF(D14="", "", TEXT((D14 / 'Main Report'!$E$7), "0.00%"))
</f>
        <v/>
      </c>
      <c r="F14" s="53"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23"/>
      <c r="H14" s="23"/>
      <c r="I14" s="23"/>
      <c r="J14" s="23"/>
      <c r="K14" s="23"/>
      <c r="L14" s="23"/>
      <c r="M14" s="23"/>
      <c r="N14" s="23"/>
      <c r="O14" s="23"/>
      <c r="P14" s="23"/>
      <c r="Q14" s="23"/>
      <c r="R14" s="23"/>
      <c r="S14" s="23"/>
      <c r="T14" s="23"/>
      <c r="U14" s="23"/>
      <c r="V14" s="23"/>
      <c r="W14" s="23"/>
      <c r="X14" s="23"/>
      <c r="Y14" s="23"/>
      <c r="Z14" s="23"/>
      <c r="AA14" s="23"/>
    </row>
    <row r="15">
      <c r="A15" s="29"/>
      <c r="B15" s="29"/>
      <c r="C15" s="29" t="str">
        <f>IFERROR(__xludf.DUMMYFUNCTION("TEXTJOIN("", "", TRUE, 
  FILTER('Main Report'!A24:A113, 
    ('Main Report'!B24:B113=A15) * ('Main Report'!C24:C113=B15)
  )
)
"),"")</f>
        <v/>
      </c>
      <c r="D15" s="29"/>
      <c r="E15" s="29" t="str">
        <f>IF(D15="", "", TEXT((D15 / 'Main Report'!$E$7), "0.00%"))
</f>
        <v/>
      </c>
      <c r="F15" s="53"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23"/>
      <c r="H15" s="23"/>
      <c r="I15" s="23"/>
      <c r="J15" s="23"/>
      <c r="K15" s="23"/>
      <c r="L15" s="23"/>
      <c r="M15" s="23"/>
      <c r="N15" s="23"/>
      <c r="O15" s="23"/>
      <c r="P15" s="23"/>
      <c r="Q15" s="23"/>
      <c r="R15" s="23"/>
      <c r="S15" s="23"/>
      <c r="T15" s="23"/>
      <c r="U15" s="23"/>
      <c r="V15" s="23"/>
      <c r="W15" s="23"/>
      <c r="X15" s="23"/>
      <c r="Y15" s="23"/>
      <c r="Z15" s="23"/>
      <c r="AA15" s="23"/>
    </row>
    <row r="16">
      <c r="A16" s="29"/>
      <c r="B16" s="29"/>
      <c r="C16" s="29" t="str">
        <f>IFERROR(__xludf.DUMMYFUNCTION("TEXTJOIN("", "", TRUE, 
  FILTER('Main Report'!A25:A114, 
    ('Main Report'!B25:B114=A16) * ('Main Report'!C25:C114=B16)
  )
)
"),"")</f>
        <v/>
      </c>
      <c r="D16" s="29"/>
      <c r="E16" s="29" t="str">
        <f>IF(D16="", "", TEXT((D16 / 'Main Report'!$E$7), "0.00%"))
</f>
        <v/>
      </c>
      <c r="F16" s="53"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23"/>
      <c r="H16" s="23"/>
      <c r="I16" s="23"/>
      <c r="J16" s="23"/>
      <c r="K16" s="23"/>
      <c r="L16" s="23"/>
      <c r="M16" s="23"/>
      <c r="N16" s="23"/>
      <c r="O16" s="23"/>
      <c r="P16" s="23"/>
      <c r="Q16" s="23"/>
      <c r="R16" s="23"/>
      <c r="S16" s="23"/>
      <c r="T16" s="23"/>
      <c r="U16" s="23"/>
      <c r="V16" s="23"/>
      <c r="W16" s="23"/>
      <c r="X16" s="23"/>
      <c r="Y16" s="23"/>
      <c r="Z16" s="23"/>
      <c r="AA16" s="23"/>
    </row>
    <row r="17">
      <c r="A17" s="29"/>
      <c r="B17" s="29"/>
      <c r="C17" s="29" t="str">
        <f>IFERROR(__xludf.DUMMYFUNCTION("TEXTJOIN("", "", TRUE, 
  FILTER('Main Report'!A26:A115, 
    ('Main Report'!B26:B115=A17) * ('Main Report'!C26:C115=B17)
  )
)
"),"")</f>
        <v/>
      </c>
      <c r="D17" s="29"/>
      <c r="E17" s="29" t="str">
        <f>IF(D17="", "", TEXT((D17 / 'Main Report'!$E$7), "0.00%"))
</f>
        <v/>
      </c>
      <c r="F17" s="53"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23"/>
      <c r="H17" s="23"/>
      <c r="I17" s="23"/>
      <c r="J17" s="23"/>
      <c r="K17" s="23"/>
      <c r="L17" s="23"/>
      <c r="M17" s="23"/>
      <c r="N17" s="23"/>
      <c r="O17" s="23"/>
      <c r="P17" s="23"/>
      <c r="Q17" s="23"/>
      <c r="R17" s="23"/>
      <c r="S17" s="23"/>
      <c r="T17" s="23"/>
      <c r="U17" s="23"/>
      <c r="V17" s="23"/>
      <c r="W17" s="23"/>
      <c r="X17" s="23"/>
      <c r="Y17" s="23"/>
      <c r="Z17" s="23"/>
      <c r="AA17" s="23"/>
    </row>
    <row r="18">
      <c r="A18" s="29"/>
      <c r="B18" s="29"/>
      <c r="C18" s="29" t="str">
        <f>IFERROR(__xludf.DUMMYFUNCTION("TEXTJOIN("", "", TRUE, 
  FILTER('Main Report'!A27:A116, 
    ('Main Report'!B27:B116=A18) * ('Main Report'!C27:C116=B18)
  )
)
"),"")</f>
        <v/>
      </c>
      <c r="D18" s="29"/>
      <c r="E18" s="29" t="str">
        <f>IF(D18="", "", TEXT((D18 / 'Main Report'!$E$7), "0.00%"))
</f>
        <v/>
      </c>
      <c r="F18" s="53"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23"/>
      <c r="H18" s="23"/>
      <c r="I18" s="23"/>
      <c r="J18" s="23"/>
      <c r="K18" s="23"/>
      <c r="L18" s="23"/>
      <c r="M18" s="23"/>
      <c r="N18" s="23"/>
      <c r="O18" s="23"/>
      <c r="P18" s="23"/>
      <c r="Q18" s="23"/>
      <c r="R18" s="23"/>
      <c r="S18" s="23"/>
      <c r="T18" s="23"/>
      <c r="U18" s="23"/>
      <c r="V18" s="23"/>
      <c r="W18" s="23"/>
      <c r="X18" s="23"/>
      <c r="Y18" s="23"/>
      <c r="Z18" s="23"/>
      <c r="AA18" s="23"/>
    </row>
    <row r="19">
      <c r="A19" s="29"/>
      <c r="B19" s="29"/>
      <c r="C19" s="29" t="str">
        <f>IFERROR(__xludf.DUMMYFUNCTION("TEXTJOIN("", "", TRUE, 
  FILTER('Main Report'!A28:A117, 
    ('Main Report'!B28:B117=A19) * ('Main Report'!C28:C117=B19)
  )
)
"),"")</f>
        <v/>
      </c>
      <c r="D19" s="29"/>
      <c r="E19" s="29" t="str">
        <f>IF(D19="", "", TEXT((D19 / 'Main Report'!$E$7), "0.00%"))
</f>
        <v/>
      </c>
      <c r="F19" s="53"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23"/>
      <c r="H19" s="23"/>
      <c r="I19" s="23"/>
      <c r="J19" s="23"/>
      <c r="K19" s="23"/>
      <c r="L19" s="23"/>
      <c r="M19" s="23"/>
      <c r="N19" s="23"/>
      <c r="O19" s="23"/>
      <c r="P19" s="23"/>
      <c r="Q19" s="23"/>
      <c r="R19" s="23"/>
      <c r="S19" s="23"/>
      <c r="T19" s="23"/>
      <c r="U19" s="23"/>
      <c r="V19" s="23"/>
      <c r="W19" s="23"/>
      <c r="X19" s="23"/>
      <c r="Y19" s="23"/>
      <c r="Z19" s="23"/>
      <c r="AA19" s="23"/>
    </row>
    <row r="20">
      <c r="A20" s="51"/>
      <c r="B20" s="51"/>
      <c r="C20" s="29" t="str">
        <f>IFERROR(__xludf.DUMMYFUNCTION("TEXTJOIN("", "", TRUE, 
  FILTER('Main Report'!A29:A118, 
    ('Main Report'!B29:B118=A20) * ('Main Report'!C29:C118=B20)
  )
)
"),"")</f>
        <v/>
      </c>
      <c r="D20" s="29"/>
      <c r="E20" s="29" t="str">
        <f>IF(D20="", "", TEXT((D20 / 'Main Report'!$E$7), "0.00%"))
</f>
        <v/>
      </c>
      <c r="F20" s="53"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23"/>
      <c r="H20" s="23"/>
      <c r="I20" s="23"/>
      <c r="J20" s="23"/>
      <c r="K20" s="23"/>
      <c r="L20" s="23"/>
      <c r="M20" s="23"/>
      <c r="N20" s="23"/>
      <c r="O20" s="23"/>
      <c r="P20" s="23"/>
      <c r="Q20" s="23"/>
      <c r="R20" s="23"/>
      <c r="S20" s="23"/>
      <c r="T20" s="23"/>
      <c r="U20" s="23"/>
      <c r="V20" s="23"/>
      <c r="W20" s="23"/>
      <c r="X20" s="23"/>
      <c r="Y20" s="23"/>
      <c r="Z20" s="23"/>
      <c r="AA20" s="23"/>
    </row>
    <row r="21">
      <c r="A21" s="29"/>
      <c r="B21" s="29"/>
      <c r="C21" s="29" t="str">
        <f>IFERROR(__xludf.DUMMYFUNCTION("TEXTJOIN("", "", TRUE, 
  FILTER('Main Report'!A30:A119, 
    ('Main Report'!B30:B119=A21) * ('Main Report'!C30:C119=B21)
  )
)
"),"")</f>
        <v/>
      </c>
      <c r="D21" s="29"/>
      <c r="E21" s="29" t="str">
        <f>IF(D21="", "", TEXT((D21 / 'Main Report'!$E$7), "0.00%"))
</f>
        <v/>
      </c>
      <c r="F21" s="53"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23"/>
      <c r="H21" s="23"/>
      <c r="I21" s="23"/>
      <c r="J21" s="23"/>
      <c r="K21" s="23"/>
      <c r="L21" s="23"/>
      <c r="M21" s="23"/>
      <c r="N21" s="23"/>
      <c r="O21" s="23"/>
      <c r="P21" s="23"/>
      <c r="Q21" s="23"/>
      <c r="R21" s="23"/>
      <c r="S21" s="23"/>
      <c r="T21" s="23"/>
      <c r="U21" s="23"/>
      <c r="V21" s="23"/>
      <c r="W21" s="23"/>
      <c r="X21" s="23"/>
      <c r="Y21" s="23"/>
      <c r="Z21" s="23"/>
      <c r="AA21" s="23"/>
    </row>
    <row r="22">
      <c r="A22" s="29"/>
      <c r="B22" s="29"/>
      <c r="C22" s="29"/>
      <c r="D22" s="29"/>
      <c r="E22" s="29"/>
      <c r="F22" s="29"/>
      <c r="G22" s="23"/>
      <c r="H22" s="23"/>
      <c r="I22" s="23"/>
      <c r="J22" s="23"/>
      <c r="K22" s="23"/>
      <c r="L22" s="23"/>
      <c r="M22" s="23"/>
      <c r="N22" s="23"/>
      <c r="O22" s="23"/>
      <c r="P22" s="23"/>
      <c r="Q22" s="23"/>
      <c r="R22" s="23"/>
      <c r="S22" s="23"/>
      <c r="T22" s="23"/>
      <c r="U22" s="23"/>
      <c r="V22" s="23"/>
      <c r="W22" s="23"/>
      <c r="X22" s="23"/>
      <c r="Y22" s="23"/>
      <c r="Z22" s="23"/>
      <c r="AA22" s="23"/>
    </row>
    <row r="23">
      <c r="A23" s="29"/>
      <c r="B23" s="29"/>
      <c r="C23" s="29"/>
      <c r="D23" s="29"/>
      <c r="E23" s="29"/>
      <c r="F23" s="29"/>
      <c r="G23" s="23"/>
      <c r="H23" s="23"/>
      <c r="I23" s="23"/>
      <c r="J23" s="23"/>
      <c r="K23" s="23"/>
      <c r="L23" s="23"/>
      <c r="M23" s="23"/>
      <c r="N23" s="23"/>
      <c r="O23" s="23"/>
      <c r="P23" s="23"/>
      <c r="Q23" s="23"/>
      <c r="R23" s="23"/>
      <c r="S23" s="23"/>
      <c r="T23" s="23"/>
      <c r="U23" s="23"/>
      <c r="V23" s="23"/>
      <c r="W23" s="23"/>
      <c r="X23" s="23"/>
      <c r="Y23" s="23"/>
      <c r="Z23" s="23"/>
      <c r="AA23" s="23"/>
    </row>
    <row r="24">
      <c r="A24" s="29"/>
      <c r="B24" s="29"/>
      <c r="C24" s="29"/>
      <c r="D24" s="29"/>
      <c r="E24" s="29"/>
      <c r="F24" s="29"/>
      <c r="G24" s="23"/>
      <c r="H24" s="23"/>
      <c r="I24" s="23"/>
      <c r="J24" s="23"/>
      <c r="K24" s="23"/>
      <c r="L24" s="23"/>
      <c r="M24" s="23"/>
      <c r="N24" s="23"/>
      <c r="O24" s="23"/>
      <c r="P24" s="23"/>
      <c r="Q24" s="23"/>
      <c r="R24" s="23"/>
      <c r="S24" s="23"/>
      <c r="T24" s="23"/>
      <c r="U24" s="23"/>
      <c r="V24" s="23"/>
      <c r="W24" s="23"/>
      <c r="X24" s="23"/>
      <c r="Y24" s="23"/>
      <c r="Z24" s="23"/>
      <c r="AA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3"/>
      <c r="B1" s="3"/>
      <c r="C1" s="3"/>
      <c r="D1" s="3"/>
      <c r="E1" s="3"/>
      <c r="F1" s="3"/>
      <c r="G1" s="3"/>
      <c r="H1" s="3"/>
      <c r="I1" s="3"/>
      <c r="J1" s="3"/>
      <c r="K1" s="3"/>
      <c r="L1" s="3"/>
      <c r="M1" s="3"/>
      <c r="N1" s="3"/>
      <c r="Q1" s="3"/>
    </row>
    <row r="2">
      <c r="A2" s="1" t="s">
        <v>0</v>
      </c>
      <c r="B2" s="54" t="s">
        <v>1</v>
      </c>
      <c r="C2" s="3"/>
      <c r="D2" s="36" t="s">
        <v>22</v>
      </c>
      <c r="E2" s="36" t="s">
        <v>139</v>
      </c>
      <c r="F2" s="3"/>
      <c r="G2" s="3"/>
      <c r="H2" s="55"/>
      <c r="I2" s="55"/>
      <c r="J2" s="55"/>
      <c r="K2" s="55"/>
      <c r="L2" s="55"/>
      <c r="M2" s="55"/>
      <c r="N2" s="3"/>
      <c r="Q2" s="3"/>
    </row>
    <row r="3">
      <c r="A3" s="1" t="s">
        <v>2</v>
      </c>
      <c r="B3" s="56"/>
      <c r="C3" s="3"/>
      <c r="D3" s="57" t="s">
        <v>37</v>
      </c>
      <c r="E3" s="58">
        <f>COUNTIF(Tahsin!K14:K897, "High") + COUNTIF(Fahad!K8:K1004, "High")</f>
        <v>12</v>
      </c>
      <c r="F3" s="3"/>
      <c r="G3" s="3"/>
      <c r="H3" s="3"/>
      <c r="I3" s="3"/>
      <c r="J3" s="3"/>
      <c r="K3" s="3"/>
      <c r="L3" s="3"/>
      <c r="M3" s="3"/>
      <c r="N3" s="3"/>
      <c r="Q3" s="3"/>
    </row>
    <row r="4">
      <c r="A4" s="1" t="s">
        <v>140</v>
      </c>
      <c r="B4" s="59"/>
      <c r="C4" s="3"/>
      <c r="D4" s="60" t="s">
        <v>64</v>
      </c>
      <c r="E4" s="58">
        <f>COUNTIF(Tahsin!K14:K898, "Medium") + COUNTIF(Fahad!K8:K1005, "Medium")</f>
        <v>6</v>
      </c>
      <c r="F4" s="3"/>
      <c r="G4" s="3"/>
      <c r="H4" s="3"/>
      <c r="I4" s="3"/>
      <c r="J4" s="3"/>
      <c r="K4" s="3"/>
      <c r="L4" s="3"/>
      <c r="M4" s="3"/>
      <c r="N4" s="3"/>
      <c r="Q4" s="3"/>
    </row>
    <row r="5">
      <c r="A5" s="1" t="s">
        <v>4</v>
      </c>
      <c r="B5" s="19"/>
      <c r="C5" s="3"/>
      <c r="D5" s="61" t="s">
        <v>55</v>
      </c>
      <c r="E5" s="58">
        <f>COUNTIF(Fahad!K8:K1006, "Low") + COUNTIF(Tahsin!K14:K901, "Low")</f>
        <v>2</v>
      </c>
      <c r="F5" s="3"/>
      <c r="G5" s="3"/>
      <c r="H5" s="3"/>
      <c r="I5" s="3"/>
      <c r="J5" s="3"/>
      <c r="K5" s="3"/>
      <c r="L5" s="3"/>
      <c r="M5" s="3"/>
      <c r="N5" s="3"/>
      <c r="Q5" s="3"/>
    </row>
    <row r="6">
      <c r="A6" s="1" t="s">
        <v>6</v>
      </c>
      <c r="B6" s="62"/>
      <c r="C6" s="3"/>
      <c r="D6" s="63"/>
      <c r="E6" s="63"/>
      <c r="F6" s="3"/>
      <c r="G6" s="3"/>
      <c r="H6" s="3"/>
      <c r="I6" s="3"/>
      <c r="J6" s="3"/>
      <c r="K6" s="3"/>
      <c r="L6" s="3"/>
      <c r="M6" s="3"/>
      <c r="N6" s="3"/>
      <c r="Q6" s="3"/>
    </row>
    <row r="7">
      <c r="A7" s="1" t="s">
        <v>141</v>
      </c>
      <c r="B7" s="62"/>
      <c r="C7" s="3"/>
      <c r="D7" s="64" t="s">
        <v>142</v>
      </c>
      <c r="E7" s="65">
        <f>SUM(E3:E5)</f>
        <v>20</v>
      </c>
      <c r="F7" s="3"/>
      <c r="G7" s="3"/>
      <c r="H7" s="3"/>
      <c r="I7" s="3"/>
      <c r="J7" s="3"/>
      <c r="K7" s="3"/>
      <c r="L7" s="3"/>
      <c r="M7" s="3"/>
      <c r="N7" s="66"/>
      <c r="O7" s="66"/>
      <c r="Q7" s="3"/>
    </row>
    <row r="8">
      <c r="A8" s="3"/>
      <c r="B8" s="3"/>
      <c r="C8" s="3"/>
      <c r="D8" s="64" t="s">
        <v>143</v>
      </c>
      <c r="E8" s="65">
        <f>COUNTIF(N11:N2387, "Solved")</f>
        <v>7</v>
      </c>
      <c r="F8" s="3"/>
      <c r="G8" s="3"/>
      <c r="H8" s="3"/>
      <c r="I8" s="3"/>
      <c r="J8" s="3"/>
      <c r="K8" s="3"/>
      <c r="L8" s="3"/>
      <c r="M8" s="3"/>
      <c r="N8" s="66"/>
      <c r="O8" s="66"/>
      <c r="Q8" s="3"/>
    </row>
    <row r="9">
      <c r="A9" s="3"/>
      <c r="B9" s="3"/>
      <c r="C9" s="3"/>
      <c r="D9" s="3"/>
      <c r="E9" s="3"/>
      <c r="F9" s="3"/>
      <c r="G9" s="3"/>
      <c r="H9" s="3"/>
      <c r="I9" s="3"/>
      <c r="J9" s="3"/>
      <c r="K9" s="3"/>
      <c r="L9" s="3"/>
      <c r="M9" s="3"/>
      <c r="N9" s="66"/>
      <c r="O9" s="66"/>
      <c r="Q9" s="3"/>
    </row>
    <row r="10">
      <c r="A10" s="67" t="s">
        <v>144</v>
      </c>
      <c r="B10" s="67" t="s">
        <v>13</v>
      </c>
      <c r="C10" s="67" t="s">
        <v>14</v>
      </c>
      <c r="D10" s="67" t="s">
        <v>15</v>
      </c>
      <c r="E10" s="67" t="s">
        <v>16</v>
      </c>
      <c r="F10" s="67" t="s">
        <v>17</v>
      </c>
      <c r="G10" s="67" t="s">
        <v>18</v>
      </c>
      <c r="H10" s="67" t="s">
        <v>19</v>
      </c>
      <c r="I10" s="67" t="s">
        <v>20</v>
      </c>
      <c r="J10" s="67" t="s">
        <v>21</v>
      </c>
      <c r="K10" s="67" t="s">
        <v>22</v>
      </c>
      <c r="L10" s="67" t="s">
        <v>23</v>
      </c>
      <c r="M10" s="67" t="s">
        <v>24</v>
      </c>
      <c r="N10" s="68" t="s">
        <v>25</v>
      </c>
      <c r="O10" s="68" t="s">
        <v>26</v>
      </c>
      <c r="P10" s="68" t="s">
        <v>27</v>
      </c>
      <c r="Q10" s="68" t="s">
        <v>148</v>
      </c>
    </row>
    <row r="11">
      <c r="A11" s="69" t="str">
        <f t="array" ref="A11:A100">IF((LEN(B11:B100)+LEN(C11:C100))&gt;0, "BR-" &amp; TEXT(ROW(B11:B100)-ROW(B11)+1,"000"), "")
</f>
        <v>BR-001</v>
      </c>
      <c r="B11" s="70" t="str">
        <f>IFERROR(__xludf.DUMMYFUNCTION("QUERY(
  {
    ARRAYFORMULA({
      TRIM(Fahad!B8:B2383), 
      Fahad!C8:P2383, 
      IF(LEN(Fahad!B8:B2383), ""Fahad"", """")
    });
    ARRAYFORMULA({
      TRIM(Tahsin!B15:B2383), 
      Tahsin!C15:P2383, 
      IF(LEN(Tahsin!B15:B2383), ""Tahsin"","&amp;" """")
    })
  },
  ""SELECT * WHERE Col1 IS NOT NULL ORDER BY Col1 ASC, Col2 ASC"",
  0
)"),"Event")</f>
        <v>Event</v>
      </c>
      <c r="C11" s="70" t="str">
        <f>IFERROR(__xludf.DUMMYFUNCTION("""COMPUTED_VALUE"""),"Event")</f>
        <v>Event</v>
      </c>
      <c r="D11" s="70" t="str">
        <f>IFERROR(__xludf.DUMMYFUNCTION("""COMPUTED_VALUE"""),"Free space has been noticed in the organized event section.")</f>
        <v>Free space has been noticed in the organized event section.</v>
      </c>
      <c r="E11" s="70" t="str">
        <f>IFERROR(__xludf.DUMMYFUNCTION("""COMPUTED_VALUE"""),"User needs to access the app by downloading it onto their device.")</f>
        <v>User needs to access the app by downloading it onto their device.</v>
      </c>
      <c r="F11" s="70" t="str">
        <f>IFERROR(__xludf.DUMMYFUNCTION("""COMPUTED_VALUE"""),"1. Open treat island app
2. Signin using valid creds
3. goto home
4. Click on organize on event ")</f>
        <v>1. Open treat island app
2. Signin using valid creds
3. goto home
4. Click on organize on event </v>
      </c>
      <c r="G11" s="70" t="str">
        <f>IFERROR(__xludf.DUMMYFUNCTION("""COMPUTED_VALUE"""),"User Creds")</f>
        <v>User Creds</v>
      </c>
      <c r="H11" s="70" t="str">
        <f>IFERROR(__xludf.DUMMYFUNCTION("""COMPUTED_VALUE"""),"There shouldn’t be any free space included in the app.")</f>
        <v>There shouldn’t be any free space included in the app.</v>
      </c>
      <c r="I11" s="70" t="str">
        <f>IFERROR(__xludf.DUMMYFUNCTION("""COMPUTED_VALUE"""),"Free space has been noticed and can be reduced by adding more spacing between the content.")</f>
        <v>Free space has been noticed and can be reduced by adding more spacing between the content.</v>
      </c>
      <c r="J11" s="70" t="str">
        <f>IFERROR(__xludf.DUMMYFUNCTION("""COMPUTED_VALUE"""),"Fail")</f>
        <v>Fail</v>
      </c>
      <c r="K11" s="70" t="str">
        <f>IFERROR(__xludf.DUMMYFUNCTION("""COMPUTED_VALUE"""),"Medium")</f>
        <v>Medium</v>
      </c>
      <c r="L11" s="71" t="str">
        <f>IFERROR(__xludf.DUMMYFUNCTION("""COMPUTED_VALUE"""),"006.jpg")</f>
        <v>006.jpg</v>
      </c>
      <c r="M11" s="70"/>
      <c r="N11" s="72" t="str">
        <f>IFERROR(__xludf.DUMMYFUNCTION("""COMPUTED_VALUE"""),"Solved")</f>
        <v>Solved</v>
      </c>
      <c r="O11" s="72" t="str">
        <f>IFERROR(__xludf.DUMMYFUNCTION("""COMPUTED_VALUE"""),"Front-End")</f>
        <v>Front-End</v>
      </c>
      <c r="P11" s="72"/>
      <c r="Q11" s="72" t="str">
        <f>IFERROR(__xludf.DUMMYFUNCTION("""COMPUTED_VALUE"""),"Fahad")</f>
        <v>Fahad</v>
      </c>
    </row>
    <row r="12">
      <c r="A12" s="30" t="s">
        <v>149</v>
      </c>
      <c r="B12" s="73" t="str">
        <f>IFERROR(__xludf.DUMMYFUNCTION("""COMPUTED_VALUE"""),"Event")</f>
        <v>Event</v>
      </c>
      <c r="C12" s="73" t="str">
        <f>IFERROR(__xludf.DUMMYFUNCTION("""COMPUTED_VALUE"""),"Event")</f>
        <v>Event</v>
      </c>
      <c r="D12" s="73" t="str">
        <f>IFERROR(__xludf.DUMMYFUNCTION("""COMPUTED_VALUE"""),"An issue has been noticed where need to click on the date multiple times to select it.")</f>
        <v>An issue has been noticed where need to click on the date multiple times to select it.</v>
      </c>
      <c r="E12" s="73" t="str">
        <f>IFERROR(__xludf.DUMMYFUNCTION("""COMPUTED_VALUE"""),"User needs to access the app by downloading it onto their device.")</f>
        <v>User needs to access the app by downloading it onto their device.</v>
      </c>
      <c r="F12" s="73" t="str">
        <f>IFERROR(__xludf.DUMMYFUNCTION("""COMPUTED_VALUE"""),"1. Open treat island app
2. Signin using valid creds
3. goto home
4. Click on organize on event ")</f>
        <v>1. Open treat island app
2. Signin using valid creds
3. goto home
4. Click on organize on event </v>
      </c>
      <c r="G12" s="73" t="str">
        <f>IFERROR(__xludf.DUMMYFUNCTION("""COMPUTED_VALUE"""),"User Creds")</f>
        <v>User Creds</v>
      </c>
      <c r="H12" s="73" t="str">
        <f>IFERROR(__xludf.DUMMYFUNCTION("""COMPUTED_VALUE"""),"Single tap on the date should select the date.")</f>
        <v>Single tap on the date should select the date.</v>
      </c>
      <c r="I12" s="73" t="str">
        <f>IFERROR(__xludf.DUMMYFUNCTION("""COMPUTED_VALUE"""),"Need to tap multiple times to select the preferred date.")</f>
        <v>Need to tap multiple times to select the preferred date.</v>
      </c>
      <c r="J12" s="73" t="str">
        <f>IFERROR(__xludf.DUMMYFUNCTION("""COMPUTED_VALUE"""),"Fail")</f>
        <v>Fail</v>
      </c>
      <c r="K12" s="73" t="str">
        <f>IFERROR(__xludf.DUMMYFUNCTION("""COMPUTED_VALUE"""),"High")</f>
        <v>High</v>
      </c>
      <c r="L12" s="74" t="str">
        <f>IFERROR(__xludf.DUMMYFUNCTION("""COMPUTED_VALUE"""),"007.mp4")</f>
        <v>007.mp4</v>
      </c>
      <c r="M12" s="73"/>
      <c r="N12" s="73" t="str">
        <f>IFERROR(__xludf.DUMMYFUNCTION("""COMPUTED_VALUE"""),"Unsolved")</f>
        <v>Unsolved</v>
      </c>
      <c r="O12" s="73" t="str">
        <f>IFERROR(__xludf.DUMMYFUNCTION("""COMPUTED_VALUE"""),"Front-End")</f>
        <v>Front-End</v>
      </c>
      <c r="P12" s="73" t="str">
        <f>IFERROR(__xludf.DUMMYFUNCTION("""COMPUTED_VALUE"""),"When a user selects a date in the calendar, the following five days should be selected automatically, as per the client's requiremen")</f>
        <v>When a user selects a date in the calendar, the following five days should be selected automatically, as per the client's requiremen</v>
      </c>
      <c r="Q12" s="73" t="str">
        <f>IFERROR(__xludf.DUMMYFUNCTION("""COMPUTED_VALUE"""),"Fahad")</f>
        <v>Fahad</v>
      </c>
    </row>
    <row r="13">
      <c r="A13" s="30" t="s">
        <v>150</v>
      </c>
      <c r="B13" s="73" t="str">
        <f>IFERROR(__xludf.DUMMYFUNCTION("""COMPUTED_VALUE"""),"Event")</f>
        <v>Event</v>
      </c>
      <c r="C13" s="73" t="str">
        <f>IFERROR(__xludf.DUMMYFUNCTION("""COMPUTED_VALUE"""),"Event")</f>
        <v>Event</v>
      </c>
      <c r="D13" s="73" t="str">
        <f>IFERROR(__xludf.DUMMYFUNCTION("""COMPUTED_VALUE"""),"Typo has been noticed ")</f>
        <v>Typo has been noticed </v>
      </c>
      <c r="E13" s="73" t="str">
        <f>IFERROR(__xludf.DUMMYFUNCTION("""COMPUTED_VALUE"""),"User needs to access the app by downloading it onto their device.")</f>
        <v>User needs to access the app by downloading it onto their device.</v>
      </c>
      <c r="F13" s="73" t="str">
        <f>IFERROR(__xludf.DUMMYFUNCTION("""COMPUTED_VALUE"""),"1. Open treat island app
2. Signin using valid creds
3. goto home
4. Click on organize on event ")</f>
        <v>1. Open treat island app
2. Signin using valid creds
3. goto home
4. Click on organize on event </v>
      </c>
      <c r="G13" s="73" t="str">
        <f>IFERROR(__xludf.DUMMYFUNCTION("""COMPUTED_VALUE"""),"User Creds")</f>
        <v>User Creds</v>
      </c>
      <c r="H13" s="73"/>
      <c r="I13" s="73"/>
      <c r="J13" s="73" t="str">
        <f>IFERROR(__xludf.DUMMYFUNCTION("""COMPUTED_VALUE"""),"Fail")</f>
        <v>Fail</v>
      </c>
      <c r="K13" s="73" t="str">
        <f>IFERROR(__xludf.DUMMYFUNCTION("""COMPUTED_VALUE"""),"Low")</f>
        <v>Low</v>
      </c>
      <c r="L13" s="74" t="str">
        <f>IFERROR(__xludf.DUMMYFUNCTION("""COMPUTED_VALUE"""),"012.jpg")</f>
        <v>012.jpg</v>
      </c>
      <c r="M13" s="73"/>
      <c r="N13" s="73" t="str">
        <f>IFERROR(__xludf.DUMMYFUNCTION("""COMPUTED_VALUE"""),"Solved")</f>
        <v>Solved</v>
      </c>
      <c r="O13" s="73" t="str">
        <f>IFERROR(__xludf.DUMMYFUNCTION("""COMPUTED_VALUE"""),"Front-End")</f>
        <v>Front-End</v>
      </c>
      <c r="P13" s="73"/>
      <c r="Q13" s="73" t="str">
        <f>IFERROR(__xludf.DUMMYFUNCTION("""COMPUTED_VALUE"""),"Fahad")</f>
        <v>Fahad</v>
      </c>
    </row>
    <row r="14">
      <c r="A14" s="30" t="s">
        <v>151</v>
      </c>
      <c r="B14" s="73" t="str">
        <f>IFERROR(__xludf.DUMMYFUNCTION("""COMPUTED_VALUE"""),"Event")</f>
        <v>Event</v>
      </c>
      <c r="C14" s="73" t="str">
        <f>IFERROR(__xludf.DUMMYFUNCTION("""COMPUTED_VALUE"""),"Event")</f>
        <v>Event</v>
      </c>
      <c r="D14" s="73" t="str">
        <f>IFERROR(__xludf.DUMMYFUNCTION("""COMPUTED_VALUE"""),"Amount keep appearing continuously when holding down the backspace button on the keyboard.")</f>
        <v>Amount keep appearing continuously when holding down the backspace button on the keyboard.</v>
      </c>
      <c r="E14" s="73" t="str">
        <f>IFERROR(__xludf.DUMMYFUNCTION("""COMPUTED_VALUE"""),"User needs to access the app by downloading it onto their device.")</f>
        <v>User needs to access the app by downloading it onto their device.</v>
      </c>
      <c r="F14" s="73" t="str">
        <f>IFERROR(__xludf.DUMMYFUNCTION("""COMPUTED_VALUE"""),"1. Open treat island app
2. Signin using valid creds
3. goto home
4. Click on organize on event 
5. Click on organization name")</f>
        <v>1. Open treat island app
2. Signin using valid creds
3. goto home
4. Click on organize on event 
5. Click on organization name</v>
      </c>
      <c r="G14" s="73" t="str">
        <f>IFERROR(__xludf.DUMMYFUNCTION("""COMPUTED_VALUE"""),"User Creds")</f>
        <v>User Creds</v>
      </c>
      <c r="H14" s="73"/>
      <c r="I14" s="73"/>
      <c r="J14" s="73" t="str">
        <f>IFERROR(__xludf.DUMMYFUNCTION("""COMPUTED_VALUE"""),"Fail")</f>
        <v>Fail</v>
      </c>
      <c r="K14" s="73" t="str">
        <f>IFERROR(__xludf.DUMMYFUNCTION("""COMPUTED_VALUE"""),"High")</f>
        <v>High</v>
      </c>
      <c r="L14" s="74" t="str">
        <f>IFERROR(__xludf.DUMMYFUNCTION("""COMPUTED_VALUE"""),"013.mp4")</f>
        <v>013.mp4</v>
      </c>
      <c r="M14" s="73"/>
      <c r="N14" s="73"/>
      <c r="O14" s="73"/>
      <c r="P14" s="73"/>
      <c r="Q14" s="73" t="str">
        <f>IFERROR(__xludf.DUMMYFUNCTION("""COMPUTED_VALUE"""),"Fahad")</f>
        <v>Fahad</v>
      </c>
    </row>
    <row r="15">
      <c r="A15" s="30" t="s">
        <v>152</v>
      </c>
      <c r="B15" s="73" t="str">
        <f>IFERROR(__xludf.DUMMYFUNCTION("""COMPUTED_VALUE"""),"Event")</f>
        <v>Event</v>
      </c>
      <c r="C15" s="73" t="str">
        <f>IFERROR(__xludf.DUMMYFUNCTION("""COMPUTED_VALUE"""),"Event")</f>
        <v>Event</v>
      </c>
      <c r="D15" s="73" t="str">
        <f>IFERROR(__xludf.DUMMYFUNCTION("""COMPUTED_VALUE"""),"Unable to select multiple tags")</f>
        <v>Unable to select multiple tags</v>
      </c>
      <c r="E15" s="73" t="str">
        <f>IFERROR(__xludf.DUMMYFUNCTION("""COMPUTED_VALUE"""),"User needs to access the app by downloading it onto their device.")</f>
        <v>User needs to access the app by downloading it onto their device.</v>
      </c>
      <c r="F15" s="73" t="str">
        <f>IFERROR(__xludf.DUMMYFUNCTION("""COMPUTED_VALUE"""),"1. Open treat island app
2. Signin using valid creds
3. goto home
4. Click on organize on event 
5. Click on organization type")</f>
        <v>1. Open treat island app
2. Signin using valid creds
3. goto home
4. Click on organize on event 
5. Click on organization type</v>
      </c>
      <c r="G15" s="73" t="str">
        <f>IFERROR(__xludf.DUMMYFUNCTION("""COMPUTED_VALUE"""),"User Creds")</f>
        <v>User Creds</v>
      </c>
      <c r="H15" s="73"/>
      <c r="I15" s="73"/>
      <c r="J15" s="73" t="str">
        <f>IFERROR(__xludf.DUMMYFUNCTION("""COMPUTED_VALUE"""),"Fail")</f>
        <v>Fail</v>
      </c>
      <c r="K15" s="73" t="str">
        <f>IFERROR(__xludf.DUMMYFUNCTION("""COMPUTED_VALUE"""),"High")</f>
        <v>High</v>
      </c>
      <c r="L15" s="74" t="str">
        <f>IFERROR(__xludf.DUMMYFUNCTION("""COMPUTED_VALUE"""),"014.jpg")</f>
        <v>014.jpg</v>
      </c>
      <c r="M15" s="73"/>
      <c r="N15" s="73" t="str">
        <f>IFERROR(__xludf.DUMMYFUNCTION("""COMPUTED_VALUE"""),"Unsolved")</f>
        <v>Unsolved</v>
      </c>
      <c r="O15" s="73" t="str">
        <f>IFERROR(__xludf.DUMMYFUNCTION("""COMPUTED_VALUE"""),"Front-End")</f>
        <v>Front-End</v>
      </c>
      <c r="P15" s="73" t="str">
        <f>IFERROR(__xludf.DUMMYFUNCTION("""COMPUTED_VALUE"""),"single selection option")</f>
        <v>single selection option</v>
      </c>
      <c r="Q15" s="73" t="str">
        <f>IFERROR(__xludf.DUMMYFUNCTION("""COMPUTED_VALUE"""),"Fahad")</f>
        <v>Fahad</v>
      </c>
    </row>
    <row r="16">
      <c r="A16" s="30" t="s">
        <v>153</v>
      </c>
      <c r="B16" s="73" t="str">
        <f>IFERROR(__xludf.DUMMYFUNCTION("""COMPUTED_VALUE"""),"Event")</f>
        <v>Event</v>
      </c>
      <c r="C16" s="73" t="str">
        <f>IFERROR(__xludf.DUMMYFUNCTION("""COMPUTED_VALUE"""),"Event")</f>
        <v>Event</v>
      </c>
      <c r="D16" s="73" t="str">
        <f>IFERROR(__xludf.DUMMYFUNCTION("""COMPUTED_VALUE"""),"Countdown on the event page is not updating.")</f>
        <v>Countdown on the event page is not updating.</v>
      </c>
      <c r="E16" s="73" t="str">
        <f>IFERROR(__xludf.DUMMYFUNCTION("""COMPUTED_VALUE"""),"User needs to access the app by downloading it onto their device.")</f>
        <v>User needs to access the app by downloading it onto their device.</v>
      </c>
      <c r="F16" s="73" t="str">
        <f>IFERROR(__xludf.DUMMYFUNCTION("""COMPUTED_VALUE"""),"1. Open treat island app
2. Signin using valid creds
3. goto home
4. Create event
5. Click on event to view")</f>
        <v>1. Open treat island app
2. Signin using valid creds
3. goto home
4. Create event
5. Click on event to view</v>
      </c>
      <c r="G16" s="73" t="str">
        <f>IFERROR(__xludf.DUMMYFUNCTION("""COMPUTED_VALUE"""),"User Creds")</f>
        <v>User Creds</v>
      </c>
      <c r="H16" s="73"/>
      <c r="I16" s="73"/>
      <c r="J16" s="73" t="str">
        <f>IFERROR(__xludf.DUMMYFUNCTION("""COMPUTED_VALUE"""),"Fail")</f>
        <v>Fail</v>
      </c>
      <c r="K16" s="73" t="str">
        <f>IFERROR(__xludf.DUMMYFUNCTION("""COMPUTED_VALUE"""),"High")</f>
        <v>High</v>
      </c>
      <c r="L16" s="74" t="str">
        <f>IFERROR(__xludf.DUMMYFUNCTION("""COMPUTED_VALUE"""),"015.jpg")</f>
        <v>015.jpg</v>
      </c>
      <c r="M16" s="73"/>
      <c r="N16" s="73"/>
      <c r="O16" s="73"/>
      <c r="P16" s="73"/>
      <c r="Q16" s="73" t="str">
        <f>IFERROR(__xludf.DUMMYFUNCTION("""COMPUTED_VALUE"""),"Fahad")</f>
        <v>Fahad</v>
      </c>
    </row>
    <row r="17">
      <c r="A17" s="30" t="s">
        <v>154</v>
      </c>
      <c r="B17" s="73" t="str">
        <f>IFERROR(__xludf.DUMMYFUNCTION("""COMPUTED_VALUE"""),"Event")</f>
        <v>Event</v>
      </c>
      <c r="C17" s="73" t="str">
        <f>IFERROR(__xludf.DUMMYFUNCTION("""COMPUTED_VALUE"""),"Event")</f>
        <v>Event</v>
      </c>
      <c r="D17" s="73" t="str">
        <f>IFERROR(__xludf.DUMMYFUNCTION("""COMPUTED_VALUE"""),"URL end point have /design on invite")</f>
        <v>URL end point have /design on invite</v>
      </c>
      <c r="E17" s="73" t="str">
        <f>IFERROR(__xludf.DUMMYFUNCTION("""COMPUTED_VALUE"""),"User needs to access the app by downloading it onto their device.")</f>
        <v>User needs to access the app by downloading it onto their device.</v>
      </c>
      <c r="F17" s="73" t="str">
        <f>IFERROR(__xludf.DUMMYFUNCTION("""COMPUTED_VALUE"""),"1. Open treat island app
2. Signin using valid creds
3. goto home
4. Create event
5. Click on event to view
6. Click on checklist and select team to fundraise")</f>
        <v>1. Open treat island app
2. Signin using valid creds
3. goto home
4. Create event
5. Click on event to view
6. Click on checklist and select team to fundraise</v>
      </c>
      <c r="G17" s="73" t="str">
        <f>IFERROR(__xludf.DUMMYFUNCTION("""COMPUTED_VALUE"""),"User Creds")</f>
        <v>User Creds</v>
      </c>
      <c r="H17" s="73"/>
      <c r="I17" s="73"/>
      <c r="J17" s="73" t="str">
        <f>IFERROR(__xludf.DUMMYFUNCTION("""COMPUTED_VALUE"""),"Fail")</f>
        <v>Fail</v>
      </c>
      <c r="K17" s="73" t="str">
        <f>IFERROR(__xludf.DUMMYFUNCTION("""COMPUTED_VALUE"""),"Medium")</f>
        <v>Medium</v>
      </c>
      <c r="L17" s="74" t="str">
        <f>IFERROR(__xludf.DUMMYFUNCTION("""COMPUTED_VALUE"""),"016.jpg")</f>
        <v>016.jpg</v>
      </c>
      <c r="M17" s="73"/>
      <c r="N17" s="73"/>
      <c r="O17" s="73"/>
      <c r="P17" s="73"/>
      <c r="Q17" s="73" t="str">
        <f>IFERROR(__xludf.DUMMYFUNCTION("""COMPUTED_VALUE"""),"Fahad")</f>
        <v>Fahad</v>
      </c>
    </row>
    <row r="18">
      <c r="A18" s="30" t="s">
        <v>155</v>
      </c>
      <c r="B18" s="73" t="str">
        <f>IFERROR(__xludf.DUMMYFUNCTION("""COMPUTED_VALUE"""),"Event")</f>
        <v>Event</v>
      </c>
      <c r="C18" s="73" t="str">
        <f>IFERROR(__xludf.DUMMYFUNCTION("""COMPUTED_VALUE"""),"Event")</f>
        <v>Event</v>
      </c>
      <c r="D18" s="73" t="str">
        <f>IFERROR(__xludf.DUMMYFUNCTION("""COMPUTED_VALUE"""),"Add payment on the event when an OTP is sent to a phone number that the user has not provided.")</f>
        <v>Add payment on the event when an OTP is sent to a phone number that the user has not provided.</v>
      </c>
      <c r="E18" s="73" t="str">
        <f>IFERROR(__xludf.DUMMYFUNCTION("""COMPUTED_VALUE"""),"User needs to access the app by downloading it onto their device.")</f>
        <v>User needs to access the app by downloading it onto their device.</v>
      </c>
      <c r="F18" s="73" t="str">
        <f>IFERROR(__xludf.DUMMYFUNCTION("""COMPUTED_VALUE"""),"1. Open treat island app
2. Signin using valid creds
3. goto home
4. Create event
5. Click on event to view
6. Click on checklist and select add payment metod")</f>
        <v>1. Open treat island app
2. Signin using valid creds
3. goto home
4. Create event
5. Click on event to view
6. Click on checklist and select add payment metod</v>
      </c>
      <c r="G18" s="73" t="str">
        <f>IFERROR(__xludf.DUMMYFUNCTION("""COMPUTED_VALUE"""),"User Creds")</f>
        <v>User Creds</v>
      </c>
      <c r="H18" s="73"/>
      <c r="I18" s="73"/>
      <c r="J18" s="73" t="str">
        <f>IFERROR(__xludf.DUMMYFUNCTION("""COMPUTED_VALUE"""),"Fail")</f>
        <v>Fail</v>
      </c>
      <c r="K18" s="73" t="str">
        <f>IFERROR(__xludf.DUMMYFUNCTION("""COMPUTED_VALUE"""),"High")</f>
        <v>High</v>
      </c>
      <c r="L18" s="74" t="str">
        <f>IFERROR(__xludf.DUMMYFUNCTION("""COMPUTED_VALUE"""),"017.jpg")</f>
        <v>017.jpg</v>
      </c>
      <c r="M18" s="73"/>
      <c r="N18" s="73"/>
      <c r="O18" s="73"/>
      <c r="P18" s="73"/>
      <c r="Q18" s="73" t="str">
        <f>IFERROR(__xludf.DUMMYFUNCTION("""COMPUTED_VALUE"""),"Fahad")</f>
        <v>Fahad</v>
      </c>
    </row>
    <row r="19">
      <c r="A19" s="30" t="s">
        <v>156</v>
      </c>
      <c r="B19" s="73" t="str">
        <f>IFERROR(__xludf.DUMMYFUNCTION("""COMPUTED_VALUE"""),"Event")</f>
        <v>Event</v>
      </c>
      <c r="C19" s="73" t="str">
        <f>IFERROR(__xludf.DUMMYFUNCTION("""COMPUTED_VALUE"""),"Event")</f>
        <v>Event</v>
      </c>
      <c r="D19" s="73" t="str">
        <f>IFERROR(__xludf.DUMMYFUNCTION("""COMPUTED_VALUE"""),"non-functional module")</f>
        <v>non-functional module</v>
      </c>
      <c r="E19" s="73" t="str">
        <f>IFERROR(__xludf.DUMMYFUNCTION("""COMPUTED_VALUE"""),"User needs to access the app by downloading it onto their device.")</f>
        <v>User needs to access the app by downloading it onto their device.</v>
      </c>
      <c r="F19" s="73" t="str">
        <f>IFERROR(__xludf.DUMMYFUNCTION("""COMPUTED_VALUE"""),"1. Open treat island app
2. Signin using valid creds
3. goto home
4. Create event
5. Click on event to view
6. Click on checklist and select invite team")</f>
        <v>1. Open treat island app
2. Signin using valid creds
3. goto home
4. Create event
5. Click on event to view
6. Click on checklist and select invite team</v>
      </c>
      <c r="G19" s="73" t="str">
        <f>IFERROR(__xludf.DUMMYFUNCTION("""COMPUTED_VALUE"""),"User Creds")</f>
        <v>User Creds</v>
      </c>
      <c r="H19" s="73"/>
      <c r="I19" s="73"/>
      <c r="J19" s="73" t="str">
        <f>IFERROR(__xludf.DUMMYFUNCTION("""COMPUTED_VALUE"""),"Fail")</f>
        <v>Fail</v>
      </c>
      <c r="K19" s="73" t="str">
        <f>IFERROR(__xludf.DUMMYFUNCTION("""COMPUTED_VALUE"""),"High")</f>
        <v>High</v>
      </c>
      <c r="L19" s="74" t="str">
        <f>IFERROR(__xludf.DUMMYFUNCTION("""COMPUTED_VALUE"""),"018.jpg")</f>
        <v>018.jpg</v>
      </c>
      <c r="M19" s="73"/>
      <c r="N19" s="73"/>
      <c r="O19" s="73"/>
      <c r="P19" s="73"/>
      <c r="Q19" s="73" t="str">
        <f>IFERROR(__xludf.DUMMYFUNCTION("""COMPUTED_VALUE"""),"Fahad")</f>
        <v>Fahad</v>
      </c>
    </row>
    <row r="20">
      <c r="A20" s="30" t="s">
        <v>157</v>
      </c>
      <c r="B20" s="73" t="str">
        <f>IFERROR(__xludf.DUMMYFUNCTION("""COMPUTED_VALUE"""),"Event")</f>
        <v>Event</v>
      </c>
      <c r="C20" s="73" t="str">
        <f>IFERROR(__xludf.DUMMYFUNCTION("""COMPUTED_VALUE"""),"Event")</f>
        <v>Event</v>
      </c>
      <c r="D20" s="73" t="str">
        <f>IFERROR(__xludf.DUMMYFUNCTION("""COMPUTED_VALUE"""),"Code contains characters but only allows numbers to be entered.")</f>
        <v>Code contains characters but only allows numbers to be entered.</v>
      </c>
      <c r="E20" s="73" t="str">
        <f>IFERROR(__xludf.DUMMYFUNCTION("""COMPUTED_VALUE"""),"User needs to access the app by downloading it onto their device.")</f>
        <v>User needs to access the app by downloading it onto their device.</v>
      </c>
      <c r="F20" s="73" t="str">
        <f>IFERROR(__xludf.DUMMYFUNCTION("""COMPUTED_VALUE"""),"1. Open treat island app
2. Signin using valid creds
3. goto home
4. Click on Enter event code")</f>
        <v>1. Open treat island app
2. Signin using valid creds
3. goto home
4. Click on Enter event code</v>
      </c>
      <c r="G20" s="73" t="str">
        <f>IFERROR(__xludf.DUMMYFUNCTION("""COMPUTED_VALUE"""),"User Creds")</f>
        <v>User Creds</v>
      </c>
      <c r="H20" s="73"/>
      <c r="I20" s="73"/>
      <c r="J20" s="73" t="str">
        <f>IFERROR(__xludf.DUMMYFUNCTION("""COMPUTED_VALUE"""),"Fail")</f>
        <v>Fail</v>
      </c>
      <c r="K20" s="73" t="str">
        <f>IFERROR(__xludf.DUMMYFUNCTION("""COMPUTED_VALUE"""),"High")</f>
        <v>High</v>
      </c>
      <c r="L20" s="74" t="str">
        <f>IFERROR(__xludf.DUMMYFUNCTION("""COMPUTED_VALUE"""),"019.jpg")</f>
        <v>019.jpg</v>
      </c>
      <c r="M20" s="73"/>
      <c r="N20" s="73"/>
      <c r="O20" s="73"/>
      <c r="P20" s="73"/>
      <c r="Q20" s="73" t="str">
        <f>IFERROR(__xludf.DUMMYFUNCTION("""COMPUTED_VALUE"""),"Fahad")</f>
        <v>Fahad</v>
      </c>
    </row>
    <row r="21">
      <c r="A21" s="30" t="s">
        <v>158</v>
      </c>
      <c r="B21" s="73" t="str">
        <f>IFERROR(__xludf.DUMMYFUNCTION("""COMPUTED_VALUE"""),"Event")</f>
        <v>Event</v>
      </c>
      <c r="C21" s="73" t="str">
        <f>IFERROR(__xludf.DUMMYFUNCTION("""COMPUTED_VALUE"""),"Event")</f>
        <v>Event</v>
      </c>
      <c r="D21" s="73" t="str">
        <f>IFERROR(__xludf.DUMMYFUNCTION("""COMPUTED_VALUE"""),"Provided token is invalid.")</f>
        <v>Provided token is invalid.</v>
      </c>
      <c r="E21" s="73" t="str">
        <f>IFERROR(__xludf.DUMMYFUNCTION("""COMPUTED_VALUE"""),"User needs to access the app by downloading it onto their device.")</f>
        <v>User needs to access the app by downloading it onto their device.</v>
      </c>
      <c r="F21" s="73" t="str">
        <f>IFERROR(__xludf.DUMMYFUNCTION("""COMPUTED_VALUE"""),"1. Open treat island app
2. Signin using valid creds
3. goto home
4. Create event")</f>
        <v>1. Open treat island app
2. Signin using valid creds
3. goto home
4. Create event</v>
      </c>
      <c r="G21" s="73" t="str">
        <f>IFERROR(__xludf.DUMMYFUNCTION("""COMPUTED_VALUE"""),"User Creds")</f>
        <v>User Creds</v>
      </c>
      <c r="H21" s="73"/>
      <c r="I21" s="73"/>
      <c r="J21" s="73" t="str">
        <f>IFERROR(__xludf.DUMMYFUNCTION("""COMPUTED_VALUE"""),"Fail")</f>
        <v>Fail</v>
      </c>
      <c r="K21" s="73" t="str">
        <f>IFERROR(__xludf.DUMMYFUNCTION("""COMPUTED_VALUE"""),"High")</f>
        <v>High</v>
      </c>
      <c r="L21" s="74" t="str">
        <f>IFERROR(__xludf.DUMMYFUNCTION("""COMPUTED_VALUE"""),"020.jpg")</f>
        <v>020.jpg</v>
      </c>
      <c r="M21" s="73"/>
      <c r="N21" s="73"/>
      <c r="O21" s="73"/>
      <c r="P21" s="73"/>
      <c r="Q21" s="73" t="str">
        <f>IFERROR(__xludf.DUMMYFUNCTION("""COMPUTED_VALUE"""),"Fahad")</f>
        <v>Fahad</v>
      </c>
    </row>
    <row r="22">
      <c r="A22" s="30" t="s">
        <v>159</v>
      </c>
      <c r="B22" s="73" t="str">
        <f>IFERROR(__xludf.DUMMYFUNCTION("""COMPUTED_VALUE"""),"Home")</f>
        <v>Home</v>
      </c>
      <c r="C22" s="73" t="str">
        <f>IFERROR(__xludf.DUMMYFUNCTION("""COMPUTED_VALUE"""),"Home")</f>
        <v>Home</v>
      </c>
      <c r="D22" s="73" t="str">
        <f>IFERROR(__xludf.DUMMYFUNCTION("""COMPUTED_VALUE"""),"Can set number as username")</f>
        <v>Can set number as username</v>
      </c>
      <c r="E22" s="73" t="str">
        <f>IFERROR(__xludf.DUMMYFUNCTION("""COMPUTED_VALUE"""),"User needs to access the app by downloading it onto their device.")</f>
        <v>User needs to access the app by downloading it onto their device.</v>
      </c>
      <c r="F22" s="73" t="str">
        <f>IFERROR(__xludf.DUMMYFUNCTION("""COMPUTED_VALUE"""),"1. Open treat island app
2. Click on signup
3. Receive OTP
4. Set user name")</f>
        <v>1. Open treat island app
2. Click on signup
3. Receive OTP
4. Set user name</v>
      </c>
      <c r="G22" s="73" t="str">
        <f>IFERROR(__xludf.DUMMYFUNCTION("""COMPUTED_VALUE"""),"User Creds")</f>
        <v>User Creds</v>
      </c>
      <c r="H22" s="73" t="str">
        <f>IFERROR(__xludf.DUMMYFUNCTION("""COMPUTED_VALUE"""),"Usernames should consist only of letters or a combination of letters and numbers.")</f>
        <v>Usernames should consist only of letters or a combination of letters and numbers.</v>
      </c>
      <c r="I22" s="73" t="str">
        <f>IFERROR(__xludf.DUMMYFUNCTION("""COMPUTED_VALUE"""),"Can be set using only numbers.")</f>
        <v>Can be set using only numbers.</v>
      </c>
      <c r="J22" s="73" t="str">
        <f>IFERROR(__xludf.DUMMYFUNCTION("""COMPUTED_VALUE"""),"Fail")</f>
        <v>Fail</v>
      </c>
      <c r="K22" s="73" t="str">
        <f>IFERROR(__xludf.DUMMYFUNCTION("""COMPUTED_VALUE"""),"Medium")</f>
        <v>Medium</v>
      </c>
      <c r="L22" s="74" t="str">
        <f>IFERROR(__xludf.DUMMYFUNCTION("""COMPUTED_VALUE"""),"004.jpg")</f>
        <v>004.jpg</v>
      </c>
      <c r="M22" s="73"/>
      <c r="N22" s="73" t="str">
        <f>IFERROR(__xludf.DUMMYFUNCTION("""COMPUTED_VALUE"""),"Solved")</f>
        <v>Solved</v>
      </c>
      <c r="O22" s="73" t="str">
        <f>IFERROR(__xludf.DUMMYFUNCTION("""COMPUTED_VALUE"""),"Front-End")</f>
        <v>Front-End</v>
      </c>
      <c r="P22" s="73"/>
      <c r="Q22" s="73" t="str">
        <f>IFERROR(__xludf.DUMMYFUNCTION("""COMPUTED_VALUE"""),"Fahad")</f>
        <v>Fahad</v>
      </c>
    </row>
    <row r="23">
      <c r="A23" s="30" t="s">
        <v>160</v>
      </c>
      <c r="B23" s="73" t="str">
        <f>IFERROR(__xludf.DUMMYFUNCTION("""COMPUTED_VALUE"""),"Home")</f>
        <v>Home</v>
      </c>
      <c r="C23" s="73" t="str">
        <f>IFERROR(__xludf.DUMMYFUNCTION("""COMPUTED_VALUE"""),"Home")</f>
        <v>Home</v>
      </c>
      <c r="D23" s="73" t="str">
        <f>IFERROR(__xludf.DUMMYFUNCTION("""COMPUTED_VALUE"""),"Footer button congested ")</f>
        <v>Footer button congested </v>
      </c>
      <c r="E23" s="73" t="str">
        <f>IFERROR(__xludf.DUMMYFUNCTION("""COMPUTED_VALUE"""),"User needs to access the app by downloading it onto their device.")</f>
        <v>User needs to access the app by downloading it onto their device.</v>
      </c>
      <c r="F23" s="73" t="str">
        <f>IFERROR(__xludf.DUMMYFUNCTION("""COMPUTED_VALUE"""),"1. Open treat island app
2. Signin using valid creds
3. goto home")</f>
        <v>1. Open treat island app
2. Signin using valid creds
3. goto home</v>
      </c>
      <c r="G23" s="73" t="str">
        <f>IFERROR(__xludf.DUMMYFUNCTION("""COMPUTED_VALUE"""),"User Creds")</f>
        <v>User Creds</v>
      </c>
      <c r="H23" s="73" t="str">
        <f>IFERROR(__xludf.DUMMYFUNCTION("""COMPUTED_VALUE"""),"Route button should remain uncluttered.")</f>
        <v>Route button should remain uncluttered.</v>
      </c>
      <c r="I23" s="73" t="str">
        <f>IFERROR(__xludf.DUMMYFUNCTION("""COMPUTED_VALUE"""),"Congested route button has been spotted.")</f>
        <v>Congested route button has been spotted.</v>
      </c>
      <c r="J23" s="73" t="str">
        <f>IFERROR(__xludf.DUMMYFUNCTION("""COMPUTED_VALUE"""),"Fail")</f>
        <v>Fail</v>
      </c>
      <c r="K23" s="73" t="str">
        <f>IFERROR(__xludf.DUMMYFUNCTION("""COMPUTED_VALUE"""),"Medium")</f>
        <v>Medium</v>
      </c>
      <c r="L23" s="74" t="str">
        <f>IFERROR(__xludf.DUMMYFUNCTION("""COMPUTED_VALUE"""),"005.jpg")</f>
        <v>005.jpg</v>
      </c>
      <c r="M23" s="73"/>
      <c r="N23" s="73" t="str">
        <f>IFERROR(__xludf.DUMMYFUNCTION("""COMPUTED_VALUE"""),"Solved")</f>
        <v>Solved</v>
      </c>
      <c r="O23" s="73" t="str">
        <f>IFERROR(__xludf.DUMMYFUNCTION("""COMPUTED_VALUE"""),"Front-End")</f>
        <v>Front-End</v>
      </c>
      <c r="P23" s="73"/>
      <c r="Q23" s="73" t="str">
        <f>IFERROR(__xludf.DUMMYFUNCTION("""COMPUTED_VALUE"""),"Fahad")</f>
        <v>Fahad</v>
      </c>
    </row>
    <row r="24">
      <c r="A24" s="30" t="s">
        <v>161</v>
      </c>
      <c r="B24" s="73" t="str">
        <f>IFERROR(__xludf.DUMMYFUNCTION("""COMPUTED_VALUE"""),"Login")</f>
        <v>Login</v>
      </c>
      <c r="C24" s="73" t="str">
        <f>IFERROR(__xludf.DUMMYFUNCTION("""COMPUTED_VALUE"""),"Login")</f>
        <v>Login</v>
      </c>
      <c r="D24" s="73" t="str">
        <f>IFERROR(__xludf.DUMMYFUNCTION("""COMPUTED_VALUE"""),"Forgot password feature isn’t working.")</f>
        <v>Forgot password feature isn’t working.</v>
      </c>
      <c r="E24" s="73" t="str">
        <f>IFERROR(__xludf.DUMMYFUNCTION("""COMPUTED_VALUE"""),"User needs to access the app by downloading it onto their device.")</f>
        <v>User needs to access the app by downloading it onto their device.</v>
      </c>
      <c r="F24" s="73" t="str">
        <f>IFERROR(__xludf.DUMMYFUNCTION("""COMPUTED_VALUE"""),"1. Open treat island app")</f>
        <v>1. Open treat island app</v>
      </c>
      <c r="G24" s="73" t="str">
        <f>IFERROR(__xludf.DUMMYFUNCTION("""COMPUTED_VALUE"""),"N/A")</f>
        <v>N/A</v>
      </c>
      <c r="H24" s="73"/>
      <c r="I24" s="73"/>
      <c r="J24" s="73" t="str">
        <f>IFERROR(__xludf.DUMMYFUNCTION("""COMPUTED_VALUE"""),"Fail")</f>
        <v>Fail</v>
      </c>
      <c r="K24" s="73" t="str">
        <f>IFERROR(__xludf.DUMMYFUNCTION("""COMPUTED_VALUE"""),"High")</f>
        <v>High</v>
      </c>
      <c r="L24" s="74" t="str">
        <f>IFERROR(__xludf.DUMMYFUNCTION("""COMPUTED_VALUE"""),"009.jpg")</f>
        <v>009.jpg</v>
      </c>
      <c r="M24" s="73"/>
      <c r="N24" s="73"/>
      <c r="O24" s="73"/>
      <c r="P24" s="73"/>
      <c r="Q24" s="73" t="str">
        <f>IFERROR(__xludf.DUMMYFUNCTION("""COMPUTED_VALUE"""),"Fahad")</f>
        <v>Fahad</v>
      </c>
    </row>
    <row r="25">
      <c r="A25" s="30" t="s">
        <v>162</v>
      </c>
      <c r="B25" s="73" t="str">
        <f>IFERROR(__xludf.DUMMYFUNCTION("""COMPUTED_VALUE"""),"OTP")</f>
        <v>OTP</v>
      </c>
      <c r="C25" s="73" t="str">
        <f>IFERROR(__xludf.DUMMYFUNCTION("""COMPUTED_VALUE"""),"OTP")</f>
        <v>OTP</v>
      </c>
      <c r="D25" s="73" t="str">
        <f>IFERROR(__xludf.DUMMYFUNCTION("""COMPUTED_VALUE"""),"Code was sent to the provided email but appeared as if it was sent to a phone number.")</f>
        <v>Code was sent to the provided email but appeared as if it was sent to a phone number.</v>
      </c>
      <c r="E25" s="73" t="str">
        <f>IFERROR(__xludf.DUMMYFUNCTION("""COMPUTED_VALUE"""),"User needs to access the app by downloading it onto their device.")</f>
        <v>User needs to access the app by downloading it onto their device.</v>
      </c>
      <c r="F25" s="73" t="str">
        <f>IFERROR(__xludf.DUMMYFUNCTION("""COMPUTED_VALUE"""),"1. Open treat island app
2. Click on signup")</f>
        <v>1. Open treat island app
2. Click on signup</v>
      </c>
      <c r="G25" s="73" t="str">
        <f>IFERROR(__xludf.DUMMYFUNCTION("""COMPUTED_VALUE"""),"N/A")</f>
        <v>N/A</v>
      </c>
      <c r="H25" s="73" t="str">
        <f>IFERROR(__xludf.DUMMYFUNCTION("""COMPUTED_VALUE"""),"Should be displayed email address where the OTP was sent.")</f>
        <v>Should be displayed email address where the OTP was sent.</v>
      </c>
      <c r="I25" s="73" t="str">
        <f>IFERROR(__xludf.DUMMYFUNCTION("""COMPUTED_VALUE"""),"Displays a random number and mentions that an OTP was sent to it.")</f>
        <v>Displays a random number and mentions that an OTP was sent to it.</v>
      </c>
      <c r="J25" s="73" t="str">
        <f>IFERROR(__xludf.DUMMYFUNCTION("""COMPUTED_VALUE"""),"Fail")</f>
        <v>Fail</v>
      </c>
      <c r="K25" s="73" t="str">
        <f>IFERROR(__xludf.DUMMYFUNCTION("""COMPUTED_VALUE"""),"High")</f>
        <v>High</v>
      </c>
      <c r="L25" s="74" t="str">
        <f>IFERROR(__xludf.DUMMYFUNCTION("""COMPUTED_VALUE"""),"002.jpg")</f>
        <v>002.jpg</v>
      </c>
      <c r="M25" s="73"/>
      <c r="N25" s="73" t="str">
        <f>IFERROR(__xludf.DUMMYFUNCTION("""COMPUTED_VALUE"""),"Solved")</f>
        <v>Solved</v>
      </c>
      <c r="O25" s="73" t="str">
        <f>IFERROR(__xludf.DUMMYFUNCTION("""COMPUTED_VALUE"""),"Front-End")</f>
        <v>Front-End</v>
      </c>
      <c r="P25" s="73"/>
      <c r="Q25" s="73" t="str">
        <f>IFERROR(__xludf.DUMMYFUNCTION("""COMPUTED_VALUE"""),"Fahad")</f>
        <v>Fahad</v>
      </c>
    </row>
    <row r="26">
      <c r="A26" s="30" t="s">
        <v>163</v>
      </c>
      <c r="B26" s="73" t="str">
        <f>IFERROR(__xludf.DUMMYFUNCTION("""COMPUTED_VALUE"""),"OTP")</f>
        <v>OTP</v>
      </c>
      <c r="C26" s="73" t="str">
        <f>IFERROR(__xludf.DUMMYFUNCTION("""COMPUTED_VALUE"""),"OTP")</f>
        <v>OTP</v>
      </c>
      <c r="D26" s="73" t="str">
        <f>IFERROR(__xludf.DUMMYFUNCTION("""COMPUTED_VALUE"""),"OTP content in the email body is plain.")</f>
        <v>OTP content in the email body is plain.</v>
      </c>
      <c r="E26" s="73" t="str">
        <f>IFERROR(__xludf.DUMMYFUNCTION("""COMPUTED_VALUE"""),"User needs to access the app by downloading it onto their device.")</f>
        <v>User needs to access the app by downloading it onto their device.</v>
      </c>
      <c r="F26" s="73" t="str">
        <f>IFERROR(__xludf.DUMMYFUNCTION("""COMPUTED_VALUE"""),"1. Open treat island app
2. Click on signup
3. Receive OTP")</f>
        <v>1. Open treat island app
2. Click on signup
3. Receive OTP</v>
      </c>
      <c r="G26" s="73" t="str">
        <f>IFERROR(__xludf.DUMMYFUNCTION("""COMPUTED_VALUE"""),"User Creds")</f>
        <v>User Creds</v>
      </c>
      <c r="H26" s="73" t="str">
        <f>IFERROR(__xludf.DUMMYFUNCTION("""COMPUTED_VALUE"""),"OTP email body should include more information than just the plain OTP message.")</f>
        <v>OTP email body should include more information than just the plain OTP message.</v>
      </c>
      <c r="I26" s="73" t="str">
        <f>IFERROR(__xludf.DUMMYFUNCTION("""COMPUTED_VALUE"""),"Plain OTP message has been spotted.")</f>
        <v>Plain OTP message has been spotted.</v>
      </c>
      <c r="J26" s="73" t="str">
        <f>IFERROR(__xludf.DUMMYFUNCTION("""COMPUTED_VALUE"""),"Fail")</f>
        <v>Fail</v>
      </c>
      <c r="K26" s="73" t="str">
        <f>IFERROR(__xludf.DUMMYFUNCTION("""COMPUTED_VALUE"""),"Low")</f>
        <v>Low</v>
      </c>
      <c r="L26" s="74" t="str">
        <f>IFERROR(__xludf.DUMMYFUNCTION("""COMPUTED_VALUE"""),"003.png")</f>
        <v>003.png</v>
      </c>
      <c r="M26" s="73"/>
      <c r="N26" s="73" t="str">
        <f>IFERROR(__xludf.DUMMYFUNCTION("""COMPUTED_VALUE"""),"Solved")</f>
        <v>Solved</v>
      </c>
      <c r="O26" s="73" t="str">
        <f>IFERROR(__xludf.DUMMYFUNCTION("""COMPUTED_VALUE"""),"Back-End")</f>
        <v>Back-End</v>
      </c>
      <c r="P26" s="73" t="str">
        <f>IFERROR(__xludf.DUMMYFUNCTION("""COMPUTED_VALUE"""),"Solved")</f>
        <v>Solved</v>
      </c>
      <c r="Q26" s="73" t="str">
        <f>IFERROR(__xludf.DUMMYFUNCTION("""COMPUTED_VALUE"""),"Fahad")</f>
        <v>Fahad</v>
      </c>
    </row>
    <row r="27">
      <c r="A27" s="30" t="s">
        <v>164</v>
      </c>
      <c r="B27" s="73" t="str">
        <f>IFERROR(__xludf.DUMMYFUNCTION("""COMPUTED_VALUE"""),"Profile")</f>
        <v>Profile</v>
      </c>
      <c r="C27" s="73" t="str">
        <f>IFERROR(__xludf.DUMMYFUNCTION("""COMPUTED_VALUE"""),"Profile")</f>
        <v>Profile</v>
      </c>
      <c r="D27" s="73" t="str">
        <f>IFERROR(__xludf.DUMMYFUNCTION("""COMPUTED_VALUE"""),"UI layout is different from the Figma design.")</f>
        <v>UI layout is different from the Figma design.</v>
      </c>
      <c r="E27" s="73" t="str">
        <f>IFERROR(__xludf.DUMMYFUNCTION("""COMPUTED_VALUE"""),"User needs to access the app by downloading it onto their device.")</f>
        <v>User needs to access the app by downloading it onto their device.</v>
      </c>
      <c r="F27" s="73" t="str">
        <f>IFERROR(__xludf.DUMMYFUNCTION("""COMPUTED_VALUE"""),"1. Open treat island app
2. Signin using valid creds
3. goto home
4. Click on profile icon in option")</f>
        <v>1. Open treat island app
2. Signin using valid creds
3. goto home
4. Click on profile icon in option</v>
      </c>
      <c r="G27" s="73" t="str">
        <f>IFERROR(__xludf.DUMMYFUNCTION("""COMPUTED_VALUE"""),"User Creds")</f>
        <v>User Creds</v>
      </c>
      <c r="H27" s="73"/>
      <c r="I27" s="73"/>
      <c r="J27" s="73" t="str">
        <f>IFERROR(__xludf.DUMMYFUNCTION("""COMPUTED_VALUE"""),"Fail")</f>
        <v>Fail</v>
      </c>
      <c r="K27" s="73" t="str">
        <f>IFERROR(__xludf.DUMMYFUNCTION("""COMPUTED_VALUE"""),"Medium")</f>
        <v>Medium</v>
      </c>
      <c r="L27" s="74" t="str">
        <f>IFERROR(__xludf.DUMMYFUNCTION("""COMPUTED_VALUE"""),"010.jpg")</f>
        <v>010.jpg</v>
      </c>
      <c r="M27" s="73"/>
      <c r="N27" s="73"/>
      <c r="O27" s="73"/>
      <c r="P27" s="73"/>
      <c r="Q27" s="73" t="str">
        <f>IFERROR(__xludf.DUMMYFUNCTION("""COMPUTED_VALUE"""),"Fahad")</f>
        <v>Fahad</v>
      </c>
    </row>
    <row r="28">
      <c r="A28" s="30" t="s">
        <v>165</v>
      </c>
      <c r="B28" s="73" t="str">
        <f>IFERROR(__xludf.DUMMYFUNCTION("""COMPUTED_VALUE"""),"Profile")</f>
        <v>Profile</v>
      </c>
      <c r="C28" s="73" t="str">
        <f>IFERROR(__xludf.DUMMYFUNCTION("""COMPUTED_VALUE"""),"Profile")</f>
        <v>Profile</v>
      </c>
      <c r="D28" s="73" t="str">
        <f>IFERROR(__xludf.DUMMYFUNCTION("""COMPUTED_VALUE"""),"Help Center option isn’t working.")</f>
        <v>Help Center option isn’t working.</v>
      </c>
      <c r="E28" s="73" t="str">
        <f>IFERROR(__xludf.DUMMYFUNCTION("""COMPUTED_VALUE"""),"User needs to access the app by downloading it onto their device.")</f>
        <v>User needs to access the app by downloading it onto their device.</v>
      </c>
      <c r="F28" s="73" t="str">
        <f>IFERROR(__xludf.DUMMYFUNCTION("""COMPUTED_VALUE"""),"1. Open treat island app
2. Signin using valid creds
3. goto home
4. Click on profile icon in option")</f>
        <v>1. Open treat island app
2. Signin using valid creds
3. goto home
4. Click on profile icon in option</v>
      </c>
      <c r="G28" s="73" t="str">
        <f>IFERROR(__xludf.DUMMYFUNCTION("""COMPUTED_VALUE"""),"User Creds")</f>
        <v>User Creds</v>
      </c>
      <c r="H28" s="73"/>
      <c r="I28" s="73"/>
      <c r="J28" s="73" t="str">
        <f>IFERROR(__xludf.DUMMYFUNCTION("""COMPUTED_VALUE"""),"Fail")</f>
        <v>Fail</v>
      </c>
      <c r="K28" s="73" t="str">
        <f>IFERROR(__xludf.DUMMYFUNCTION("""COMPUTED_VALUE"""),"High")</f>
        <v>High</v>
      </c>
      <c r="L28" s="74" t="str">
        <f>IFERROR(__xludf.DUMMYFUNCTION("""COMPUTED_VALUE"""),"011.jpg")</f>
        <v>011.jpg</v>
      </c>
      <c r="M28" s="73"/>
      <c r="N28" s="73"/>
      <c r="O28" s="73"/>
      <c r="P28" s="73"/>
      <c r="Q28" s="73" t="str">
        <f>IFERROR(__xludf.DUMMYFUNCTION("""COMPUTED_VALUE"""),"Fahad")</f>
        <v>Fahad</v>
      </c>
    </row>
    <row r="29">
      <c r="A29" s="30" t="s">
        <v>166</v>
      </c>
      <c r="B29" s="73" t="str">
        <f>IFERROR(__xludf.DUMMYFUNCTION("""COMPUTED_VALUE"""),"Signup")</f>
        <v>Signup</v>
      </c>
      <c r="C29" s="73" t="str">
        <f>IFERROR(__xludf.DUMMYFUNCTION("""COMPUTED_VALUE"""),"Signup")</f>
        <v>Signup</v>
      </c>
      <c r="D29" s="73" t="str">
        <f>IFERROR(__xludf.DUMMYFUNCTION("""COMPUTED_VALUE"""),"Can sign up with a password shorter than 8 digits. ")</f>
        <v>Can sign up with a password shorter than 8 digits. </v>
      </c>
      <c r="E29" s="73" t="str">
        <f>IFERROR(__xludf.DUMMYFUNCTION("""COMPUTED_VALUE"""),"User needs to access the app by downloading it onto their device.")</f>
        <v>User needs to access the app by downloading it onto their device.</v>
      </c>
      <c r="F29" s="73" t="str">
        <f>IFERROR(__xludf.DUMMYFUNCTION("""COMPUTED_VALUE"""),"1. Open treat island app")</f>
        <v>1. Open treat island app</v>
      </c>
      <c r="G29" s="73" t="str">
        <f>IFERROR(__xludf.DUMMYFUNCTION("""COMPUTED_VALUE"""),"N/A")</f>
        <v>N/A</v>
      </c>
      <c r="H29" s="73" t="str">
        <f>IFERROR(__xludf.DUMMYFUNCTION("""COMPUTED_VALUE"""),"Strong password generator should be displayed to guide the user in creating a secure password.")</f>
        <v>Strong password generator should be displayed to guide the user in creating a secure password.</v>
      </c>
      <c r="I29" s="73" t="str">
        <f>IFERROR(__xludf.DUMMYFUNCTION("""COMPUTED_VALUE"""),"Can set up an account with a weak password.")</f>
        <v>Can set up an account with a weak password.</v>
      </c>
      <c r="J29" s="73" t="str">
        <f>IFERROR(__xludf.DUMMYFUNCTION("""COMPUTED_VALUE"""),"Fail")</f>
        <v>Fail</v>
      </c>
      <c r="K29" s="73" t="str">
        <f>IFERROR(__xludf.DUMMYFUNCTION("""COMPUTED_VALUE"""),"High")</f>
        <v>High</v>
      </c>
      <c r="L29" s="74" t="str">
        <f>IFERROR(__xludf.DUMMYFUNCTION("""COMPUTED_VALUE"""),"001.jpg")</f>
        <v>001.jpg</v>
      </c>
      <c r="M29" s="73"/>
      <c r="N29" s="73" t="str">
        <f>IFERROR(__xludf.DUMMYFUNCTION("""COMPUTED_VALUE"""),"Solved")</f>
        <v>Solved</v>
      </c>
      <c r="O29" s="73" t="str">
        <f>IFERROR(__xludf.DUMMYFUNCTION("""COMPUTED_VALUE"""),"Front-End")</f>
        <v>Front-End</v>
      </c>
      <c r="P29" s="73" t="str">
        <f>IFERROR(__xludf.DUMMYFUNCTION("""COMPUTED_VALUE"""),"solved")</f>
        <v>solved</v>
      </c>
      <c r="Q29" s="73" t="str">
        <f>IFERROR(__xludf.DUMMYFUNCTION("""COMPUTED_VALUE"""),"Fahad")</f>
        <v>Fahad</v>
      </c>
    </row>
    <row r="30">
      <c r="A30" s="30" t="s">
        <v>167</v>
      </c>
      <c r="B30" s="73" t="str">
        <f>IFERROR(__xludf.DUMMYFUNCTION("""COMPUTED_VALUE"""),"Signup")</f>
        <v>Signup</v>
      </c>
      <c r="C30" s="73" t="str">
        <f>IFERROR(__xludf.DUMMYFUNCTION("""COMPUTED_VALUE"""),"Signup")</f>
        <v>Signup</v>
      </c>
      <c r="D30" s="73" t="str">
        <f>IFERROR(__xludf.DUMMYFUNCTION("""COMPUTED_VALUE"""),"Alignment issue has been noticed ")</f>
        <v>Alignment issue has been noticed </v>
      </c>
      <c r="E30" s="73" t="str">
        <f>IFERROR(__xludf.DUMMYFUNCTION("""COMPUTED_VALUE"""),"User needs to access the app by downloading it onto their device.")</f>
        <v>User needs to access the app by downloading it onto their device.</v>
      </c>
      <c r="F30" s="73" t="str">
        <f>IFERROR(__xludf.DUMMYFUNCTION("""COMPUTED_VALUE"""),"1. Open treat island app
2. Click on signup")</f>
        <v>1. Open treat island app
2. Click on signup</v>
      </c>
      <c r="G30" s="73" t="str">
        <f>IFERROR(__xludf.DUMMYFUNCTION("""COMPUTED_VALUE"""),"N/A")</f>
        <v>N/A</v>
      </c>
      <c r="H30" s="73" t="str">
        <f>IFERROR(__xludf.DUMMYFUNCTION("""COMPUTED_VALUE"""),"Alignment should match the Figma design.")</f>
        <v>Alignment should match the Figma design.</v>
      </c>
      <c r="I30" s="73" t="str">
        <f>IFERROR(__xludf.DUMMYFUNCTION("""COMPUTED_VALUE"""),"An alignment mismatch has been noticed")</f>
        <v>An alignment mismatch has been noticed</v>
      </c>
      <c r="J30" s="73" t="str">
        <f>IFERROR(__xludf.DUMMYFUNCTION("""COMPUTED_VALUE"""),"Fail")</f>
        <v>Fail</v>
      </c>
      <c r="K30" s="73" t="str">
        <f>IFERROR(__xludf.DUMMYFUNCTION("""COMPUTED_VALUE"""),"Medium")</f>
        <v>Medium</v>
      </c>
      <c r="L30" s="74" t="str">
        <f>IFERROR(__xludf.DUMMYFUNCTION("""COMPUTED_VALUE"""),"008.jpg")</f>
        <v>008.jpg</v>
      </c>
      <c r="M30" s="73"/>
      <c r="N30" s="73"/>
      <c r="O30" s="73"/>
      <c r="P30" s="73"/>
      <c r="Q30" s="73" t="str">
        <f>IFERROR(__xludf.DUMMYFUNCTION("""COMPUTED_VALUE"""),"Fahad")</f>
        <v>Fahad</v>
      </c>
    </row>
    <row r="31">
      <c r="A31" s="30" t="s">
        <v>168</v>
      </c>
      <c r="B31" s="73"/>
      <c r="C31" s="73"/>
      <c r="D31" s="73"/>
      <c r="E31" s="73"/>
      <c r="F31" s="73"/>
      <c r="G31" s="73"/>
      <c r="H31" s="73"/>
      <c r="I31" s="73"/>
      <c r="J31" s="73"/>
      <c r="K31" s="73"/>
      <c r="L31" s="73"/>
      <c r="M31" s="73"/>
      <c r="N31" s="73"/>
      <c r="O31" s="73"/>
      <c r="P31" s="73"/>
      <c r="Q31" s="73"/>
    </row>
    <row r="32">
      <c r="A32" s="30" t="s">
        <v>168</v>
      </c>
      <c r="B32" s="73"/>
      <c r="C32" s="73"/>
      <c r="D32" s="73"/>
      <c r="E32" s="73"/>
      <c r="F32" s="73"/>
      <c r="G32" s="73"/>
      <c r="H32" s="73"/>
      <c r="I32" s="73"/>
      <c r="J32" s="73"/>
      <c r="K32" s="73"/>
      <c r="L32" s="73"/>
      <c r="M32" s="73"/>
      <c r="N32" s="73"/>
      <c r="O32" s="73"/>
      <c r="P32" s="73"/>
      <c r="Q32" s="73"/>
    </row>
    <row r="33">
      <c r="A33" s="30" t="s">
        <v>168</v>
      </c>
      <c r="B33" s="73"/>
      <c r="C33" s="73"/>
      <c r="D33" s="73"/>
      <c r="E33" s="73"/>
      <c r="F33" s="73"/>
      <c r="G33" s="73"/>
      <c r="H33" s="73"/>
      <c r="I33" s="73"/>
      <c r="J33" s="73"/>
      <c r="K33" s="73"/>
      <c r="L33" s="73"/>
      <c r="M33" s="73"/>
      <c r="N33" s="73"/>
      <c r="O33" s="73"/>
      <c r="P33" s="73"/>
      <c r="Q33" s="73"/>
    </row>
    <row r="34">
      <c r="A34" s="30" t="s">
        <v>168</v>
      </c>
      <c r="B34" s="73"/>
      <c r="C34" s="73"/>
      <c r="D34" s="73"/>
      <c r="E34" s="73"/>
      <c r="F34" s="73"/>
      <c r="G34" s="73"/>
      <c r="H34" s="73"/>
      <c r="I34" s="73"/>
      <c r="J34" s="73"/>
      <c r="K34" s="73"/>
      <c r="L34" s="73"/>
      <c r="M34" s="73"/>
      <c r="N34" s="73"/>
      <c r="O34" s="73"/>
      <c r="P34" s="73"/>
      <c r="Q34" s="73"/>
    </row>
    <row r="35">
      <c r="A35" s="30" t="s">
        <v>168</v>
      </c>
      <c r="B35" s="73"/>
      <c r="C35" s="73"/>
      <c r="D35" s="73"/>
      <c r="E35" s="73"/>
      <c r="F35" s="73"/>
      <c r="G35" s="73"/>
      <c r="H35" s="73"/>
      <c r="I35" s="73"/>
      <c r="J35" s="73"/>
      <c r="K35" s="73"/>
      <c r="L35" s="73"/>
      <c r="M35" s="73"/>
      <c r="N35" s="73"/>
      <c r="O35" s="73"/>
      <c r="P35" s="73"/>
      <c r="Q35" s="73"/>
    </row>
    <row r="36">
      <c r="A36" s="30" t="s">
        <v>168</v>
      </c>
      <c r="B36" s="73"/>
      <c r="C36" s="73"/>
      <c r="D36" s="73"/>
      <c r="E36" s="73"/>
      <c r="F36" s="73"/>
      <c r="G36" s="73"/>
      <c r="H36" s="73"/>
      <c r="I36" s="73"/>
      <c r="J36" s="73"/>
      <c r="K36" s="73"/>
      <c r="L36" s="73"/>
      <c r="M36" s="73"/>
      <c r="N36" s="73"/>
      <c r="O36" s="73"/>
      <c r="P36" s="73"/>
      <c r="Q36" s="73"/>
    </row>
    <row r="37">
      <c r="A37" s="30" t="s">
        <v>168</v>
      </c>
      <c r="B37" s="73"/>
      <c r="C37" s="73"/>
      <c r="D37" s="73"/>
      <c r="E37" s="73"/>
      <c r="F37" s="73"/>
      <c r="G37" s="73"/>
      <c r="H37" s="73"/>
      <c r="I37" s="73"/>
      <c r="J37" s="73"/>
      <c r="K37" s="73"/>
      <c r="L37" s="73"/>
      <c r="M37" s="73"/>
      <c r="N37" s="73"/>
      <c r="O37" s="73"/>
      <c r="P37" s="73"/>
      <c r="Q37" s="73"/>
    </row>
    <row r="38">
      <c r="A38" s="30" t="s">
        <v>168</v>
      </c>
      <c r="B38" s="73"/>
      <c r="C38" s="73"/>
      <c r="D38" s="73"/>
      <c r="E38" s="73"/>
      <c r="F38" s="73"/>
      <c r="G38" s="73"/>
      <c r="H38" s="73"/>
      <c r="I38" s="73"/>
      <c r="J38" s="73"/>
      <c r="K38" s="73"/>
      <c r="L38" s="73"/>
      <c r="M38" s="73"/>
      <c r="N38" s="73"/>
      <c r="O38" s="73"/>
      <c r="P38" s="73"/>
      <c r="Q38" s="73"/>
    </row>
    <row r="39">
      <c r="A39" s="30" t="s">
        <v>168</v>
      </c>
      <c r="B39" s="73"/>
      <c r="C39" s="73"/>
      <c r="D39" s="73"/>
      <c r="E39" s="73"/>
      <c r="F39" s="73"/>
      <c r="G39" s="73"/>
      <c r="H39" s="73"/>
      <c r="I39" s="73"/>
      <c r="J39" s="73"/>
      <c r="K39" s="73"/>
      <c r="L39" s="73"/>
      <c r="M39" s="73"/>
      <c r="N39" s="73"/>
      <c r="O39" s="73"/>
      <c r="P39" s="73"/>
      <c r="Q39" s="73"/>
    </row>
    <row r="40">
      <c r="A40" s="30" t="s">
        <v>168</v>
      </c>
      <c r="B40" s="73"/>
      <c r="C40" s="73"/>
      <c r="D40" s="73"/>
      <c r="E40" s="73"/>
      <c r="F40" s="73"/>
      <c r="G40" s="73"/>
      <c r="H40" s="73"/>
      <c r="I40" s="73"/>
      <c r="J40" s="73"/>
      <c r="K40" s="73"/>
      <c r="L40" s="73"/>
      <c r="M40" s="73"/>
      <c r="N40" s="73"/>
      <c r="O40" s="73"/>
      <c r="P40" s="73"/>
      <c r="Q40" s="73"/>
    </row>
    <row r="41">
      <c r="A41" s="30" t="s">
        <v>168</v>
      </c>
      <c r="B41" s="73"/>
      <c r="C41" s="73"/>
      <c r="D41" s="73"/>
      <c r="E41" s="73"/>
      <c r="F41" s="73"/>
      <c r="G41" s="73"/>
      <c r="H41" s="73"/>
      <c r="I41" s="73"/>
      <c r="J41" s="73"/>
      <c r="K41" s="73"/>
      <c r="L41" s="73"/>
      <c r="M41" s="73"/>
      <c r="N41" s="73"/>
      <c r="O41" s="73"/>
      <c r="P41" s="73"/>
      <c r="Q41" s="73"/>
    </row>
    <row r="42">
      <c r="A42" s="30" t="s">
        <v>168</v>
      </c>
      <c r="B42" s="73"/>
      <c r="C42" s="73"/>
      <c r="D42" s="73"/>
      <c r="E42" s="73"/>
      <c r="F42" s="73"/>
      <c r="G42" s="73"/>
      <c r="H42" s="73"/>
      <c r="I42" s="73"/>
      <c r="J42" s="73"/>
      <c r="K42" s="73"/>
      <c r="L42" s="73"/>
      <c r="M42" s="73"/>
      <c r="N42" s="73"/>
      <c r="O42" s="73"/>
      <c r="P42" s="73"/>
      <c r="Q42" s="73"/>
    </row>
    <row r="43">
      <c r="A43" s="30" t="s">
        <v>168</v>
      </c>
      <c r="B43" s="73"/>
      <c r="C43" s="73"/>
      <c r="D43" s="73"/>
      <c r="E43" s="73"/>
      <c r="F43" s="73"/>
      <c r="G43" s="73"/>
      <c r="H43" s="73"/>
      <c r="I43" s="73"/>
      <c r="J43" s="73"/>
      <c r="K43" s="73"/>
      <c r="L43" s="73"/>
      <c r="M43" s="73"/>
      <c r="N43" s="73"/>
      <c r="O43" s="73"/>
      <c r="P43" s="73"/>
      <c r="Q43" s="73"/>
    </row>
    <row r="44">
      <c r="A44" s="30" t="s">
        <v>168</v>
      </c>
      <c r="B44" s="73"/>
      <c r="C44" s="73"/>
      <c r="D44" s="73"/>
      <c r="E44" s="73"/>
      <c r="F44" s="73"/>
      <c r="G44" s="73"/>
      <c r="H44" s="73"/>
      <c r="I44" s="73"/>
      <c r="J44" s="73"/>
      <c r="K44" s="73"/>
      <c r="L44" s="73"/>
      <c r="M44" s="73"/>
      <c r="N44" s="73"/>
      <c r="O44" s="73"/>
      <c r="P44" s="73"/>
      <c r="Q44" s="73"/>
    </row>
    <row r="45">
      <c r="A45" s="30" t="s">
        <v>168</v>
      </c>
      <c r="B45" s="73"/>
      <c r="C45" s="73"/>
      <c r="D45" s="73"/>
      <c r="E45" s="73"/>
      <c r="F45" s="73"/>
      <c r="G45" s="73"/>
      <c r="H45" s="73"/>
      <c r="I45" s="73"/>
      <c r="J45" s="73"/>
      <c r="K45" s="73"/>
      <c r="L45" s="73"/>
      <c r="M45" s="73"/>
      <c r="N45" s="73"/>
      <c r="O45" s="73"/>
      <c r="P45" s="73"/>
      <c r="Q45" s="73"/>
    </row>
    <row r="46">
      <c r="A46" s="30" t="s">
        <v>168</v>
      </c>
      <c r="B46" s="73"/>
      <c r="C46" s="73"/>
      <c r="D46" s="73"/>
      <c r="E46" s="73"/>
      <c r="F46" s="73"/>
      <c r="G46" s="73"/>
      <c r="H46" s="73"/>
      <c r="I46" s="73"/>
      <c r="J46" s="73"/>
      <c r="K46" s="73"/>
      <c r="L46" s="73"/>
      <c r="M46" s="73"/>
      <c r="N46" s="73"/>
      <c r="O46" s="73"/>
      <c r="P46" s="73"/>
      <c r="Q46" s="73"/>
    </row>
    <row r="47">
      <c r="A47" s="30" t="s">
        <v>168</v>
      </c>
      <c r="B47" s="73"/>
      <c r="C47" s="73"/>
      <c r="D47" s="73"/>
      <c r="E47" s="73"/>
      <c r="F47" s="73"/>
      <c r="G47" s="73"/>
      <c r="H47" s="73"/>
      <c r="I47" s="73"/>
      <c r="J47" s="73"/>
      <c r="K47" s="73"/>
      <c r="L47" s="73"/>
      <c r="M47" s="73"/>
      <c r="N47" s="73"/>
      <c r="O47" s="73"/>
      <c r="P47" s="73"/>
      <c r="Q47" s="73"/>
    </row>
    <row r="48">
      <c r="A48" s="30" t="s">
        <v>168</v>
      </c>
      <c r="B48" s="73"/>
      <c r="C48" s="73"/>
      <c r="D48" s="73"/>
      <c r="E48" s="73"/>
      <c r="F48" s="73"/>
      <c r="G48" s="73"/>
      <c r="H48" s="73"/>
      <c r="I48" s="73"/>
      <c r="J48" s="73"/>
      <c r="K48" s="73"/>
      <c r="L48" s="73"/>
      <c r="M48" s="73"/>
      <c r="N48" s="73"/>
      <c r="O48" s="73"/>
      <c r="P48" s="73"/>
      <c r="Q48" s="73"/>
    </row>
    <row r="49">
      <c r="A49" s="30" t="s">
        <v>168</v>
      </c>
      <c r="B49" s="73"/>
      <c r="C49" s="73"/>
      <c r="D49" s="73"/>
      <c r="E49" s="73"/>
      <c r="F49" s="73"/>
      <c r="G49" s="73"/>
      <c r="H49" s="73"/>
      <c r="I49" s="73"/>
      <c r="J49" s="73"/>
      <c r="K49" s="73"/>
      <c r="L49" s="73"/>
      <c r="M49" s="73"/>
      <c r="N49" s="73"/>
      <c r="O49" s="73"/>
      <c r="P49" s="73"/>
      <c r="Q49" s="73"/>
    </row>
    <row r="50">
      <c r="A50" s="30" t="s">
        <v>168</v>
      </c>
      <c r="B50" s="73"/>
      <c r="C50" s="73"/>
      <c r="D50" s="73"/>
      <c r="E50" s="73"/>
      <c r="F50" s="73"/>
      <c r="G50" s="73"/>
      <c r="H50" s="73"/>
      <c r="I50" s="73"/>
      <c r="J50" s="73"/>
      <c r="K50" s="73"/>
      <c r="L50" s="73"/>
      <c r="M50" s="73"/>
      <c r="N50" s="73"/>
      <c r="O50" s="73"/>
      <c r="P50" s="73"/>
      <c r="Q50" s="73"/>
    </row>
    <row r="51">
      <c r="A51" s="30" t="s">
        <v>168</v>
      </c>
      <c r="B51" s="73"/>
      <c r="C51" s="73"/>
      <c r="D51" s="73"/>
      <c r="E51" s="73"/>
      <c r="F51" s="73"/>
      <c r="G51" s="73"/>
      <c r="H51" s="73"/>
      <c r="I51" s="73"/>
      <c r="J51" s="73"/>
      <c r="K51" s="73"/>
      <c r="L51" s="73"/>
      <c r="M51" s="73"/>
      <c r="N51" s="73"/>
      <c r="O51" s="73"/>
      <c r="P51" s="73"/>
      <c r="Q51" s="73"/>
    </row>
    <row r="52">
      <c r="A52" s="30" t="s">
        <v>168</v>
      </c>
      <c r="B52" s="73"/>
      <c r="C52" s="73"/>
      <c r="D52" s="73"/>
      <c r="E52" s="73"/>
      <c r="F52" s="73"/>
      <c r="G52" s="73"/>
      <c r="H52" s="73"/>
      <c r="I52" s="73"/>
      <c r="J52" s="73"/>
      <c r="K52" s="73"/>
      <c r="L52" s="73"/>
      <c r="M52" s="73"/>
      <c r="N52" s="73"/>
      <c r="O52" s="73"/>
      <c r="P52" s="73"/>
      <c r="Q52" s="73"/>
    </row>
    <row r="53">
      <c r="A53" s="30" t="s">
        <v>168</v>
      </c>
      <c r="B53" s="73"/>
      <c r="C53" s="73"/>
      <c r="D53" s="73"/>
      <c r="E53" s="73"/>
      <c r="F53" s="73"/>
      <c r="G53" s="73"/>
      <c r="H53" s="73"/>
      <c r="I53" s="73"/>
      <c r="J53" s="73"/>
      <c r="K53" s="73"/>
      <c r="L53" s="73"/>
      <c r="M53" s="73"/>
      <c r="N53" s="73"/>
      <c r="O53" s="73"/>
      <c r="P53" s="73"/>
      <c r="Q53" s="73"/>
    </row>
    <row r="54">
      <c r="A54" s="30" t="s">
        <v>168</v>
      </c>
      <c r="B54" s="73"/>
      <c r="C54" s="73"/>
      <c r="D54" s="73"/>
      <c r="E54" s="73"/>
      <c r="F54" s="73"/>
      <c r="G54" s="73"/>
      <c r="H54" s="73"/>
      <c r="I54" s="73"/>
      <c r="J54" s="73"/>
      <c r="K54" s="73"/>
      <c r="L54" s="73"/>
      <c r="M54" s="73"/>
      <c r="N54" s="73"/>
      <c r="O54" s="73"/>
      <c r="P54" s="73"/>
      <c r="Q54" s="73"/>
    </row>
    <row r="55">
      <c r="A55" s="30" t="s">
        <v>168</v>
      </c>
      <c r="B55" s="73"/>
      <c r="C55" s="73"/>
      <c r="D55" s="73"/>
      <c r="E55" s="73"/>
      <c r="F55" s="73"/>
      <c r="G55" s="73"/>
      <c r="H55" s="73"/>
      <c r="I55" s="73"/>
      <c r="J55" s="73"/>
      <c r="K55" s="73"/>
      <c r="L55" s="73"/>
      <c r="M55" s="73"/>
      <c r="N55" s="73"/>
      <c r="O55" s="73"/>
      <c r="P55" s="73"/>
      <c r="Q55" s="73"/>
    </row>
    <row r="56">
      <c r="A56" s="30" t="s">
        <v>168</v>
      </c>
      <c r="B56" s="73"/>
      <c r="C56" s="73"/>
      <c r="D56" s="73"/>
      <c r="E56" s="73"/>
      <c r="F56" s="73"/>
      <c r="G56" s="73"/>
      <c r="H56" s="73"/>
      <c r="I56" s="73"/>
      <c r="J56" s="73"/>
      <c r="K56" s="73"/>
      <c r="L56" s="73"/>
      <c r="M56" s="73"/>
      <c r="N56" s="73"/>
      <c r="O56" s="73"/>
      <c r="P56" s="73"/>
      <c r="Q56" s="73"/>
    </row>
    <row r="57">
      <c r="A57" s="30" t="s">
        <v>168</v>
      </c>
      <c r="B57" s="73"/>
      <c r="C57" s="73"/>
      <c r="D57" s="73"/>
      <c r="E57" s="73"/>
      <c r="F57" s="73"/>
      <c r="G57" s="73"/>
      <c r="H57" s="73"/>
      <c r="I57" s="73"/>
      <c r="J57" s="73"/>
      <c r="K57" s="73"/>
      <c r="L57" s="73"/>
      <c r="M57" s="73"/>
      <c r="N57" s="73"/>
      <c r="O57" s="73"/>
      <c r="P57" s="73"/>
      <c r="Q57" s="73"/>
    </row>
    <row r="58">
      <c r="A58" s="30" t="s">
        <v>168</v>
      </c>
      <c r="B58" s="73"/>
      <c r="C58" s="73"/>
      <c r="D58" s="73"/>
      <c r="E58" s="73"/>
      <c r="F58" s="73"/>
      <c r="G58" s="73"/>
      <c r="H58" s="73"/>
      <c r="I58" s="73"/>
      <c r="J58" s="73"/>
      <c r="K58" s="73"/>
      <c r="L58" s="73"/>
      <c r="M58" s="73"/>
      <c r="N58" s="73"/>
      <c r="O58" s="73"/>
      <c r="P58" s="73"/>
      <c r="Q58" s="73"/>
    </row>
    <row r="59">
      <c r="A59" s="30" t="s">
        <v>168</v>
      </c>
      <c r="B59" s="73"/>
      <c r="C59" s="73"/>
      <c r="D59" s="73"/>
      <c r="E59" s="73"/>
      <c r="F59" s="73"/>
      <c r="G59" s="73"/>
      <c r="H59" s="73"/>
      <c r="I59" s="73"/>
      <c r="J59" s="73"/>
      <c r="K59" s="73"/>
      <c r="L59" s="73"/>
      <c r="M59" s="73"/>
      <c r="N59" s="73"/>
      <c r="O59" s="73"/>
      <c r="P59" s="73"/>
      <c r="Q59" s="73"/>
    </row>
    <row r="60">
      <c r="A60" s="30" t="s">
        <v>168</v>
      </c>
      <c r="B60" s="73"/>
      <c r="C60" s="73"/>
      <c r="D60" s="73"/>
      <c r="E60" s="73"/>
      <c r="F60" s="73"/>
      <c r="G60" s="73"/>
      <c r="H60" s="73"/>
      <c r="I60" s="73"/>
      <c r="J60" s="73"/>
      <c r="K60" s="73"/>
      <c r="L60" s="73"/>
      <c r="M60" s="73"/>
      <c r="N60" s="73"/>
      <c r="O60" s="73"/>
      <c r="P60" s="73"/>
      <c r="Q60" s="73"/>
    </row>
    <row r="61">
      <c r="A61" s="30" t="s">
        <v>168</v>
      </c>
      <c r="B61" s="73"/>
      <c r="C61" s="73"/>
      <c r="D61" s="73"/>
      <c r="E61" s="73"/>
      <c r="F61" s="73"/>
      <c r="G61" s="73"/>
      <c r="H61" s="73"/>
      <c r="I61" s="73"/>
      <c r="J61" s="73"/>
      <c r="K61" s="73"/>
      <c r="L61" s="73"/>
      <c r="M61" s="73"/>
      <c r="N61" s="73"/>
      <c r="O61" s="73"/>
      <c r="P61" s="73"/>
      <c r="Q61" s="73"/>
    </row>
    <row r="62">
      <c r="A62" s="30" t="s">
        <v>168</v>
      </c>
      <c r="B62" s="73"/>
      <c r="C62" s="73"/>
      <c r="D62" s="73"/>
      <c r="E62" s="73"/>
      <c r="F62" s="73"/>
      <c r="G62" s="73"/>
      <c r="H62" s="73"/>
      <c r="I62" s="73"/>
      <c r="J62" s="73"/>
      <c r="K62" s="73"/>
      <c r="L62" s="73"/>
      <c r="M62" s="73"/>
      <c r="N62" s="73"/>
      <c r="O62" s="73"/>
      <c r="P62" s="73"/>
      <c r="Q62" s="73"/>
    </row>
    <row r="63">
      <c r="A63" s="30" t="s">
        <v>168</v>
      </c>
      <c r="B63" s="73"/>
      <c r="C63" s="73"/>
      <c r="D63" s="73"/>
      <c r="E63" s="73"/>
      <c r="F63" s="73"/>
      <c r="G63" s="73"/>
      <c r="H63" s="73"/>
      <c r="I63" s="73"/>
      <c r="J63" s="73"/>
      <c r="K63" s="73"/>
      <c r="L63" s="73"/>
      <c r="M63" s="73"/>
      <c r="N63" s="73"/>
      <c r="O63" s="73"/>
      <c r="P63" s="73"/>
      <c r="Q63" s="73"/>
    </row>
    <row r="64">
      <c r="A64" s="30" t="s">
        <v>168</v>
      </c>
      <c r="B64" s="73"/>
      <c r="C64" s="73"/>
      <c r="D64" s="73"/>
      <c r="E64" s="73"/>
      <c r="F64" s="73"/>
      <c r="G64" s="73"/>
      <c r="H64" s="73"/>
      <c r="I64" s="73"/>
      <c r="J64" s="73"/>
      <c r="K64" s="73"/>
      <c r="L64" s="73"/>
      <c r="M64" s="73"/>
      <c r="N64" s="73"/>
      <c r="O64" s="73"/>
      <c r="P64" s="73"/>
      <c r="Q64" s="73"/>
    </row>
    <row r="65">
      <c r="A65" s="75" t="s">
        <v>168</v>
      </c>
      <c r="B65" s="21"/>
      <c r="C65" s="21"/>
      <c r="D65" s="21"/>
      <c r="E65" s="21"/>
      <c r="F65" s="21"/>
      <c r="G65" s="21"/>
      <c r="H65" s="21"/>
      <c r="I65" s="21"/>
      <c r="J65" s="21"/>
      <c r="K65" s="21"/>
      <c r="L65" s="21"/>
      <c r="M65" s="21"/>
      <c r="N65" s="21"/>
      <c r="O65" s="21"/>
      <c r="P65" s="21"/>
      <c r="Q65" s="21"/>
    </row>
    <row r="66">
      <c r="A66" s="75" t="s">
        <v>168</v>
      </c>
      <c r="B66" s="21"/>
      <c r="C66" s="21"/>
      <c r="D66" s="21"/>
      <c r="E66" s="21"/>
      <c r="F66" s="21"/>
      <c r="G66" s="21"/>
      <c r="H66" s="21"/>
      <c r="I66" s="21"/>
      <c r="J66" s="21"/>
      <c r="K66" s="21"/>
      <c r="L66" s="21"/>
      <c r="M66" s="21"/>
      <c r="N66" s="21"/>
      <c r="O66" s="21"/>
      <c r="P66" s="21"/>
      <c r="Q66" s="21"/>
    </row>
    <row r="67">
      <c r="A67" s="75" t="s">
        <v>168</v>
      </c>
      <c r="B67" s="21"/>
      <c r="C67" s="21"/>
      <c r="D67" s="21"/>
      <c r="E67" s="21"/>
      <c r="F67" s="21"/>
      <c r="G67" s="21"/>
      <c r="H67" s="21"/>
      <c r="I67" s="21"/>
      <c r="J67" s="21"/>
      <c r="K67" s="21"/>
      <c r="L67" s="21"/>
      <c r="M67" s="21"/>
      <c r="N67" s="21"/>
      <c r="O67" s="21"/>
      <c r="P67" s="21"/>
      <c r="Q67" s="21"/>
    </row>
    <row r="68">
      <c r="A68" s="75" t="s">
        <v>168</v>
      </c>
      <c r="B68" s="21"/>
      <c r="C68" s="21"/>
      <c r="D68" s="21"/>
      <c r="E68" s="21"/>
      <c r="F68" s="21"/>
      <c r="G68" s="21"/>
      <c r="H68" s="21"/>
      <c r="I68" s="21"/>
      <c r="J68" s="21"/>
      <c r="K68" s="21"/>
      <c r="L68" s="21"/>
      <c r="M68" s="21"/>
      <c r="N68" s="21"/>
      <c r="O68" s="21"/>
      <c r="P68" s="21"/>
      <c r="Q68" s="21"/>
    </row>
    <row r="69">
      <c r="A69" s="75" t="s">
        <v>168</v>
      </c>
      <c r="B69" s="21"/>
      <c r="C69" s="21"/>
      <c r="D69" s="21"/>
      <c r="E69" s="21"/>
      <c r="F69" s="21"/>
      <c r="G69" s="21"/>
      <c r="H69" s="21"/>
      <c r="I69" s="21"/>
      <c r="J69" s="21"/>
      <c r="K69" s="21"/>
      <c r="L69" s="21"/>
      <c r="M69" s="21"/>
      <c r="N69" s="21"/>
      <c r="O69" s="21"/>
      <c r="P69" s="21"/>
      <c r="Q69" s="21"/>
    </row>
    <row r="70">
      <c r="A70" s="75" t="s">
        <v>168</v>
      </c>
      <c r="B70" s="21"/>
      <c r="C70" s="21"/>
      <c r="D70" s="21"/>
      <c r="E70" s="21"/>
      <c r="F70" s="21"/>
      <c r="G70" s="21"/>
      <c r="H70" s="21"/>
      <c r="I70" s="21"/>
      <c r="J70" s="21"/>
      <c r="K70" s="21"/>
      <c r="L70" s="21"/>
      <c r="M70" s="21"/>
      <c r="N70" s="21"/>
      <c r="O70" s="21"/>
      <c r="P70" s="21"/>
      <c r="Q70" s="21"/>
    </row>
    <row r="71">
      <c r="A71" s="75" t="s">
        <v>168</v>
      </c>
      <c r="B71" s="21"/>
      <c r="C71" s="21"/>
      <c r="D71" s="21"/>
      <c r="E71" s="21"/>
      <c r="F71" s="21"/>
      <c r="G71" s="21"/>
      <c r="H71" s="21"/>
      <c r="I71" s="21"/>
      <c r="J71" s="21"/>
      <c r="K71" s="21"/>
      <c r="L71" s="21"/>
      <c r="M71" s="21"/>
      <c r="N71" s="21"/>
      <c r="O71" s="21"/>
      <c r="P71" s="21"/>
      <c r="Q71" s="21"/>
    </row>
    <row r="72">
      <c r="A72" s="75" t="s">
        <v>168</v>
      </c>
      <c r="B72" s="21"/>
      <c r="C72" s="21"/>
      <c r="D72" s="21"/>
      <c r="E72" s="21"/>
      <c r="F72" s="21"/>
      <c r="G72" s="21"/>
      <c r="H72" s="21"/>
      <c r="I72" s="21"/>
      <c r="J72" s="21"/>
      <c r="K72" s="21"/>
      <c r="L72" s="21"/>
      <c r="M72" s="21"/>
      <c r="N72" s="21"/>
      <c r="O72" s="21"/>
      <c r="P72" s="21"/>
      <c r="Q72" s="21"/>
    </row>
    <row r="73">
      <c r="A73" s="75" t="s">
        <v>168</v>
      </c>
      <c r="B73" s="21"/>
      <c r="C73" s="21"/>
      <c r="D73" s="21"/>
      <c r="E73" s="21"/>
      <c r="F73" s="21"/>
      <c r="G73" s="21"/>
      <c r="H73" s="21"/>
      <c r="I73" s="21"/>
      <c r="J73" s="21"/>
      <c r="K73" s="21"/>
      <c r="L73" s="21"/>
      <c r="M73" s="21"/>
      <c r="N73" s="21"/>
      <c r="O73" s="21"/>
      <c r="P73" s="21"/>
      <c r="Q73" s="21"/>
    </row>
    <row r="74">
      <c r="A74" s="75" t="s">
        <v>168</v>
      </c>
      <c r="B74" s="21"/>
      <c r="C74" s="21"/>
      <c r="D74" s="21"/>
      <c r="E74" s="21"/>
      <c r="F74" s="21"/>
      <c r="G74" s="21"/>
      <c r="H74" s="21"/>
      <c r="I74" s="21"/>
      <c r="J74" s="21"/>
      <c r="K74" s="21"/>
      <c r="L74" s="21"/>
      <c r="M74" s="21"/>
      <c r="N74" s="21"/>
      <c r="O74" s="21"/>
      <c r="P74" s="21"/>
      <c r="Q74" s="21"/>
    </row>
    <row r="75">
      <c r="A75" s="75" t="s">
        <v>168</v>
      </c>
      <c r="B75" s="21"/>
      <c r="C75" s="21"/>
      <c r="D75" s="21"/>
      <c r="E75" s="21"/>
      <c r="F75" s="21"/>
      <c r="G75" s="21"/>
      <c r="H75" s="21"/>
      <c r="I75" s="21"/>
      <c r="J75" s="21"/>
      <c r="K75" s="21"/>
      <c r="L75" s="21"/>
      <c r="M75" s="21"/>
      <c r="N75" s="21"/>
      <c r="O75" s="21"/>
      <c r="P75" s="21"/>
      <c r="Q75" s="21"/>
    </row>
    <row r="76">
      <c r="A76" s="75" t="s">
        <v>168</v>
      </c>
      <c r="B76" s="21"/>
      <c r="C76" s="21"/>
      <c r="D76" s="21"/>
      <c r="E76" s="21"/>
      <c r="F76" s="21"/>
      <c r="G76" s="21"/>
      <c r="H76" s="21"/>
      <c r="I76" s="21"/>
      <c r="J76" s="21"/>
      <c r="K76" s="21"/>
      <c r="L76" s="21"/>
      <c r="M76" s="21"/>
      <c r="N76" s="21"/>
      <c r="O76" s="21"/>
      <c r="P76" s="21"/>
      <c r="Q76" s="21"/>
    </row>
    <row r="77">
      <c r="A77" s="75" t="s">
        <v>168</v>
      </c>
      <c r="B77" s="21"/>
      <c r="C77" s="21"/>
      <c r="D77" s="21"/>
      <c r="E77" s="21"/>
      <c r="F77" s="21"/>
      <c r="G77" s="21"/>
      <c r="H77" s="21"/>
      <c r="I77" s="21"/>
      <c r="J77" s="21"/>
      <c r="K77" s="21"/>
      <c r="L77" s="21"/>
      <c r="M77" s="21"/>
      <c r="N77" s="21"/>
      <c r="O77" s="21"/>
      <c r="P77" s="21"/>
      <c r="Q77" s="21"/>
    </row>
    <row r="78">
      <c r="A78" s="75" t="s">
        <v>168</v>
      </c>
      <c r="B78" s="21"/>
      <c r="C78" s="21"/>
      <c r="D78" s="21"/>
      <c r="E78" s="21"/>
      <c r="F78" s="21"/>
      <c r="G78" s="21"/>
      <c r="H78" s="21"/>
      <c r="I78" s="21"/>
      <c r="J78" s="21"/>
      <c r="K78" s="21"/>
      <c r="L78" s="21"/>
      <c r="M78" s="21"/>
      <c r="N78" s="21"/>
      <c r="O78" s="21"/>
      <c r="P78" s="21"/>
      <c r="Q78" s="21"/>
    </row>
    <row r="79">
      <c r="A79" s="75" t="s">
        <v>168</v>
      </c>
      <c r="B79" s="21"/>
      <c r="C79" s="21"/>
      <c r="D79" s="21"/>
      <c r="E79" s="21"/>
      <c r="F79" s="21"/>
      <c r="G79" s="21"/>
      <c r="H79" s="21"/>
      <c r="I79" s="21"/>
      <c r="J79" s="21"/>
      <c r="K79" s="21"/>
      <c r="L79" s="21"/>
      <c r="M79" s="21"/>
      <c r="N79" s="21"/>
      <c r="O79" s="21"/>
      <c r="P79" s="21"/>
      <c r="Q79" s="21"/>
    </row>
    <row r="80">
      <c r="A80" s="75" t="s">
        <v>168</v>
      </c>
      <c r="B80" s="21"/>
      <c r="C80" s="21"/>
      <c r="D80" s="21"/>
      <c r="E80" s="21"/>
      <c r="F80" s="21"/>
      <c r="G80" s="21"/>
      <c r="H80" s="21"/>
      <c r="I80" s="21"/>
      <c r="J80" s="21"/>
      <c r="K80" s="21"/>
      <c r="L80" s="21"/>
      <c r="M80" s="21"/>
      <c r="N80" s="21"/>
      <c r="O80" s="21"/>
      <c r="P80" s="21"/>
      <c r="Q80" s="21"/>
    </row>
    <row r="81">
      <c r="A81" s="75" t="s">
        <v>168</v>
      </c>
      <c r="B81" s="21"/>
      <c r="C81" s="21"/>
      <c r="D81" s="21"/>
      <c r="E81" s="21"/>
      <c r="F81" s="21"/>
      <c r="G81" s="21"/>
      <c r="H81" s="21"/>
      <c r="I81" s="21"/>
      <c r="J81" s="21"/>
      <c r="K81" s="21"/>
      <c r="L81" s="21"/>
      <c r="M81" s="21"/>
      <c r="N81" s="21"/>
      <c r="O81" s="21"/>
      <c r="P81" s="21"/>
      <c r="Q81" s="21"/>
    </row>
    <row r="82">
      <c r="A82" s="75" t="s">
        <v>168</v>
      </c>
      <c r="B82" s="21"/>
      <c r="C82" s="21"/>
      <c r="D82" s="21"/>
      <c r="E82" s="21"/>
      <c r="F82" s="21"/>
      <c r="G82" s="21"/>
      <c r="H82" s="21"/>
      <c r="I82" s="21"/>
      <c r="J82" s="21"/>
      <c r="K82" s="21"/>
      <c r="L82" s="21"/>
      <c r="M82" s="21"/>
      <c r="N82" s="21"/>
      <c r="O82" s="21"/>
      <c r="P82" s="21"/>
      <c r="Q82" s="21"/>
    </row>
    <row r="83">
      <c r="A83" s="75" t="s">
        <v>168</v>
      </c>
      <c r="B83" s="21"/>
      <c r="C83" s="21"/>
      <c r="D83" s="21"/>
      <c r="E83" s="21"/>
      <c r="F83" s="21"/>
      <c r="G83" s="21"/>
      <c r="H83" s="21"/>
      <c r="I83" s="21"/>
      <c r="J83" s="21"/>
      <c r="K83" s="21"/>
      <c r="L83" s="21"/>
      <c r="M83" s="21"/>
      <c r="N83" s="21"/>
      <c r="O83" s="21"/>
      <c r="P83" s="21"/>
      <c r="Q83" s="21"/>
    </row>
    <row r="84">
      <c r="A84" s="75" t="s">
        <v>168</v>
      </c>
      <c r="B84" s="21"/>
      <c r="C84" s="21"/>
      <c r="D84" s="21"/>
      <c r="E84" s="21"/>
      <c r="F84" s="21"/>
      <c r="G84" s="21"/>
      <c r="H84" s="21"/>
      <c r="I84" s="21"/>
      <c r="J84" s="21"/>
      <c r="K84" s="21"/>
      <c r="L84" s="21"/>
      <c r="M84" s="21"/>
      <c r="N84" s="21"/>
      <c r="O84" s="21"/>
      <c r="P84" s="21"/>
      <c r="Q84" s="21"/>
    </row>
    <row r="85">
      <c r="A85" s="75" t="s">
        <v>168</v>
      </c>
      <c r="B85" s="21"/>
      <c r="C85" s="21"/>
      <c r="D85" s="21"/>
      <c r="E85" s="21"/>
      <c r="F85" s="21"/>
      <c r="G85" s="21"/>
      <c r="H85" s="21"/>
      <c r="I85" s="21"/>
      <c r="J85" s="21"/>
      <c r="K85" s="21"/>
      <c r="L85" s="21"/>
      <c r="M85" s="21"/>
      <c r="N85" s="21"/>
      <c r="O85" s="21"/>
      <c r="P85" s="21"/>
      <c r="Q85" s="21"/>
    </row>
    <row r="86">
      <c r="A86" s="75" t="s">
        <v>168</v>
      </c>
      <c r="B86" s="21"/>
      <c r="C86" s="21"/>
      <c r="D86" s="21"/>
      <c r="E86" s="21"/>
      <c r="F86" s="21"/>
      <c r="G86" s="21"/>
      <c r="H86" s="21"/>
      <c r="I86" s="21"/>
      <c r="J86" s="21"/>
      <c r="K86" s="21"/>
      <c r="L86" s="21"/>
      <c r="M86" s="21"/>
      <c r="N86" s="21"/>
      <c r="O86" s="21"/>
      <c r="P86" s="21"/>
      <c r="Q86" s="21"/>
    </row>
    <row r="87">
      <c r="A87" s="75" t="s">
        <v>168</v>
      </c>
      <c r="B87" s="21"/>
      <c r="C87" s="21"/>
      <c r="D87" s="21"/>
      <c r="E87" s="21"/>
      <c r="F87" s="21"/>
      <c r="G87" s="21"/>
      <c r="H87" s="21"/>
      <c r="I87" s="21"/>
      <c r="J87" s="21"/>
      <c r="K87" s="21"/>
      <c r="L87" s="21"/>
      <c r="M87" s="21"/>
      <c r="N87" s="21"/>
      <c r="O87" s="21"/>
      <c r="P87" s="21"/>
      <c r="Q87" s="21"/>
    </row>
    <row r="88">
      <c r="A88" s="75" t="s">
        <v>168</v>
      </c>
      <c r="B88" s="21"/>
      <c r="C88" s="21"/>
      <c r="D88" s="21"/>
      <c r="E88" s="21"/>
      <c r="F88" s="21"/>
      <c r="G88" s="21"/>
      <c r="H88" s="21"/>
      <c r="I88" s="21"/>
      <c r="J88" s="21"/>
      <c r="K88" s="21"/>
      <c r="L88" s="21"/>
      <c r="M88" s="21"/>
      <c r="N88" s="21"/>
      <c r="O88" s="21"/>
      <c r="P88" s="21"/>
      <c r="Q88" s="21"/>
    </row>
    <row r="89">
      <c r="A89" s="75" t="s">
        <v>168</v>
      </c>
      <c r="B89" s="21"/>
      <c r="C89" s="21"/>
      <c r="D89" s="21"/>
      <c r="E89" s="21"/>
      <c r="F89" s="21"/>
      <c r="G89" s="21"/>
      <c r="H89" s="21"/>
      <c r="I89" s="21"/>
      <c r="J89" s="21"/>
      <c r="K89" s="21"/>
      <c r="L89" s="21"/>
      <c r="M89" s="21"/>
      <c r="N89" s="21"/>
      <c r="O89" s="21"/>
      <c r="P89" s="21"/>
      <c r="Q89" s="21"/>
    </row>
    <row r="90">
      <c r="A90" s="75" t="s">
        <v>168</v>
      </c>
    </row>
    <row r="91">
      <c r="A91" s="75" t="s">
        <v>168</v>
      </c>
    </row>
    <row r="92">
      <c r="A92" s="75" t="s">
        <v>168</v>
      </c>
    </row>
    <row r="93">
      <c r="A93" s="75" t="s">
        <v>168</v>
      </c>
    </row>
    <row r="94">
      <c r="A94" s="75" t="s">
        <v>168</v>
      </c>
    </row>
    <row r="95">
      <c r="A95" s="75" t="s">
        <v>168</v>
      </c>
    </row>
    <row r="96">
      <c r="A96" s="75" t="s">
        <v>168</v>
      </c>
    </row>
    <row r="97">
      <c r="A97" s="75" t="s">
        <v>168</v>
      </c>
    </row>
    <row r="98">
      <c r="A98" s="75" t="s">
        <v>168</v>
      </c>
    </row>
    <row r="99">
      <c r="A99" s="75" t="s">
        <v>168</v>
      </c>
    </row>
    <row r="100">
      <c r="A100" s="76" t="s">
        <v>168</v>
      </c>
    </row>
  </sheetData>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N11:N64">
      <formula1>"Solved,Unsolved"</formula1>
    </dataValidation>
    <dataValidation type="list" allowBlank="1" showErrorMessage="1" sqref="O11:O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s>
  <drawing r:id="rId21"/>
</worksheet>
</file>