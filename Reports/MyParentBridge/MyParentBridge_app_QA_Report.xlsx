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est_Plan" sheetId="1" r:id="rId5"/>
    <sheet state="hidden" name="Test_Scenario" sheetId="2" r:id="rId6"/>
    <sheet state="hidden" name="Test_Case" sheetId="3" r:id="rId7"/>
    <sheet state="visible" name="Bug_report" sheetId="4" r:id="rId8"/>
    <sheet state="visible" name="Summary Report" sheetId="5" r:id="rId9"/>
    <sheet state="visible" name="Main Report" sheetId="6" r:id="rId10"/>
  </sheets>
  <definedNames/>
  <calcPr/>
</workbook>
</file>

<file path=xl/sharedStrings.xml><?xml version="1.0" encoding="utf-8"?>
<sst xmlns="http://schemas.openxmlformats.org/spreadsheetml/2006/main" count="852" uniqueCount="443">
  <si>
    <t>Software Test Plan :
[Porject Name]</t>
  </si>
  <si>
    <t>Test Scenario</t>
  </si>
  <si>
    <t>Test Case</t>
  </si>
  <si>
    <t>Scenario ID</t>
  </si>
  <si>
    <t>Project Information :</t>
  </si>
  <si>
    <t>Test Case ID</t>
  </si>
  <si>
    <t>Requirement ID</t>
  </si>
  <si>
    <t>Module</t>
  </si>
  <si>
    <t>Sub-Module</t>
  </si>
  <si>
    <t xml:space="preserve">Tester : </t>
  </si>
  <si>
    <t>Test Type</t>
  </si>
  <si>
    <t>Priority</t>
  </si>
  <si>
    <t>Precondition</t>
  </si>
  <si>
    <t>Test Data</t>
  </si>
  <si>
    <t>Expected Outcome</t>
  </si>
  <si>
    <t>Remarks</t>
  </si>
  <si>
    <t>Test Scenario ID</t>
  </si>
  <si>
    <t>Test Case Title</t>
  </si>
  <si>
    <t>Preconditions</t>
  </si>
  <si>
    <t>Test Steps</t>
  </si>
  <si>
    <t>Expected Result</t>
  </si>
  <si>
    <t>Actual Result</t>
  </si>
  <si>
    <t>Status</t>
  </si>
  <si>
    <t>Mohammed Fahad Faisal</t>
  </si>
  <si>
    <t>Severity</t>
  </si>
  <si>
    <t>Environment</t>
  </si>
  <si>
    <t>Tester</t>
  </si>
  <si>
    <t>Evidence</t>
  </si>
  <si>
    <t>mom : jvai57574@gmail.com || Password123#
dad : teamaithunder@gmail.com || Password123#</t>
  </si>
  <si>
    <t>Project Name:</t>
  </si>
  <si>
    <t>Developer:</t>
  </si>
  <si>
    <t>Project Objective :</t>
  </si>
  <si>
    <t xml:space="preserve">OS: </t>
  </si>
  <si>
    <t>Windows 11 Pro 
Version:24H2 
OS build:26100.4946</t>
  </si>
  <si>
    <t>Environment:</t>
  </si>
  <si>
    <t>Brave 1.81.135 
(Official Build) (64-bit)
Chromium: 139.0.7258.127</t>
  </si>
  <si>
    <t>Project Scope :</t>
  </si>
  <si>
    <t>Place solve if the issue resolves 
|
\/</t>
  </si>
  <si>
    <t>Mention which Stack solved the issue 
|
\/</t>
  </si>
  <si>
    <t xml:space="preserve">In Scope :
Out of scope : </t>
  </si>
  <si>
    <t>Test ID</t>
  </si>
  <si>
    <t>Sub Module</t>
  </si>
  <si>
    <t>Test Case Description</t>
  </si>
  <si>
    <t>Screen Shots</t>
  </si>
  <si>
    <t>Suggestion</t>
  </si>
  <si>
    <t>Feedback</t>
  </si>
  <si>
    <t>Stack</t>
  </si>
  <si>
    <t>Comment</t>
  </si>
  <si>
    <t>Test Strategy :</t>
  </si>
  <si>
    <t>BR_001</t>
  </si>
  <si>
    <t>Mother Account</t>
  </si>
  <si>
    <t>OTP</t>
  </si>
  <si>
    <t>Failed to receive OTP for account verification</t>
  </si>
  <si>
    <t>User need to use the app on their mobile device</t>
  </si>
  <si>
    <t>1. Open app</t>
  </si>
  <si>
    <t>MOM user credential</t>
  </si>
  <si>
    <t>User should be able to receive the OTP without any issues.</t>
  </si>
  <si>
    <t>Used failed to receive OTP</t>
  </si>
  <si>
    <t>Test Type :</t>
  </si>
  <si>
    <t>Functional : 
Non-Functional :</t>
  </si>
  <si>
    <t>Fail</t>
  </si>
  <si>
    <t>High</t>
  </si>
  <si>
    <t>001.png</t>
  </si>
  <si>
    <t>Test Enviroment :</t>
  </si>
  <si>
    <t>Test Data :</t>
  </si>
  <si>
    <t>BR_002</t>
  </si>
  <si>
    <t>Toast stays in a constant state. Should be vanish after 3-4 seconds</t>
  </si>
  <si>
    <t>1. Open app
2. Sign up by filling required field
3. Goto OTP page</t>
  </si>
  <si>
    <t>Toast error message should only appear for 3-5 seconds</t>
  </si>
  <si>
    <t xml:space="preserve">Toast message remains in app unless it was removed </t>
  </si>
  <si>
    <t>Medium</t>
  </si>
  <si>
    <t>002.png</t>
  </si>
  <si>
    <t>BR_003</t>
  </si>
  <si>
    <t>Subscription</t>
  </si>
  <si>
    <t>Spell mistake has been noticed</t>
  </si>
  <si>
    <t>1. Open app
2. Sign up by filling required field
3. Goto OTP page
4. Verify OTP and go to next page</t>
  </si>
  <si>
    <t>Spell mistake should not be visible</t>
  </si>
  <si>
    <t>Spelling mistake has been noticed.</t>
  </si>
  <si>
    <t>Low</t>
  </si>
  <si>
    <t>003.png</t>
  </si>
  <si>
    <t>BR_004</t>
  </si>
  <si>
    <t>Yearly rate per month isn’t showing when a user selects the yearly subscription.</t>
  </si>
  <si>
    <t>Alignment and design should be as same as figma</t>
  </si>
  <si>
    <t>Alignment issue occurred when the user switched to a yearly subscription.</t>
  </si>
  <si>
    <t>004.png</t>
  </si>
  <si>
    <t>BR_005</t>
  </si>
  <si>
    <t>Goes to the subscription page but then redirects to the website’s home page, where the user isn’t logged in.</t>
  </si>
  <si>
    <t>User should be redirected to a webpage with their login state intact, and from there, be taken to the subscription page.</t>
  </si>
  <si>
    <t>User is redirected to the web page in a logged-out state.</t>
  </si>
  <si>
    <t>005.mp4</t>
  </si>
  <si>
    <t>BR_006</t>
  </si>
  <si>
    <t>Didn’t automatically redirect the user to app after they purchased it.</t>
  </si>
  <si>
    <t>Should redirect users to app</t>
  </si>
  <si>
    <t>Unable to redirect the user to the app after completing the subscription purchase.</t>
  </si>
  <si>
    <t>006.mp4</t>
  </si>
  <si>
    <t>BR_007</t>
  </si>
  <si>
    <t>Highlight the discounted price when a user chooses the yearly package instead of the monthly package.</t>
  </si>
  <si>
    <t xml:space="preserve">1. Open app
2. Login using valid credentials
3. Click on settings
4. Goto subscription </t>
  </si>
  <si>
    <t>Highlight the discount percentage for purchasing the yearly package instead of the monthly package.</t>
  </si>
  <si>
    <t>No discount price has been shown</t>
  </si>
  <si>
    <t>007.png</t>
  </si>
  <si>
    <t>BR_008</t>
  </si>
  <si>
    <t>Message</t>
  </si>
  <si>
    <t>No send icon visible, but the image gets sent when clicking on the “crop” option.</t>
  </si>
  <si>
    <t xml:space="preserve">1. Open app
2. Login using valid credentials
3. Click on message </t>
  </si>
  <si>
    <t>Send button should be visible.</t>
  </si>
  <si>
    <t>Send button is missing but can still send a picture by clicking on the crop option.</t>
  </si>
  <si>
    <t>008.mp4</t>
  </si>
  <si>
    <t>BR_009</t>
  </si>
  <si>
    <t>Download chat redirects to the API backend page.</t>
  </si>
  <si>
    <t>Should be able to download full conversation</t>
  </si>
  <si>
    <t>Failed to download conversation, redirect to backend api page</t>
  </si>
  <si>
    <t>009.mp4</t>
  </si>
  <si>
    <t>BR_010</t>
  </si>
  <si>
    <t>Call</t>
  </si>
  <si>
    <t>Alignment issue</t>
  </si>
  <si>
    <t>1. Open app
2. Login using valid credentials
3. Click on call</t>
  </si>
  <si>
    <t>Design and alignment should be as same as figma</t>
  </si>
  <si>
    <t xml:space="preserve">Overlapp issue has been noticed </t>
  </si>
  <si>
    <t>010.png</t>
  </si>
  <si>
    <t>BR_011</t>
  </si>
  <si>
    <t>Displays co-parent as offline even when no co-parent has been added.</t>
  </si>
  <si>
    <t>If no co-parent has been added, thanit should now display co-parent offline</t>
  </si>
  <si>
    <t>Display co-parent is offline where there is no co-parent added</t>
  </si>
  <si>
    <t>011.png</t>
  </si>
  <si>
    <t>BR_012</t>
  </si>
  <si>
    <t>Document</t>
  </si>
  <si>
    <t>No document has been uploaded, yet the document banner is still showing.</t>
  </si>
  <si>
    <t>1. Open app
2. Login using valid credentials
3. Click on Document</t>
  </si>
  <si>
    <t xml:space="preserve">Blank page should be displayed if there is not document </t>
  </si>
  <si>
    <t>Show document banner when there is not document</t>
  </si>
  <si>
    <t>012.png</t>
  </si>
  <si>
    <t>Bug Count</t>
  </si>
  <si>
    <t>Bug Rate %</t>
  </si>
  <si>
    <t>Bug Severity</t>
  </si>
  <si>
    <t>BR_013</t>
  </si>
  <si>
    <t>Image preview missing in edit document section</t>
  </si>
  <si>
    <t>Image should be displayed properly</t>
  </si>
  <si>
    <t>Missing image, no preview</t>
  </si>
  <si>
    <t>013.png</t>
  </si>
  <si>
    <t>BR_014</t>
  </si>
  <si>
    <t>Failed to store description message</t>
  </si>
  <si>
    <t>Description message should be store properly</t>
  </si>
  <si>
    <t>Failed to displaye description message</t>
  </si>
  <si>
    <t>014.mp4</t>
  </si>
  <si>
    <t>BR_015</t>
  </si>
  <si>
    <t>Unable to download the document</t>
  </si>
  <si>
    <t xml:space="preserve">User should be able to download document </t>
  </si>
  <si>
    <t>Failed to download document on user side</t>
  </si>
  <si>
    <t>015.mp4</t>
  </si>
  <si>
    <t>BR_016</t>
  </si>
  <si>
    <t>Unable to preview image.</t>
  </si>
  <si>
    <t>User should be able to preview image</t>
  </si>
  <si>
    <t>Failed to preview image</t>
  </si>
  <si>
    <t>016.mp4</t>
  </si>
  <si>
    <t>BR_017</t>
  </si>
  <si>
    <t>Failed to display file size</t>
  </si>
  <si>
    <t>File size should displayed properly</t>
  </si>
  <si>
    <t>Failed to view file size</t>
  </si>
  <si>
    <t>017.png</t>
  </si>
  <si>
    <t>BR_018</t>
  </si>
  <si>
    <t>Failed to upload document.</t>
  </si>
  <si>
    <t>Users should be able to upload their documents without encountering any issues.</t>
  </si>
  <si>
    <t xml:space="preserve">Failed to upload document </t>
  </si>
  <si>
    <t>018.png</t>
  </si>
  <si>
    <t xml:space="preserve"> </t>
  </si>
  <si>
    <t>BR_019</t>
  </si>
  <si>
    <t>Should display user name</t>
  </si>
  <si>
    <t xml:space="preserve">Should display user name, not user ID </t>
  </si>
  <si>
    <t xml:space="preserve">Showing user ID as user name </t>
  </si>
  <si>
    <t>019.png</t>
  </si>
  <si>
    <t>BR_020</t>
  </si>
  <si>
    <t>Father Account</t>
  </si>
  <si>
    <t>Bridge Mode</t>
  </si>
  <si>
    <t>Code validation is not yet implemented in co-parent bridge mode.</t>
  </si>
  <si>
    <t>1. Open app
2. Login using valid credentials
3. Enter co-parent code</t>
  </si>
  <si>
    <t>DAD user credential</t>
  </si>
  <si>
    <t xml:space="preserve">Code validation should be implemented </t>
  </si>
  <si>
    <t>Without invitation code validation, user can go to next step</t>
  </si>
  <si>
    <t>020.mp4</t>
  </si>
  <si>
    <t>BR_021</t>
  </si>
  <si>
    <t>Login</t>
  </si>
  <si>
    <t>Number format should be displayed to match the correct code (country code + number).</t>
  </si>
  <si>
    <t>1. Open app
2. Login using valid credentials</t>
  </si>
  <si>
    <t>Should suggest the number format to match with backend</t>
  </si>
  <si>
    <t>Valid account displays an invalid/unregistered number error when attempting to log in.</t>
  </si>
  <si>
    <t>021.png</t>
  </si>
  <si>
    <t>BR_022</t>
  </si>
  <si>
    <t>Failed to sign up using Google.</t>
  </si>
  <si>
    <t>1. Open app
2. Signup using google signup</t>
  </si>
  <si>
    <t>User should be able to signup using google signup</t>
  </si>
  <si>
    <t>faile to signup using google signup</t>
  </si>
  <si>
    <t>022.png</t>
  </si>
  <si>
    <t>BR_023</t>
  </si>
  <si>
    <t>Settings -&gt; Subscription</t>
  </si>
  <si>
    <t>Payment went through successfully, but when opening the app, it shows that no payment has been made and no plan has been purchased.</t>
  </si>
  <si>
    <t>co-parent should be able to purchase the subscription</t>
  </si>
  <si>
    <t>Failed to purchase plan on co-parent side</t>
  </si>
  <si>
    <t>023.mp4</t>
  </si>
  <si>
    <t>BR_024</t>
  </si>
  <si>
    <t>Settings -&gt; Co-Parent information</t>
  </si>
  <si>
    <t>Failed to show co-parent contact number on another co-parent  profile</t>
  </si>
  <si>
    <t>1. Open app
2. Login with valid credentials
3. Goto Settings
4. Click on co-parent information</t>
  </si>
  <si>
    <t>On both accounts, the co-parent information should be displayed correctly.</t>
  </si>
  <si>
    <t>Failed to show co-parent contact information on both account</t>
  </si>
  <si>
    <t>024.png</t>
  </si>
  <si>
    <t>BR_025</t>
  </si>
  <si>
    <t>Settings -&gt; Choose The App</t>
  </si>
  <si>
    <t>Non-functional module has been seen</t>
  </si>
  <si>
    <t>1. Open app
2. Login with valid credentials
3. Goto Settings
4. Click on Choose The App section</t>
  </si>
  <si>
    <t>Module should works properly as expected</t>
  </si>
  <si>
    <t>non functional module has been nothced</t>
  </si>
  <si>
    <t>025.png</t>
  </si>
  <si>
    <t>Issues</t>
  </si>
  <si>
    <t>Project URL:</t>
  </si>
  <si>
    <t>BR_026</t>
  </si>
  <si>
    <t>Settings -&gt; Legacy Contact</t>
  </si>
  <si>
    <t>Dummy legacy contact has been set by default.</t>
  </si>
  <si>
    <t>1. Open app
2. Login with valid credentials
3. Goto Settings
4. Click on Legacy Contact</t>
  </si>
  <si>
    <t>Dummy data should not be displayed on user side</t>
  </si>
  <si>
    <t>Dummy data store by default</t>
  </si>
  <si>
    <t>026.png</t>
  </si>
  <si>
    <t>Total Test Cases:</t>
  </si>
  <si>
    <t>Test Case Solved :</t>
  </si>
  <si>
    <t>BR_027</t>
  </si>
  <si>
    <t>Settings -&gt; Help &amp; Support</t>
  </si>
  <si>
    <t>dummy email should be set as placeholder</t>
  </si>
  <si>
    <t>1. Open app
2. Login with valid credentials
3. Goto Settings
4. Click on Help &amp; Support</t>
  </si>
  <si>
    <t>Placeholder value should be displayed instead of the actual data.</t>
  </si>
  <si>
    <t>Dummy email set as actual text</t>
  </si>
  <si>
    <t>027.png</t>
  </si>
  <si>
    <t>BR_028</t>
  </si>
  <si>
    <t>Notification</t>
  </si>
  <si>
    <t>Failed to receive calendar notification even though the co-parent enabled notifications.</t>
  </si>
  <si>
    <t>1. Open app
2. Login with valid credentials
3. Set event in calender
4. Check if notification popup in co-parent account</t>
  </si>
  <si>
    <t>Co-parents should receive a notification if they turn on the receive notification toggle.</t>
  </si>
  <si>
    <t>Did not receive notification on the co-parent's side.</t>
  </si>
  <si>
    <t>028.png</t>
  </si>
  <si>
    <t>BR_029</t>
  </si>
  <si>
    <t>Event</t>
  </si>
  <si>
    <t>Event scheduled for the entire day.</t>
  </si>
  <si>
    <t>1. Open app
2. Login with valid credentials
3. Set event in calender</t>
  </si>
  <si>
    <t>Time and date should display properly</t>
  </si>
  <si>
    <t>Set all day as event time but in playcard it shows blank</t>
  </si>
  <si>
    <t>029.png</t>
  </si>
  <si>
    <t>BR_030</t>
  </si>
  <si>
    <t>Can set the event to reverse time. Logical error</t>
  </si>
  <si>
    <t>start time should be smaller than end time</t>
  </si>
  <si>
    <t>Can set event end time before event start time</t>
  </si>
  <si>
    <t>030.png</t>
  </si>
  <si>
    <t>BR_031</t>
  </si>
  <si>
    <t>Event doesn’t update dynamically when it’s created and the user is logged in.</t>
  </si>
  <si>
    <t>Event should update dynamically with a notification popup.</t>
  </si>
  <si>
    <t>No popup is displayed, and the event doesn’t update dynamically.</t>
  </si>
  <si>
    <t>031.png</t>
  </si>
  <si>
    <t>BR_032</t>
  </si>
  <si>
    <t>Difference between a real device and an emulator, must be precise</t>
  </si>
  <si>
    <t>Design should be as same as figma</t>
  </si>
  <si>
    <t>Difference in app on button has been noticed</t>
  </si>
  <si>
    <t>032.png</t>
  </si>
  <si>
    <t>BR-002</t>
  </si>
  <si>
    <t>BR_033</t>
  </si>
  <si>
    <t>Expense</t>
  </si>
  <si>
    <t>Failed to close the popup box by clicking on a random spot on the page.</t>
  </si>
  <si>
    <t>1. Open app
2. Login with valid credentials
3. Click on expense</t>
  </si>
  <si>
    <t>Dialouge box should close when user clicks on random site than dialouge box</t>
  </si>
  <si>
    <t>Failed to close the dialogue box by clicking on random places other than the dialogue box.</t>
  </si>
  <si>
    <t>033.mp4</t>
  </si>
  <si>
    <t>BR-003</t>
  </si>
  <si>
    <t>BR_034</t>
  </si>
  <si>
    <t>Different font style used</t>
  </si>
  <si>
    <t xml:space="preserve">All text font should be same </t>
  </si>
  <si>
    <t xml:space="preserve">Different font used </t>
  </si>
  <si>
    <t>034.png</t>
  </si>
  <si>
    <t>BR-004</t>
  </si>
  <si>
    <t>BR_035</t>
  </si>
  <si>
    <t>Alignment broke when selecting catagory</t>
  </si>
  <si>
    <t xml:space="preserve">Alignment and design should be same </t>
  </si>
  <si>
    <t>Broken alignment has been noticed when selecting catagory</t>
  </si>
  <si>
    <t>035.png</t>
  </si>
  <si>
    <t>BR-005</t>
  </si>
  <si>
    <t>BR_036</t>
  </si>
  <si>
    <t>Flow broken</t>
  </si>
  <si>
    <t>There should be a validation process between two parents, where one submits a request and the other has the authority to approve or reject it. Additionally, a double validation should be implemented to verify whether the requested amount has been paid or not.</t>
  </si>
  <si>
    <t>Add expense and manage flow broken</t>
  </si>
  <si>
    <t>036.png</t>
  </si>
  <si>
    <t>BR-006</t>
  </si>
  <si>
    <t>BR_037</t>
  </si>
  <si>
    <t>All expenses are listed under the "Paid" category, but they don’t appear in the "Approved" tab.</t>
  </si>
  <si>
    <t>Expenses should be validated on both sides for authenticity.</t>
  </si>
  <si>
    <t xml:space="preserve">Missing approve/reject on co-parent account </t>
  </si>
  <si>
    <t>037.mp4</t>
  </si>
  <si>
    <t>BR-007</t>
  </si>
  <si>
    <t>BR_038</t>
  </si>
  <si>
    <t>Expense spent in August but showing in September</t>
  </si>
  <si>
    <t>Expense month should be shown correctly.</t>
  </si>
  <si>
    <t>August expenses are showing under the September month.</t>
  </si>
  <si>
    <t>038.mp4</t>
  </si>
  <si>
    <t>BR-008</t>
  </si>
  <si>
    <t>BR_039</t>
  </si>
  <si>
    <t>Not all categories are showing in the filter section.</t>
  </si>
  <si>
    <t>All categories should be displayed to address the filter issue.</t>
  </si>
  <si>
    <t>Only a limited number of categories are shown for filtering.</t>
  </si>
  <si>
    <t>039.png</t>
  </si>
  <si>
    <t>BR-009</t>
  </si>
  <si>
    <t>BR_040</t>
  </si>
  <si>
    <t>Calculation error was found, as the total spend is $170 and each share amounts to $85.</t>
  </si>
  <si>
    <t>Calculation needs to be accurate.</t>
  </si>
  <si>
    <t>Calculation error has been noticed</t>
  </si>
  <si>
    <t>040.png</t>
  </si>
  <si>
    <t>BR-010</t>
  </si>
  <si>
    <t>BR_041</t>
  </si>
  <si>
    <t>Support Forum</t>
  </si>
  <si>
    <t>Email and token number shown in user name</t>
  </si>
  <si>
    <t>1. Open app
2. Login with valid credentials
3. Click on Support Forum</t>
  </si>
  <si>
    <t>Show the user's name or display "Anonymous" if they choose to post anonymously.</t>
  </si>
  <si>
    <t>Displaying the email and token name as the username</t>
  </si>
  <si>
    <t>041.png</t>
  </si>
  <si>
    <t>BR-011</t>
  </si>
  <si>
    <t>BR_042</t>
  </si>
  <si>
    <t>See more button is displayed on all posts, whether they are long or short.</t>
  </si>
  <si>
    <t>"See more" button should apper when the post is too long to display</t>
  </si>
  <si>
    <t>The "See more" button shows up all the time, whether it's a short post or a long one.</t>
  </si>
  <si>
    <t>042.mp4</t>
  </si>
  <si>
    <t>BR-012</t>
  </si>
  <si>
    <t>BR_043</t>
  </si>
  <si>
    <t>Couldn’t close the post banner because no close button was found.</t>
  </si>
  <si>
    <t>Banner’s close button should be positioned at the top right.</t>
  </si>
  <si>
    <t>Could not close the banner for the post.</t>
  </si>
  <si>
    <t>043.mp4</t>
  </si>
  <si>
    <t>BR-013</t>
  </si>
  <si>
    <t>BR_044</t>
  </si>
  <si>
    <t>Unable to upload the post anonymously.</t>
  </si>
  <si>
    <t>Post should be uploaded without revealing the author’s identity.</t>
  </si>
  <si>
    <t>Anonymous post feature didn’t work.</t>
  </si>
  <si>
    <t>044.mp4</t>
  </si>
  <si>
    <t>BR-014</t>
  </si>
  <si>
    <t>BR_045</t>
  </si>
  <si>
    <t>Options to edit, delete, or share the post are not available.</t>
  </si>
  <si>
    <t>Post edit, delete, or share options should be clearly visible and positioned correctly.</t>
  </si>
  <si>
    <t>Post edit, delete, or share options are missing in the frontend.</t>
  </si>
  <si>
    <t>045.png</t>
  </si>
  <si>
    <t>BR-015</t>
  </si>
  <si>
    <t>BR_046</t>
  </si>
  <si>
    <t>Comments on the post aren’t updating in real time.</t>
  </si>
  <si>
    <t>Comments should update in real time with a popup notification.</t>
  </si>
  <si>
    <t>Comments don’t update automatically, and no notifications appear when someone comments on a post.</t>
  </si>
  <si>
    <t>046.png</t>
  </si>
  <si>
    <t>BR-016</t>
  </si>
  <si>
    <t>BR_047</t>
  </si>
  <si>
    <t>Comments are not showing when posts pop up.</t>
  </si>
  <si>
    <t>Comments are not visible when banner popup</t>
  </si>
  <si>
    <t>Comments should be visible when the banner popups</t>
  </si>
  <si>
    <t>047.mp4</t>
  </si>
  <si>
    <t>BR-017</t>
  </si>
  <si>
    <t>BR_048</t>
  </si>
  <si>
    <t>Category name should appear below the username.</t>
  </si>
  <si>
    <t>Category name should be displayed beneath the username.</t>
  </si>
  <si>
    <t>Category name is missing from the post banner.</t>
  </si>
  <si>
    <t>048.png</t>
  </si>
  <si>
    <t>BR-018</t>
  </si>
  <si>
    <t>BR_049</t>
  </si>
  <si>
    <t>Post banner displays a different time than expected.</t>
  </si>
  <si>
    <t>Time should be same in post in different banner</t>
  </si>
  <si>
    <t>Post banner displays different times on different sites.</t>
  </si>
  <si>
    <t>049.mp4</t>
  </si>
  <si>
    <t>BR-019</t>
  </si>
  <si>
    <t>BR_050</t>
  </si>
  <si>
    <t>Legal Records</t>
  </si>
  <si>
    <t>Failed to open legal records. Not working properly.</t>
  </si>
  <si>
    <t>1. Open app
2. Login with valid credentials
3. Click on Legal Records</t>
  </si>
  <si>
    <t>Functions should works properly as expected</t>
  </si>
  <si>
    <t>Function should work as expected</t>
  </si>
  <si>
    <t>050.png</t>
  </si>
  <si>
    <t>BR-020</t>
  </si>
  <si>
    <t>BR_051</t>
  </si>
  <si>
    <t>Home</t>
  </si>
  <si>
    <t>Clicking on the profile should redirect the user to their profile page.</t>
  </si>
  <si>
    <t>1. Open app
2. Login with valid credentials
3. Goto Home</t>
  </si>
  <si>
    <t>Clicking the profile should take the user straight to their profile page.</t>
  </si>
  <si>
    <t>Clicking on the profile doesn’t redirect to the profile page.</t>
  </si>
  <si>
    <t>051.png</t>
  </si>
  <si>
    <t>BR_052</t>
  </si>
  <si>
    <t>BR-021</t>
  </si>
  <si>
    <t>Clicking on the home icon opened the home page, which was overlapping.</t>
  </si>
  <si>
    <t>Home page should open with a single click.</t>
  </si>
  <si>
    <t>Clicking multiple times on the home page opens several home tabs.</t>
  </si>
  <si>
    <t>052.mp4</t>
  </si>
  <si>
    <t>BR-022</t>
  </si>
  <si>
    <t>BR_053</t>
  </si>
  <si>
    <t>Backend</t>
  </si>
  <si>
    <t>Wallet</t>
  </si>
  <si>
    <t>Unable to redirect the user to the home page after completing a subscription purchase.</t>
  </si>
  <si>
    <t>1. Open app
2. Login with valid credentials
3. Purchase plan</t>
  </si>
  <si>
    <t>User should redirect to home page after purchasing plan</t>
  </si>
  <si>
    <t>Failed to redirect user to home page</t>
  </si>
  <si>
    <t>053.png</t>
  </si>
  <si>
    <t>BR-023</t>
  </si>
  <si>
    <t>BR_054</t>
  </si>
  <si>
    <t>Profile</t>
  </si>
  <si>
    <t>Unable to save Twilio data after setting up a new account.</t>
  </si>
  <si>
    <t>1. Open app
2. Login with valid credentials
3. Goto settings -&gt; profile</t>
  </si>
  <si>
    <t>Twilio information should be stored after a user creates an account.</t>
  </si>
  <si>
    <t xml:space="preserve">Failed to store users twilio information in backend </t>
  </si>
  <si>
    <t>054.png</t>
  </si>
  <si>
    <t>BR-024</t>
  </si>
  <si>
    <t>BR_055</t>
  </si>
  <si>
    <t>BR_056</t>
  </si>
  <si>
    <t>BR-025</t>
  </si>
  <si>
    <t>BR_057</t>
  </si>
  <si>
    <t>BR_058</t>
  </si>
  <si>
    <t>BR-026</t>
  </si>
  <si>
    <t>BR_059</t>
  </si>
  <si>
    <t>BR_060</t>
  </si>
  <si>
    <t>BR-027</t>
  </si>
  <si>
    <t>BR-028</t>
  </si>
  <si>
    <t>BR-029</t>
  </si>
  <si>
    <t>BR-030</t>
  </si>
  <si>
    <t>BR-031</t>
  </si>
  <si>
    <t>BR-032</t>
  </si>
  <si>
    <t>BR-033</t>
  </si>
  <si>
    <t>BR-034</t>
  </si>
  <si>
    <t>BR-035</t>
  </si>
  <si>
    <t>BR-036</t>
  </si>
  <si>
    <t>BR-037</t>
  </si>
  <si>
    <t>BR-038</t>
  </si>
  <si>
    <t>BR-039</t>
  </si>
  <si>
    <t>BR-040</t>
  </si>
  <si>
    <t>BR-041</t>
  </si>
  <si>
    <t>BR-042</t>
  </si>
  <si>
    <t>BR-043</t>
  </si>
  <si>
    <t>BR-044</t>
  </si>
  <si>
    <t>BR-045</t>
  </si>
  <si>
    <t>BR-046</t>
  </si>
  <si>
    <t>BR-047</t>
  </si>
  <si>
    <t>BR-048</t>
  </si>
  <si>
    <t>BR-049</t>
  </si>
  <si>
    <t>BR-050</t>
  </si>
  <si>
    <t>BR-051</t>
  </si>
  <si>
    <t>BR-052</t>
  </si>
  <si>
    <t>BR-053</t>
  </si>
  <si>
    <t>BR-054</t>
  </si>
  <si>
    <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</si>
</sst>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sz val="30.0"/>
      <color theme="1"/>
      <name val="Merriweather"/>
    </font>
    <font>
      <b/>
      <sz val="30.0"/>
      <color theme="1"/>
      <name val="Merriweather"/>
    </font>
    <font/>
    <font>
      <b/>
      <sz val="14.0"/>
      <color theme="1"/>
      <name val="Merriweather"/>
    </font>
    <font>
      <b/>
      <sz val="13.0"/>
      <color theme="1"/>
      <name val="Merriweather"/>
    </font>
    <font>
      <b/>
      <sz val="12.0"/>
      <color theme="1"/>
      <name val="Calibri"/>
    </font>
    <font>
      <sz val="12.0"/>
      <color theme="1"/>
      <name val="Calibri"/>
    </font>
    <font>
      <sz val="12.0"/>
      <color theme="1"/>
      <name val="Merriweather"/>
    </font>
    <font>
      <color theme="1"/>
      <name val="Arial"/>
    </font>
    <font>
      <color rgb="FFFFFFFF"/>
      <name val="Arial"/>
    </font>
    <font>
      <color theme="1"/>
      <name val="Arial"/>
      <scheme val="minor"/>
    </font>
    <font>
      <color rgb="FF1E2624"/>
      <name val="Inter"/>
    </font>
    <font>
      <b/>
      <color theme="1"/>
      <name val="Times New Roman"/>
    </font>
    <font>
      <color rgb="FF1E2624"/>
      <name val="Arial"/>
    </font>
    <font>
      <color theme="1"/>
      <name val="Times New Roman"/>
    </font>
    <font>
      <b/>
      <sz val="13.0"/>
      <color theme="1"/>
      <name val="Times New Roman"/>
    </font>
    <font>
      <b/>
      <sz val="15.0"/>
      <color theme="1"/>
      <name val="Calibri"/>
    </font>
    <font>
      <sz val="13.0"/>
      <color theme="1"/>
      <name val="Arial"/>
      <scheme val="minor"/>
    </font>
    <font>
      <sz val="12.0"/>
      <color theme="1"/>
      <name val="Times New Roman"/>
    </font>
    <font>
      <u/>
      <sz val="12.0"/>
      <color theme="1"/>
      <name val="Times New Roman"/>
    </font>
    <font>
      <u/>
      <sz val="12.0"/>
      <color rgb="FF1155CC"/>
      <name val="Times New Roman"/>
    </font>
    <font>
      <u/>
      <sz val="12.0"/>
      <color theme="1"/>
      <name val="Times New Roman"/>
    </font>
    <font>
      <sz val="11.0"/>
      <color theme="1"/>
      <name val="Calibri"/>
    </font>
    <font>
      <b/>
      <sz val="12.0"/>
      <color theme="1"/>
      <name val="Arial"/>
    </font>
    <font>
      <b/>
      <color rgb="FF000000"/>
      <name val="Arial"/>
      <scheme val="minor"/>
    </font>
    <font>
      <b/>
      <color theme="1"/>
      <name val="Arial"/>
    </font>
    <font>
      <b/>
      <sz val="11.0"/>
      <color theme="1"/>
      <name val="Calibri"/>
    </font>
    <font>
      <sz val="15.0"/>
      <color theme="1"/>
      <name val="Arial"/>
      <scheme val="minor"/>
    </font>
    <font>
      <u/>
      <color theme="1"/>
      <name val="Arial"/>
      <scheme val="minor"/>
    </font>
    <font>
      <u/>
      <color theme="1"/>
      <name val="Arial"/>
      <scheme val="minor"/>
    </font>
    <font>
      <u/>
      <sz val="12.0"/>
      <color rgb="FF1155CC"/>
      <name val="Times New Roman"/>
    </font>
  </fonts>
  <fills count="10">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FFD966"/>
        <bgColor rgb="FFFFD966"/>
      </patternFill>
    </fill>
    <fill>
      <patternFill patternType="solid">
        <fgColor rgb="FF00FFFF"/>
        <bgColor rgb="FF00FFFF"/>
      </patternFill>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F1C232"/>
        <bgColor rgb="FFF1C232"/>
      </patternFill>
    </fill>
  </fills>
  <borders count="22">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medium">
        <color rgb="FF000000"/>
      </left>
      <right style="medium">
        <color rgb="FF000000"/>
      </right>
      <top style="medium">
        <color rgb="FF000000"/>
      </top>
      <bottom style="medium">
        <color rgb="FF000000"/>
      </bottom>
    </border>
    <border>
      <left style="double">
        <color rgb="FF000000"/>
      </left>
      <right style="double">
        <color rgb="FF000000"/>
      </right>
      <top style="double">
        <color rgb="FF000000"/>
      </top>
      <bottom style="double">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2" fontId="4" numFmtId="0" xfId="0" applyAlignment="1" applyBorder="1" applyFill="1" applyFont="1">
      <alignment horizontal="center" readingOrder="0" shrinkToFit="0" vertical="center" wrapText="1"/>
    </xf>
    <xf borderId="10" fillId="2" fontId="5" numFmtId="0" xfId="0" applyAlignment="1" applyBorder="1" applyFill="1" applyFont="1">
      <alignment horizontal="center" readingOrder="0" shrinkToFit="0" vertical="center" wrapText="1"/>
    </xf>
    <xf borderId="11" fillId="0" fontId="6" numFmtId="0" xfId="0" applyAlignment="1" applyBorder="1" applyFont="1">
      <alignment horizontal="right" shrinkToFit="0" vertical="center" wrapText="1"/>
    </xf>
    <xf borderId="12" fillId="0" fontId="4" numFmtId="0" xfId="0" applyAlignment="1" applyBorder="1" applyFont="1">
      <alignment horizontal="center" readingOrder="0" shrinkToFit="0" vertical="center" wrapText="1"/>
    </xf>
    <xf borderId="11" fillId="0" fontId="7" numFmtId="0" xfId="0" applyAlignment="1" applyBorder="1" applyFont="1">
      <alignment horizontal="center" readingOrder="0" vertical="center"/>
    </xf>
    <xf borderId="0" fillId="0" fontId="8" numFmtId="0" xfId="0" applyAlignment="1" applyFont="1">
      <alignment horizontal="center" shrinkToFit="0" vertical="center" wrapText="1"/>
    </xf>
    <xf borderId="13" fillId="0" fontId="3" numFmtId="0" xfId="0" applyBorder="1" applyFont="1"/>
    <xf borderId="0" fillId="0" fontId="9" numFmtId="0" xfId="0" applyFont="1"/>
    <xf borderId="0" fillId="0" fontId="5" numFmtId="0" xfId="0" applyAlignment="1" applyFont="1">
      <alignment horizontal="center" shrinkToFit="0" vertical="center" wrapText="1"/>
    </xf>
    <xf borderId="14" fillId="0" fontId="3" numFmtId="0" xfId="0" applyBorder="1" applyFont="1"/>
    <xf borderId="0" fillId="0" fontId="10" numFmtId="0" xfId="0" applyAlignment="1" applyFont="1">
      <alignment readingOrder="0"/>
    </xf>
    <xf borderId="12" fillId="0" fontId="8" numFmtId="0" xfId="0" applyBorder="1" applyFont="1"/>
    <xf borderId="13" fillId="0" fontId="4" numFmtId="0" xfId="0" applyAlignment="1" applyBorder="1" applyFont="1">
      <alignment horizontal="center" readingOrder="0" shrinkToFit="0" vertical="center" wrapText="1"/>
    </xf>
    <xf borderId="13" fillId="0" fontId="8" numFmtId="0" xfId="0" applyBorder="1" applyFont="1"/>
    <xf borderId="0" fillId="0" fontId="11" numFmtId="0" xfId="0" applyFont="1"/>
    <xf borderId="11" fillId="0" fontId="9" numFmtId="0" xfId="0" applyAlignment="1" applyBorder="1" applyFont="1">
      <alignment horizontal="center" readingOrder="0" vertical="center"/>
    </xf>
    <xf borderId="0" fillId="0" fontId="8" numFmtId="0" xfId="0" applyFont="1"/>
    <xf borderId="11" fillId="0" fontId="9" numFmtId="0" xfId="0" applyAlignment="1" applyBorder="1" applyFont="1">
      <alignment horizontal="center" readingOrder="0" vertical="center"/>
    </xf>
    <xf borderId="15" fillId="0" fontId="4" numFmtId="0" xfId="0" applyAlignment="1" applyBorder="1" applyFont="1">
      <alignment horizontal="center" readingOrder="0" shrinkToFit="0" vertical="center" wrapText="1"/>
    </xf>
    <xf borderId="11" fillId="3" fontId="12" numFmtId="0" xfId="0" applyAlignment="1" applyBorder="1" applyFill="1" applyFont="1">
      <alignment horizontal="center" readingOrder="0" vertical="center"/>
    </xf>
    <xf borderId="16" fillId="0" fontId="3" numFmtId="0" xfId="0" applyBorder="1" applyFont="1"/>
    <xf borderId="17" fillId="0" fontId="3" numFmtId="0" xfId="0" applyBorder="1" applyFont="1"/>
    <xf borderId="0" fillId="0" fontId="13" numFmtId="0" xfId="0" applyAlignment="1" applyFont="1">
      <alignment horizontal="center" shrinkToFit="0" wrapText="1"/>
    </xf>
    <xf borderId="15" fillId="0" fontId="8" numFmtId="0" xfId="0" applyBorder="1" applyFont="1"/>
    <xf borderId="11" fillId="0" fontId="6" numFmtId="0" xfId="0" applyAlignment="1" applyBorder="1" applyFont="1">
      <alignment horizontal="right" readingOrder="0" vertical="center"/>
    </xf>
    <xf borderId="11" fillId="3" fontId="14" numFmtId="0" xfId="0" applyAlignment="1" applyBorder="1" applyFill="1" applyFont="1">
      <alignment horizontal="center" readingOrder="0" vertical="center"/>
    </xf>
    <xf borderId="0" fillId="4" fontId="15" numFmtId="0" xfId="0" applyAlignment="1" applyFill="1" applyFont="1">
      <alignment horizontal="center" readingOrder="0" shrinkToFit="0" wrapText="1"/>
    </xf>
    <xf borderId="15" fillId="0" fontId="8" numFmtId="0" xfId="0" applyAlignment="1" applyBorder="1" applyFont="1">
      <alignment readingOrder="0"/>
    </xf>
    <xf borderId="18" fillId="2" fontId="16" numFmtId="0" xfId="0" applyAlignment="1" applyBorder="1" applyFill="1" applyFont="1">
      <alignment horizontal="center" shrinkToFit="0" vertical="center" wrapText="1"/>
    </xf>
    <xf borderId="18" fillId="2" fontId="17" numFmtId="0" xfId="0" applyAlignment="1" applyBorder="1" applyFill="1" applyFont="1">
      <alignment horizontal="center" shrinkToFit="0" vertical="center" wrapText="1"/>
    </xf>
    <xf borderId="18" fillId="2" fontId="17" numFmtId="0" xfId="0" applyAlignment="1" applyBorder="1" applyFill="1" applyFont="1">
      <alignment horizontal="center" readingOrder="0" shrinkToFit="0" vertical="center" wrapText="1"/>
    </xf>
    <xf borderId="0" fillId="0" fontId="18" numFmtId="0" xfId="0" applyAlignment="1" applyFont="1">
      <alignment vertical="center"/>
    </xf>
    <xf borderId="0" fillId="0" fontId="18" numFmtId="0" xfId="0" applyAlignment="1" applyFont="1">
      <alignment readingOrder="0" vertical="center"/>
    </xf>
    <xf borderId="19" fillId="0" fontId="19" numFmtId="0" xfId="0" applyAlignment="1" applyBorder="1" applyFont="1">
      <alignment horizontal="center" readingOrder="0" shrinkToFit="0" vertical="center" wrapText="1"/>
    </xf>
    <xf borderId="11" fillId="0" fontId="19" numFmtId="0" xfId="0" applyAlignment="1" applyBorder="1" applyFont="1">
      <alignment horizontal="center" readingOrder="0" shrinkToFit="0" vertical="center" wrapText="1"/>
    </xf>
    <xf borderId="19" fillId="0" fontId="19" numFmtId="0" xfId="0" applyAlignment="1" applyBorder="1" applyFont="1">
      <alignment horizontal="left" readingOrder="0" shrinkToFit="0" vertical="center" wrapText="1"/>
    </xf>
    <xf borderId="15" fillId="0" fontId="4" numFmtId="0" xfId="0" applyAlignment="1" applyBorder="1" applyFont="1">
      <alignment horizontal="center" readingOrder="0" shrinkToFit="0" wrapText="1"/>
    </xf>
    <xf borderId="15" fillId="0" fontId="9" numFmtId="0" xfId="0" applyAlignment="1" applyBorder="1" applyFont="1">
      <alignment vertical="bottom"/>
    </xf>
    <xf borderId="20" fillId="0" fontId="20" numFmtId="0" xfId="0" applyAlignment="1" applyBorder="1" applyFont="1">
      <alignment horizontal="center" readingOrder="0" shrinkToFit="0" vertical="center" wrapText="1"/>
    </xf>
    <xf borderId="0" fillId="0" fontId="19" numFmtId="0" xfId="0" applyAlignment="1" applyFont="1">
      <alignment horizontal="center" shrinkToFit="0" vertical="center" wrapText="1"/>
    </xf>
    <xf borderId="0" fillId="0" fontId="19" numFmtId="0" xfId="0" applyAlignment="1" applyFont="1">
      <alignment horizontal="left" shrinkToFit="0" vertical="center" wrapText="1"/>
    </xf>
    <xf borderId="11" fillId="0" fontId="19" numFmtId="0" xfId="0" applyAlignment="1" applyBorder="1" applyFont="1">
      <alignment horizontal="left" readingOrder="0" shrinkToFit="0" vertical="center" wrapText="1"/>
    </xf>
    <xf borderId="11" fillId="0" fontId="21" numFmtId="0" xfId="0" applyAlignment="1" applyBorder="1" applyFont="1">
      <alignment horizontal="center" readingOrder="0" shrinkToFit="0" vertical="center" wrapText="1"/>
    </xf>
    <xf borderId="11" fillId="0" fontId="22" numFmtId="0" xfId="0" applyAlignment="1" applyBorder="1" applyFont="1">
      <alignment horizontal="center" readingOrder="0" shrinkToFit="0" vertical="center" wrapText="1"/>
    </xf>
    <xf borderId="11" fillId="0" fontId="19" numFmtId="0" xfId="0" applyAlignment="1" applyBorder="1" applyFont="1">
      <alignment horizontal="center" readingOrder="0" shrinkToFit="0" vertical="center" wrapText="1"/>
    </xf>
    <xf borderId="11" fillId="0" fontId="19" numFmtId="0" xfId="0" applyAlignment="1" applyBorder="1" applyFont="1">
      <alignment horizontal="center" shrinkToFit="0" vertical="center" wrapText="1"/>
    </xf>
    <xf borderId="11" fillId="0" fontId="19" numFmtId="0" xfId="0" applyAlignment="1" applyBorder="1" applyFont="1">
      <alignment horizontal="center" shrinkToFit="0" vertical="center" wrapText="1"/>
    </xf>
    <xf borderId="11" fillId="0" fontId="19" numFmtId="0" xfId="0" applyAlignment="1" applyBorder="1" applyFont="1">
      <alignment horizontal="left" shrinkToFit="0" vertical="center" wrapText="1"/>
    </xf>
    <xf borderId="18" fillId="5" fontId="16" numFmtId="0" xfId="0" applyAlignment="1" applyBorder="1" applyFill="1" applyFont="1">
      <alignment horizontal="center" shrinkToFit="0" vertical="center" wrapText="1"/>
    </xf>
    <xf borderId="18" fillId="5" fontId="16" numFmtId="0" xfId="0" applyAlignment="1" applyBorder="1" applyFill="1" applyFont="1">
      <alignment horizontal="center" readingOrder="0" shrinkToFit="0" vertical="center" wrapText="1"/>
    </xf>
    <xf borderId="18" fillId="5" fontId="16" numFmtId="0" xfId="0" applyAlignment="1" applyBorder="1" applyFill="1" applyFont="1">
      <alignment horizontal="center" shrinkToFit="0" vertical="center" wrapText="1"/>
    </xf>
    <xf borderId="0" fillId="0" fontId="9" numFmtId="0" xfId="0" applyAlignment="1" applyFont="1">
      <alignment horizontal="center" shrinkToFit="0" vertical="center" wrapText="1"/>
    </xf>
    <xf borderId="19" fillId="0" fontId="9" numFmtId="0" xfId="0" applyAlignment="1" applyBorder="1" applyFont="1">
      <alignment horizontal="center" shrinkToFit="0" vertical="center" wrapText="1"/>
    </xf>
    <xf borderId="19" fillId="0" fontId="9" numFmtId="0" xfId="0" applyAlignment="1" applyBorder="1" applyFont="1">
      <alignment horizontal="center" shrinkToFit="0" vertical="center" wrapText="1"/>
    </xf>
    <xf borderId="11" fillId="0" fontId="9" numFmtId="0" xfId="0" applyAlignment="1" applyBorder="1" applyFont="1">
      <alignment horizontal="center" shrinkToFit="0" vertical="center" wrapText="1"/>
    </xf>
    <xf borderId="11" fillId="0" fontId="9" numFmtId="0" xfId="0" applyAlignment="1" applyBorder="1" applyFont="1">
      <alignment horizontal="center" shrinkToFit="0" vertical="center" wrapText="1"/>
    </xf>
    <xf borderId="0" fillId="0" fontId="19" numFmtId="0" xfId="0" applyAlignment="1" applyFont="1">
      <alignment horizontal="left" readingOrder="0" shrinkToFit="0" vertical="center" wrapText="1"/>
    </xf>
    <xf borderId="11" fillId="0" fontId="23" numFmtId="0" xfId="0" applyAlignment="1" applyBorder="1" applyFont="1">
      <alignment horizontal="center" readingOrder="0" shrinkToFit="0" vertical="center" wrapText="1"/>
    </xf>
    <xf borderId="11" fillId="0" fontId="24" numFmtId="0" xfId="0" applyAlignment="1" applyBorder="1" applyFont="1">
      <alignment horizontal="center" shrinkToFit="0" wrapText="1"/>
    </xf>
    <xf borderId="0" fillId="0" fontId="25" numFmtId="0" xfId="0" applyAlignment="1" applyFont="1">
      <alignment horizontal="center" readingOrder="0" shrinkToFit="0" vertical="center" wrapText="1"/>
    </xf>
    <xf borderId="11" fillId="0" fontId="9" numFmtId="0" xfId="0" applyAlignment="1" applyBorder="1" applyFont="1">
      <alignment horizontal="center" readingOrder="0" shrinkToFit="0" vertical="center" wrapText="1"/>
    </xf>
    <xf borderId="11" fillId="6" fontId="26" numFmtId="0" xfId="0" applyAlignment="1" applyBorder="1" applyFill="1" applyFont="1">
      <alignment horizontal="center" shrinkToFit="0" vertical="center" wrapText="1"/>
    </xf>
    <xf borderId="11" fillId="0" fontId="26" numFmtId="0" xfId="0" applyAlignment="1" applyBorder="1" applyFont="1">
      <alignment horizontal="center" shrinkToFit="0" vertical="center" wrapText="1"/>
    </xf>
    <xf borderId="11" fillId="0" fontId="11" numFmtId="0" xfId="0" applyAlignment="1" applyBorder="1" applyFont="1">
      <alignment horizontal="center" readingOrder="0"/>
    </xf>
    <xf borderId="11" fillId="7" fontId="26" numFmtId="0" xfId="0" applyAlignment="1" applyBorder="1" applyFill="1" applyFont="1">
      <alignment horizontal="center" shrinkToFit="0" vertical="center" wrapText="1"/>
    </xf>
    <xf borderId="11" fillId="0" fontId="9" numFmtId="0" xfId="0" applyAlignment="1" applyBorder="1" applyFont="1">
      <alignment horizontal="center" readingOrder="0" shrinkToFit="0" vertical="center" wrapText="1"/>
    </xf>
    <xf borderId="11" fillId="8" fontId="26" numFmtId="0" xfId="0" applyAlignment="1" applyBorder="1" applyFill="1" applyFont="1">
      <alignment horizontal="center" shrinkToFit="0" vertical="center" wrapText="1"/>
    </xf>
    <xf borderId="11" fillId="0" fontId="9" numFmtId="0" xfId="0" applyBorder="1" applyFont="1"/>
    <xf borderId="0" fillId="0" fontId="26" numFmtId="0" xfId="0" applyFont="1"/>
    <xf borderId="11" fillId="0" fontId="27" numFmtId="0" xfId="0" applyAlignment="1" applyBorder="1" applyFont="1">
      <alignment horizontal="center" shrinkToFit="0" wrapText="1"/>
    </xf>
    <xf borderId="11" fillId="0" fontId="26" numFmtId="0" xfId="0" applyAlignment="1" applyBorder="1" applyFont="1">
      <alignment horizontal="center" shrinkToFit="0" wrapText="1"/>
    </xf>
    <xf borderId="0" fillId="0" fontId="15" numFmtId="0" xfId="0" applyAlignment="1" applyFont="1">
      <alignment horizontal="center" readingOrder="0" shrinkToFit="0" vertical="center" wrapText="1"/>
    </xf>
    <xf borderId="18" fillId="9" fontId="17" numFmtId="0" xfId="0" applyAlignment="1" applyBorder="1" applyFill="1" applyFont="1">
      <alignment horizontal="center" shrinkToFit="0" vertical="center" wrapText="1"/>
    </xf>
    <xf borderId="18" fillId="9" fontId="17" numFmtId="0" xfId="0" applyAlignment="1" applyBorder="1" applyFill="1" applyFont="1">
      <alignment horizontal="center" readingOrder="0" shrinkToFit="0" vertical="center" wrapText="1"/>
    </xf>
    <xf borderId="0" fillId="0" fontId="28" numFmtId="0" xfId="0" applyAlignment="1" applyFont="1">
      <alignment horizontal="center" shrinkToFit="0" vertical="center" wrapText="1"/>
    </xf>
    <xf borderId="21" fillId="0" fontId="11" numFmtId="0" xfId="0" applyAlignment="1" applyBorder="1" applyFont="1">
      <alignment horizontal="center" readingOrder="0" shrinkToFit="0" vertical="center" wrapText="1"/>
    </xf>
    <xf borderId="19" fillId="0" fontId="11" numFmtId="0" xfId="0" applyAlignment="1" applyBorder="1" applyFont="1">
      <alignment horizontal="center" readingOrder="0" shrinkToFit="0" vertical="center" wrapText="1"/>
    </xf>
    <xf borderId="19" fillId="0" fontId="11" numFmtId="0" xfId="0" applyAlignment="1" applyBorder="1" applyFont="1">
      <alignment horizontal="center" shrinkToFit="0" vertical="center" wrapText="1"/>
    </xf>
    <xf borderId="19" fillId="0" fontId="29" numFmtId="0" xfId="0" applyAlignment="1" applyBorder="1" applyFont="1">
      <alignment horizontal="center" shrinkToFit="0" vertical="center" wrapText="1"/>
    </xf>
    <xf borderId="0" fillId="0" fontId="11" numFmtId="0" xfId="0" applyAlignment="1" applyFont="1">
      <alignment horizontal="center" shrinkToFit="0" vertical="center" wrapText="1"/>
    </xf>
    <xf borderId="11" fillId="0" fontId="11" numFmtId="0" xfId="0" applyAlignment="1" applyBorder="1" applyFont="1">
      <alignment horizontal="center" readingOrder="0" shrinkToFit="0" vertical="center" wrapText="1"/>
    </xf>
    <xf borderId="11" fillId="0" fontId="11" numFmtId="0" xfId="0" applyAlignment="1" applyBorder="1" applyFont="1">
      <alignment horizontal="center" shrinkToFit="0" vertical="center" wrapText="1"/>
    </xf>
    <xf borderId="11" fillId="0" fontId="30" numFmtId="0" xfId="0" applyAlignment="1" applyBorder="1" applyFont="1">
      <alignment horizontal="center" shrinkToFit="0" vertical="center" wrapText="1"/>
    </xf>
    <xf borderId="11" fillId="0" fontId="19" numFmtId="0" xfId="0" applyAlignment="1" applyBorder="1" applyFont="1">
      <alignment horizontal="left" readingOrder="0" shrinkToFit="0" vertical="center" wrapText="1"/>
    </xf>
    <xf borderId="0" fillId="0" fontId="19" numFmtId="0" xfId="0" applyFont="1"/>
    <xf borderId="0" fillId="0" fontId="19" numFmtId="0" xfId="0" applyAlignment="1" applyFont="1">
      <alignment horizontal="left"/>
    </xf>
    <xf borderId="11" fillId="0" fontId="31" numFmtId="0" xfId="0" applyAlignment="1" applyBorder="1" applyFont="1">
      <alignment horizontal="center" shrinkToFit="0" vertical="center" wrapText="1"/>
    </xf>
    <xf borderId="0" fillId="0" fontId="11"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714750" cy="1943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7usQjPivZt-zqSsoLINAFg3kXGRUp-Jd/view?usp=sharing" TargetMode="External"/><Relationship Id="rId42" Type="http://schemas.openxmlformats.org/officeDocument/2006/relationships/hyperlink" Target="https://drive.google.com/file/d/1PJ5V0iSb2bkYMlsn3gt9Er7VrkRnL-2o/view?usp=sharing" TargetMode="External"/><Relationship Id="rId41" Type="http://schemas.openxmlformats.org/officeDocument/2006/relationships/hyperlink" Target="https://drive.google.com/file/d/1l7P5pjK7lpGTZ18V-WsB2qWpBHFVu9Oy/view?usp=sharing" TargetMode="External"/><Relationship Id="rId44" Type="http://schemas.openxmlformats.org/officeDocument/2006/relationships/hyperlink" Target="https://drive.google.com/file/d/1AvFuNkFFB8b30WXEWkXjBLtPJXZp18RT/view?usp=sharing" TargetMode="External"/><Relationship Id="rId43" Type="http://schemas.openxmlformats.org/officeDocument/2006/relationships/hyperlink" Target="https://drive.google.com/file/d/1s05oWzWVfO4-tmQtPcXPK4wOcKJ0VgnF/view?usp=sharing" TargetMode="External"/><Relationship Id="rId46" Type="http://schemas.openxmlformats.org/officeDocument/2006/relationships/hyperlink" Target="https://drive.google.com/file/d/1xmwUNG2wjVi1R4AUQLOvKjnAk1R3rNpe/view?usp=sharing" TargetMode="External"/><Relationship Id="rId45" Type="http://schemas.openxmlformats.org/officeDocument/2006/relationships/hyperlink" Target="https://drive.google.com/file/d/1H_c5cv6hlI91v3caQmX3Isjk8KeGaSEz/view?usp=sharing" TargetMode="External"/><Relationship Id="rId1" Type="http://schemas.openxmlformats.org/officeDocument/2006/relationships/hyperlink" Target="https://drive.google.com/file/d/1daOuZNr02dvNQIxWKWkNEvv1vEYfoSEY/view?usp=sharing" TargetMode="External"/><Relationship Id="rId2" Type="http://schemas.openxmlformats.org/officeDocument/2006/relationships/hyperlink" Target="https://drive.google.com/file/d/1xmEhS0-UY4xtArBBAM21A0TKsKWB_Wp6/view?usp=drive_link" TargetMode="External"/><Relationship Id="rId3" Type="http://schemas.openxmlformats.org/officeDocument/2006/relationships/hyperlink" Target="https://drive.google.com/file/d/1jrYG67U0B4IEHfwUt8OVMpdJiZCCR7ad/view?usp=sharing" TargetMode="External"/><Relationship Id="rId4" Type="http://schemas.openxmlformats.org/officeDocument/2006/relationships/hyperlink" Target="https://drive.google.com/file/d/1bWptI5pSb5WC7-wjohsnYfzny7msebJ8/view?usp=sharing" TargetMode="External"/><Relationship Id="rId9" Type="http://schemas.openxmlformats.org/officeDocument/2006/relationships/hyperlink" Target="https://drive.google.com/file/d/1LUgSJCubEhaUyPjLuHWsvCwnX5FcoSs4/view?usp=drive_link" TargetMode="External"/><Relationship Id="rId48" Type="http://schemas.openxmlformats.org/officeDocument/2006/relationships/hyperlink" Target="https://drive.google.com/file/d/1EP-pbud5w51pz8VWwGafYHSl2SWHxAGi/view?usp=sharing" TargetMode="External"/><Relationship Id="rId47" Type="http://schemas.openxmlformats.org/officeDocument/2006/relationships/hyperlink" Target="https://drive.google.com/file/d/1LH6oqMGdQflAmjtVc2jM7c5tKCxnILTU/view?usp=sharing" TargetMode="External"/><Relationship Id="rId49" Type="http://schemas.openxmlformats.org/officeDocument/2006/relationships/hyperlink" Target="https://drive.google.com/file/d/1NdPpuf3vdFOn1cSG-PBoz6WHJDmG5pr2/view?usp=sharing" TargetMode="External"/><Relationship Id="rId5" Type="http://schemas.openxmlformats.org/officeDocument/2006/relationships/hyperlink" Target="https://drive.google.com/file/d/111lk2EH7O2KPyav-Dmd-0Z2Fbnl3px_f/view?usp=sharing" TargetMode="External"/><Relationship Id="rId6" Type="http://schemas.openxmlformats.org/officeDocument/2006/relationships/hyperlink" Target="https://drive.google.com/file/d/1SmFyvxspl6qf8jtCd0QG9prd1ek6TOSG/view?usp=drive_link" TargetMode="External"/><Relationship Id="rId7" Type="http://schemas.openxmlformats.org/officeDocument/2006/relationships/hyperlink" Target="https://drive.google.com/file/d/1tiFQkXbKDix78gV5V_96q6QXa4DYt_jM/view?usp=sharing" TargetMode="External"/><Relationship Id="rId8" Type="http://schemas.openxmlformats.org/officeDocument/2006/relationships/hyperlink" Target="https://drive.google.com/file/d/1GOSZ2K06SLqB7FpcqBl2m2YIvlgAreV5/view?usp=drive_link" TargetMode="External"/><Relationship Id="rId31" Type="http://schemas.openxmlformats.org/officeDocument/2006/relationships/hyperlink" Target="https://drive.google.com/file/d/1sr_daSAgEbquaPYN-i1e1rIEvctESGCv/view?usp=sharing" TargetMode="External"/><Relationship Id="rId30" Type="http://schemas.openxmlformats.org/officeDocument/2006/relationships/hyperlink" Target="https://drive.google.com/file/d/1jLUb9YzXr1qvhHUuK-7lCCaYbEuM0R-N/view?usp=sharing" TargetMode="External"/><Relationship Id="rId33" Type="http://schemas.openxmlformats.org/officeDocument/2006/relationships/hyperlink" Target="https://drive.google.com/file/d/18HdwdIRmIetOeaJkf4esa8NzCFUjZLJK/view?usp=sharing" TargetMode="External"/><Relationship Id="rId32" Type="http://schemas.openxmlformats.org/officeDocument/2006/relationships/hyperlink" Target="https://drive.google.com/file/d/1Xa_X_HufeOH2N1dZNV3kk9TZC06iAjD2/view?usp=sharing" TargetMode="External"/><Relationship Id="rId35" Type="http://schemas.openxmlformats.org/officeDocument/2006/relationships/hyperlink" Target="https://drive.google.com/file/d/1HYJgI7-LAPOUnZdJ7_mjuInmf-WplMKU/view?usp=sharing" TargetMode="External"/><Relationship Id="rId34" Type="http://schemas.openxmlformats.org/officeDocument/2006/relationships/hyperlink" Target="https://drive.google.com/file/d/1X2xXJ4pqajTIY-wySQdZ3sC4bBENSK9K/view?usp=sharing" TargetMode="External"/><Relationship Id="rId37" Type="http://schemas.openxmlformats.org/officeDocument/2006/relationships/hyperlink" Target="https://drive.google.com/file/d/1K7kwEH_X8i2jjyZhnTxYecRbN6sgl6oC/view?usp=sharing" TargetMode="External"/><Relationship Id="rId36" Type="http://schemas.openxmlformats.org/officeDocument/2006/relationships/hyperlink" Target="https://drive.google.com/file/d/11q5YmKzR5H_VcHvat0cpQ_easnKPuUGs/view?usp=sharing" TargetMode="External"/><Relationship Id="rId39" Type="http://schemas.openxmlformats.org/officeDocument/2006/relationships/hyperlink" Target="https://drive.google.com/file/d/1xT6eb6l7g30SIL2b24CCKlJee8bLJ2Bd/view?usp=sharing" TargetMode="External"/><Relationship Id="rId38" Type="http://schemas.openxmlformats.org/officeDocument/2006/relationships/hyperlink" Target="https://drive.google.com/file/d/10Zfa-IEkJglbJESttpVdbcYpwPxuRnAs/view?usp=sharing" TargetMode="External"/><Relationship Id="rId20" Type="http://schemas.openxmlformats.org/officeDocument/2006/relationships/hyperlink" Target="https://drive.google.com/file/d/1i41ta0AIWNdledpcyNYJdXep-KdmWnX8/view?usp=sharing" TargetMode="External"/><Relationship Id="rId22" Type="http://schemas.openxmlformats.org/officeDocument/2006/relationships/hyperlink" Target="https://drive.google.com/file/d/17Udfq6MfegryOhodMxRITc7-8UarHo47/view?usp=sharing" TargetMode="External"/><Relationship Id="rId21" Type="http://schemas.openxmlformats.org/officeDocument/2006/relationships/hyperlink" Target="https://drive.google.com/file/d/1L906el9gKvJsPNvm1yMosvxw8nz7nZ41/view?usp=sharing" TargetMode="External"/><Relationship Id="rId24" Type="http://schemas.openxmlformats.org/officeDocument/2006/relationships/hyperlink" Target="https://drive.google.com/file/d/17-wxkrfHehCZ2kjxBZnOB9rswSn72noc/view?usp=sharing" TargetMode="External"/><Relationship Id="rId23" Type="http://schemas.openxmlformats.org/officeDocument/2006/relationships/hyperlink" Target="https://drive.google.com/file/d/1GQil2_4XB9sm3xS9il8UpZpfN8Z7H9sG/view?usp=sharing" TargetMode="External"/><Relationship Id="rId26" Type="http://schemas.openxmlformats.org/officeDocument/2006/relationships/hyperlink" Target="https://drive.google.com/file/d/1l6Z5JNwPP4v4kqIe4gmfbqOxccY1VSVl/view?usp=sharing" TargetMode="External"/><Relationship Id="rId25" Type="http://schemas.openxmlformats.org/officeDocument/2006/relationships/hyperlink" Target="https://drive.google.com/file/d/14l_CfuYsl3i2KnYDiJkdnXuFaO77C5uy/view?usp=sharing" TargetMode="External"/><Relationship Id="rId28" Type="http://schemas.openxmlformats.org/officeDocument/2006/relationships/hyperlink" Target="https://drive.google.com/file/d/1K2SdEaUOafu7UmJOzHhs7obiZ7MPkZUW/view?usp=drive_link" TargetMode="External"/><Relationship Id="rId27" Type="http://schemas.openxmlformats.org/officeDocument/2006/relationships/hyperlink" Target="https://drive.google.com/file/d/1NAmjSEmHupG996bj_lnMYncUUMdacCJR/view?usp=sharing" TargetMode="External"/><Relationship Id="rId29" Type="http://schemas.openxmlformats.org/officeDocument/2006/relationships/hyperlink" Target="https://drive.google.com/file/d/1voDL8ErTyqqeBEW1777SSStFNz-kPzjy/view?usp=sharing" TargetMode="External"/><Relationship Id="rId51" Type="http://schemas.openxmlformats.org/officeDocument/2006/relationships/hyperlink" Target="https://drive.google.com/file/d/107UcZnGT3_FWa_wFmEQ8aeyXLBFyW3Q4/view?usp=sharing" TargetMode="External"/><Relationship Id="rId50" Type="http://schemas.openxmlformats.org/officeDocument/2006/relationships/hyperlink" Target="https://drive.google.com/file/d/1UsiqHygPye1qE27UwoBLqmXS2FOBe52M/view?usp=sharing" TargetMode="External"/><Relationship Id="rId53" Type="http://schemas.openxmlformats.org/officeDocument/2006/relationships/hyperlink" Target="https://drive.google.com/file/d/16i9uF9SWfeBFlMW2Q_6sKKSt1qHpdnE_/view?usp=drive_link" TargetMode="External"/><Relationship Id="rId52" Type="http://schemas.openxmlformats.org/officeDocument/2006/relationships/hyperlink" Target="https://drive.google.com/file/d/1hAZBlJqJbGbkk_cq_8bzrq9EVYXygN9x/view?usp=sharing" TargetMode="External"/><Relationship Id="rId11" Type="http://schemas.openxmlformats.org/officeDocument/2006/relationships/hyperlink" Target="https://drive.google.com/file/d/1x6vj4hQbKNcjaLCcmGNCfAOPFroDbd27/view?usp=sharing" TargetMode="External"/><Relationship Id="rId55" Type="http://schemas.openxmlformats.org/officeDocument/2006/relationships/drawing" Target="../drawings/drawing4.xml"/><Relationship Id="rId10" Type="http://schemas.openxmlformats.org/officeDocument/2006/relationships/hyperlink" Target="https://drive.google.com/file/d/1toGK47zsE6ONzifInX6Oohv6vi0owH7p/view?usp=sharing" TargetMode="External"/><Relationship Id="rId54" Type="http://schemas.openxmlformats.org/officeDocument/2006/relationships/hyperlink" Target="https://drive.google.com/file/d/1W_O6-Zl6wqmT32w-v13NVb_Km7KOAmxz/view?usp=sharing" TargetMode="External"/><Relationship Id="rId13" Type="http://schemas.openxmlformats.org/officeDocument/2006/relationships/hyperlink" Target="https://drive.google.com/file/d/15u61aCc7Hx0opHXynUEV6xKLmkMX08FT/view?usp=drive_link" TargetMode="External"/><Relationship Id="rId12" Type="http://schemas.openxmlformats.org/officeDocument/2006/relationships/hyperlink" Target="https://drive.google.com/file/d/11GOo4o6pE4B53m8XGA_gBQefCJIgZgZr/view?usp=sharing" TargetMode="External"/><Relationship Id="rId15" Type="http://schemas.openxmlformats.org/officeDocument/2006/relationships/hyperlink" Target="https://drive.google.com/file/d/1FJ_ucIfIhLFkopdtDVAIkCoDBI6V-Tv_/view?usp=sharing" TargetMode="External"/><Relationship Id="rId14" Type="http://schemas.openxmlformats.org/officeDocument/2006/relationships/hyperlink" Target="https://drive.google.com/file/d/159JUrVOlV6gBCwuGtB5t4rwH8PI5QG8G/view?usp=drive_link" TargetMode="External"/><Relationship Id="rId17" Type="http://schemas.openxmlformats.org/officeDocument/2006/relationships/hyperlink" Target="https://drive.google.com/file/d/1ICKBpvxCzY6MRvgP4Uf0jLktDwIJ26jR/view?usp=drive_link" TargetMode="External"/><Relationship Id="rId16" Type="http://schemas.openxmlformats.org/officeDocument/2006/relationships/hyperlink" Target="https://drive.google.com/file/d/10Du8dFTaF29pnuSgW3A8qqCFfXkTaWE0/view?usp=sharing" TargetMode="External"/><Relationship Id="rId19" Type="http://schemas.openxmlformats.org/officeDocument/2006/relationships/hyperlink" Target="https://drive.google.com/file/d/11ffEOVkIJ9_GGRTOSt74LnPZUStG4pmH/view?usp=sharing" TargetMode="External"/><Relationship Id="rId18" Type="http://schemas.openxmlformats.org/officeDocument/2006/relationships/hyperlink" Target="https://drive.google.com/file/d/16HynhPQvhToBtMCtX42rnbuibKkgvEeo/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file/d/1FJ_ucIfIhLFkopdtDVAIkCoDBI6V-Tv_/view?usp=sharing" TargetMode="External"/><Relationship Id="rId42" Type="http://schemas.openxmlformats.org/officeDocument/2006/relationships/hyperlink" Target="https://drive.google.com/file/d/1ICKBpvxCzY6MRvgP4Uf0jLktDwIJ26jR/view?usp=drive_link" TargetMode="External"/><Relationship Id="rId41" Type="http://schemas.openxmlformats.org/officeDocument/2006/relationships/hyperlink" Target="https://drive.google.com/file/d/10Du8dFTaF29pnuSgW3A8qqCFfXkTaWE0/view?usp=sharing" TargetMode="External"/><Relationship Id="rId44" Type="http://schemas.openxmlformats.org/officeDocument/2006/relationships/hyperlink" Target="https://drive.google.com/file/d/11ffEOVkIJ9_GGRTOSt74LnPZUStG4pmH/view?usp=sharing" TargetMode="External"/><Relationship Id="rId43" Type="http://schemas.openxmlformats.org/officeDocument/2006/relationships/hyperlink" Target="https://drive.google.com/file/d/16HynhPQvhToBtMCtX42rnbuibKkgvEeo/view?usp=sharing" TargetMode="External"/><Relationship Id="rId46" Type="http://schemas.openxmlformats.org/officeDocument/2006/relationships/hyperlink" Target="https://drive.google.com/file/d/1GOSZ2K06SLqB7FpcqBl2m2YIvlgAreV5/view?usp=drive_link" TargetMode="External"/><Relationship Id="rId45" Type="http://schemas.openxmlformats.org/officeDocument/2006/relationships/hyperlink" Target="https://drive.google.com/file/d/1hAZBlJqJbGbkk_cq_8bzrq9EVYXygN9x/view?usp=sharing" TargetMode="External"/><Relationship Id="rId1" Type="http://schemas.openxmlformats.org/officeDocument/2006/relationships/hyperlink" Target="https://drive.google.com/file/d/1W_O6-Zl6wqmT32w-v13NVb_Km7KOAmxz/view?usp=sharing" TargetMode="External"/><Relationship Id="rId2" Type="http://schemas.openxmlformats.org/officeDocument/2006/relationships/hyperlink" Target="https://drive.google.com/file/d/16i9uF9SWfeBFlMW2Q_6sKKSt1qHpdnE_/view?usp=drive_link" TargetMode="External"/><Relationship Id="rId3" Type="http://schemas.openxmlformats.org/officeDocument/2006/relationships/hyperlink" Target="https://drive.google.com/file/d/1i41ta0AIWNdledpcyNYJdXep-KdmWnX8/view?usp=sharing" TargetMode="External"/><Relationship Id="rId4" Type="http://schemas.openxmlformats.org/officeDocument/2006/relationships/hyperlink" Target="https://drive.google.com/file/d/1voDL8ErTyqqeBEW1777SSStFNz-kPzjy/view?usp=sharing" TargetMode="External"/><Relationship Id="rId9" Type="http://schemas.openxmlformats.org/officeDocument/2006/relationships/hyperlink" Target="https://drive.google.com/file/d/1X2xXJ4pqajTIY-wySQdZ3sC4bBENSK9K/view?usp=sharing" TargetMode="External"/><Relationship Id="rId48" Type="http://schemas.openxmlformats.org/officeDocument/2006/relationships/hyperlink" Target="https://drive.google.com/file/d/1daOuZNr02dvNQIxWKWkNEvv1vEYfoSEY/view?usp=sharing" TargetMode="External"/><Relationship Id="rId47" Type="http://schemas.openxmlformats.org/officeDocument/2006/relationships/hyperlink" Target="https://drive.google.com/file/d/1LUgSJCubEhaUyPjLuHWsvCwnX5FcoSs4/view?usp=drive_link" TargetMode="External"/><Relationship Id="rId49" Type="http://schemas.openxmlformats.org/officeDocument/2006/relationships/hyperlink" Target="https://drive.google.com/file/d/1xmEhS0-UY4xtArBBAM21A0TKsKWB_Wp6/view?usp=drive_link" TargetMode="External"/><Relationship Id="rId5" Type="http://schemas.openxmlformats.org/officeDocument/2006/relationships/hyperlink" Target="https://drive.google.com/file/d/1jLUb9YzXr1qvhHUuK-7lCCaYbEuM0R-N/view?usp=sharing" TargetMode="External"/><Relationship Id="rId6" Type="http://schemas.openxmlformats.org/officeDocument/2006/relationships/hyperlink" Target="https://drive.google.com/file/d/1sr_daSAgEbquaPYN-i1e1rIEvctESGCv/view?usp=sharing" TargetMode="External"/><Relationship Id="rId7" Type="http://schemas.openxmlformats.org/officeDocument/2006/relationships/hyperlink" Target="https://drive.google.com/file/d/1Xa_X_HufeOH2N1dZNV3kk9TZC06iAjD2/view?usp=sharing" TargetMode="External"/><Relationship Id="rId8" Type="http://schemas.openxmlformats.org/officeDocument/2006/relationships/hyperlink" Target="https://drive.google.com/file/d/18HdwdIRmIetOeaJkf4esa8NzCFUjZLJK/view?usp=sharing" TargetMode="External"/><Relationship Id="rId31" Type="http://schemas.openxmlformats.org/officeDocument/2006/relationships/hyperlink" Target="https://drive.google.com/file/d/1xmwUNG2wjVi1R4AUQLOvKjnAk1R3rNpe/view?usp=sharing" TargetMode="External"/><Relationship Id="rId30" Type="http://schemas.openxmlformats.org/officeDocument/2006/relationships/hyperlink" Target="https://drive.google.com/file/d/1H_c5cv6hlI91v3caQmX3Isjk8KeGaSEz/view?usp=sharing" TargetMode="External"/><Relationship Id="rId33" Type="http://schemas.openxmlformats.org/officeDocument/2006/relationships/hyperlink" Target="https://drive.google.com/file/d/1EP-pbud5w51pz8VWwGafYHSl2SWHxAGi/view?usp=sharing" TargetMode="External"/><Relationship Id="rId32" Type="http://schemas.openxmlformats.org/officeDocument/2006/relationships/hyperlink" Target="https://drive.google.com/file/d/1LH6oqMGdQflAmjtVc2jM7c5tKCxnILTU/view?usp=sharing" TargetMode="External"/><Relationship Id="rId35" Type="http://schemas.openxmlformats.org/officeDocument/2006/relationships/hyperlink" Target="https://drive.google.com/file/d/1toGK47zsE6ONzifInX6Oohv6vi0owH7p/view?usp=sharing" TargetMode="External"/><Relationship Id="rId34" Type="http://schemas.openxmlformats.org/officeDocument/2006/relationships/hyperlink" Target="https://drive.google.com/file/d/1NdPpuf3vdFOn1cSG-PBoz6WHJDmG5pr2/view?usp=sharing" TargetMode="External"/><Relationship Id="rId37" Type="http://schemas.openxmlformats.org/officeDocument/2006/relationships/hyperlink" Target="https://drive.google.com/file/d/11GOo4o6pE4B53m8XGA_gBQefCJIgZgZr/view?usp=sharing" TargetMode="External"/><Relationship Id="rId36" Type="http://schemas.openxmlformats.org/officeDocument/2006/relationships/hyperlink" Target="https://drive.google.com/file/d/1x6vj4hQbKNcjaLCcmGNCfAOPFroDbd27/view?usp=sharing" TargetMode="External"/><Relationship Id="rId39" Type="http://schemas.openxmlformats.org/officeDocument/2006/relationships/hyperlink" Target="https://drive.google.com/file/d/159JUrVOlV6gBCwuGtB5t4rwH8PI5QG8G/view?usp=drive_link" TargetMode="External"/><Relationship Id="rId38" Type="http://schemas.openxmlformats.org/officeDocument/2006/relationships/hyperlink" Target="https://drive.google.com/file/d/15u61aCc7Hx0opHXynUEV6xKLmkMX08FT/view?usp=drive_link" TargetMode="External"/><Relationship Id="rId20" Type="http://schemas.openxmlformats.org/officeDocument/2006/relationships/hyperlink" Target="https://drive.google.com/file/d/1K2SdEaUOafu7UmJOzHhs7obiZ7MPkZUW/view?usp=drive_link" TargetMode="External"/><Relationship Id="rId22" Type="http://schemas.openxmlformats.org/officeDocument/2006/relationships/hyperlink" Target="https://drive.google.com/file/d/17-wxkrfHehCZ2kjxBZnOB9rswSn72noc/view?usp=sharing" TargetMode="External"/><Relationship Id="rId21" Type="http://schemas.openxmlformats.org/officeDocument/2006/relationships/hyperlink" Target="https://drive.google.com/file/d/14l_CfuYsl3i2KnYDiJkdnXuFaO77C5uy/view?usp=sharing" TargetMode="External"/><Relationship Id="rId24" Type="http://schemas.openxmlformats.org/officeDocument/2006/relationships/hyperlink" Target="https://drive.google.com/file/d/1l6Z5JNwPP4v4kqIe4gmfbqOxccY1VSVl/view?usp=sharing" TargetMode="External"/><Relationship Id="rId23" Type="http://schemas.openxmlformats.org/officeDocument/2006/relationships/hyperlink" Target="https://drive.google.com/file/d/1NAmjSEmHupG996bj_lnMYncUUMdacCJR/view?usp=sharing" TargetMode="External"/><Relationship Id="rId26" Type="http://schemas.openxmlformats.org/officeDocument/2006/relationships/hyperlink" Target="https://drive.google.com/file/d/1l7P5pjK7lpGTZ18V-WsB2qWpBHFVu9Oy/view?usp=sharing" TargetMode="External"/><Relationship Id="rId25" Type="http://schemas.openxmlformats.org/officeDocument/2006/relationships/hyperlink" Target="https://drive.google.com/file/d/1GQil2_4XB9sm3xS9il8UpZpfN8Z7H9sG/view?usp=sharing" TargetMode="External"/><Relationship Id="rId28" Type="http://schemas.openxmlformats.org/officeDocument/2006/relationships/hyperlink" Target="https://drive.google.com/file/d/1s05oWzWVfO4-tmQtPcXPK4wOcKJ0VgnF/view?usp=sharing" TargetMode="External"/><Relationship Id="rId27" Type="http://schemas.openxmlformats.org/officeDocument/2006/relationships/hyperlink" Target="https://drive.google.com/file/d/1PJ5V0iSb2bkYMlsn3gt9Er7VrkRnL-2o/view?usp=sharing" TargetMode="External"/><Relationship Id="rId29" Type="http://schemas.openxmlformats.org/officeDocument/2006/relationships/hyperlink" Target="https://drive.google.com/file/d/1AvFuNkFFB8b30WXEWkXjBLtPJXZp18RT/view?usp=sharing" TargetMode="External"/><Relationship Id="rId51" Type="http://schemas.openxmlformats.org/officeDocument/2006/relationships/hyperlink" Target="https://drive.google.com/file/d/1bWptI5pSb5WC7-wjohsnYfzny7msebJ8/view?usp=sharing" TargetMode="External"/><Relationship Id="rId50" Type="http://schemas.openxmlformats.org/officeDocument/2006/relationships/hyperlink" Target="https://drive.google.com/file/d/1jrYG67U0B4IEHfwUt8OVMpdJiZCCR7ad/view?usp=sharing" TargetMode="External"/><Relationship Id="rId53" Type="http://schemas.openxmlformats.org/officeDocument/2006/relationships/hyperlink" Target="https://drive.google.com/file/d/1SmFyvxspl6qf8jtCd0QG9prd1ek6TOSG/view?usp=drive_link" TargetMode="External"/><Relationship Id="rId52" Type="http://schemas.openxmlformats.org/officeDocument/2006/relationships/hyperlink" Target="https://drive.google.com/file/d/111lk2EH7O2KPyav-Dmd-0Z2Fbnl3px_f/view?usp=sharing" TargetMode="External"/><Relationship Id="rId11" Type="http://schemas.openxmlformats.org/officeDocument/2006/relationships/hyperlink" Target="https://drive.google.com/file/d/11q5YmKzR5H_VcHvat0cpQ_easnKPuUGs/view?usp=sharing" TargetMode="External"/><Relationship Id="rId55" Type="http://schemas.openxmlformats.org/officeDocument/2006/relationships/drawing" Target="../drawings/drawing6.xml"/><Relationship Id="rId10" Type="http://schemas.openxmlformats.org/officeDocument/2006/relationships/hyperlink" Target="https://drive.google.com/file/d/1HYJgI7-LAPOUnZdJ7_mjuInmf-WplMKU/view?usp=sharing" TargetMode="External"/><Relationship Id="rId54" Type="http://schemas.openxmlformats.org/officeDocument/2006/relationships/hyperlink" Target="https://drive.google.com/file/d/1tiFQkXbKDix78gV5V_96q6QXa4DYt_jM/view?usp=sharing" TargetMode="External"/><Relationship Id="rId13" Type="http://schemas.openxmlformats.org/officeDocument/2006/relationships/hyperlink" Target="https://drive.google.com/file/d/10Zfa-IEkJglbJESttpVdbcYpwPxuRnAs/view?usp=sharing" TargetMode="External"/><Relationship Id="rId12" Type="http://schemas.openxmlformats.org/officeDocument/2006/relationships/hyperlink" Target="https://drive.google.com/file/d/1K7kwEH_X8i2jjyZhnTxYecRbN6sgl6oC/view?usp=sharing" TargetMode="External"/><Relationship Id="rId15" Type="http://schemas.openxmlformats.org/officeDocument/2006/relationships/hyperlink" Target="https://drive.google.com/file/d/17usQjPivZt-zqSsoLINAFg3kXGRUp-Jd/view?usp=sharing" TargetMode="External"/><Relationship Id="rId14" Type="http://schemas.openxmlformats.org/officeDocument/2006/relationships/hyperlink" Target="https://drive.google.com/file/d/1xT6eb6l7g30SIL2b24CCKlJee8bLJ2Bd/view?usp=sharing" TargetMode="External"/><Relationship Id="rId17" Type="http://schemas.openxmlformats.org/officeDocument/2006/relationships/hyperlink" Target="https://drive.google.com/file/d/1UsiqHygPye1qE27UwoBLqmXS2FOBe52M/view?usp=sharing" TargetMode="External"/><Relationship Id="rId16" Type="http://schemas.openxmlformats.org/officeDocument/2006/relationships/hyperlink" Target="https://drive.google.com/file/d/107UcZnGT3_FWa_wFmEQ8aeyXLBFyW3Q4/view?usp=sharing" TargetMode="External"/><Relationship Id="rId19" Type="http://schemas.openxmlformats.org/officeDocument/2006/relationships/hyperlink" Target="https://drive.google.com/file/d/17Udfq6MfegryOhodMxRITc7-8UarHo47/view?usp=sharing" TargetMode="External"/><Relationship Id="rId18" Type="http://schemas.openxmlformats.org/officeDocument/2006/relationships/hyperlink" Target="https://drive.google.com/file/d/1L906el9gKvJsPNvm1yMosvxw8nz7nZ41/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2">
      <c r="C2" s="2" t="s">
        <v>0</v>
      </c>
      <c r="D2" s="3"/>
      <c r="E2" s="3"/>
      <c r="F2" s="3"/>
      <c r="G2" s="3"/>
      <c r="H2" s="3"/>
      <c r="I2" s="3"/>
      <c r="J2" s="3"/>
      <c r="K2" s="4"/>
    </row>
    <row r="3">
      <c r="C3" s="5"/>
      <c r="K3" s="6"/>
    </row>
    <row r="4">
      <c r="C4" s="5"/>
      <c r="K4" s="6"/>
    </row>
    <row r="5">
      <c r="C5" s="5"/>
      <c r="K5" s="6"/>
    </row>
    <row r="6">
      <c r="C6" s="5"/>
      <c r="K6" s="6"/>
    </row>
    <row r="7">
      <c r="C7" s="5"/>
      <c r="K7" s="6"/>
    </row>
    <row r="8">
      <c r="C8" s="5"/>
      <c r="K8" s="6"/>
    </row>
    <row r="9">
      <c r="C9" s="7"/>
      <c r="D9" s="8"/>
      <c r="E9" s="8"/>
      <c r="F9" s="8"/>
      <c r="G9" s="8"/>
      <c r="H9" s="8"/>
      <c r="I9" s="8"/>
      <c r="J9" s="8"/>
      <c r="K9" s="9"/>
    </row>
    <row r="13">
      <c r="A13" s="13" t="s">
        <v>4</v>
      </c>
      <c r="B13" s="16"/>
      <c r="C13" s="19"/>
      <c r="D13" s="21"/>
      <c r="E13" s="16"/>
      <c r="F13" s="16"/>
      <c r="G13" s="16"/>
      <c r="H13" s="16"/>
      <c r="I13" s="16"/>
      <c r="J13" s="16"/>
      <c r="K13" s="16"/>
      <c r="L13" s="16"/>
      <c r="M13" s="19"/>
    </row>
    <row r="14">
      <c r="A14" s="22"/>
      <c r="B14" s="22"/>
      <c r="C14" s="22"/>
      <c r="D14" s="23"/>
      <c r="E14" s="23"/>
      <c r="F14" s="23"/>
      <c r="G14" s="23"/>
      <c r="H14" s="23"/>
      <c r="I14" s="23"/>
      <c r="J14" s="23"/>
      <c r="K14" s="23"/>
      <c r="L14" s="23"/>
      <c r="M14" s="23"/>
    </row>
    <row r="15">
      <c r="D15" s="26"/>
      <c r="E15" s="26"/>
      <c r="F15" s="26"/>
      <c r="G15" s="26"/>
      <c r="H15" s="26"/>
      <c r="I15" s="26"/>
      <c r="J15" s="26"/>
      <c r="K15" s="26"/>
      <c r="L15" s="26"/>
      <c r="M15" s="26"/>
    </row>
    <row r="16">
      <c r="A16" s="28" t="s">
        <v>31</v>
      </c>
      <c r="B16" s="30"/>
      <c r="C16" s="31"/>
      <c r="D16" s="33"/>
      <c r="E16" s="30"/>
      <c r="F16" s="30"/>
      <c r="G16" s="30"/>
      <c r="H16" s="30"/>
      <c r="I16" s="30"/>
      <c r="J16" s="30"/>
      <c r="K16" s="30"/>
      <c r="L16" s="30"/>
      <c r="M16" s="31"/>
    </row>
    <row r="17">
      <c r="D17" s="26"/>
      <c r="E17" s="26"/>
      <c r="F17" s="26"/>
      <c r="G17" s="26"/>
      <c r="H17" s="26"/>
      <c r="I17" s="26"/>
      <c r="J17" s="26"/>
      <c r="K17" s="26"/>
      <c r="L17" s="26"/>
      <c r="M17" s="26"/>
    </row>
    <row r="18">
      <c r="D18" s="26"/>
      <c r="E18" s="26"/>
      <c r="F18" s="26"/>
      <c r="G18" s="26"/>
      <c r="H18" s="26"/>
      <c r="I18" s="26"/>
      <c r="J18" s="26"/>
      <c r="K18" s="26"/>
      <c r="L18" s="26"/>
      <c r="M18" s="26"/>
    </row>
    <row r="19">
      <c r="A19" s="28" t="s">
        <v>36</v>
      </c>
      <c r="B19" s="30"/>
      <c r="C19" s="31"/>
      <c r="D19" s="37" t="s">
        <v>39</v>
      </c>
      <c r="E19" s="30"/>
      <c r="F19" s="30"/>
      <c r="G19" s="30"/>
      <c r="H19" s="30"/>
      <c r="I19" s="30"/>
      <c r="J19" s="30"/>
      <c r="K19" s="30"/>
      <c r="L19" s="30"/>
      <c r="M19" s="31"/>
    </row>
    <row r="20">
      <c r="D20" s="26"/>
      <c r="E20" s="26"/>
      <c r="F20" s="26"/>
      <c r="G20" s="26"/>
      <c r="H20" s="26"/>
      <c r="I20" s="26"/>
      <c r="J20" s="26"/>
      <c r="K20" s="26"/>
      <c r="L20" s="26"/>
      <c r="M20" s="26"/>
    </row>
    <row r="21">
      <c r="D21" s="26"/>
      <c r="E21" s="26"/>
      <c r="F21" s="26"/>
      <c r="G21" s="26"/>
      <c r="H21" s="26"/>
      <c r="I21" s="26"/>
      <c r="J21" s="26"/>
      <c r="K21" s="26"/>
      <c r="L21" s="26"/>
      <c r="M21" s="26"/>
    </row>
    <row r="22">
      <c r="A22" s="28" t="s">
        <v>36</v>
      </c>
      <c r="B22" s="30"/>
      <c r="C22" s="31"/>
      <c r="D22" s="33"/>
      <c r="E22" s="30"/>
      <c r="F22" s="30"/>
      <c r="G22" s="30"/>
      <c r="H22" s="30"/>
      <c r="I22" s="30"/>
      <c r="J22" s="30"/>
      <c r="K22" s="30"/>
      <c r="L22" s="30"/>
      <c r="M22" s="31"/>
    </row>
    <row r="23">
      <c r="D23" s="26"/>
      <c r="E23" s="26"/>
      <c r="F23" s="26"/>
      <c r="G23" s="26"/>
      <c r="H23" s="26"/>
      <c r="I23" s="26"/>
      <c r="J23" s="26"/>
      <c r="K23" s="26"/>
      <c r="L23" s="26"/>
      <c r="M23" s="26"/>
    </row>
    <row r="24">
      <c r="D24" s="26"/>
      <c r="E24" s="26"/>
      <c r="F24" s="26"/>
      <c r="G24" s="26"/>
      <c r="H24" s="26"/>
      <c r="I24" s="26"/>
      <c r="J24" s="26"/>
      <c r="K24" s="26"/>
      <c r="L24" s="26"/>
      <c r="M24" s="26"/>
    </row>
    <row r="25">
      <c r="A25" s="28" t="s">
        <v>48</v>
      </c>
      <c r="B25" s="30"/>
      <c r="C25" s="31"/>
      <c r="D25" s="33"/>
      <c r="E25" s="30"/>
      <c r="F25" s="30"/>
      <c r="G25" s="30"/>
      <c r="H25" s="30"/>
      <c r="I25" s="30"/>
      <c r="J25" s="30"/>
      <c r="K25" s="30"/>
      <c r="L25" s="30"/>
      <c r="M25" s="31"/>
    </row>
    <row r="26">
      <c r="D26" s="26"/>
      <c r="E26" s="26"/>
      <c r="F26" s="26"/>
      <c r="G26" s="26"/>
      <c r="H26" s="26"/>
      <c r="I26" s="26"/>
      <c r="J26" s="26"/>
      <c r="K26" s="26"/>
      <c r="L26" s="26"/>
      <c r="M26" s="26"/>
    </row>
    <row r="27">
      <c r="D27" s="26"/>
      <c r="E27" s="26"/>
      <c r="F27" s="26"/>
      <c r="G27" s="26"/>
      <c r="H27" s="26"/>
      <c r="I27" s="26"/>
      <c r="J27" s="26"/>
      <c r="K27" s="26"/>
      <c r="L27" s="26"/>
      <c r="M27" s="26"/>
    </row>
    <row r="28">
      <c r="A28" s="28" t="s">
        <v>58</v>
      </c>
      <c r="B28" s="30"/>
      <c r="C28" s="31"/>
      <c r="D28" s="37" t="s">
        <v>59</v>
      </c>
      <c r="E28" s="30"/>
      <c r="F28" s="30"/>
      <c r="G28" s="30"/>
      <c r="H28" s="30"/>
      <c r="I28" s="30"/>
      <c r="J28" s="30"/>
      <c r="K28" s="30"/>
      <c r="L28" s="30"/>
      <c r="M28" s="31"/>
    </row>
    <row r="31">
      <c r="A31" s="28" t="s">
        <v>58</v>
      </c>
      <c r="B31" s="30"/>
      <c r="C31" s="31"/>
      <c r="D31" s="33"/>
      <c r="E31" s="30"/>
      <c r="F31" s="30"/>
      <c r="G31" s="30"/>
      <c r="H31" s="30"/>
      <c r="I31" s="30"/>
      <c r="J31" s="30"/>
      <c r="K31" s="30"/>
      <c r="L31" s="30"/>
      <c r="M31" s="31"/>
    </row>
    <row r="34">
      <c r="A34" s="46" t="s">
        <v>63</v>
      </c>
      <c r="B34" s="30"/>
      <c r="C34" s="31"/>
      <c r="D34" s="47"/>
      <c r="E34" s="30"/>
      <c r="F34" s="30"/>
      <c r="G34" s="30"/>
      <c r="H34" s="30"/>
      <c r="I34" s="30"/>
      <c r="J34" s="30"/>
      <c r="K34" s="30"/>
      <c r="L34" s="30"/>
      <c r="M34" s="31"/>
    </row>
    <row r="37">
      <c r="A37" s="46" t="s">
        <v>64</v>
      </c>
      <c r="B37" s="30"/>
      <c r="C37" s="31"/>
      <c r="D37" s="47"/>
      <c r="E37" s="30"/>
      <c r="F37" s="30"/>
      <c r="G37" s="30"/>
      <c r="H37" s="30"/>
      <c r="I37" s="30"/>
      <c r="J37" s="30"/>
      <c r="K37" s="30"/>
      <c r="L37" s="30"/>
      <c r="M37" s="31"/>
    </row>
  </sheetData>
  <mergeCells count="19">
    <mergeCell ref="C2:K9"/>
    <mergeCell ref="A13:C13"/>
    <mergeCell ref="D13:M13"/>
    <mergeCell ref="A16:C16"/>
    <mergeCell ref="D16:M16"/>
    <mergeCell ref="A19:C19"/>
    <mergeCell ref="D19:M19"/>
    <mergeCell ref="A31:C31"/>
    <mergeCell ref="A34:C34"/>
    <mergeCell ref="A37:C37"/>
    <mergeCell ref="D34:M34"/>
    <mergeCell ref="D37:M37"/>
    <mergeCell ref="A22:C22"/>
    <mergeCell ref="D22:M22"/>
    <mergeCell ref="A25:C25"/>
    <mergeCell ref="D25:M25"/>
    <mergeCell ref="A28:C28"/>
    <mergeCell ref="D28:M28"/>
    <mergeCell ref="D31:M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23.75"/>
    <col customWidth="1" min="3" max="3" width="29.13"/>
    <col customWidth="1" min="4" max="4" width="29.0"/>
    <col customWidth="1" min="5" max="5" width="29.88"/>
    <col customWidth="1" min="6" max="6" width="30.0"/>
    <col customWidth="1" min="7" max="7" width="25.75"/>
    <col customWidth="1" min="8" max="8" width="26.5"/>
    <col customWidth="1" min="9" max="9" width="26.25"/>
    <col customWidth="1" min="10" max="10" width="26.88"/>
    <col customWidth="1" min="11" max="11" width="19.5"/>
  </cols>
  <sheetData>
    <row r="1">
      <c r="D1" s="1" t="s">
        <v>1</v>
      </c>
      <c r="E1" s="3"/>
      <c r="F1" s="3"/>
      <c r="G1" s="3"/>
      <c r="H1" s="4"/>
    </row>
    <row r="2">
      <c r="D2" s="5"/>
      <c r="H2" s="6"/>
    </row>
    <row r="3">
      <c r="D3" s="7"/>
      <c r="E3" s="8"/>
      <c r="F3" s="8"/>
      <c r="G3" s="8"/>
      <c r="H3" s="9"/>
    </row>
    <row r="5">
      <c r="A5" s="10" t="s">
        <v>3</v>
      </c>
      <c r="B5" s="10" t="s">
        <v>6</v>
      </c>
      <c r="C5" s="10" t="s">
        <v>7</v>
      </c>
      <c r="D5" s="10" t="s">
        <v>8</v>
      </c>
      <c r="E5" s="10" t="s">
        <v>1</v>
      </c>
      <c r="F5" s="10" t="s">
        <v>10</v>
      </c>
      <c r="G5" s="10" t="s">
        <v>11</v>
      </c>
      <c r="H5" s="10" t="s">
        <v>12</v>
      </c>
      <c r="I5" s="10" t="s">
        <v>13</v>
      </c>
      <c r="J5" s="10" t="s">
        <v>14</v>
      </c>
      <c r="K5" s="10" t="s">
        <v>15</v>
      </c>
      <c r="L5" s="15"/>
      <c r="M5" s="15"/>
      <c r="N5" s="15"/>
      <c r="O5" s="15"/>
      <c r="P5" s="15"/>
      <c r="Q5" s="15"/>
      <c r="R5" s="15"/>
      <c r="S5" s="15"/>
      <c r="T5" s="15"/>
      <c r="U5" s="15"/>
      <c r="V5" s="15"/>
      <c r="W5" s="15"/>
      <c r="X5" s="15"/>
      <c r="Y5" s="15"/>
      <c r="Z5" s="15"/>
    </row>
    <row r="6">
      <c r="F6" s="24"/>
      <c r="G6" s="24"/>
    </row>
  </sheetData>
  <mergeCells count="1">
    <mergeCell ref="D1:H3"/>
  </mergeCells>
  <dataValidations>
    <dataValidation type="list" allowBlank="1" showErrorMessage="1" sqref="G6">
      <formula1>"High,Medium,Low"</formula1>
    </dataValidation>
    <dataValidation type="list" allowBlank="1" showErrorMessage="1" sqref="F6">
      <formula1>"Functional,Non-Functional,UI,Resilience"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21.13"/>
    <col customWidth="1" min="3" max="3" width="21.25"/>
    <col customWidth="1" min="4" max="4" width="19.88"/>
    <col customWidth="1" min="5" max="5" width="19.38"/>
    <col customWidth="1" min="6" max="6" width="21.63"/>
    <col customWidth="1" min="7" max="7" width="18.25"/>
    <col customWidth="1" min="8" max="8" width="19.13"/>
    <col customWidth="1" min="9" max="9" width="20.0"/>
    <col customWidth="1" min="10" max="10" width="19.0"/>
    <col customWidth="1" min="11" max="11" width="20.13"/>
    <col customWidth="1" min="12" max="12" width="20.75"/>
    <col customWidth="1" min="13" max="13" width="19.88"/>
    <col customWidth="1" min="14" max="14" width="16.38"/>
    <col customWidth="1" min="15" max="15" width="15.25"/>
    <col customWidth="1" min="16" max="16" width="22.13"/>
    <col customWidth="1" min="17" max="17" width="16.5"/>
    <col customWidth="1" min="18" max="18" width="15.88"/>
    <col customWidth="1" min="19" max="19" width="15.13"/>
  </cols>
  <sheetData>
    <row r="1">
      <c r="F1" s="1" t="s">
        <v>2</v>
      </c>
      <c r="G1" s="3"/>
      <c r="H1" s="3"/>
      <c r="I1" s="3"/>
      <c r="J1" s="4"/>
    </row>
    <row r="2">
      <c r="F2" s="5"/>
      <c r="J2" s="6"/>
    </row>
    <row r="3">
      <c r="F3" s="7"/>
      <c r="G3" s="8"/>
      <c r="H3" s="8"/>
      <c r="I3" s="8"/>
      <c r="J3" s="9"/>
    </row>
    <row r="6">
      <c r="A6" s="11" t="s">
        <v>5</v>
      </c>
      <c r="B6" s="11" t="s">
        <v>16</v>
      </c>
      <c r="C6" s="11" t="s">
        <v>6</v>
      </c>
      <c r="D6" s="11" t="s">
        <v>7</v>
      </c>
      <c r="E6" s="11" t="s">
        <v>8</v>
      </c>
      <c r="F6" s="11" t="s">
        <v>17</v>
      </c>
      <c r="G6" s="11" t="s">
        <v>10</v>
      </c>
      <c r="H6" s="11" t="s">
        <v>11</v>
      </c>
      <c r="I6" s="11" t="s">
        <v>18</v>
      </c>
      <c r="J6" s="11" t="s">
        <v>13</v>
      </c>
      <c r="K6" s="11" t="s">
        <v>19</v>
      </c>
      <c r="L6" s="11" t="s">
        <v>20</v>
      </c>
      <c r="M6" s="11" t="s">
        <v>21</v>
      </c>
      <c r="N6" s="11" t="s">
        <v>22</v>
      </c>
      <c r="O6" s="11" t="s">
        <v>24</v>
      </c>
      <c r="P6" s="11" t="s">
        <v>25</v>
      </c>
      <c r="Q6" s="11" t="s">
        <v>26</v>
      </c>
      <c r="R6" s="11" t="s">
        <v>27</v>
      </c>
      <c r="S6" s="11" t="s">
        <v>15</v>
      </c>
      <c r="T6" s="18"/>
      <c r="U6" s="18"/>
      <c r="V6" s="18"/>
      <c r="W6" s="18"/>
      <c r="X6" s="18"/>
      <c r="Y6" s="18"/>
      <c r="Z6" s="18"/>
    </row>
    <row r="7">
      <c r="H7" s="24"/>
      <c r="N7" s="24"/>
      <c r="O7" s="24"/>
    </row>
  </sheetData>
  <mergeCells count="1">
    <mergeCell ref="F1:J3"/>
  </mergeCells>
  <dataValidations>
    <dataValidation type="list" allowBlank="1" showErrorMessage="1" sqref="O7">
      <formula1>"High,Medium,Low"</formula1>
    </dataValidation>
    <dataValidation type="list" allowBlank="1" showErrorMessage="1" sqref="N7">
      <formula1>"Pass,Fail"</formula1>
    </dataValidation>
    <dataValidation type="list" allowBlank="1" showErrorMessage="1" sqref="H7">
      <formula1>"High,Medium,Low"</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1.25"/>
    <col customWidth="1" min="3" max="3" width="12.5"/>
    <col customWidth="1" min="4" max="4" width="16.5"/>
    <col customWidth="1" min="5" max="5" width="15.38"/>
    <col customWidth="1" min="6" max="6" width="16.88"/>
    <col customWidth="1" min="7" max="7" width="18.63"/>
    <col customWidth="1" min="8" max="8" width="24.38"/>
    <col customWidth="1" min="9" max="9" width="22.13"/>
    <col customWidth="1" min="10" max="10" width="11.13"/>
    <col customWidth="1" min="11" max="11" width="13.25"/>
    <col customWidth="1" min="12" max="12" width="14.63"/>
    <col customWidth="1" min="13" max="13" width="12.25"/>
    <col customWidth="1" min="14" max="14" width="16.63"/>
    <col customWidth="1" min="15" max="15" width="15.88"/>
  </cols>
  <sheetData>
    <row r="1" ht="22.5" customHeight="1">
      <c r="A1" s="12" t="s">
        <v>9</v>
      </c>
      <c r="B1" s="14" t="s">
        <v>23</v>
      </c>
      <c r="C1" s="17"/>
      <c r="D1" s="17"/>
      <c r="E1" s="20" t="s">
        <v>28</v>
      </c>
      <c r="I1" s="17"/>
      <c r="J1" s="17"/>
      <c r="K1" s="17"/>
      <c r="L1" s="17"/>
      <c r="M1" s="17"/>
    </row>
    <row r="2">
      <c r="A2" s="12" t="s">
        <v>29</v>
      </c>
      <c r="B2" s="25"/>
      <c r="C2" s="17"/>
      <c r="D2" s="17"/>
      <c r="E2" s="17"/>
      <c r="F2" s="17"/>
      <c r="G2" s="17"/>
      <c r="H2" s="17"/>
      <c r="I2" s="17"/>
      <c r="J2" s="17"/>
      <c r="K2" s="17"/>
      <c r="L2" s="17"/>
      <c r="M2" s="17"/>
    </row>
    <row r="3">
      <c r="A3" s="12" t="s">
        <v>30</v>
      </c>
      <c r="B3" s="27"/>
      <c r="C3" s="17"/>
      <c r="D3" s="17"/>
      <c r="E3" s="17"/>
      <c r="F3" s="17"/>
      <c r="G3" s="17"/>
      <c r="H3" s="17"/>
      <c r="I3" s="17"/>
      <c r="J3" s="17"/>
      <c r="K3" s="17"/>
      <c r="L3" s="17"/>
      <c r="M3" s="17"/>
    </row>
    <row r="4">
      <c r="A4" s="12" t="s">
        <v>32</v>
      </c>
      <c r="B4" s="29" t="s">
        <v>33</v>
      </c>
      <c r="C4" s="17"/>
      <c r="D4" s="17"/>
      <c r="E4" s="17"/>
      <c r="F4" s="17"/>
      <c r="G4" s="17"/>
      <c r="H4" s="17"/>
      <c r="I4" s="17"/>
      <c r="J4" s="17"/>
      <c r="K4" s="17"/>
      <c r="L4" s="17"/>
      <c r="M4" s="17"/>
      <c r="N4" s="32"/>
      <c r="O4" s="32"/>
    </row>
    <row r="5">
      <c r="A5" s="34" t="s">
        <v>34</v>
      </c>
      <c r="B5" s="35" t="s">
        <v>35</v>
      </c>
      <c r="C5" s="17"/>
      <c r="D5" s="17"/>
      <c r="E5" s="17"/>
      <c r="F5" s="17"/>
      <c r="G5" s="17"/>
      <c r="H5" s="17"/>
      <c r="I5" s="17"/>
      <c r="J5" s="17"/>
      <c r="K5" s="17"/>
      <c r="L5" s="17"/>
      <c r="M5" s="17"/>
      <c r="N5" s="36" t="s">
        <v>37</v>
      </c>
      <c r="O5" s="36" t="s">
        <v>38</v>
      </c>
    </row>
    <row r="6">
      <c r="A6" s="17"/>
      <c r="B6" s="17"/>
      <c r="C6" s="17"/>
      <c r="D6" s="17"/>
      <c r="E6" s="17"/>
      <c r="F6" s="17"/>
      <c r="G6" s="17"/>
      <c r="H6" s="17"/>
      <c r="I6" s="17"/>
      <c r="J6" s="17"/>
      <c r="K6" s="17"/>
      <c r="L6" s="17"/>
      <c r="M6" s="17"/>
    </row>
    <row r="7">
      <c r="A7" s="38" t="s">
        <v>40</v>
      </c>
      <c r="B7" s="38" t="s">
        <v>7</v>
      </c>
      <c r="C7" s="38" t="s">
        <v>41</v>
      </c>
      <c r="D7" s="38" t="s">
        <v>42</v>
      </c>
      <c r="E7" s="38" t="s">
        <v>18</v>
      </c>
      <c r="F7" s="38" t="s">
        <v>19</v>
      </c>
      <c r="G7" s="38" t="s">
        <v>13</v>
      </c>
      <c r="H7" s="38" t="s">
        <v>20</v>
      </c>
      <c r="I7" s="38" t="s">
        <v>21</v>
      </c>
      <c r="J7" s="38" t="s">
        <v>22</v>
      </c>
      <c r="K7" s="38" t="s">
        <v>24</v>
      </c>
      <c r="L7" s="38" t="s">
        <v>43</v>
      </c>
      <c r="M7" s="38" t="s">
        <v>44</v>
      </c>
      <c r="N7" s="39" t="s">
        <v>45</v>
      </c>
      <c r="O7" s="39" t="s">
        <v>46</v>
      </c>
      <c r="P7" s="40" t="s">
        <v>47</v>
      </c>
      <c r="Q7" s="41"/>
      <c r="R7" s="41"/>
      <c r="S7" s="41"/>
      <c r="T7" s="42"/>
      <c r="U7" s="41"/>
      <c r="V7" s="41"/>
      <c r="W7" s="41"/>
      <c r="X7" s="41"/>
      <c r="Y7" s="41"/>
    </row>
    <row r="8">
      <c r="A8" s="43" t="s">
        <v>49</v>
      </c>
      <c r="B8" s="44" t="s">
        <v>50</v>
      </c>
      <c r="C8" s="44" t="s">
        <v>51</v>
      </c>
      <c r="D8" s="43" t="s">
        <v>52</v>
      </c>
      <c r="E8" s="43" t="s">
        <v>53</v>
      </c>
      <c r="F8" s="45" t="s">
        <v>54</v>
      </c>
      <c r="G8" s="43" t="s">
        <v>55</v>
      </c>
      <c r="H8" s="43" t="s">
        <v>56</v>
      </c>
      <c r="I8" s="43" t="s">
        <v>57</v>
      </c>
      <c r="J8" s="43" t="s">
        <v>60</v>
      </c>
      <c r="K8" s="43" t="s">
        <v>61</v>
      </c>
      <c r="L8" s="48" t="s">
        <v>62</v>
      </c>
      <c r="M8" s="43"/>
      <c r="N8" s="43"/>
      <c r="O8" s="43"/>
      <c r="P8" s="44"/>
      <c r="Q8" s="49"/>
      <c r="R8" s="49"/>
      <c r="S8" s="49"/>
      <c r="T8" s="49"/>
      <c r="U8" s="49"/>
      <c r="V8" s="49"/>
      <c r="W8" s="49"/>
      <c r="X8" s="49"/>
      <c r="Y8" s="49"/>
    </row>
    <row r="9">
      <c r="A9" s="49"/>
      <c r="B9" s="49"/>
      <c r="C9" s="49"/>
      <c r="D9" s="49"/>
      <c r="E9" s="49"/>
      <c r="F9" s="50"/>
      <c r="G9" s="49"/>
      <c r="H9" s="49"/>
      <c r="I9" s="49"/>
      <c r="J9" s="49"/>
      <c r="K9" s="49"/>
      <c r="L9" s="49"/>
      <c r="M9" s="49"/>
      <c r="N9" s="49"/>
      <c r="O9" s="49"/>
      <c r="P9" s="49"/>
      <c r="Q9" s="49"/>
      <c r="R9" s="49"/>
      <c r="S9" s="49"/>
      <c r="T9" s="49"/>
      <c r="U9" s="49"/>
      <c r="V9" s="49"/>
      <c r="W9" s="49"/>
      <c r="X9" s="49"/>
      <c r="Y9" s="49"/>
    </row>
    <row r="10">
      <c r="A10" s="44" t="s">
        <v>65</v>
      </c>
      <c r="B10" s="44" t="s">
        <v>50</v>
      </c>
      <c r="C10" s="44" t="s">
        <v>51</v>
      </c>
      <c r="D10" s="44" t="s">
        <v>66</v>
      </c>
      <c r="E10" s="44" t="s">
        <v>53</v>
      </c>
      <c r="F10" s="51" t="s">
        <v>67</v>
      </c>
      <c r="G10" s="44" t="s">
        <v>55</v>
      </c>
      <c r="H10" s="44" t="s">
        <v>68</v>
      </c>
      <c r="I10" s="44" t="s">
        <v>69</v>
      </c>
      <c r="J10" s="44" t="s">
        <v>60</v>
      </c>
      <c r="K10" s="44" t="s">
        <v>70</v>
      </c>
      <c r="L10" s="52" t="s">
        <v>71</v>
      </c>
      <c r="M10" s="44"/>
      <c r="N10" s="44"/>
      <c r="O10" s="44"/>
      <c r="P10" s="44"/>
      <c r="Q10" s="49"/>
      <c r="R10" s="49"/>
      <c r="S10" s="49"/>
      <c r="T10" s="49"/>
      <c r="U10" s="49"/>
      <c r="V10" s="49"/>
      <c r="W10" s="49"/>
      <c r="X10" s="49"/>
      <c r="Y10" s="49"/>
    </row>
    <row r="11">
      <c r="A11" s="49"/>
      <c r="B11" s="49"/>
      <c r="C11" s="49"/>
      <c r="D11" s="49"/>
      <c r="E11" s="49"/>
      <c r="F11" s="50"/>
      <c r="G11" s="49"/>
      <c r="H11" s="49"/>
      <c r="I11" s="49"/>
      <c r="J11" s="49"/>
      <c r="K11" s="49"/>
      <c r="L11" s="49"/>
      <c r="M11" s="49"/>
      <c r="N11" s="49"/>
      <c r="O11" s="49"/>
      <c r="P11" s="49"/>
      <c r="Q11" s="49"/>
      <c r="R11" s="49"/>
      <c r="S11" s="49"/>
      <c r="T11" s="49"/>
      <c r="U11" s="49"/>
      <c r="V11" s="49"/>
      <c r="W11" s="49"/>
      <c r="X11" s="49"/>
      <c r="Y11" s="49"/>
    </row>
    <row r="12">
      <c r="A12" s="44" t="s">
        <v>72</v>
      </c>
      <c r="B12" s="44" t="s">
        <v>50</v>
      </c>
      <c r="C12" s="44" t="s">
        <v>73</v>
      </c>
      <c r="D12" s="44" t="s">
        <v>74</v>
      </c>
      <c r="E12" s="44" t="s">
        <v>53</v>
      </c>
      <c r="F12" s="51" t="s">
        <v>75</v>
      </c>
      <c r="G12" s="44" t="s">
        <v>55</v>
      </c>
      <c r="H12" s="44" t="s">
        <v>76</v>
      </c>
      <c r="I12" s="44" t="s">
        <v>77</v>
      </c>
      <c r="J12" s="44" t="s">
        <v>60</v>
      </c>
      <c r="K12" s="44" t="s">
        <v>78</v>
      </c>
      <c r="L12" s="53" t="s">
        <v>79</v>
      </c>
      <c r="M12" s="44"/>
      <c r="N12" s="44"/>
      <c r="O12" s="44"/>
      <c r="P12" s="44"/>
      <c r="Q12" s="49"/>
      <c r="R12" s="49"/>
      <c r="S12" s="49"/>
      <c r="T12" s="49"/>
      <c r="U12" s="49"/>
      <c r="V12" s="49"/>
      <c r="W12" s="49"/>
      <c r="X12" s="49"/>
      <c r="Y12" s="49"/>
    </row>
    <row r="13">
      <c r="A13" s="49"/>
      <c r="B13" s="49"/>
      <c r="C13" s="49"/>
      <c r="D13" s="49"/>
      <c r="E13" s="49"/>
      <c r="F13" s="50"/>
      <c r="G13" s="49"/>
      <c r="H13" s="49"/>
      <c r="I13" s="49"/>
      <c r="J13" s="49"/>
      <c r="K13" s="49"/>
      <c r="L13" s="49"/>
      <c r="M13" s="49"/>
      <c r="N13" s="49"/>
      <c r="O13" s="49"/>
      <c r="P13" s="49"/>
      <c r="Q13" s="49"/>
      <c r="R13" s="49"/>
      <c r="S13" s="49"/>
      <c r="T13" s="49"/>
      <c r="U13" s="49"/>
      <c r="V13" s="49"/>
      <c r="W13" s="49"/>
      <c r="X13" s="49"/>
      <c r="Y13" s="49"/>
    </row>
    <row r="14">
      <c r="A14" s="44" t="s">
        <v>80</v>
      </c>
      <c r="B14" s="44" t="s">
        <v>50</v>
      </c>
      <c r="C14" s="44" t="s">
        <v>73</v>
      </c>
      <c r="D14" s="44" t="s">
        <v>81</v>
      </c>
      <c r="E14" s="44" t="s">
        <v>53</v>
      </c>
      <c r="F14" s="51" t="s">
        <v>75</v>
      </c>
      <c r="G14" s="44" t="s">
        <v>55</v>
      </c>
      <c r="H14" s="44" t="s">
        <v>82</v>
      </c>
      <c r="I14" s="44" t="s">
        <v>83</v>
      </c>
      <c r="J14" s="44" t="s">
        <v>60</v>
      </c>
      <c r="K14" s="44" t="s">
        <v>70</v>
      </c>
      <c r="L14" s="52" t="s">
        <v>84</v>
      </c>
      <c r="M14" s="54"/>
      <c r="N14" s="55"/>
      <c r="O14" s="55"/>
      <c r="P14" s="44"/>
      <c r="Q14" s="49"/>
      <c r="R14" s="49"/>
      <c r="S14" s="49"/>
      <c r="T14" s="49"/>
      <c r="U14" s="49"/>
      <c r="V14" s="49"/>
      <c r="W14" s="49"/>
      <c r="X14" s="49"/>
      <c r="Y14" s="49"/>
    </row>
    <row r="15">
      <c r="A15" s="49"/>
      <c r="B15" s="49"/>
      <c r="C15" s="49"/>
      <c r="D15" s="49"/>
      <c r="E15" s="49"/>
      <c r="F15" s="50"/>
      <c r="G15" s="49"/>
      <c r="H15" s="49"/>
      <c r="I15" s="49"/>
      <c r="J15" s="49"/>
      <c r="K15" s="49"/>
      <c r="L15" s="49"/>
      <c r="M15" s="49"/>
      <c r="N15" s="49"/>
      <c r="O15" s="49"/>
      <c r="P15" s="49"/>
      <c r="Q15" s="49"/>
      <c r="R15" s="49"/>
      <c r="S15" s="49"/>
      <c r="T15" s="49"/>
      <c r="U15" s="49"/>
      <c r="V15" s="49"/>
      <c r="W15" s="49"/>
      <c r="X15" s="49"/>
      <c r="Y15" s="49"/>
    </row>
    <row r="16">
      <c r="A16" s="44" t="s">
        <v>85</v>
      </c>
      <c r="B16" s="44" t="s">
        <v>50</v>
      </c>
      <c r="C16" s="44" t="s">
        <v>73</v>
      </c>
      <c r="D16" s="44" t="s">
        <v>86</v>
      </c>
      <c r="E16" s="44" t="s">
        <v>53</v>
      </c>
      <c r="F16" s="51" t="s">
        <v>75</v>
      </c>
      <c r="G16" s="44" t="s">
        <v>55</v>
      </c>
      <c r="H16" s="44" t="s">
        <v>87</v>
      </c>
      <c r="I16" s="44" t="s">
        <v>88</v>
      </c>
      <c r="J16" s="44" t="s">
        <v>60</v>
      </c>
      <c r="K16" s="44" t="s">
        <v>61</v>
      </c>
      <c r="L16" s="52" t="s">
        <v>89</v>
      </c>
      <c r="M16" s="55"/>
      <c r="N16" s="55"/>
      <c r="O16" s="55"/>
      <c r="P16" s="44"/>
      <c r="Q16" s="49"/>
      <c r="R16" s="49"/>
      <c r="S16" s="49"/>
      <c r="T16" s="49"/>
      <c r="U16" s="49"/>
      <c r="V16" s="49"/>
      <c r="W16" s="49"/>
      <c r="X16" s="49"/>
      <c r="Y16" s="49"/>
    </row>
    <row r="17">
      <c r="A17" s="49"/>
      <c r="B17" s="49"/>
      <c r="C17" s="49"/>
      <c r="D17" s="49"/>
      <c r="E17" s="49"/>
      <c r="F17" s="50"/>
      <c r="G17" s="49"/>
      <c r="H17" s="49"/>
      <c r="I17" s="49"/>
      <c r="J17" s="49"/>
      <c r="K17" s="49"/>
      <c r="L17" s="49"/>
      <c r="M17" s="49"/>
      <c r="N17" s="49"/>
      <c r="O17" s="49"/>
      <c r="P17" s="49"/>
      <c r="Q17" s="49"/>
      <c r="R17" s="49"/>
      <c r="S17" s="49"/>
      <c r="T17" s="49"/>
      <c r="U17" s="49"/>
      <c r="V17" s="49"/>
      <c r="W17" s="49"/>
      <c r="X17" s="49"/>
      <c r="Y17" s="49"/>
    </row>
    <row r="18">
      <c r="A18" s="44" t="s">
        <v>90</v>
      </c>
      <c r="B18" s="44" t="s">
        <v>50</v>
      </c>
      <c r="C18" s="44" t="s">
        <v>73</v>
      </c>
      <c r="D18" s="44" t="s">
        <v>91</v>
      </c>
      <c r="E18" s="44" t="s">
        <v>53</v>
      </c>
      <c r="F18" s="51" t="s">
        <v>75</v>
      </c>
      <c r="G18" s="44" t="s">
        <v>55</v>
      </c>
      <c r="H18" s="44" t="s">
        <v>92</v>
      </c>
      <c r="I18" s="44" t="s">
        <v>93</v>
      </c>
      <c r="J18" s="44" t="s">
        <v>60</v>
      </c>
      <c r="K18" s="44" t="s">
        <v>70</v>
      </c>
      <c r="L18" s="52" t="s">
        <v>94</v>
      </c>
      <c r="M18" s="55"/>
      <c r="N18" s="55"/>
      <c r="O18" s="55"/>
      <c r="P18" s="44"/>
      <c r="Q18" s="49"/>
      <c r="R18" s="49"/>
      <c r="S18" s="49"/>
      <c r="T18" s="49"/>
      <c r="U18" s="49"/>
      <c r="V18" s="49"/>
      <c r="W18" s="49"/>
      <c r="X18" s="49"/>
      <c r="Y18" s="49"/>
    </row>
    <row r="19">
      <c r="A19" s="49"/>
      <c r="B19" s="49"/>
      <c r="C19" s="49"/>
      <c r="D19" s="49"/>
      <c r="E19" s="49"/>
      <c r="F19" s="50"/>
      <c r="G19" s="49"/>
      <c r="H19" s="49"/>
      <c r="I19" s="49"/>
      <c r="J19" s="49"/>
      <c r="K19" s="49"/>
      <c r="L19" s="49"/>
      <c r="M19" s="49"/>
      <c r="N19" s="49"/>
      <c r="O19" s="49"/>
      <c r="P19" s="49"/>
      <c r="Q19" s="49"/>
      <c r="R19" s="49"/>
      <c r="S19" s="49"/>
      <c r="T19" s="49"/>
      <c r="U19" s="49"/>
      <c r="V19" s="49"/>
      <c r="W19" s="49"/>
      <c r="X19" s="49"/>
      <c r="Y19" s="49"/>
    </row>
    <row r="20">
      <c r="A20" s="44" t="s">
        <v>95</v>
      </c>
      <c r="B20" s="44" t="s">
        <v>50</v>
      </c>
      <c r="C20" s="44" t="s">
        <v>73</v>
      </c>
      <c r="D20" s="44" t="s">
        <v>96</v>
      </c>
      <c r="E20" s="44" t="s">
        <v>53</v>
      </c>
      <c r="F20" s="51" t="s">
        <v>97</v>
      </c>
      <c r="G20" s="44" t="s">
        <v>55</v>
      </c>
      <c r="H20" s="44" t="s">
        <v>98</v>
      </c>
      <c r="I20" s="44" t="s">
        <v>99</v>
      </c>
      <c r="J20" s="44" t="s">
        <v>60</v>
      </c>
      <c r="K20" s="44" t="s">
        <v>70</v>
      </c>
      <c r="L20" s="52" t="s">
        <v>100</v>
      </c>
      <c r="M20" s="55"/>
      <c r="N20" s="55"/>
      <c r="O20" s="55"/>
      <c r="P20" s="44"/>
      <c r="Q20" s="49"/>
      <c r="R20" s="49"/>
      <c r="S20" s="49"/>
      <c r="T20" s="49"/>
      <c r="U20" s="49"/>
      <c r="V20" s="49"/>
      <c r="W20" s="49"/>
      <c r="X20" s="49"/>
      <c r="Y20" s="49"/>
    </row>
    <row r="21">
      <c r="A21" s="49"/>
      <c r="B21" s="49"/>
      <c r="C21" s="49"/>
      <c r="D21" s="49"/>
      <c r="E21" s="49"/>
      <c r="F21" s="50"/>
      <c r="G21" s="49"/>
      <c r="H21" s="49"/>
      <c r="I21" s="49"/>
      <c r="J21" s="49"/>
      <c r="K21" s="49"/>
      <c r="L21" s="49"/>
      <c r="M21" s="49"/>
      <c r="N21" s="49"/>
      <c r="O21" s="49"/>
      <c r="P21" s="49"/>
      <c r="Q21" s="49"/>
      <c r="R21" s="49"/>
      <c r="S21" s="49"/>
      <c r="T21" s="49"/>
      <c r="U21" s="49"/>
      <c r="V21" s="49"/>
      <c r="W21" s="49"/>
      <c r="X21" s="49"/>
      <c r="Y21" s="49"/>
    </row>
    <row r="22">
      <c r="A22" s="44" t="s">
        <v>101</v>
      </c>
      <c r="B22" s="44" t="s">
        <v>50</v>
      </c>
      <c r="C22" s="56" t="s">
        <v>102</v>
      </c>
      <c r="D22" s="56" t="s">
        <v>103</v>
      </c>
      <c r="E22" s="56" t="s">
        <v>53</v>
      </c>
      <c r="F22" s="57" t="s">
        <v>104</v>
      </c>
      <c r="G22" s="56" t="s">
        <v>55</v>
      </c>
      <c r="H22" s="56" t="s">
        <v>105</v>
      </c>
      <c r="I22" s="56" t="s">
        <v>106</v>
      </c>
      <c r="J22" s="56" t="s">
        <v>60</v>
      </c>
      <c r="K22" s="56" t="s">
        <v>61</v>
      </c>
      <c r="L22" s="52" t="s">
        <v>107</v>
      </c>
      <c r="M22" s="55"/>
      <c r="N22" s="55"/>
      <c r="O22" s="55"/>
      <c r="P22" s="44"/>
      <c r="Q22" s="49"/>
      <c r="R22" s="49"/>
      <c r="S22" s="49"/>
      <c r="T22" s="49"/>
      <c r="U22" s="49"/>
      <c r="V22" s="49"/>
      <c r="W22" s="49"/>
      <c r="X22" s="49"/>
      <c r="Y22" s="49"/>
    </row>
    <row r="23">
      <c r="A23" s="49"/>
      <c r="B23" s="49"/>
      <c r="C23" s="49"/>
      <c r="D23" s="49"/>
      <c r="E23" s="49"/>
      <c r="F23" s="50"/>
      <c r="G23" s="49"/>
      <c r="H23" s="49"/>
      <c r="I23" s="49"/>
      <c r="J23" s="49"/>
      <c r="K23" s="49"/>
      <c r="L23" s="49"/>
      <c r="M23" s="49"/>
      <c r="N23" s="49"/>
      <c r="O23" s="49"/>
      <c r="P23" s="49"/>
      <c r="Q23" s="49"/>
      <c r="R23" s="49"/>
      <c r="S23" s="49"/>
      <c r="T23" s="49"/>
      <c r="U23" s="49"/>
      <c r="V23" s="49"/>
      <c r="W23" s="49"/>
      <c r="X23" s="49"/>
      <c r="Y23" s="49"/>
    </row>
    <row r="24">
      <c r="A24" s="44" t="s">
        <v>108</v>
      </c>
      <c r="B24" s="44" t="s">
        <v>50</v>
      </c>
      <c r="C24" s="56" t="s">
        <v>102</v>
      </c>
      <c r="D24" s="56" t="s">
        <v>109</v>
      </c>
      <c r="E24" s="56" t="s">
        <v>53</v>
      </c>
      <c r="F24" s="57" t="s">
        <v>104</v>
      </c>
      <c r="G24" s="56" t="s">
        <v>55</v>
      </c>
      <c r="H24" s="44" t="s">
        <v>110</v>
      </c>
      <c r="I24" s="44" t="s">
        <v>111</v>
      </c>
      <c r="J24" s="44" t="s">
        <v>60</v>
      </c>
      <c r="K24" s="44" t="s">
        <v>61</v>
      </c>
      <c r="L24" s="52" t="s">
        <v>112</v>
      </c>
      <c r="M24" s="55"/>
      <c r="N24" s="55"/>
      <c r="O24" s="55"/>
      <c r="P24" s="44"/>
      <c r="Q24" s="49"/>
      <c r="R24" s="49"/>
      <c r="S24" s="49"/>
      <c r="T24" s="49"/>
      <c r="U24" s="49"/>
      <c r="V24" s="49"/>
      <c r="W24" s="49"/>
      <c r="X24" s="49"/>
      <c r="Y24" s="49"/>
    </row>
    <row r="25">
      <c r="A25" s="49"/>
      <c r="B25" s="49"/>
      <c r="C25" s="49"/>
      <c r="D25" s="49"/>
      <c r="E25" s="49"/>
      <c r="F25" s="50"/>
      <c r="G25" s="49"/>
      <c r="H25" s="49"/>
      <c r="I25" s="49"/>
      <c r="J25" s="49"/>
      <c r="K25" s="49"/>
      <c r="L25" s="49"/>
      <c r="M25" s="49"/>
      <c r="N25" s="49"/>
      <c r="O25" s="49"/>
      <c r="P25" s="49"/>
      <c r="Q25" s="49"/>
      <c r="R25" s="49"/>
      <c r="S25" s="49"/>
      <c r="T25" s="49"/>
      <c r="U25" s="49"/>
      <c r="V25" s="49"/>
      <c r="W25" s="49"/>
      <c r="X25" s="49"/>
      <c r="Y25" s="49"/>
    </row>
    <row r="26">
      <c r="A26" s="44" t="s">
        <v>113</v>
      </c>
      <c r="B26" s="44" t="s">
        <v>50</v>
      </c>
      <c r="C26" s="44" t="s">
        <v>114</v>
      </c>
      <c r="D26" s="44" t="s">
        <v>115</v>
      </c>
      <c r="E26" s="56" t="s">
        <v>53</v>
      </c>
      <c r="F26" s="51" t="s">
        <v>116</v>
      </c>
      <c r="G26" s="56" t="s">
        <v>55</v>
      </c>
      <c r="H26" s="44" t="s">
        <v>117</v>
      </c>
      <c r="I26" s="44" t="s">
        <v>118</v>
      </c>
      <c r="J26" s="44" t="s">
        <v>60</v>
      </c>
      <c r="K26" s="44" t="s">
        <v>70</v>
      </c>
      <c r="L26" s="53" t="s">
        <v>119</v>
      </c>
      <c r="M26" s="55"/>
      <c r="N26" s="55"/>
      <c r="O26" s="55"/>
      <c r="P26" s="44"/>
      <c r="Q26" s="49"/>
      <c r="R26" s="49"/>
      <c r="S26" s="49"/>
      <c r="T26" s="49"/>
      <c r="U26" s="49"/>
      <c r="V26" s="49"/>
      <c r="W26" s="49"/>
      <c r="X26" s="49"/>
      <c r="Y26" s="49"/>
    </row>
    <row r="27">
      <c r="A27" s="49"/>
      <c r="B27" s="49"/>
      <c r="C27" s="49"/>
      <c r="D27" s="49"/>
      <c r="E27" s="49"/>
      <c r="F27" s="50"/>
      <c r="G27" s="49"/>
      <c r="H27" s="49"/>
      <c r="I27" s="49"/>
      <c r="J27" s="49"/>
      <c r="K27" s="49"/>
      <c r="L27" s="49"/>
      <c r="M27" s="49"/>
      <c r="N27" s="49"/>
      <c r="O27" s="49"/>
      <c r="P27" s="49"/>
      <c r="Q27" s="49"/>
      <c r="R27" s="49"/>
      <c r="S27" s="49"/>
      <c r="T27" s="49"/>
      <c r="U27" s="49"/>
      <c r="V27" s="49"/>
      <c r="W27" s="49"/>
      <c r="X27" s="49"/>
      <c r="Y27" s="49"/>
    </row>
    <row r="28">
      <c r="A28" s="44" t="s">
        <v>120</v>
      </c>
      <c r="B28" s="44" t="s">
        <v>50</v>
      </c>
      <c r="C28" s="44" t="s">
        <v>114</v>
      </c>
      <c r="D28" s="44" t="s">
        <v>121</v>
      </c>
      <c r="E28" s="56" t="s">
        <v>53</v>
      </c>
      <c r="F28" s="51" t="s">
        <v>116</v>
      </c>
      <c r="G28" s="56" t="s">
        <v>55</v>
      </c>
      <c r="H28" s="44" t="s">
        <v>122</v>
      </c>
      <c r="I28" s="44" t="s">
        <v>123</v>
      </c>
      <c r="J28" s="44" t="s">
        <v>60</v>
      </c>
      <c r="K28" s="44" t="s">
        <v>61</v>
      </c>
      <c r="L28" s="52" t="s">
        <v>124</v>
      </c>
      <c r="M28" s="55"/>
      <c r="N28" s="55"/>
      <c r="O28" s="55"/>
      <c r="P28" s="44"/>
      <c r="Q28" s="49"/>
      <c r="R28" s="49"/>
      <c r="S28" s="49"/>
      <c r="T28" s="49"/>
      <c r="U28" s="49"/>
      <c r="V28" s="49"/>
      <c r="W28" s="49"/>
      <c r="X28" s="49"/>
      <c r="Y28" s="49"/>
    </row>
    <row r="29">
      <c r="A29" s="49"/>
      <c r="B29" s="49"/>
      <c r="C29" s="49"/>
      <c r="D29" s="49"/>
      <c r="E29" s="49"/>
      <c r="F29" s="50"/>
      <c r="G29" s="49"/>
      <c r="H29" s="49"/>
      <c r="I29" s="49"/>
      <c r="J29" s="49"/>
      <c r="K29" s="49"/>
      <c r="L29" s="49"/>
      <c r="M29" s="49"/>
      <c r="N29" s="49"/>
      <c r="O29" s="49"/>
      <c r="P29" s="49"/>
      <c r="Q29" s="49"/>
      <c r="R29" s="49"/>
      <c r="S29" s="49"/>
      <c r="T29" s="49"/>
      <c r="U29" s="49"/>
      <c r="V29" s="49"/>
      <c r="W29" s="49"/>
      <c r="X29" s="49"/>
      <c r="Y29" s="49"/>
    </row>
    <row r="30">
      <c r="A30" s="44" t="s">
        <v>125</v>
      </c>
      <c r="B30" s="44" t="s">
        <v>50</v>
      </c>
      <c r="C30" s="44" t="s">
        <v>126</v>
      </c>
      <c r="D30" s="44" t="s">
        <v>127</v>
      </c>
      <c r="E30" s="56" t="s">
        <v>53</v>
      </c>
      <c r="F30" s="51" t="s">
        <v>128</v>
      </c>
      <c r="G30" s="56" t="s">
        <v>55</v>
      </c>
      <c r="H30" s="44" t="s">
        <v>129</v>
      </c>
      <c r="I30" s="44" t="s">
        <v>130</v>
      </c>
      <c r="J30" s="44" t="s">
        <v>60</v>
      </c>
      <c r="K30" s="44" t="s">
        <v>70</v>
      </c>
      <c r="L30" s="52" t="s">
        <v>131</v>
      </c>
      <c r="M30" s="55"/>
      <c r="N30" s="55"/>
      <c r="O30" s="55"/>
      <c r="P30" s="44"/>
      <c r="Q30" s="49"/>
      <c r="R30" s="49"/>
      <c r="S30" s="49"/>
      <c r="T30" s="49"/>
      <c r="U30" s="49"/>
      <c r="V30" s="49"/>
      <c r="W30" s="49"/>
      <c r="X30" s="49"/>
      <c r="Y30" s="49"/>
    </row>
    <row r="31">
      <c r="A31" s="49"/>
      <c r="B31" s="49"/>
      <c r="C31" s="49"/>
      <c r="D31" s="49"/>
      <c r="E31" s="49"/>
      <c r="F31" s="50"/>
      <c r="G31" s="49"/>
      <c r="H31" s="49"/>
      <c r="I31" s="49"/>
      <c r="J31" s="49"/>
      <c r="K31" s="49"/>
      <c r="L31" s="49"/>
      <c r="M31" s="49"/>
      <c r="N31" s="49"/>
      <c r="O31" s="49"/>
      <c r="P31" s="49"/>
      <c r="Q31" s="49"/>
      <c r="R31" s="49"/>
      <c r="S31" s="49"/>
      <c r="T31" s="49"/>
      <c r="U31" s="49"/>
      <c r="V31" s="49"/>
      <c r="W31" s="49"/>
      <c r="X31" s="49"/>
      <c r="Y31" s="49"/>
    </row>
    <row r="32">
      <c r="A32" s="44" t="s">
        <v>135</v>
      </c>
      <c r="B32" s="44" t="s">
        <v>50</v>
      </c>
      <c r="C32" s="44" t="s">
        <v>126</v>
      </c>
      <c r="D32" s="44" t="s">
        <v>136</v>
      </c>
      <c r="E32" s="56" t="s">
        <v>53</v>
      </c>
      <c r="F32" s="51" t="s">
        <v>128</v>
      </c>
      <c r="G32" s="56" t="s">
        <v>55</v>
      </c>
      <c r="H32" s="44" t="s">
        <v>137</v>
      </c>
      <c r="I32" s="44" t="s">
        <v>138</v>
      </c>
      <c r="J32" s="44" t="s">
        <v>60</v>
      </c>
      <c r="K32" s="44" t="s">
        <v>70</v>
      </c>
      <c r="L32" s="52" t="s">
        <v>139</v>
      </c>
      <c r="M32" s="55"/>
      <c r="N32" s="55"/>
      <c r="O32" s="55"/>
      <c r="P32" s="44"/>
      <c r="Q32" s="49"/>
      <c r="R32" s="49"/>
      <c r="S32" s="49"/>
      <c r="T32" s="49"/>
      <c r="U32" s="49"/>
      <c r="V32" s="49"/>
      <c r="W32" s="49"/>
      <c r="X32" s="49"/>
      <c r="Y32" s="49"/>
    </row>
    <row r="33">
      <c r="A33" s="49"/>
      <c r="B33" s="49"/>
      <c r="C33" s="49"/>
      <c r="D33" s="49"/>
      <c r="E33" s="49"/>
      <c r="F33" s="50"/>
      <c r="G33" s="49"/>
      <c r="H33" s="49"/>
      <c r="I33" s="49"/>
      <c r="J33" s="49"/>
      <c r="K33" s="49"/>
      <c r="L33" s="49"/>
      <c r="M33" s="49"/>
      <c r="N33" s="49"/>
      <c r="O33" s="49"/>
      <c r="P33" s="49"/>
      <c r="Q33" s="49"/>
      <c r="R33" s="49"/>
      <c r="S33" s="49"/>
      <c r="T33" s="49"/>
      <c r="U33" s="49"/>
      <c r="V33" s="49"/>
      <c r="W33" s="49"/>
      <c r="X33" s="49"/>
      <c r="Y33" s="49"/>
    </row>
    <row r="34">
      <c r="A34" s="44" t="s">
        <v>140</v>
      </c>
      <c r="B34" s="44" t="s">
        <v>50</v>
      </c>
      <c r="C34" s="44" t="s">
        <v>126</v>
      </c>
      <c r="D34" s="44" t="s">
        <v>141</v>
      </c>
      <c r="E34" s="56" t="s">
        <v>53</v>
      </c>
      <c r="F34" s="51" t="s">
        <v>128</v>
      </c>
      <c r="G34" s="56" t="s">
        <v>55</v>
      </c>
      <c r="H34" s="44" t="s">
        <v>142</v>
      </c>
      <c r="I34" s="44" t="s">
        <v>143</v>
      </c>
      <c r="J34" s="44" t="s">
        <v>60</v>
      </c>
      <c r="K34" s="44" t="s">
        <v>61</v>
      </c>
      <c r="L34" s="52" t="s">
        <v>144</v>
      </c>
      <c r="M34" s="55"/>
      <c r="N34" s="55"/>
      <c r="O34" s="55"/>
      <c r="P34" s="44"/>
      <c r="Q34" s="49"/>
      <c r="R34" s="49"/>
      <c r="S34" s="49"/>
      <c r="T34" s="49"/>
      <c r="U34" s="49"/>
      <c r="V34" s="49"/>
      <c r="W34" s="49"/>
      <c r="X34" s="49"/>
      <c r="Y34" s="49"/>
    </row>
    <row r="35">
      <c r="A35" s="49"/>
      <c r="B35" s="49"/>
      <c r="C35" s="49"/>
      <c r="D35" s="49"/>
      <c r="E35" s="49"/>
      <c r="F35" s="50"/>
      <c r="G35" s="49"/>
      <c r="H35" s="49"/>
      <c r="I35" s="49"/>
      <c r="J35" s="49"/>
      <c r="K35" s="49"/>
      <c r="L35" s="49"/>
      <c r="M35" s="49"/>
      <c r="N35" s="49"/>
      <c r="O35" s="49"/>
      <c r="P35" s="49"/>
      <c r="Q35" s="49"/>
      <c r="R35" s="49"/>
      <c r="S35" s="49"/>
      <c r="T35" s="49"/>
      <c r="U35" s="49"/>
      <c r="V35" s="49"/>
      <c r="W35" s="49"/>
      <c r="X35" s="49"/>
      <c r="Y35" s="49"/>
    </row>
    <row r="36">
      <c r="A36" s="44" t="s">
        <v>145</v>
      </c>
      <c r="B36" s="44" t="s">
        <v>50</v>
      </c>
      <c r="C36" s="44" t="s">
        <v>126</v>
      </c>
      <c r="D36" s="44" t="s">
        <v>146</v>
      </c>
      <c r="E36" s="56" t="s">
        <v>53</v>
      </c>
      <c r="F36" s="51" t="s">
        <v>128</v>
      </c>
      <c r="G36" s="56" t="s">
        <v>55</v>
      </c>
      <c r="H36" s="44" t="s">
        <v>147</v>
      </c>
      <c r="I36" s="44" t="s">
        <v>148</v>
      </c>
      <c r="J36" s="44" t="s">
        <v>60</v>
      </c>
      <c r="K36" s="44" t="s">
        <v>61</v>
      </c>
      <c r="L36" s="52" t="s">
        <v>149</v>
      </c>
      <c r="M36" s="55"/>
      <c r="N36" s="55"/>
      <c r="O36" s="55"/>
      <c r="P36" s="44"/>
      <c r="Q36" s="49"/>
      <c r="R36" s="49"/>
      <c r="S36" s="49"/>
      <c r="T36" s="49"/>
      <c r="U36" s="49"/>
      <c r="V36" s="49"/>
      <c r="W36" s="49"/>
      <c r="X36" s="49"/>
      <c r="Y36" s="49"/>
    </row>
    <row r="37">
      <c r="A37" s="49"/>
      <c r="B37" s="49"/>
      <c r="C37" s="49"/>
      <c r="D37" s="49"/>
      <c r="E37" s="49"/>
      <c r="F37" s="50"/>
      <c r="G37" s="49"/>
      <c r="H37" s="49"/>
      <c r="I37" s="49"/>
      <c r="J37" s="49"/>
      <c r="K37" s="49"/>
      <c r="L37" s="49"/>
      <c r="M37" s="49"/>
      <c r="N37" s="49"/>
      <c r="O37" s="49"/>
      <c r="P37" s="49"/>
      <c r="Q37" s="49"/>
      <c r="R37" s="49"/>
      <c r="S37" s="49"/>
      <c r="T37" s="49"/>
      <c r="U37" s="49"/>
      <c r="V37" s="49"/>
      <c r="W37" s="49"/>
      <c r="X37" s="49"/>
      <c r="Y37" s="49"/>
    </row>
    <row r="38">
      <c r="A38" s="44" t="s">
        <v>150</v>
      </c>
      <c r="B38" s="44" t="s">
        <v>50</v>
      </c>
      <c r="C38" s="44" t="s">
        <v>126</v>
      </c>
      <c r="D38" s="44" t="s">
        <v>151</v>
      </c>
      <c r="E38" s="56" t="s">
        <v>53</v>
      </c>
      <c r="F38" s="51" t="s">
        <v>128</v>
      </c>
      <c r="G38" s="56" t="s">
        <v>55</v>
      </c>
      <c r="H38" s="44" t="s">
        <v>152</v>
      </c>
      <c r="I38" s="44" t="s">
        <v>153</v>
      </c>
      <c r="J38" s="44" t="s">
        <v>60</v>
      </c>
      <c r="K38" s="44" t="s">
        <v>61</v>
      </c>
      <c r="L38" s="52" t="s">
        <v>154</v>
      </c>
      <c r="M38" s="55"/>
      <c r="N38" s="55"/>
      <c r="O38" s="55"/>
      <c r="P38" s="44"/>
      <c r="Q38" s="49"/>
      <c r="R38" s="49"/>
      <c r="S38" s="49"/>
      <c r="T38" s="49"/>
      <c r="U38" s="49"/>
      <c r="V38" s="49"/>
      <c r="W38" s="49"/>
      <c r="X38" s="49"/>
      <c r="Y38" s="49"/>
    </row>
    <row r="39">
      <c r="A39" s="49"/>
      <c r="B39" s="49"/>
      <c r="C39" s="49"/>
      <c r="D39" s="49"/>
      <c r="E39" s="49"/>
      <c r="F39" s="50"/>
      <c r="G39" s="49"/>
      <c r="H39" s="49"/>
      <c r="I39" s="49"/>
      <c r="J39" s="49"/>
      <c r="K39" s="49"/>
      <c r="L39" s="49"/>
      <c r="M39" s="49"/>
      <c r="N39" s="49"/>
      <c r="O39" s="49"/>
      <c r="P39" s="49"/>
      <c r="Q39" s="49"/>
      <c r="R39" s="49"/>
      <c r="S39" s="49"/>
      <c r="T39" s="49"/>
      <c r="U39" s="49"/>
      <c r="V39" s="49"/>
      <c r="W39" s="49"/>
      <c r="X39" s="49"/>
      <c r="Y39" s="49"/>
    </row>
    <row r="40">
      <c r="A40" s="44" t="s">
        <v>155</v>
      </c>
      <c r="B40" s="44" t="s">
        <v>50</v>
      </c>
      <c r="C40" s="44" t="s">
        <v>126</v>
      </c>
      <c r="D40" s="44" t="s">
        <v>156</v>
      </c>
      <c r="E40" s="56" t="s">
        <v>53</v>
      </c>
      <c r="F40" s="51" t="s">
        <v>128</v>
      </c>
      <c r="G40" s="56" t="s">
        <v>55</v>
      </c>
      <c r="H40" s="44" t="s">
        <v>157</v>
      </c>
      <c r="I40" s="44" t="s">
        <v>158</v>
      </c>
      <c r="J40" s="44" t="s">
        <v>60</v>
      </c>
      <c r="K40" s="44" t="s">
        <v>70</v>
      </c>
      <c r="L40" s="52" t="s">
        <v>159</v>
      </c>
      <c r="M40" s="55"/>
      <c r="N40" s="55"/>
      <c r="O40" s="55"/>
      <c r="P40" s="44"/>
      <c r="Q40" s="49"/>
      <c r="R40" s="49"/>
      <c r="S40" s="49"/>
      <c r="T40" s="49"/>
      <c r="U40" s="49"/>
      <c r="V40" s="49"/>
      <c r="W40" s="49"/>
      <c r="X40" s="49"/>
      <c r="Y40" s="49"/>
    </row>
    <row r="41">
      <c r="A41" s="49"/>
      <c r="B41" s="49"/>
      <c r="C41" s="49"/>
      <c r="D41" s="49"/>
      <c r="E41" s="49"/>
      <c r="F41" s="50"/>
      <c r="G41" s="49"/>
      <c r="H41" s="49"/>
      <c r="I41" s="49"/>
      <c r="J41" s="49"/>
      <c r="K41" s="49"/>
      <c r="L41" s="49"/>
      <c r="M41" s="49"/>
      <c r="N41" s="49"/>
      <c r="O41" s="49"/>
      <c r="P41" s="49"/>
      <c r="Q41" s="49"/>
      <c r="R41" s="49"/>
      <c r="S41" s="49"/>
      <c r="T41" s="49"/>
      <c r="U41" s="49"/>
      <c r="V41" s="49"/>
      <c r="W41" s="49"/>
      <c r="X41" s="49"/>
      <c r="Y41" s="49"/>
    </row>
    <row r="42">
      <c r="A42" s="44" t="s">
        <v>160</v>
      </c>
      <c r="B42" s="44" t="s">
        <v>50</v>
      </c>
      <c r="C42" s="44" t="s">
        <v>126</v>
      </c>
      <c r="D42" s="44" t="s">
        <v>161</v>
      </c>
      <c r="E42" s="56" t="s">
        <v>53</v>
      </c>
      <c r="F42" s="51" t="s">
        <v>128</v>
      </c>
      <c r="G42" s="56" t="s">
        <v>55</v>
      </c>
      <c r="H42" s="44" t="s">
        <v>162</v>
      </c>
      <c r="I42" s="44" t="s">
        <v>163</v>
      </c>
      <c r="J42" s="44" t="s">
        <v>60</v>
      </c>
      <c r="K42" s="44" t="s">
        <v>61</v>
      </c>
      <c r="L42" s="52" t="s">
        <v>164</v>
      </c>
      <c r="M42" s="55"/>
      <c r="N42" s="55"/>
      <c r="O42" s="55"/>
      <c r="P42" s="44"/>
      <c r="Q42" s="49"/>
      <c r="R42" s="49"/>
      <c r="S42" s="49"/>
      <c r="T42" s="49"/>
      <c r="U42" s="49"/>
      <c r="V42" s="49"/>
      <c r="W42" s="49"/>
      <c r="X42" s="49"/>
      <c r="Y42" s="49"/>
    </row>
    <row r="43">
      <c r="A43" s="49"/>
      <c r="B43" s="49"/>
      <c r="C43" s="49"/>
      <c r="D43" s="49"/>
      <c r="E43" s="49"/>
      <c r="F43" s="66" t="s">
        <v>165</v>
      </c>
      <c r="G43" s="49"/>
      <c r="H43" s="49"/>
      <c r="I43" s="49"/>
      <c r="J43" s="49"/>
      <c r="K43" s="49"/>
      <c r="L43" s="49"/>
      <c r="M43" s="49"/>
      <c r="N43" s="49"/>
      <c r="O43" s="49"/>
      <c r="P43" s="49"/>
      <c r="Q43" s="49"/>
      <c r="R43" s="49"/>
      <c r="S43" s="49"/>
      <c r="T43" s="49"/>
      <c r="U43" s="49"/>
      <c r="V43" s="49"/>
      <c r="W43" s="49"/>
      <c r="X43" s="49"/>
      <c r="Y43" s="49"/>
    </row>
    <row r="44">
      <c r="A44" s="44" t="s">
        <v>166</v>
      </c>
      <c r="B44" s="44" t="s">
        <v>50</v>
      </c>
      <c r="C44" s="44" t="s">
        <v>126</v>
      </c>
      <c r="D44" s="44" t="s">
        <v>167</v>
      </c>
      <c r="E44" s="56" t="s">
        <v>53</v>
      </c>
      <c r="F44" s="51" t="s">
        <v>128</v>
      </c>
      <c r="G44" s="56" t="s">
        <v>55</v>
      </c>
      <c r="H44" s="44" t="s">
        <v>168</v>
      </c>
      <c r="I44" s="44" t="s">
        <v>169</v>
      </c>
      <c r="J44" s="44" t="s">
        <v>60</v>
      </c>
      <c r="K44" s="44" t="s">
        <v>78</v>
      </c>
      <c r="L44" s="52" t="s">
        <v>170</v>
      </c>
      <c r="M44" s="55"/>
      <c r="N44" s="55"/>
      <c r="O44" s="55"/>
      <c r="P44" s="44"/>
      <c r="Q44" s="49"/>
      <c r="R44" s="49"/>
      <c r="S44" s="49"/>
      <c r="T44" s="49"/>
      <c r="U44" s="49"/>
      <c r="V44" s="49"/>
      <c r="W44" s="49"/>
      <c r="X44" s="49"/>
      <c r="Y44" s="49"/>
    </row>
    <row r="45">
      <c r="A45" s="49"/>
      <c r="B45" s="49"/>
      <c r="C45" s="49"/>
      <c r="D45" s="49"/>
      <c r="E45" s="49"/>
      <c r="F45" s="50"/>
      <c r="G45" s="49"/>
      <c r="H45" s="49"/>
      <c r="I45" s="49"/>
      <c r="J45" s="49"/>
      <c r="K45" s="49"/>
      <c r="L45" s="49"/>
      <c r="M45" s="49"/>
      <c r="N45" s="49"/>
      <c r="O45" s="49"/>
      <c r="P45" s="49"/>
      <c r="Q45" s="49"/>
      <c r="R45" s="49"/>
      <c r="S45" s="49"/>
      <c r="T45" s="49"/>
      <c r="U45" s="49"/>
      <c r="V45" s="49"/>
      <c r="W45" s="49"/>
      <c r="X45" s="49"/>
      <c r="Y45" s="49"/>
    </row>
    <row r="46">
      <c r="A46" s="44" t="s">
        <v>171</v>
      </c>
      <c r="B46" s="44" t="s">
        <v>172</v>
      </c>
      <c r="C46" s="44" t="s">
        <v>173</v>
      </c>
      <c r="D46" s="44" t="s">
        <v>174</v>
      </c>
      <c r="E46" s="56" t="s">
        <v>53</v>
      </c>
      <c r="F46" s="51" t="s">
        <v>175</v>
      </c>
      <c r="G46" s="44" t="s">
        <v>176</v>
      </c>
      <c r="H46" s="44" t="s">
        <v>177</v>
      </c>
      <c r="I46" s="44" t="s">
        <v>178</v>
      </c>
      <c r="J46" s="44" t="s">
        <v>60</v>
      </c>
      <c r="K46" s="44" t="s">
        <v>61</v>
      </c>
      <c r="L46" s="52" t="s">
        <v>179</v>
      </c>
      <c r="M46" s="55"/>
      <c r="N46" s="55"/>
      <c r="O46" s="55"/>
      <c r="P46" s="44"/>
      <c r="Q46" s="49"/>
      <c r="R46" s="49"/>
      <c r="S46" s="49"/>
      <c r="T46" s="49"/>
      <c r="U46" s="49"/>
      <c r="V46" s="49"/>
      <c r="W46" s="49"/>
      <c r="X46" s="49"/>
      <c r="Y46" s="49"/>
    </row>
    <row r="47">
      <c r="A47" s="49"/>
      <c r="B47" s="49"/>
      <c r="C47" s="49"/>
      <c r="D47" s="49"/>
      <c r="E47" s="49"/>
      <c r="F47" s="50"/>
      <c r="G47" s="49"/>
      <c r="H47" s="49"/>
      <c r="I47" s="49"/>
      <c r="J47" s="49"/>
      <c r="K47" s="49"/>
      <c r="L47" s="49"/>
      <c r="M47" s="49"/>
      <c r="N47" s="49"/>
      <c r="O47" s="49"/>
      <c r="P47" s="49"/>
      <c r="Q47" s="49"/>
      <c r="R47" s="49"/>
      <c r="S47" s="49"/>
      <c r="T47" s="49"/>
      <c r="U47" s="49"/>
      <c r="V47" s="49"/>
      <c r="W47" s="49"/>
      <c r="X47" s="49"/>
      <c r="Y47" s="49"/>
    </row>
    <row r="48">
      <c r="A48" s="44" t="s">
        <v>180</v>
      </c>
      <c r="B48" s="44" t="s">
        <v>172</v>
      </c>
      <c r="C48" s="44" t="s">
        <v>181</v>
      </c>
      <c r="D48" s="44" t="s">
        <v>182</v>
      </c>
      <c r="E48" s="56" t="s">
        <v>53</v>
      </c>
      <c r="F48" s="51" t="s">
        <v>183</v>
      </c>
      <c r="G48" s="44" t="s">
        <v>176</v>
      </c>
      <c r="H48" s="44" t="s">
        <v>184</v>
      </c>
      <c r="I48" s="44" t="s">
        <v>185</v>
      </c>
      <c r="J48" s="44" t="s">
        <v>60</v>
      </c>
      <c r="K48" s="44" t="s">
        <v>61</v>
      </c>
      <c r="L48" s="52" t="s">
        <v>186</v>
      </c>
      <c r="M48" s="44"/>
      <c r="N48" s="55"/>
      <c r="O48" s="55"/>
      <c r="P48" s="44"/>
      <c r="Q48" s="49"/>
      <c r="R48" s="49"/>
      <c r="S48" s="49"/>
      <c r="T48" s="49"/>
      <c r="U48" s="49"/>
      <c r="V48" s="49"/>
      <c r="W48" s="49"/>
      <c r="X48" s="49"/>
      <c r="Y48" s="49"/>
    </row>
    <row r="49">
      <c r="A49" s="49"/>
      <c r="B49" s="49"/>
      <c r="C49" s="49"/>
      <c r="D49" s="49"/>
      <c r="E49" s="49"/>
      <c r="F49" s="50"/>
      <c r="G49" s="49"/>
      <c r="H49" s="49"/>
      <c r="I49" s="49"/>
      <c r="J49" s="49"/>
      <c r="K49" s="49"/>
      <c r="L49" s="49"/>
      <c r="M49" s="49"/>
      <c r="N49" s="49"/>
      <c r="O49" s="49"/>
      <c r="P49" s="49"/>
      <c r="Q49" s="49"/>
      <c r="R49" s="49"/>
      <c r="S49" s="49"/>
      <c r="T49" s="49"/>
      <c r="U49" s="49"/>
      <c r="V49" s="49"/>
      <c r="W49" s="49"/>
      <c r="X49" s="49"/>
      <c r="Y49" s="49"/>
    </row>
    <row r="50">
      <c r="A50" s="44" t="s">
        <v>187</v>
      </c>
      <c r="B50" s="44" t="s">
        <v>172</v>
      </c>
      <c r="C50" s="44" t="s">
        <v>181</v>
      </c>
      <c r="D50" s="44" t="s">
        <v>188</v>
      </c>
      <c r="E50" s="56" t="s">
        <v>53</v>
      </c>
      <c r="F50" s="51" t="s">
        <v>189</v>
      </c>
      <c r="G50" s="44" t="s">
        <v>176</v>
      </c>
      <c r="H50" s="44" t="s">
        <v>190</v>
      </c>
      <c r="I50" s="44" t="s">
        <v>191</v>
      </c>
      <c r="J50" s="44" t="s">
        <v>60</v>
      </c>
      <c r="K50" s="44" t="s">
        <v>61</v>
      </c>
      <c r="L50" s="52" t="s">
        <v>192</v>
      </c>
      <c r="M50" s="55"/>
      <c r="N50" s="55"/>
      <c r="O50" s="55"/>
      <c r="P50" s="44"/>
      <c r="Q50" s="49"/>
      <c r="R50" s="49"/>
      <c r="S50" s="49"/>
      <c r="T50" s="49"/>
      <c r="U50" s="49"/>
      <c r="V50" s="49"/>
      <c r="W50" s="49"/>
      <c r="X50" s="49"/>
      <c r="Y50" s="49"/>
    </row>
    <row r="51">
      <c r="A51" s="49"/>
      <c r="B51" s="49"/>
      <c r="C51" s="49"/>
      <c r="D51" s="49"/>
      <c r="E51" s="49"/>
      <c r="F51" s="50"/>
      <c r="G51" s="49"/>
      <c r="H51" s="49"/>
      <c r="I51" s="49"/>
      <c r="J51" s="49"/>
      <c r="K51" s="49"/>
      <c r="L51" s="49"/>
      <c r="M51" s="49"/>
      <c r="N51" s="49"/>
      <c r="O51" s="49"/>
      <c r="P51" s="49"/>
      <c r="Q51" s="49"/>
      <c r="R51" s="49"/>
      <c r="S51" s="49"/>
      <c r="T51" s="49"/>
      <c r="U51" s="49"/>
      <c r="V51" s="49"/>
      <c r="W51" s="49"/>
      <c r="X51" s="49"/>
      <c r="Y51" s="49"/>
    </row>
    <row r="52">
      <c r="A52" s="44" t="s">
        <v>193</v>
      </c>
      <c r="B52" s="44" t="s">
        <v>172</v>
      </c>
      <c r="C52" s="44" t="s">
        <v>194</v>
      </c>
      <c r="D52" s="44" t="s">
        <v>195</v>
      </c>
      <c r="E52" s="44" t="s">
        <v>53</v>
      </c>
      <c r="F52" s="51" t="s">
        <v>75</v>
      </c>
      <c r="G52" s="44" t="s">
        <v>176</v>
      </c>
      <c r="H52" s="44" t="s">
        <v>196</v>
      </c>
      <c r="I52" s="44" t="s">
        <v>197</v>
      </c>
      <c r="J52" s="44" t="s">
        <v>60</v>
      </c>
      <c r="K52" s="44" t="s">
        <v>61</v>
      </c>
      <c r="L52" s="53" t="s">
        <v>198</v>
      </c>
      <c r="M52" s="55"/>
      <c r="N52" s="55"/>
      <c r="O52" s="55"/>
      <c r="P52" s="44"/>
      <c r="Q52" s="49"/>
      <c r="R52" s="49"/>
      <c r="S52" s="49"/>
      <c r="T52" s="49"/>
      <c r="U52" s="49"/>
      <c r="V52" s="49"/>
      <c r="W52" s="49"/>
      <c r="X52" s="49"/>
      <c r="Y52" s="49"/>
    </row>
    <row r="53">
      <c r="A53" s="49"/>
      <c r="B53" s="49"/>
      <c r="C53" s="49"/>
      <c r="D53" s="49"/>
      <c r="E53" s="49"/>
      <c r="F53" s="50"/>
      <c r="G53" s="49"/>
      <c r="H53" s="49"/>
      <c r="I53" s="49"/>
      <c r="J53" s="49"/>
      <c r="K53" s="49"/>
      <c r="L53" s="49"/>
      <c r="M53" s="49"/>
      <c r="N53" s="49"/>
      <c r="O53" s="49"/>
      <c r="P53" s="49"/>
      <c r="Q53" s="49"/>
      <c r="R53" s="49"/>
      <c r="S53" s="49"/>
      <c r="T53" s="49"/>
      <c r="U53" s="49"/>
      <c r="V53" s="49"/>
      <c r="W53" s="49"/>
      <c r="X53" s="49"/>
      <c r="Y53" s="49"/>
    </row>
    <row r="54">
      <c r="A54" s="44" t="s">
        <v>199</v>
      </c>
      <c r="B54" s="44" t="s">
        <v>172</v>
      </c>
      <c r="C54" s="44" t="s">
        <v>200</v>
      </c>
      <c r="D54" s="44" t="s">
        <v>201</v>
      </c>
      <c r="E54" s="44" t="s">
        <v>53</v>
      </c>
      <c r="F54" s="51" t="s">
        <v>202</v>
      </c>
      <c r="G54" s="44" t="s">
        <v>176</v>
      </c>
      <c r="H54" s="44" t="s">
        <v>203</v>
      </c>
      <c r="I54" s="44" t="s">
        <v>204</v>
      </c>
      <c r="J54" s="44" t="s">
        <v>60</v>
      </c>
      <c r="K54" s="44" t="s">
        <v>61</v>
      </c>
      <c r="L54" s="52" t="s">
        <v>205</v>
      </c>
      <c r="M54" s="55"/>
      <c r="N54" s="55"/>
      <c r="O54" s="55"/>
      <c r="P54" s="44"/>
      <c r="Q54" s="49"/>
      <c r="R54" s="49"/>
      <c r="S54" s="49"/>
      <c r="T54" s="49"/>
      <c r="U54" s="49"/>
      <c r="V54" s="49"/>
      <c r="W54" s="49"/>
      <c r="X54" s="49"/>
      <c r="Y54" s="49"/>
    </row>
    <row r="55">
      <c r="A55" s="49"/>
      <c r="B55" s="49"/>
      <c r="C55" s="49"/>
      <c r="D55" s="49"/>
      <c r="E55" s="49"/>
      <c r="F55" s="50"/>
      <c r="G55" s="49"/>
      <c r="H55" s="49"/>
      <c r="I55" s="49"/>
      <c r="J55" s="49"/>
      <c r="K55" s="49"/>
      <c r="L55" s="49"/>
      <c r="M55" s="49"/>
      <c r="N55" s="49"/>
      <c r="O55" s="49"/>
      <c r="P55" s="49"/>
      <c r="Q55" s="49"/>
      <c r="R55" s="49"/>
      <c r="S55" s="49"/>
      <c r="T55" s="49"/>
      <c r="U55" s="49"/>
      <c r="V55" s="49"/>
      <c r="W55" s="49"/>
      <c r="X55" s="49"/>
      <c r="Y55" s="49"/>
    </row>
    <row r="56">
      <c r="A56" s="44" t="s">
        <v>206</v>
      </c>
      <c r="B56" s="44" t="s">
        <v>172</v>
      </c>
      <c r="C56" s="44" t="s">
        <v>207</v>
      </c>
      <c r="D56" s="44" t="s">
        <v>208</v>
      </c>
      <c r="E56" s="44" t="s">
        <v>53</v>
      </c>
      <c r="F56" s="51" t="s">
        <v>209</v>
      </c>
      <c r="G56" s="44" t="s">
        <v>176</v>
      </c>
      <c r="H56" s="44" t="s">
        <v>210</v>
      </c>
      <c r="I56" s="44" t="s">
        <v>211</v>
      </c>
      <c r="J56" s="44" t="s">
        <v>60</v>
      </c>
      <c r="K56" s="44" t="s">
        <v>61</v>
      </c>
      <c r="L56" s="52" t="s">
        <v>212</v>
      </c>
      <c r="M56" s="55"/>
      <c r="N56" s="55"/>
      <c r="O56" s="55"/>
      <c r="P56" s="44"/>
      <c r="Q56" s="49"/>
      <c r="R56" s="49"/>
      <c r="S56" s="49"/>
      <c r="T56" s="49"/>
      <c r="U56" s="49"/>
      <c r="V56" s="49"/>
      <c r="W56" s="49"/>
      <c r="X56" s="49"/>
      <c r="Y56" s="49"/>
    </row>
    <row r="57">
      <c r="A57" s="49"/>
      <c r="B57" s="49"/>
      <c r="C57" s="49"/>
      <c r="D57" s="49"/>
      <c r="E57" s="49"/>
      <c r="F57" s="50"/>
      <c r="G57" s="49"/>
      <c r="H57" s="49"/>
      <c r="I57" s="49"/>
      <c r="J57" s="49"/>
      <c r="K57" s="49"/>
      <c r="L57" s="49"/>
      <c r="M57" s="49"/>
      <c r="N57" s="49"/>
      <c r="O57" s="49"/>
      <c r="P57" s="49"/>
      <c r="Q57" s="49"/>
      <c r="R57" s="49"/>
      <c r="S57" s="49"/>
      <c r="T57" s="49"/>
      <c r="U57" s="49"/>
      <c r="V57" s="49"/>
      <c r="W57" s="49"/>
      <c r="X57" s="49"/>
      <c r="Y57" s="49"/>
    </row>
    <row r="58">
      <c r="A58" s="44" t="s">
        <v>215</v>
      </c>
      <c r="B58" s="44" t="s">
        <v>172</v>
      </c>
      <c r="C58" s="44" t="s">
        <v>216</v>
      </c>
      <c r="D58" s="44" t="s">
        <v>217</v>
      </c>
      <c r="E58" s="44" t="s">
        <v>53</v>
      </c>
      <c r="F58" s="51" t="s">
        <v>218</v>
      </c>
      <c r="G58" s="44" t="s">
        <v>176</v>
      </c>
      <c r="H58" s="44" t="s">
        <v>219</v>
      </c>
      <c r="I58" s="44" t="s">
        <v>220</v>
      </c>
      <c r="J58" s="44" t="s">
        <v>60</v>
      </c>
      <c r="K58" s="44" t="s">
        <v>61</v>
      </c>
      <c r="L58" s="52" t="s">
        <v>221</v>
      </c>
      <c r="M58" s="55"/>
      <c r="N58" s="55"/>
      <c r="O58" s="55"/>
      <c r="P58" s="44"/>
      <c r="Q58" s="49"/>
      <c r="R58" s="49"/>
      <c r="S58" s="49"/>
      <c r="T58" s="49"/>
      <c r="U58" s="49"/>
      <c r="V58" s="49"/>
      <c r="W58" s="49"/>
      <c r="X58" s="49"/>
      <c r="Y58" s="49"/>
    </row>
    <row r="59">
      <c r="A59" s="49"/>
      <c r="B59" s="49"/>
      <c r="C59" s="49"/>
      <c r="D59" s="49"/>
      <c r="E59" s="49"/>
      <c r="F59" s="50"/>
      <c r="G59" s="49"/>
      <c r="H59" s="49"/>
      <c r="I59" s="49"/>
      <c r="J59" s="49"/>
      <c r="K59" s="49"/>
      <c r="L59" s="49"/>
      <c r="M59" s="49"/>
      <c r="N59" s="49"/>
      <c r="O59" s="49"/>
      <c r="P59" s="49"/>
      <c r="Q59" s="49"/>
      <c r="R59" s="49"/>
      <c r="S59" s="49"/>
      <c r="T59" s="49"/>
      <c r="U59" s="49"/>
      <c r="V59" s="49"/>
      <c r="W59" s="49"/>
      <c r="X59" s="49"/>
      <c r="Y59" s="49"/>
    </row>
    <row r="60">
      <c r="A60" s="44" t="s">
        <v>224</v>
      </c>
      <c r="B60" s="44" t="s">
        <v>172</v>
      </c>
      <c r="C60" s="44" t="s">
        <v>225</v>
      </c>
      <c r="D60" s="44" t="s">
        <v>226</v>
      </c>
      <c r="E60" s="44" t="s">
        <v>53</v>
      </c>
      <c r="F60" s="51" t="s">
        <v>227</v>
      </c>
      <c r="G60" s="44" t="s">
        <v>176</v>
      </c>
      <c r="H60" s="44" t="s">
        <v>228</v>
      </c>
      <c r="I60" s="44" t="s">
        <v>229</v>
      </c>
      <c r="J60" s="44" t="s">
        <v>60</v>
      </c>
      <c r="K60" s="44" t="s">
        <v>78</v>
      </c>
      <c r="L60" s="52" t="s">
        <v>230</v>
      </c>
      <c r="M60" s="55"/>
      <c r="N60" s="55"/>
      <c r="O60" s="55"/>
      <c r="P60" s="44"/>
      <c r="Q60" s="49"/>
      <c r="R60" s="49"/>
      <c r="S60" s="49"/>
      <c r="T60" s="49"/>
      <c r="U60" s="49"/>
      <c r="V60" s="49"/>
      <c r="W60" s="49"/>
      <c r="X60" s="49"/>
      <c r="Y60" s="49"/>
    </row>
    <row r="61">
      <c r="A61" s="49"/>
      <c r="B61" s="49"/>
      <c r="C61" s="49"/>
      <c r="D61" s="49"/>
      <c r="E61" s="49"/>
      <c r="F61" s="50"/>
      <c r="G61" s="49"/>
      <c r="H61" s="49"/>
      <c r="I61" s="49"/>
      <c r="J61" s="49"/>
      <c r="K61" s="49"/>
      <c r="L61" s="49"/>
      <c r="M61" s="49"/>
      <c r="N61" s="49"/>
      <c r="O61" s="49"/>
      <c r="P61" s="49"/>
      <c r="Q61" s="49"/>
      <c r="R61" s="49"/>
      <c r="S61" s="49"/>
      <c r="T61" s="49"/>
      <c r="U61" s="49"/>
      <c r="V61" s="49"/>
      <c r="W61" s="49"/>
      <c r="X61" s="49"/>
      <c r="Y61" s="49"/>
    </row>
    <row r="62">
      <c r="A62" s="44" t="s">
        <v>231</v>
      </c>
      <c r="B62" s="44" t="s">
        <v>172</v>
      </c>
      <c r="C62" s="44" t="s">
        <v>232</v>
      </c>
      <c r="D62" s="44" t="s">
        <v>233</v>
      </c>
      <c r="E62" s="44" t="s">
        <v>53</v>
      </c>
      <c r="F62" s="51" t="s">
        <v>234</v>
      </c>
      <c r="G62" s="44" t="s">
        <v>176</v>
      </c>
      <c r="H62" s="44" t="s">
        <v>235</v>
      </c>
      <c r="I62" s="44" t="s">
        <v>236</v>
      </c>
      <c r="J62" s="44" t="s">
        <v>60</v>
      </c>
      <c r="K62" s="44" t="s">
        <v>61</v>
      </c>
      <c r="L62" s="52" t="s">
        <v>237</v>
      </c>
      <c r="M62" s="55"/>
      <c r="N62" s="55"/>
      <c r="O62" s="55"/>
      <c r="P62" s="44"/>
      <c r="Q62" s="49"/>
      <c r="R62" s="49"/>
      <c r="S62" s="49"/>
      <c r="T62" s="49"/>
      <c r="U62" s="49"/>
      <c r="V62" s="49"/>
      <c r="W62" s="49"/>
      <c r="X62" s="49"/>
      <c r="Y62" s="49"/>
    </row>
    <row r="63">
      <c r="A63" s="49"/>
      <c r="B63" s="49"/>
      <c r="C63" s="49"/>
      <c r="D63" s="49"/>
      <c r="E63" s="49"/>
      <c r="F63" s="50"/>
      <c r="G63" s="49"/>
      <c r="H63" s="49"/>
      <c r="I63" s="49"/>
      <c r="J63" s="49"/>
      <c r="K63" s="49"/>
      <c r="L63" s="49"/>
      <c r="M63" s="49"/>
      <c r="N63" s="49"/>
      <c r="O63" s="49"/>
      <c r="P63" s="49"/>
      <c r="Q63" s="49"/>
      <c r="R63" s="49"/>
      <c r="S63" s="49"/>
      <c r="T63" s="49"/>
      <c r="U63" s="49"/>
      <c r="V63" s="49"/>
      <c r="W63" s="49"/>
      <c r="X63" s="49"/>
      <c r="Y63" s="49"/>
    </row>
    <row r="64">
      <c r="A64" s="44" t="s">
        <v>238</v>
      </c>
      <c r="B64" s="44" t="s">
        <v>172</v>
      </c>
      <c r="C64" s="44" t="s">
        <v>239</v>
      </c>
      <c r="D64" s="44" t="s">
        <v>240</v>
      </c>
      <c r="E64" s="44" t="s">
        <v>53</v>
      </c>
      <c r="F64" s="51" t="s">
        <v>241</v>
      </c>
      <c r="G64" s="44" t="s">
        <v>176</v>
      </c>
      <c r="H64" s="44" t="s">
        <v>242</v>
      </c>
      <c r="I64" s="44" t="s">
        <v>243</v>
      </c>
      <c r="J64" s="44" t="s">
        <v>60</v>
      </c>
      <c r="K64" s="44" t="s">
        <v>70</v>
      </c>
      <c r="L64" s="52" t="s">
        <v>244</v>
      </c>
      <c r="M64" s="55"/>
      <c r="N64" s="55"/>
      <c r="O64" s="55"/>
      <c r="P64" s="44"/>
      <c r="Q64" s="49"/>
      <c r="R64" s="49"/>
      <c r="S64" s="49"/>
      <c r="T64" s="49"/>
      <c r="U64" s="49"/>
      <c r="V64" s="49"/>
      <c r="W64" s="49"/>
      <c r="X64" s="49"/>
      <c r="Y64" s="49"/>
    </row>
    <row r="65">
      <c r="A65" s="49"/>
      <c r="B65" s="49"/>
      <c r="C65" s="49"/>
      <c r="D65" s="49"/>
      <c r="E65" s="49"/>
      <c r="F65" s="50"/>
      <c r="G65" s="49"/>
      <c r="H65" s="49"/>
      <c r="I65" s="49"/>
      <c r="J65" s="49"/>
      <c r="K65" s="49"/>
      <c r="L65" s="49"/>
      <c r="M65" s="49"/>
      <c r="N65" s="49"/>
      <c r="O65" s="49"/>
      <c r="P65" s="49"/>
      <c r="Q65" s="49"/>
      <c r="R65" s="49"/>
      <c r="S65" s="49"/>
      <c r="T65" s="49"/>
      <c r="U65" s="49"/>
      <c r="V65" s="49"/>
      <c r="W65" s="49"/>
      <c r="X65" s="49"/>
      <c r="Y65" s="49"/>
    </row>
    <row r="66">
      <c r="A66" s="44" t="s">
        <v>245</v>
      </c>
      <c r="B66" s="44" t="s">
        <v>172</v>
      </c>
      <c r="C66" s="44" t="s">
        <v>239</v>
      </c>
      <c r="D66" s="44" t="s">
        <v>246</v>
      </c>
      <c r="E66" s="44" t="s">
        <v>53</v>
      </c>
      <c r="F66" s="51" t="s">
        <v>241</v>
      </c>
      <c r="G66" s="44" t="s">
        <v>176</v>
      </c>
      <c r="H66" s="44" t="s">
        <v>247</v>
      </c>
      <c r="I66" s="44" t="s">
        <v>248</v>
      </c>
      <c r="J66" s="44" t="s">
        <v>60</v>
      </c>
      <c r="K66" s="44" t="s">
        <v>70</v>
      </c>
      <c r="L66" s="52" t="s">
        <v>249</v>
      </c>
      <c r="M66" s="55"/>
      <c r="N66" s="55"/>
      <c r="O66" s="55"/>
      <c r="P66" s="44"/>
      <c r="Q66" s="49"/>
      <c r="R66" s="49"/>
      <c r="S66" s="49"/>
      <c r="T66" s="49"/>
      <c r="U66" s="49"/>
      <c r="V66" s="49"/>
      <c r="W66" s="49"/>
      <c r="X66" s="49"/>
      <c r="Y66" s="49"/>
    </row>
    <row r="67">
      <c r="A67" s="49"/>
      <c r="B67" s="49"/>
      <c r="C67" s="49"/>
      <c r="D67" s="49"/>
      <c r="E67" s="49"/>
      <c r="F67" s="50"/>
      <c r="G67" s="49"/>
      <c r="H67" s="49"/>
      <c r="I67" s="49"/>
      <c r="J67" s="49"/>
      <c r="K67" s="49"/>
      <c r="L67" s="49"/>
      <c r="M67" s="49"/>
      <c r="N67" s="49"/>
      <c r="O67" s="49"/>
      <c r="P67" s="49"/>
      <c r="Q67" s="49"/>
      <c r="R67" s="49"/>
      <c r="S67" s="49"/>
      <c r="T67" s="49"/>
      <c r="U67" s="49"/>
      <c r="V67" s="49"/>
      <c r="W67" s="49"/>
      <c r="X67" s="49"/>
      <c r="Y67" s="49"/>
    </row>
    <row r="68">
      <c r="A68" s="44" t="s">
        <v>250</v>
      </c>
      <c r="B68" s="44" t="s">
        <v>172</v>
      </c>
      <c r="C68" s="44" t="s">
        <v>239</v>
      </c>
      <c r="D68" s="44" t="s">
        <v>251</v>
      </c>
      <c r="E68" s="44" t="s">
        <v>53</v>
      </c>
      <c r="F68" s="51" t="s">
        <v>241</v>
      </c>
      <c r="G68" s="44" t="s">
        <v>176</v>
      </c>
      <c r="H68" s="44" t="s">
        <v>252</v>
      </c>
      <c r="I68" s="44" t="s">
        <v>253</v>
      </c>
      <c r="J68" s="44" t="s">
        <v>60</v>
      </c>
      <c r="K68" s="44" t="s">
        <v>61</v>
      </c>
      <c r="L68" s="52" t="s">
        <v>254</v>
      </c>
      <c r="M68" s="55"/>
      <c r="N68" s="55"/>
      <c r="O68" s="55"/>
      <c r="P68" s="44"/>
      <c r="Q68" s="49"/>
      <c r="R68" s="49"/>
      <c r="S68" s="49"/>
      <c r="T68" s="49"/>
      <c r="U68" s="49"/>
      <c r="V68" s="49"/>
      <c r="W68" s="49"/>
      <c r="X68" s="49"/>
      <c r="Y68" s="49"/>
    </row>
    <row r="69">
      <c r="A69" s="49"/>
      <c r="B69" s="49"/>
      <c r="C69" s="49"/>
      <c r="D69" s="49"/>
      <c r="E69" s="49"/>
      <c r="F69" s="50"/>
      <c r="G69" s="49"/>
      <c r="H69" s="49"/>
      <c r="I69" s="49"/>
      <c r="J69" s="49"/>
      <c r="K69" s="49"/>
      <c r="L69" s="49"/>
      <c r="M69" s="49"/>
      <c r="N69" s="49"/>
      <c r="O69" s="49"/>
      <c r="P69" s="49"/>
      <c r="Q69" s="49"/>
      <c r="R69" s="49"/>
      <c r="S69" s="49"/>
      <c r="T69" s="49"/>
      <c r="U69" s="49"/>
      <c r="V69" s="49"/>
      <c r="W69" s="49"/>
      <c r="X69" s="49"/>
      <c r="Y69" s="49"/>
    </row>
    <row r="70">
      <c r="A70" s="44" t="s">
        <v>255</v>
      </c>
      <c r="B70" s="44" t="s">
        <v>172</v>
      </c>
      <c r="C70" s="44" t="s">
        <v>239</v>
      </c>
      <c r="D70" s="44" t="s">
        <v>256</v>
      </c>
      <c r="E70" s="44" t="s">
        <v>53</v>
      </c>
      <c r="F70" s="51" t="s">
        <v>241</v>
      </c>
      <c r="G70" s="44" t="s">
        <v>176</v>
      </c>
      <c r="H70" s="44" t="s">
        <v>257</v>
      </c>
      <c r="I70" s="44" t="s">
        <v>258</v>
      </c>
      <c r="J70" s="44" t="s">
        <v>60</v>
      </c>
      <c r="K70" s="44" t="s">
        <v>70</v>
      </c>
      <c r="L70" s="52" t="s">
        <v>259</v>
      </c>
      <c r="M70" s="55"/>
      <c r="N70" s="55"/>
      <c r="O70" s="55"/>
      <c r="P70" s="44"/>
      <c r="Q70" s="49"/>
      <c r="R70" s="49"/>
      <c r="S70" s="49"/>
      <c r="T70" s="49"/>
      <c r="U70" s="49"/>
      <c r="V70" s="49"/>
      <c r="W70" s="49"/>
      <c r="X70" s="49"/>
      <c r="Y70" s="49"/>
    </row>
    <row r="71">
      <c r="A71" s="49"/>
      <c r="B71" s="49"/>
      <c r="C71" s="49"/>
      <c r="D71" s="49"/>
      <c r="E71" s="49"/>
      <c r="F71" s="50"/>
      <c r="G71" s="49"/>
      <c r="H71" s="49"/>
      <c r="I71" s="49"/>
      <c r="J71" s="49"/>
      <c r="K71" s="49"/>
      <c r="L71" s="49"/>
      <c r="M71" s="49"/>
      <c r="N71" s="49"/>
      <c r="O71" s="49"/>
      <c r="P71" s="49"/>
      <c r="Q71" s="49"/>
      <c r="R71" s="49"/>
      <c r="S71" s="49"/>
      <c r="T71" s="49"/>
      <c r="U71" s="49"/>
      <c r="V71" s="49"/>
      <c r="W71" s="49"/>
      <c r="X71" s="49"/>
      <c r="Y71" s="49"/>
    </row>
    <row r="72">
      <c r="A72" s="44" t="s">
        <v>261</v>
      </c>
      <c r="B72" s="44" t="s">
        <v>172</v>
      </c>
      <c r="C72" s="44" t="s">
        <v>262</v>
      </c>
      <c r="D72" s="44" t="s">
        <v>263</v>
      </c>
      <c r="E72" s="44" t="s">
        <v>53</v>
      </c>
      <c r="F72" s="51" t="s">
        <v>264</v>
      </c>
      <c r="G72" s="44" t="s">
        <v>176</v>
      </c>
      <c r="H72" s="44" t="s">
        <v>265</v>
      </c>
      <c r="I72" s="44" t="s">
        <v>266</v>
      </c>
      <c r="J72" s="44" t="s">
        <v>60</v>
      </c>
      <c r="K72" s="44" t="s">
        <v>70</v>
      </c>
      <c r="L72" s="52" t="s">
        <v>267</v>
      </c>
      <c r="M72" s="55"/>
      <c r="N72" s="55"/>
      <c r="O72" s="55"/>
      <c r="P72" s="44"/>
      <c r="Q72" s="49"/>
      <c r="R72" s="49"/>
      <c r="S72" s="49"/>
      <c r="T72" s="49"/>
      <c r="U72" s="49"/>
      <c r="V72" s="49"/>
      <c r="W72" s="49"/>
      <c r="X72" s="49"/>
      <c r="Y72" s="49"/>
    </row>
    <row r="73">
      <c r="A73" s="49"/>
      <c r="B73" s="49"/>
      <c r="C73" s="49"/>
      <c r="D73" s="49"/>
      <c r="E73" s="49"/>
      <c r="F73" s="50"/>
      <c r="G73" s="49"/>
      <c r="H73" s="49"/>
      <c r="I73" s="49"/>
      <c r="J73" s="49"/>
      <c r="K73" s="49"/>
      <c r="L73" s="49"/>
      <c r="M73" s="49"/>
      <c r="N73" s="49"/>
      <c r="O73" s="49"/>
      <c r="P73" s="49"/>
      <c r="Q73" s="49"/>
      <c r="R73" s="49"/>
      <c r="S73" s="49"/>
      <c r="T73" s="49"/>
      <c r="U73" s="49"/>
      <c r="V73" s="49"/>
      <c r="W73" s="49"/>
      <c r="X73" s="49"/>
      <c r="Y73" s="49"/>
    </row>
    <row r="74">
      <c r="A74" s="44" t="s">
        <v>269</v>
      </c>
      <c r="B74" s="44" t="s">
        <v>172</v>
      </c>
      <c r="C74" s="44" t="s">
        <v>262</v>
      </c>
      <c r="D74" s="44" t="s">
        <v>270</v>
      </c>
      <c r="E74" s="44" t="s">
        <v>53</v>
      </c>
      <c r="F74" s="93" t="s">
        <v>264</v>
      </c>
      <c r="G74" s="44" t="s">
        <v>176</v>
      </c>
      <c r="H74" s="44" t="s">
        <v>271</v>
      </c>
      <c r="I74" s="44" t="s">
        <v>272</v>
      </c>
      <c r="J74" s="44" t="s">
        <v>60</v>
      </c>
      <c r="K74" s="44" t="s">
        <v>78</v>
      </c>
      <c r="L74" s="52" t="s">
        <v>273</v>
      </c>
      <c r="M74" s="55"/>
      <c r="N74" s="55"/>
      <c r="O74" s="55"/>
      <c r="P74" s="44"/>
      <c r="Q74" s="49"/>
      <c r="R74" s="49"/>
      <c r="S74" s="49"/>
      <c r="T74" s="49"/>
      <c r="U74" s="49"/>
      <c r="V74" s="49"/>
      <c r="W74" s="49"/>
      <c r="X74" s="49"/>
      <c r="Y74" s="49"/>
    </row>
    <row r="75">
      <c r="A75" s="49"/>
      <c r="B75" s="49"/>
      <c r="C75" s="49"/>
      <c r="D75" s="49"/>
      <c r="E75" s="49"/>
      <c r="F75" s="50"/>
      <c r="G75" s="49"/>
      <c r="H75" s="49"/>
      <c r="I75" s="49"/>
      <c r="J75" s="49"/>
      <c r="K75" s="49"/>
      <c r="L75" s="49"/>
      <c r="M75" s="49"/>
      <c r="N75" s="49"/>
      <c r="O75" s="49"/>
      <c r="P75" s="49"/>
      <c r="Q75" s="49"/>
      <c r="R75" s="49"/>
      <c r="S75" s="49"/>
      <c r="T75" s="49"/>
      <c r="U75" s="49"/>
      <c r="V75" s="49"/>
      <c r="W75" s="49"/>
      <c r="X75" s="49"/>
      <c r="Y75" s="49"/>
    </row>
    <row r="76">
      <c r="A76" s="44" t="s">
        <v>275</v>
      </c>
      <c r="B76" s="44" t="s">
        <v>172</v>
      </c>
      <c r="C76" s="44" t="s">
        <v>262</v>
      </c>
      <c r="D76" s="44" t="s">
        <v>276</v>
      </c>
      <c r="E76" s="44" t="s">
        <v>53</v>
      </c>
      <c r="F76" s="93" t="s">
        <v>264</v>
      </c>
      <c r="G76" s="44" t="s">
        <v>176</v>
      </c>
      <c r="H76" s="44" t="s">
        <v>277</v>
      </c>
      <c r="I76" s="44" t="s">
        <v>278</v>
      </c>
      <c r="J76" s="44" t="s">
        <v>60</v>
      </c>
      <c r="K76" s="44" t="s">
        <v>70</v>
      </c>
      <c r="L76" s="52" t="s">
        <v>279</v>
      </c>
      <c r="M76" s="55"/>
      <c r="N76" s="55"/>
      <c r="O76" s="55"/>
      <c r="P76" s="44"/>
      <c r="Q76" s="49"/>
      <c r="R76" s="49"/>
      <c r="S76" s="49"/>
      <c r="T76" s="49"/>
      <c r="U76" s="49"/>
      <c r="V76" s="49"/>
      <c r="W76" s="49"/>
      <c r="X76" s="49"/>
      <c r="Y76" s="49"/>
    </row>
    <row r="77">
      <c r="A77" s="49"/>
      <c r="B77" s="49"/>
      <c r="C77" s="49"/>
      <c r="D77" s="49"/>
      <c r="E77" s="49"/>
      <c r="F77" s="50"/>
      <c r="G77" s="49"/>
      <c r="H77" s="49"/>
      <c r="I77" s="49"/>
      <c r="J77" s="49"/>
      <c r="K77" s="49"/>
      <c r="L77" s="49"/>
      <c r="M77" s="49"/>
      <c r="N77" s="49"/>
      <c r="O77" s="49"/>
      <c r="P77" s="49"/>
      <c r="Q77" s="49"/>
      <c r="R77" s="49"/>
      <c r="S77" s="49"/>
      <c r="T77" s="49"/>
      <c r="U77" s="49"/>
      <c r="V77" s="49"/>
      <c r="W77" s="49"/>
      <c r="X77" s="49"/>
      <c r="Y77" s="49"/>
    </row>
    <row r="78">
      <c r="A78" s="44" t="s">
        <v>281</v>
      </c>
      <c r="B78" s="44" t="s">
        <v>172</v>
      </c>
      <c r="C78" s="44" t="s">
        <v>262</v>
      </c>
      <c r="D78" s="44" t="s">
        <v>282</v>
      </c>
      <c r="E78" s="44" t="s">
        <v>53</v>
      </c>
      <c r="F78" s="93" t="s">
        <v>264</v>
      </c>
      <c r="G78" s="44" t="s">
        <v>176</v>
      </c>
      <c r="H78" s="44" t="s">
        <v>283</v>
      </c>
      <c r="I78" s="44" t="s">
        <v>284</v>
      </c>
      <c r="J78" s="44" t="s">
        <v>60</v>
      </c>
      <c r="K78" s="44" t="s">
        <v>61</v>
      </c>
      <c r="L78" s="52" t="s">
        <v>285</v>
      </c>
      <c r="M78" s="55"/>
      <c r="N78" s="55"/>
      <c r="O78" s="55"/>
      <c r="P78" s="44"/>
      <c r="Q78" s="49"/>
      <c r="R78" s="49"/>
      <c r="S78" s="49"/>
      <c r="T78" s="49"/>
      <c r="U78" s="49"/>
      <c r="V78" s="49"/>
      <c r="W78" s="49"/>
      <c r="X78" s="49"/>
      <c r="Y78" s="49"/>
    </row>
    <row r="79">
      <c r="A79" s="49"/>
      <c r="B79" s="49"/>
      <c r="C79" s="49"/>
      <c r="D79" s="49"/>
      <c r="E79" s="49"/>
      <c r="F79" s="50"/>
      <c r="G79" s="49"/>
      <c r="H79" s="49"/>
      <c r="I79" s="49"/>
      <c r="J79" s="49"/>
      <c r="K79" s="49"/>
      <c r="L79" s="49"/>
      <c r="M79" s="49"/>
      <c r="N79" s="49"/>
      <c r="O79" s="49"/>
      <c r="P79" s="49"/>
      <c r="Q79" s="49"/>
      <c r="R79" s="49"/>
      <c r="S79" s="49"/>
      <c r="T79" s="49"/>
      <c r="U79" s="49"/>
      <c r="V79" s="49"/>
      <c r="W79" s="49"/>
      <c r="X79" s="49"/>
      <c r="Y79" s="49"/>
    </row>
    <row r="80">
      <c r="A80" s="44" t="s">
        <v>287</v>
      </c>
      <c r="B80" s="44" t="s">
        <v>172</v>
      </c>
      <c r="C80" s="44" t="s">
        <v>262</v>
      </c>
      <c r="D80" s="44" t="s">
        <v>288</v>
      </c>
      <c r="E80" s="44" t="s">
        <v>53</v>
      </c>
      <c r="F80" s="93" t="s">
        <v>264</v>
      </c>
      <c r="G80" s="44" t="s">
        <v>176</v>
      </c>
      <c r="H80" s="44" t="s">
        <v>289</v>
      </c>
      <c r="I80" s="44" t="s">
        <v>290</v>
      </c>
      <c r="J80" s="44" t="s">
        <v>60</v>
      </c>
      <c r="K80" s="44" t="s">
        <v>61</v>
      </c>
      <c r="L80" s="52" t="s">
        <v>291</v>
      </c>
      <c r="M80" s="55"/>
      <c r="N80" s="55"/>
      <c r="O80" s="55"/>
      <c r="P80" s="44"/>
      <c r="Q80" s="49"/>
      <c r="R80" s="49"/>
      <c r="S80" s="49"/>
      <c r="T80" s="49"/>
      <c r="U80" s="49"/>
      <c r="V80" s="49"/>
      <c r="W80" s="49"/>
      <c r="X80" s="49"/>
      <c r="Y80" s="49"/>
    </row>
    <row r="81">
      <c r="A81" s="49"/>
      <c r="B81" s="49"/>
      <c r="C81" s="49"/>
      <c r="D81" s="49"/>
      <c r="E81" s="49"/>
      <c r="F81" s="50"/>
      <c r="G81" s="49"/>
      <c r="H81" s="49"/>
      <c r="I81" s="49"/>
      <c r="J81" s="49"/>
      <c r="K81" s="49"/>
      <c r="L81" s="49"/>
      <c r="M81" s="49"/>
      <c r="N81" s="49"/>
      <c r="O81" s="49"/>
      <c r="P81" s="49"/>
      <c r="Q81" s="49"/>
      <c r="R81" s="49"/>
      <c r="S81" s="49"/>
      <c r="T81" s="49"/>
      <c r="U81" s="49"/>
      <c r="V81" s="49"/>
      <c r="W81" s="49"/>
      <c r="X81" s="49"/>
      <c r="Y81" s="49"/>
    </row>
    <row r="82">
      <c r="A82" s="44" t="s">
        <v>293</v>
      </c>
      <c r="B82" s="44" t="s">
        <v>172</v>
      </c>
      <c r="C82" s="44" t="s">
        <v>262</v>
      </c>
      <c r="D82" s="44" t="s">
        <v>294</v>
      </c>
      <c r="E82" s="44" t="s">
        <v>53</v>
      </c>
      <c r="F82" s="93" t="s">
        <v>264</v>
      </c>
      <c r="G82" s="44" t="s">
        <v>176</v>
      </c>
      <c r="H82" s="44" t="s">
        <v>295</v>
      </c>
      <c r="I82" s="44" t="s">
        <v>296</v>
      </c>
      <c r="J82" s="44" t="s">
        <v>60</v>
      </c>
      <c r="K82" s="44" t="s">
        <v>61</v>
      </c>
      <c r="L82" s="52" t="s">
        <v>297</v>
      </c>
      <c r="M82" s="55"/>
      <c r="N82" s="55"/>
      <c r="O82" s="55"/>
      <c r="P82" s="44"/>
      <c r="Q82" s="49"/>
      <c r="R82" s="49"/>
      <c r="S82" s="49"/>
      <c r="T82" s="49"/>
      <c r="U82" s="49"/>
      <c r="V82" s="49"/>
      <c r="W82" s="49"/>
      <c r="X82" s="49"/>
      <c r="Y82" s="49"/>
    </row>
    <row r="83">
      <c r="A83" s="94"/>
      <c r="B83" s="94"/>
      <c r="C83" s="94"/>
      <c r="D83" s="94"/>
      <c r="E83" s="94"/>
      <c r="F83" s="94"/>
      <c r="G83" s="94"/>
      <c r="H83" s="94"/>
      <c r="I83" s="94"/>
      <c r="J83" s="94"/>
      <c r="K83" s="94"/>
      <c r="L83" s="94"/>
      <c r="M83" s="94"/>
      <c r="N83" s="94"/>
      <c r="O83" s="94"/>
      <c r="P83" s="94"/>
      <c r="Q83" s="94"/>
      <c r="R83" s="94"/>
      <c r="S83" s="94"/>
      <c r="T83" s="94"/>
      <c r="U83" s="94"/>
      <c r="V83" s="94"/>
      <c r="W83" s="94"/>
      <c r="X83" s="94"/>
      <c r="Y83" s="94"/>
    </row>
    <row r="84">
      <c r="A84" s="44" t="s">
        <v>299</v>
      </c>
      <c r="B84" s="44" t="s">
        <v>172</v>
      </c>
      <c r="C84" s="44" t="s">
        <v>262</v>
      </c>
      <c r="D84" s="44" t="s">
        <v>300</v>
      </c>
      <c r="E84" s="44" t="s">
        <v>53</v>
      </c>
      <c r="F84" s="93" t="s">
        <v>264</v>
      </c>
      <c r="G84" s="44" t="s">
        <v>176</v>
      </c>
      <c r="H84" s="44" t="s">
        <v>301</v>
      </c>
      <c r="I84" s="44" t="s">
        <v>302</v>
      </c>
      <c r="J84" s="44" t="s">
        <v>60</v>
      </c>
      <c r="K84" s="44" t="s">
        <v>70</v>
      </c>
      <c r="L84" s="52" t="s">
        <v>303</v>
      </c>
      <c r="M84" s="55"/>
      <c r="N84" s="55"/>
      <c r="O84" s="55"/>
      <c r="P84" s="44"/>
      <c r="Q84" s="94"/>
      <c r="R84" s="94"/>
      <c r="S84" s="94"/>
      <c r="T84" s="94"/>
      <c r="U84" s="94"/>
      <c r="V84" s="94"/>
      <c r="W84" s="94"/>
      <c r="X84" s="94"/>
      <c r="Y84" s="94"/>
    </row>
    <row r="85">
      <c r="A85" s="94"/>
      <c r="B85" s="94"/>
      <c r="C85" s="94"/>
      <c r="D85" s="94"/>
      <c r="E85" s="94"/>
      <c r="F85" s="94"/>
      <c r="G85" s="94"/>
      <c r="H85" s="94"/>
      <c r="I85" s="94"/>
      <c r="J85" s="94"/>
      <c r="K85" s="94"/>
      <c r="L85" s="94"/>
      <c r="M85" s="94"/>
      <c r="N85" s="94"/>
      <c r="O85" s="94"/>
      <c r="P85" s="94"/>
      <c r="Q85" s="94"/>
      <c r="R85" s="94"/>
      <c r="S85" s="94"/>
      <c r="T85" s="94"/>
      <c r="U85" s="94"/>
      <c r="V85" s="94"/>
      <c r="W85" s="94"/>
      <c r="X85" s="94"/>
      <c r="Y85" s="94"/>
    </row>
    <row r="86">
      <c r="A86" s="44" t="s">
        <v>305</v>
      </c>
      <c r="B86" s="44" t="s">
        <v>172</v>
      </c>
      <c r="C86" s="44" t="s">
        <v>262</v>
      </c>
      <c r="D86" s="44" t="s">
        <v>306</v>
      </c>
      <c r="E86" s="44" t="s">
        <v>53</v>
      </c>
      <c r="F86" s="93" t="s">
        <v>264</v>
      </c>
      <c r="G86" s="44" t="s">
        <v>176</v>
      </c>
      <c r="H86" s="44" t="s">
        <v>307</v>
      </c>
      <c r="I86" s="44" t="s">
        <v>308</v>
      </c>
      <c r="J86" s="44" t="s">
        <v>60</v>
      </c>
      <c r="K86" s="44" t="s">
        <v>61</v>
      </c>
      <c r="L86" s="52" t="s">
        <v>309</v>
      </c>
      <c r="M86" s="55"/>
      <c r="N86" s="55"/>
      <c r="O86" s="55"/>
      <c r="P86" s="44"/>
      <c r="Q86" s="94"/>
      <c r="R86" s="94"/>
      <c r="S86" s="94"/>
      <c r="T86" s="94"/>
      <c r="U86" s="94"/>
      <c r="V86" s="94"/>
      <c r="W86" s="94"/>
      <c r="X86" s="94"/>
      <c r="Y86" s="94"/>
    </row>
    <row r="87">
      <c r="A87" s="94"/>
      <c r="B87" s="94"/>
      <c r="C87" s="94"/>
      <c r="E87" s="94"/>
      <c r="F87" s="94"/>
      <c r="G87" s="94"/>
      <c r="H87" s="94"/>
      <c r="I87" s="94"/>
      <c r="J87" s="94"/>
      <c r="K87" s="94"/>
      <c r="L87" s="94"/>
      <c r="M87" s="94"/>
      <c r="N87" s="94"/>
      <c r="O87" s="94"/>
      <c r="P87" s="94"/>
      <c r="Q87" s="94"/>
      <c r="R87" s="94"/>
      <c r="S87" s="94"/>
      <c r="T87" s="94"/>
      <c r="U87" s="94"/>
      <c r="V87" s="94"/>
      <c r="W87" s="94"/>
      <c r="X87" s="94"/>
      <c r="Y87" s="94"/>
    </row>
    <row r="88">
      <c r="A88" s="44" t="s">
        <v>311</v>
      </c>
      <c r="B88" s="44" t="s">
        <v>172</v>
      </c>
      <c r="C88" s="44" t="s">
        <v>312</v>
      </c>
      <c r="D88" s="44" t="s">
        <v>313</v>
      </c>
      <c r="E88" s="44" t="s">
        <v>53</v>
      </c>
      <c r="F88" s="93" t="s">
        <v>314</v>
      </c>
      <c r="G88" s="44" t="s">
        <v>176</v>
      </c>
      <c r="H88" s="44" t="s">
        <v>315</v>
      </c>
      <c r="I88" s="44" t="s">
        <v>316</v>
      </c>
      <c r="J88" s="44" t="s">
        <v>60</v>
      </c>
      <c r="K88" s="44" t="s">
        <v>70</v>
      </c>
      <c r="L88" s="52" t="s">
        <v>317</v>
      </c>
      <c r="M88" s="55"/>
      <c r="N88" s="55"/>
      <c r="O88" s="55"/>
      <c r="P88" s="44"/>
      <c r="Q88" s="94"/>
      <c r="R88" s="94"/>
      <c r="S88" s="94"/>
      <c r="T88" s="94"/>
      <c r="U88" s="94"/>
      <c r="V88" s="94"/>
      <c r="W88" s="94"/>
      <c r="X88" s="94"/>
      <c r="Y88" s="94"/>
    </row>
    <row r="89">
      <c r="A89" s="94"/>
      <c r="B89" s="94"/>
      <c r="C89" s="94"/>
      <c r="D89" s="94"/>
      <c r="E89" s="94"/>
      <c r="F89" s="94"/>
      <c r="G89" s="94"/>
      <c r="H89" s="94"/>
      <c r="I89" s="94"/>
      <c r="J89" s="94"/>
      <c r="K89" s="94"/>
      <c r="L89" s="94"/>
      <c r="M89" s="94"/>
      <c r="N89" s="94"/>
      <c r="O89" s="94"/>
      <c r="P89" s="94"/>
      <c r="Q89" s="94"/>
      <c r="R89" s="94"/>
      <c r="S89" s="94"/>
      <c r="T89" s="94"/>
      <c r="U89" s="94"/>
      <c r="V89" s="94"/>
      <c r="W89" s="94"/>
      <c r="X89" s="94"/>
      <c r="Y89" s="94"/>
    </row>
    <row r="90">
      <c r="A90" s="44" t="s">
        <v>319</v>
      </c>
      <c r="B90" s="44" t="s">
        <v>172</v>
      </c>
      <c r="C90" s="44" t="s">
        <v>312</v>
      </c>
      <c r="D90" s="44" t="s">
        <v>320</v>
      </c>
      <c r="E90" s="44" t="s">
        <v>53</v>
      </c>
      <c r="F90" s="93" t="s">
        <v>314</v>
      </c>
      <c r="G90" s="44" t="s">
        <v>176</v>
      </c>
      <c r="H90" s="44" t="s">
        <v>321</v>
      </c>
      <c r="I90" s="44" t="s">
        <v>322</v>
      </c>
      <c r="J90" s="44" t="s">
        <v>60</v>
      </c>
      <c r="K90" s="44" t="s">
        <v>70</v>
      </c>
      <c r="L90" s="52" t="s">
        <v>323</v>
      </c>
      <c r="M90" s="55"/>
      <c r="N90" s="55"/>
      <c r="O90" s="55"/>
      <c r="P90" s="44"/>
      <c r="Q90" s="94"/>
      <c r="R90" s="94"/>
      <c r="S90" s="94"/>
      <c r="T90" s="94"/>
      <c r="U90" s="94"/>
      <c r="V90" s="94"/>
      <c r="W90" s="94"/>
      <c r="X90" s="94"/>
      <c r="Y90" s="94"/>
    </row>
    <row r="91">
      <c r="A91" s="94"/>
      <c r="B91" s="94"/>
      <c r="C91" s="94"/>
      <c r="D91" s="94"/>
      <c r="E91" s="94"/>
      <c r="F91" s="94"/>
      <c r="G91" s="94"/>
      <c r="H91" s="94"/>
      <c r="I91" s="94"/>
      <c r="J91" s="94"/>
      <c r="K91" s="94"/>
      <c r="L91" s="94"/>
      <c r="M91" s="94"/>
      <c r="N91" s="94"/>
      <c r="O91" s="94"/>
      <c r="P91" s="94"/>
      <c r="Q91" s="94"/>
      <c r="R91" s="94"/>
      <c r="S91" s="94"/>
      <c r="T91" s="94"/>
      <c r="U91" s="94"/>
      <c r="V91" s="94"/>
      <c r="W91" s="94"/>
      <c r="X91" s="94"/>
      <c r="Y91" s="94"/>
    </row>
    <row r="92">
      <c r="A92" s="44" t="s">
        <v>325</v>
      </c>
      <c r="B92" s="44" t="s">
        <v>172</v>
      </c>
      <c r="C92" s="44" t="s">
        <v>312</v>
      </c>
      <c r="D92" s="44" t="s">
        <v>326</v>
      </c>
      <c r="E92" s="44" t="s">
        <v>53</v>
      </c>
      <c r="F92" s="93" t="s">
        <v>314</v>
      </c>
      <c r="G92" s="44" t="s">
        <v>176</v>
      </c>
      <c r="H92" s="44" t="s">
        <v>327</v>
      </c>
      <c r="I92" s="44" t="s">
        <v>328</v>
      </c>
      <c r="J92" s="44" t="s">
        <v>60</v>
      </c>
      <c r="K92" s="44" t="s">
        <v>70</v>
      </c>
      <c r="L92" s="52" t="s">
        <v>329</v>
      </c>
      <c r="M92" s="55"/>
      <c r="N92" s="55"/>
      <c r="O92" s="55"/>
      <c r="P92" s="44"/>
      <c r="Q92" s="94"/>
      <c r="R92" s="94"/>
      <c r="S92" s="94"/>
      <c r="T92" s="94"/>
      <c r="U92" s="94"/>
      <c r="V92" s="94"/>
      <c r="W92" s="94"/>
      <c r="X92" s="94"/>
      <c r="Y92" s="94"/>
    </row>
    <row r="93">
      <c r="A93" s="94"/>
      <c r="B93" s="94"/>
      <c r="C93" s="94"/>
      <c r="D93" s="94"/>
      <c r="E93" s="94"/>
      <c r="F93" s="94"/>
      <c r="G93" s="94"/>
      <c r="H93" s="94"/>
      <c r="I93" s="94"/>
      <c r="J93" s="94"/>
      <c r="K93" s="94"/>
      <c r="L93" s="94"/>
      <c r="M93" s="94"/>
      <c r="N93" s="94"/>
      <c r="O93" s="94"/>
      <c r="P93" s="94"/>
      <c r="Q93" s="94"/>
      <c r="R93" s="94"/>
      <c r="S93" s="94"/>
      <c r="T93" s="94"/>
      <c r="U93" s="94"/>
      <c r="V93" s="94"/>
      <c r="W93" s="94"/>
      <c r="X93" s="94"/>
      <c r="Y93" s="94"/>
    </row>
    <row r="94">
      <c r="A94" s="44" t="s">
        <v>331</v>
      </c>
      <c r="B94" s="44" t="s">
        <v>172</v>
      </c>
      <c r="C94" s="44" t="s">
        <v>312</v>
      </c>
      <c r="D94" s="44" t="s">
        <v>332</v>
      </c>
      <c r="E94" s="44" t="s">
        <v>53</v>
      </c>
      <c r="F94" s="93" t="s">
        <v>314</v>
      </c>
      <c r="G94" s="44" t="s">
        <v>176</v>
      </c>
      <c r="H94" s="44" t="s">
        <v>333</v>
      </c>
      <c r="I94" s="44" t="s">
        <v>334</v>
      </c>
      <c r="J94" s="44" t="s">
        <v>60</v>
      </c>
      <c r="K94" s="44" t="s">
        <v>61</v>
      </c>
      <c r="L94" s="52" t="s">
        <v>335</v>
      </c>
      <c r="M94" s="55"/>
      <c r="N94" s="55"/>
      <c r="O94" s="55"/>
      <c r="P94" s="44"/>
      <c r="Q94" s="94"/>
      <c r="R94" s="94"/>
      <c r="S94" s="94"/>
      <c r="T94" s="94"/>
      <c r="U94" s="94"/>
      <c r="V94" s="94"/>
      <c r="W94" s="94"/>
      <c r="X94" s="94"/>
      <c r="Y94" s="94"/>
    </row>
    <row r="95">
      <c r="A95" s="94"/>
      <c r="B95" s="94"/>
      <c r="C95" s="94"/>
      <c r="D95" s="94"/>
      <c r="E95" s="94"/>
      <c r="F95" s="95"/>
      <c r="G95" s="94"/>
      <c r="H95" s="94"/>
      <c r="I95" s="94"/>
      <c r="J95" s="94"/>
      <c r="K95" s="94"/>
      <c r="L95" s="94"/>
      <c r="M95" s="94"/>
      <c r="N95" s="94"/>
      <c r="O95" s="94"/>
      <c r="P95" s="94"/>
      <c r="Q95" s="94"/>
      <c r="R95" s="94"/>
      <c r="S95" s="94"/>
      <c r="T95" s="94"/>
      <c r="U95" s="94"/>
      <c r="V95" s="94"/>
      <c r="W95" s="94"/>
      <c r="X95" s="94"/>
      <c r="Y95" s="94"/>
    </row>
    <row r="96">
      <c r="A96" s="44" t="s">
        <v>337</v>
      </c>
      <c r="B96" s="44" t="s">
        <v>172</v>
      </c>
      <c r="C96" s="44" t="s">
        <v>312</v>
      </c>
      <c r="D96" s="44" t="s">
        <v>338</v>
      </c>
      <c r="E96" s="44" t="s">
        <v>53</v>
      </c>
      <c r="F96" s="93" t="s">
        <v>314</v>
      </c>
      <c r="G96" s="44" t="s">
        <v>176</v>
      </c>
      <c r="H96" s="44" t="s">
        <v>339</v>
      </c>
      <c r="I96" s="44" t="s">
        <v>340</v>
      </c>
      <c r="J96" s="44" t="s">
        <v>60</v>
      </c>
      <c r="K96" s="44" t="s">
        <v>61</v>
      </c>
      <c r="L96" s="52" t="s">
        <v>341</v>
      </c>
      <c r="M96" s="55"/>
      <c r="N96" s="55"/>
      <c r="O96" s="55"/>
      <c r="P96" s="44"/>
      <c r="Q96" s="94"/>
      <c r="R96" s="94"/>
      <c r="S96" s="94"/>
      <c r="T96" s="94"/>
      <c r="U96" s="94"/>
      <c r="V96" s="94"/>
      <c r="W96" s="94"/>
      <c r="X96" s="94"/>
      <c r="Y96" s="94"/>
    </row>
    <row r="97">
      <c r="A97" s="94"/>
      <c r="B97" s="94"/>
      <c r="C97" s="94"/>
      <c r="D97" s="94"/>
      <c r="E97" s="94"/>
      <c r="F97" s="95"/>
      <c r="G97" s="94"/>
      <c r="H97" s="94"/>
      <c r="I97" s="94"/>
      <c r="J97" s="94"/>
      <c r="K97" s="94"/>
      <c r="L97" s="94"/>
      <c r="M97" s="94"/>
      <c r="N97" s="94"/>
      <c r="O97" s="94"/>
      <c r="P97" s="94"/>
      <c r="Q97" s="94"/>
      <c r="R97" s="94"/>
      <c r="S97" s="94"/>
      <c r="T97" s="94"/>
      <c r="U97" s="94"/>
      <c r="V97" s="94"/>
      <c r="W97" s="94"/>
      <c r="X97" s="94"/>
      <c r="Y97" s="94"/>
    </row>
    <row r="98">
      <c r="A98" s="44" t="s">
        <v>343</v>
      </c>
      <c r="B98" s="44" t="s">
        <v>172</v>
      </c>
      <c r="C98" s="44" t="s">
        <v>312</v>
      </c>
      <c r="D98" s="44" t="s">
        <v>344</v>
      </c>
      <c r="E98" s="44" t="s">
        <v>53</v>
      </c>
      <c r="F98" s="93" t="s">
        <v>314</v>
      </c>
      <c r="G98" s="44" t="s">
        <v>176</v>
      </c>
      <c r="H98" s="44" t="s">
        <v>345</v>
      </c>
      <c r="I98" s="44" t="s">
        <v>346</v>
      </c>
      <c r="J98" s="44" t="s">
        <v>60</v>
      </c>
      <c r="K98" s="44" t="s">
        <v>61</v>
      </c>
      <c r="L98" s="52" t="s">
        <v>347</v>
      </c>
      <c r="M98" s="55"/>
      <c r="N98" s="55"/>
      <c r="O98" s="55"/>
      <c r="P98" s="44"/>
      <c r="Q98" s="94"/>
      <c r="R98" s="94"/>
      <c r="S98" s="94"/>
      <c r="T98" s="94"/>
      <c r="U98" s="94"/>
      <c r="V98" s="94"/>
      <c r="W98" s="94"/>
      <c r="X98" s="94"/>
      <c r="Y98" s="94"/>
    </row>
    <row r="99">
      <c r="A99" s="94"/>
      <c r="B99" s="94"/>
      <c r="C99" s="94"/>
      <c r="D99" s="94"/>
      <c r="E99" s="94"/>
      <c r="F99" s="95"/>
      <c r="G99" s="94"/>
      <c r="H99" s="94"/>
      <c r="I99" s="94"/>
      <c r="J99" s="94"/>
      <c r="K99" s="94"/>
      <c r="L99" s="94"/>
      <c r="M99" s="94"/>
      <c r="N99" s="94"/>
      <c r="O99" s="94"/>
      <c r="P99" s="94"/>
      <c r="Q99" s="94"/>
      <c r="R99" s="94"/>
      <c r="S99" s="94"/>
      <c r="T99" s="94"/>
      <c r="U99" s="94"/>
      <c r="V99" s="94"/>
      <c r="W99" s="94"/>
      <c r="X99" s="94"/>
      <c r="Y99" s="94"/>
    </row>
    <row r="100">
      <c r="A100" s="44" t="s">
        <v>349</v>
      </c>
      <c r="B100" s="44" t="s">
        <v>172</v>
      </c>
      <c r="C100" s="44" t="s">
        <v>312</v>
      </c>
      <c r="D100" s="44" t="s">
        <v>350</v>
      </c>
      <c r="E100" s="44" t="s">
        <v>53</v>
      </c>
      <c r="F100" s="93" t="s">
        <v>314</v>
      </c>
      <c r="G100" s="44" t="s">
        <v>176</v>
      </c>
      <c r="H100" s="44" t="s">
        <v>351</v>
      </c>
      <c r="I100" s="44" t="s">
        <v>352</v>
      </c>
      <c r="J100" s="44" t="s">
        <v>60</v>
      </c>
      <c r="K100" s="44" t="s">
        <v>70</v>
      </c>
      <c r="L100" s="52" t="s">
        <v>353</v>
      </c>
      <c r="M100" s="55"/>
      <c r="N100" s="55"/>
      <c r="O100" s="55"/>
      <c r="P100" s="44"/>
      <c r="Q100" s="94"/>
      <c r="R100" s="94"/>
      <c r="S100" s="94"/>
      <c r="T100" s="94"/>
      <c r="U100" s="94"/>
      <c r="V100" s="94"/>
      <c r="W100" s="94"/>
      <c r="X100" s="94"/>
      <c r="Y100" s="94"/>
    </row>
    <row r="101">
      <c r="A101" s="94"/>
      <c r="B101" s="94"/>
      <c r="C101" s="94"/>
      <c r="D101" s="94"/>
      <c r="E101" s="94"/>
      <c r="F101" s="95"/>
      <c r="G101" s="94"/>
      <c r="H101" s="94"/>
      <c r="I101" s="94"/>
      <c r="J101" s="94"/>
      <c r="K101" s="94"/>
      <c r="L101" s="94"/>
      <c r="M101" s="94"/>
      <c r="N101" s="94"/>
      <c r="O101" s="94"/>
      <c r="P101" s="94"/>
      <c r="Q101" s="94"/>
      <c r="R101" s="94"/>
      <c r="S101" s="94"/>
      <c r="T101" s="94"/>
      <c r="U101" s="94"/>
      <c r="V101" s="94"/>
      <c r="W101" s="94"/>
      <c r="X101" s="94"/>
      <c r="Y101" s="94"/>
    </row>
    <row r="102">
      <c r="A102" s="44" t="s">
        <v>355</v>
      </c>
      <c r="B102" s="44" t="s">
        <v>172</v>
      </c>
      <c r="C102" s="44" t="s">
        <v>312</v>
      </c>
      <c r="D102" s="44" t="s">
        <v>356</v>
      </c>
      <c r="E102" s="44" t="s">
        <v>53</v>
      </c>
      <c r="F102" s="93" t="s">
        <v>314</v>
      </c>
      <c r="G102" s="44" t="s">
        <v>176</v>
      </c>
      <c r="H102" s="44" t="s">
        <v>357</v>
      </c>
      <c r="I102" s="44" t="s">
        <v>358</v>
      </c>
      <c r="J102" s="44" t="s">
        <v>60</v>
      </c>
      <c r="K102" s="44" t="s">
        <v>78</v>
      </c>
      <c r="L102" s="52" t="s">
        <v>359</v>
      </c>
      <c r="M102" s="55"/>
      <c r="N102" s="55"/>
      <c r="O102" s="55"/>
      <c r="P102" s="44"/>
      <c r="Q102" s="94"/>
      <c r="R102" s="94"/>
      <c r="S102" s="94"/>
      <c r="T102" s="94"/>
      <c r="U102" s="94"/>
      <c r="V102" s="94"/>
      <c r="W102" s="94"/>
      <c r="X102" s="94"/>
      <c r="Y102" s="94"/>
    </row>
    <row r="103">
      <c r="A103" s="94"/>
      <c r="B103" s="94"/>
      <c r="C103" s="94"/>
      <c r="D103" s="94"/>
      <c r="E103" s="94"/>
      <c r="F103" s="95"/>
      <c r="G103" s="94"/>
      <c r="H103" s="94"/>
      <c r="I103" s="94"/>
      <c r="J103" s="94"/>
      <c r="K103" s="94"/>
      <c r="L103" s="94"/>
      <c r="M103" s="94"/>
      <c r="N103" s="94"/>
      <c r="O103" s="94"/>
      <c r="P103" s="94"/>
      <c r="Q103" s="94"/>
      <c r="R103" s="94"/>
      <c r="S103" s="94"/>
      <c r="T103" s="94"/>
      <c r="U103" s="94"/>
      <c r="V103" s="94"/>
      <c r="W103" s="94"/>
      <c r="X103" s="94"/>
      <c r="Y103" s="94"/>
    </row>
    <row r="104">
      <c r="A104" s="44" t="s">
        <v>361</v>
      </c>
      <c r="B104" s="44" t="s">
        <v>172</v>
      </c>
      <c r="C104" s="44" t="s">
        <v>312</v>
      </c>
      <c r="D104" s="44" t="s">
        <v>362</v>
      </c>
      <c r="E104" s="44" t="s">
        <v>53</v>
      </c>
      <c r="F104" s="93" t="s">
        <v>314</v>
      </c>
      <c r="G104" s="44" t="s">
        <v>176</v>
      </c>
      <c r="H104" s="44" t="s">
        <v>363</v>
      </c>
      <c r="I104" s="44" t="s">
        <v>364</v>
      </c>
      <c r="J104" s="44" t="s">
        <v>60</v>
      </c>
      <c r="K104" s="44" t="s">
        <v>70</v>
      </c>
      <c r="L104" s="52" t="s">
        <v>365</v>
      </c>
      <c r="M104" s="55"/>
      <c r="N104" s="55"/>
      <c r="O104" s="55"/>
      <c r="P104" s="44"/>
      <c r="Q104" s="94"/>
      <c r="R104" s="94"/>
      <c r="S104" s="94"/>
      <c r="T104" s="94"/>
      <c r="U104" s="94"/>
      <c r="V104" s="94"/>
      <c r="W104" s="94"/>
      <c r="X104" s="94"/>
      <c r="Y104" s="94"/>
    </row>
    <row r="105">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row>
    <row r="106">
      <c r="A106" s="44" t="s">
        <v>367</v>
      </c>
      <c r="B106" s="44" t="s">
        <v>172</v>
      </c>
      <c r="C106" s="44" t="s">
        <v>368</v>
      </c>
      <c r="D106" s="44" t="s">
        <v>369</v>
      </c>
      <c r="E106" s="44" t="s">
        <v>53</v>
      </c>
      <c r="F106" s="93" t="s">
        <v>370</v>
      </c>
      <c r="G106" s="44" t="s">
        <v>176</v>
      </c>
      <c r="H106" s="44" t="s">
        <v>371</v>
      </c>
      <c r="I106" s="44" t="s">
        <v>372</v>
      </c>
      <c r="J106" s="44" t="s">
        <v>60</v>
      </c>
      <c r="K106" s="44" t="s">
        <v>61</v>
      </c>
      <c r="L106" s="52" t="s">
        <v>373</v>
      </c>
      <c r="M106" s="55"/>
      <c r="N106" s="55"/>
      <c r="O106" s="55"/>
      <c r="P106" s="44"/>
      <c r="Q106" s="94"/>
      <c r="R106" s="94"/>
      <c r="S106" s="94"/>
      <c r="T106" s="94"/>
      <c r="U106" s="94"/>
      <c r="V106" s="94"/>
      <c r="W106" s="94"/>
      <c r="X106" s="94"/>
      <c r="Y106" s="94"/>
    </row>
    <row r="107">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row>
    <row r="108">
      <c r="A108" s="44" t="s">
        <v>375</v>
      </c>
      <c r="B108" s="44" t="s">
        <v>172</v>
      </c>
      <c r="C108" s="44" t="s">
        <v>376</v>
      </c>
      <c r="D108" s="44" t="s">
        <v>377</v>
      </c>
      <c r="E108" s="44" t="s">
        <v>53</v>
      </c>
      <c r="F108" s="93" t="s">
        <v>378</v>
      </c>
      <c r="G108" s="44" t="s">
        <v>55</v>
      </c>
      <c r="H108" s="44" t="s">
        <v>379</v>
      </c>
      <c r="I108" s="44" t="s">
        <v>380</v>
      </c>
      <c r="J108" s="44" t="s">
        <v>60</v>
      </c>
      <c r="K108" s="44" t="s">
        <v>70</v>
      </c>
      <c r="L108" s="52" t="s">
        <v>381</v>
      </c>
      <c r="M108" s="55"/>
      <c r="N108" s="55"/>
      <c r="O108" s="55"/>
      <c r="P108" s="44"/>
      <c r="Q108" s="94"/>
      <c r="R108" s="94"/>
      <c r="S108" s="94"/>
      <c r="T108" s="94"/>
      <c r="U108" s="94"/>
      <c r="V108" s="94"/>
      <c r="W108" s="94"/>
      <c r="X108" s="94"/>
      <c r="Y108" s="94"/>
    </row>
    <row r="109">
      <c r="A109" s="94"/>
      <c r="B109" s="94"/>
      <c r="C109" s="94"/>
      <c r="D109" s="94"/>
      <c r="E109" s="94"/>
      <c r="F109" s="95"/>
      <c r="G109" s="94"/>
      <c r="H109" s="94"/>
      <c r="I109" s="94"/>
      <c r="J109" s="94"/>
      <c r="K109" s="94"/>
      <c r="L109" s="94"/>
      <c r="M109" s="94"/>
      <c r="N109" s="94"/>
      <c r="O109" s="94"/>
      <c r="P109" s="94"/>
      <c r="Q109" s="94"/>
      <c r="R109" s="94"/>
      <c r="S109" s="94"/>
      <c r="T109" s="94"/>
      <c r="U109" s="94"/>
      <c r="V109" s="94"/>
      <c r="W109" s="94"/>
      <c r="X109" s="94"/>
      <c r="Y109" s="94"/>
    </row>
    <row r="110">
      <c r="A110" s="44" t="s">
        <v>382</v>
      </c>
      <c r="B110" s="44" t="s">
        <v>50</v>
      </c>
      <c r="C110" s="44" t="s">
        <v>376</v>
      </c>
      <c r="D110" s="44" t="s">
        <v>384</v>
      </c>
      <c r="E110" s="44" t="s">
        <v>53</v>
      </c>
      <c r="F110" s="93" t="s">
        <v>378</v>
      </c>
      <c r="G110" s="44" t="s">
        <v>55</v>
      </c>
      <c r="H110" s="44" t="s">
        <v>385</v>
      </c>
      <c r="I110" s="44" t="s">
        <v>386</v>
      </c>
      <c r="J110" s="44" t="s">
        <v>60</v>
      </c>
      <c r="K110" s="44" t="s">
        <v>70</v>
      </c>
      <c r="L110" s="52" t="s">
        <v>387</v>
      </c>
      <c r="M110" s="55"/>
      <c r="N110" s="55"/>
      <c r="O110" s="55"/>
      <c r="P110" s="44"/>
      <c r="Q110" s="94"/>
      <c r="R110" s="94"/>
      <c r="S110" s="94"/>
      <c r="T110" s="94"/>
      <c r="U110" s="94"/>
      <c r="V110" s="94"/>
      <c r="W110" s="94"/>
      <c r="X110" s="94"/>
      <c r="Y110" s="94"/>
    </row>
    <row r="111">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row>
    <row r="112">
      <c r="A112" s="44" t="s">
        <v>389</v>
      </c>
      <c r="B112" s="44" t="s">
        <v>390</v>
      </c>
      <c r="C112" s="44" t="s">
        <v>391</v>
      </c>
      <c r="D112" s="44" t="s">
        <v>392</v>
      </c>
      <c r="E112" s="44" t="s">
        <v>53</v>
      </c>
      <c r="F112" s="93" t="s">
        <v>393</v>
      </c>
      <c r="G112" s="44" t="s">
        <v>55</v>
      </c>
      <c r="H112" s="44" t="s">
        <v>394</v>
      </c>
      <c r="I112" s="44" t="s">
        <v>395</v>
      </c>
      <c r="J112" s="44" t="s">
        <v>60</v>
      </c>
      <c r="K112" s="44" t="s">
        <v>61</v>
      </c>
      <c r="L112" s="52" t="s">
        <v>396</v>
      </c>
      <c r="M112" s="55"/>
      <c r="N112" s="55"/>
      <c r="O112" s="55"/>
      <c r="P112" s="44"/>
      <c r="Q112" s="94"/>
      <c r="R112" s="94"/>
      <c r="S112" s="94"/>
      <c r="T112" s="94"/>
      <c r="U112" s="94"/>
      <c r="V112" s="94"/>
      <c r="W112" s="94"/>
      <c r="X112" s="94"/>
      <c r="Y112" s="94"/>
    </row>
    <row r="113">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row>
    <row r="114">
      <c r="A114" s="44" t="s">
        <v>398</v>
      </c>
      <c r="B114" s="44" t="s">
        <v>390</v>
      </c>
      <c r="C114" s="44" t="s">
        <v>399</v>
      </c>
      <c r="D114" s="44" t="s">
        <v>400</v>
      </c>
      <c r="E114" s="44" t="s">
        <v>53</v>
      </c>
      <c r="F114" s="93" t="s">
        <v>401</v>
      </c>
      <c r="G114" s="44" t="s">
        <v>55</v>
      </c>
      <c r="H114" s="44" t="s">
        <v>402</v>
      </c>
      <c r="I114" s="44" t="s">
        <v>403</v>
      </c>
      <c r="J114" s="44" t="s">
        <v>60</v>
      </c>
      <c r="K114" s="44" t="s">
        <v>61</v>
      </c>
      <c r="L114" s="52" t="s">
        <v>404</v>
      </c>
      <c r="M114" s="55"/>
      <c r="N114" s="55"/>
      <c r="O114" s="55"/>
      <c r="P114" s="44"/>
      <c r="Q114" s="94"/>
      <c r="R114" s="94"/>
      <c r="S114" s="94"/>
      <c r="T114" s="94"/>
      <c r="U114" s="94"/>
      <c r="V114" s="94"/>
      <c r="W114" s="94"/>
      <c r="X114" s="94"/>
      <c r="Y114" s="94"/>
    </row>
    <row r="115">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row>
    <row r="116">
      <c r="A116" s="44" t="s">
        <v>406</v>
      </c>
      <c r="B116" s="55"/>
      <c r="C116" s="55"/>
      <c r="D116" s="55"/>
      <c r="E116" s="55"/>
      <c r="F116" s="55"/>
      <c r="G116" s="55"/>
      <c r="H116" s="55"/>
      <c r="I116" s="55"/>
      <c r="J116" s="55"/>
      <c r="K116" s="55"/>
      <c r="L116" s="96"/>
      <c r="M116" s="55"/>
      <c r="N116" s="55"/>
      <c r="O116" s="55"/>
      <c r="P116" s="44"/>
      <c r="Q116" s="94"/>
      <c r="R116" s="94"/>
      <c r="S116" s="94"/>
      <c r="T116" s="94"/>
      <c r="U116" s="94"/>
      <c r="V116" s="94"/>
      <c r="W116" s="94"/>
      <c r="X116" s="94"/>
      <c r="Y116" s="94"/>
    </row>
    <row r="117">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row>
    <row r="118">
      <c r="A118" s="44" t="s">
        <v>407</v>
      </c>
      <c r="B118" s="55"/>
      <c r="C118" s="55"/>
      <c r="D118" s="55"/>
      <c r="E118" s="55"/>
      <c r="F118" s="55"/>
      <c r="G118" s="55"/>
      <c r="H118" s="55"/>
      <c r="I118" s="55"/>
      <c r="J118" s="55"/>
      <c r="K118" s="55"/>
      <c r="L118" s="96"/>
      <c r="M118" s="55"/>
      <c r="N118" s="55"/>
      <c r="O118" s="55"/>
      <c r="P118" s="44"/>
      <c r="Q118" s="94"/>
      <c r="R118" s="94"/>
      <c r="S118" s="94"/>
      <c r="T118" s="94"/>
      <c r="U118" s="94"/>
      <c r="V118" s="94"/>
      <c r="W118" s="94"/>
      <c r="X118" s="94"/>
      <c r="Y118" s="94"/>
    </row>
    <row r="119">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row>
    <row r="120">
      <c r="A120" s="44" t="s">
        <v>409</v>
      </c>
      <c r="B120" s="55"/>
      <c r="C120" s="55"/>
      <c r="D120" s="55"/>
      <c r="E120" s="55"/>
      <c r="F120" s="55"/>
      <c r="G120" s="55"/>
      <c r="H120" s="55"/>
      <c r="I120" s="55"/>
      <c r="J120" s="55"/>
      <c r="K120" s="55"/>
      <c r="L120" s="96"/>
      <c r="M120" s="55"/>
      <c r="N120" s="55"/>
      <c r="O120" s="55"/>
      <c r="P120" s="44"/>
      <c r="Q120" s="94"/>
      <c r="R120" s="94"/>
      <c r="S120" s="94"/>
      <c r="T120" s="94"/>
      <c r="U120" s="94"/>
      <c r="V120" s="94"/>
      <c r="W120" s="94"/>
      <c r="X120" s="94"/>
      <c r="Y120" s="94"/>
    </row>
    <row r="121">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row>
    <row r="122">
      <c r="A122" s="44" t="s">
        <v>410</v>
      </c>
      <c r="B122" s="55"/>
      <c r="C122" s="55"/>
      <c r="D122" s="55"/>
      <c r="E122" s="55"/>
      <c r="F122" s="55"/>
      <c r="G122" s="55"/>
      <c r="H122" s="55"/>
      <c r="I122" s="55"/>
      <c r="J122" s="55"/>
      <c r="K122" s="55"/>
      <c r="L122" s="96"/>
      <c r="M122" s="55"/>
      <c r="N122" s="55"/>
      <c r="O122" s="55"/>
      <c r="P122" s="44"/>
      <c r="Q122" s="94"/>
      <c r="R122" s="94"/>
      <c r="S122" s="94"/>
      <c r="T122" s="94"/>
      <c r="U122" s="94"/>
      <c r="V122" s="94"/>
      <c r="W122" s="94"/>
      <c r="X122" s="94"/>
      <c r="Y122" s="94"/>
    </row>
    <row r="123">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row>
    <row r="124">
      <c r="A124" s="44" t="s">
        <v>412</v>
      </c>
      <c r="B124" s="55"/>
      <c r="C124" s="55"/>
      <c r="D124" s="55"/>
      <c r="E124" s="55"/>
      <c r="F124" s="55"/>
      <c r="G124" s="55"/>
      <c r="H124" s="55"/>
      <c r="I124" s="55"/>
      <c r="J124" s="55"/>
      <c r="K124" s="55"/>
      <c r="L124" s="96"/>
      <c r="M124" s="55"/>
      <c r="N124" s="55"/>
      <c r="O124" s="55"/>
      <c r="P124" s="44"/>
      <c r="Q124" s="94"/>
      <c r="R124" s="94"/>
      <c r="S124" s="94"/>
      <c r="T124" s="94"/>
      <c r="U124" s="94"/>
      <c r="V124" s="94"/>
      <c r="W124" s="94"/>
      <c r="X124" s="94"/>
      <c r="Y124" s="94"/>
    </row>
    <row r="125">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row>
    <row r="126">
      <c r="A126" s="44" t="s">
        <v>413</v>
      </c>
      <c r="B126" s="55"/>
      <c r="C126" s="55"/>
      <c r="D126" s="55"/>
      <c r="E126" s="55"/>
      <c r="F126" s="55"/>
      <c r="G126" s="55"/>
      <c r="H126" s="55"/>
      <c r="I126" s="55"/>
      <c r="J126" s="55"/>
      <c r="K126" s="55"/>
      <c r="L126" s="96"/>
      <c r="M126" s="55"/>
      <c r="N126" s="55"/>
      <c r="O126" s="55"/>
      <c r="P126" s="44"/>
      <c r="Q126" s="94"/>
      <c r="R126" s="94"/>
      <c r="S126" s="94"/>
      <c r="T126" s="94"/>
      <c r="U126" s="94"/>
      <c r="V126" s="94"/>
      <c r="W126" s="94"/>
      <c r="X126" s="94"/>
      <c r="Y126" s="94"/>
    </row>
    <row r="127">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row>
    <row r="128">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row>
    <row r="129">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row>
    <row r="130">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row>
    <row r="131">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row>
    <row r="132">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row>
    <row r="133">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row>
    <row r="134">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row>
    <row r="135">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row>
    <row r="136">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row>
    <row r="137">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row>
    <row r="138">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row>
    <row r="139">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row>
    <row r="140">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row>
    <row r="141">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row>
    <row r="142">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row>
    <row r="143">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row>
    <row r="144">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row>
    <row r="145">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row>
    <row r="146">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row>
    <row r="147">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row>
    <row r="148">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row>
    <row r="149">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row>
    <row r="150">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row>
    <row r="151">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row>
    <row r="152">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row>
    <row r="153">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row>
    <row r="154">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row>
    <row r="155">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row>
    <row r="156">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row>
    <row r="157">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row>
    <row r="158">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row>
    <row r="159">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row>
    <row r="160">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row>
    <row r="161">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row>
    <row r="162">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row>
    <row r="163">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row>
    <row r="164">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row>
    <row r="165">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row>
    <row r="166">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row>
    <row r="167">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row>
    <row r="168">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row>
    <row r="169">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row>
    <row r="170">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row>
    <row r="171">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row>
  </sheetData>
  <mergeCells count="3">
    <mergeCell ref="E1:H1"/>
    <mergeCell ref="N5:N6"/>
    <mergeCell ref="O5:O6"/>
  </mergeCells>
  <dataValidations>
    <dataValidation type="list" allowBlank="1" showErrorMessage="1" sqref="N8 N10 N12 N14 N16 N18 N20 N22 N24 N26 N28 N30 N32 N34 N36 N38 N40 N42 N44 N46 N48 N50 N52 N54 N56 N58 N60 N62 N64 N66 N68 N70 N72 N74 N76 N78 N80 N82 N84 N86 N88 N90 N92 N94 N96 N98 N100 N102 N104 N106 N108 N110 N112 N114 N116 N118 N120 N122 N124 N126">
      <formula1>"Solved,Unsolved"</formula1>
    </dataValidation>
    <dataValidation type="list" allowBlank="1" showErrorMessage="1" sqref="J8 J10 J12 J14 J16 J18 J20 J22 J24 J26 J28 J30 J32 J34 J36 J38 J40 J42 J44 J46 J48 J50 J52 J54 J56 J58 J60 J62 J64 J66 J68 J70 J72 J74 J76 J78 J80 J82 J84 J86 J88 J90 J92 J94 J96 J98 J100 J102 J104 J106 J108 J110 J112 J114 J116 J118 J120 J122 J124 J126">
      <formula1>"Pass,Fail"</formula1>
    </dataValidation>
    <dataValidation type="list" allowBlank="1" showErrorMessage="1" sqref="K8 K10 K12 K14 K16 K18 K20 K22 K24 K26 K28 K30 K32 K34 K36 K38 K40 K42 K44 K46 K48 K50 K52 K54 K56 K58 K60 K62 K64 K66 K68 K70 K72 K74 K76 K78 K80 K82 K84 K86 K88 K90 K92 K94 K96 K98 K100 K102 K104 K106 K108 K110 K112 K114 K116 K118 K120 K122 K124 K126">
      <formula1>"High,Medium,Low"</formula1>
    </dataValidation>
    <dataValidation type="list" allowBlank="1" showErrorMessage="1" sqref="O8 O10 O12 O14 O16 O18 O20 O22 O24 O26 O28 O30 O32 O34 O36 O38 O40 O42 O44 O46 O48 O50 O52 O54 O56 O58 O60 O62 O64 O66 O68 O70 O72 O74 O76 O78 O80 O82 O84 O86 O88 O90 O92 O94 O96 O98 O100 O102 O104 O106 O108 O110 O112 O114 O116 O118 O120 O122 O124 O126">
      <formula1>"Front-End,Back-End,AI,UI/UX"</formula1>
    </dataValidation>
  </dataValidations>
  <hyperlinks>
    <hyperlink r:id="rId1" ref="L8"/>
    <hyperlink r:id="rId2" ref="L10"/>
    <hyperlink r:id="rId3" ref="L12"/>
    <hyperlink r:id="rId4" ref="L14"/>
    <hyperlink r:id="rId5" ref="L16"/>
    <hyperlink r:id="rId6" ref="L18"/>
    <hyperlink r:id="rId7" ref="L20"/>
    <hyperlink r:id="rId8" ref="L22"/>
    <hyperlink r:id="rId9" ref="L24"/>
    <hyperlink r:id="rId10" ref="L26"/>
    <hyperlink r:id="rId11" ref="L28"/>
    <hyperlink r:id="rId12" ref="L30"/>
    <hyperlink r:id="rId13" ref="L32"/>
    <hyperlink r:id="rId14" ref="L34"/>
    <hyperlink r:id="rId15" ref="L36"/>
    <hyperlink r:id="rId16" ref="L38"/>
    <hyperlink r:id="rId17" ref="L40"/>
    <hyperlink r:id="rId18" ref="L42"/>
    <hyperlink r:id="rId19" ref="L44"/>
    <hyperlink r:id="rId20" ref="L46"/>
    <hyperlink r:id="rId21" ref="L48"/>
    <hyperlink r:id="rId22" ref="L50"/>
    <hyperlink r:id="rId23" ref="L52"/>
    <hyperlink r:id="rId24" ref="L54"/>
    <hyperlink r:id="rId25" ref="L56"/>
    <hyperlink r:id="rId26" ref="L58"/>
    <hyperlink r:id="rId27" ref="L60"/>
    <hyperlink r:id="rId28" ref="L62"/>
    <hyperlink r:id="rId29" ref="L64"/>
    <hyperlink r:id="rId30" ref="L66"/>
    <hyperlink r:id="rId31" ref="L68"/>
    <hyperlink r:id="rId32" ref="L70"/>
    <hyperlink r:id="rId33" ref="L72"/>
    <hyperlink r:id="rId34" ref="L74"/>
    <hyperlink r:id="rId35" ref="L76"/>
    <hyperlink r:id="rId36" ref="L78"/>
    <hyperlink r:id="rId37" ref="L80"/>
    <hyperlink r:id="rId38" ref="L82"/>
    <hyperlink r:id="rId39" ref="L84"/>
    <hyperlink r:id="rId40" ref="L86"/>
    <hyperlink r:id="rId41" ref="L88"/>
    <hyperlink r:id="rId42" ref="L90"/>
    <hyperlink r:id="rId43" ref="L92"/>
    <hyperlink r:id="rId44" ref="L94"/>
    <hyperlink r:id="rId45" ref="L96"/>
    <hyperlink r:id="rId46" ref="L98"/>
    <hyperlink r:id="rId47" ref="L100"/>
    <hyperlink r:id="rId48" ref="L102"/>
    <hyperlink r:id="rId49" ref="L104"/>
    <hyperlink r:id="rId50" ref="L106"/>
    <hyperlink r:id="rId51" ref="L108"/>
    <hyperlink r:id="rId52" ref="L110"/>
    <hyperlink r:id="rId53" ref="L112"/>
    <hyperlink r:id="rId54" ref="L114"/>
  </hyperlinks>
  <drawing r:id="rId5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58" t="s">
        <v>7</v>
      </c>
      <c r="B1" s="58" t="s">
        <v>41</v>
      </c>
      <c r="C1" s="59" t="s">
        <v>5</v>
      </c>
      <c r="D1" s="58" t="s">
        <v>132</v>
      </c>
      <c r="E1" s="58" t="s">
        <v>133</v>
      </c>
      <c r="F1" s="60" t="s">
        <v>134</v>
      </c>
      <c r="G1" s="61"/>
      <c r="H1" s="61"/>
      <c r="I1" s="61"/>
      <c r="J1" s="61"/>
      <c r="K1" s="61"/>
      <c r="L1" s="61"/>
      <c r="M1" s="61"/>
      <c r="N1" s="61"/>
      <c r="O1" s="61"/>
      <c r="P1" s="61"/>
      <c r="Q1" s="61"/>
      <c r="R1" s="61"/>
      <c r="S1" s="61"/>
      <c r="T1" s="61"/>
      <c r="U1" s="61"/>
      <c r="V1" s="61"/>
      <c r="W1" s="61"/>
      <c r="X1" s="61"/>
      <c r="Y1" s="61"/>
      <c r="Z1" s="61"/>
      <c r="AA1" s="61"/>
    </row>
    <row r="2">
      <c r="A2" s="62" t="str">
        <f>IFERROR(__xludf.DUMMYFUNCTION("SORT(
  SPLIT(
    UNIQUE(
      FILTER('Main Report'!B11:B100 &amp; ""♦"" &amp; 'Main Report'!C11:C100, LEN('Main Report'!C11:C100))
    ),
    ""♦""
  ),
  1, TRUE, 2, TRUE
)
"),"Backend")</f>
        <v>Backend</v>
      </c>
      <c r="B2" s="62" t="str">
        <f>IFERROR(__xludf.DUMMYFUNCTION("""COMPUTED_VALUE"""),"Profile")</f>
        <v>Profile</v>
      </c>
      <c r="C2" s="62" t="str">
        <f>IFERROR(__xludf.DUMMYFUNCTION("TEXTJOIN("", "", TRUE, 
  FILTER('Main Report'!A11:A100, 
    ('Main Report'!B11:B100=A2) * ('Main Report'!C11:C100=B2)
  )
)
"),"BR-001")</f>
        <v>BR-001</v>
      </c>
      <c r="D2" s="62">
        <f>IFERROR(__xludf.DUMMYFUNCTION("COUNTA(UNIQUE(TRANSPOSE(SPLIT(C2, "", ""))))
"),1.0)</f>
        <v>1</v>
      </c>
      <c r="E2" s="62" t="str">
        <f>IF(D2="", "", TEXT((D2 / 'Main Report'!$E$7), "0.00%"))
</f>
        <v>1.85%</v>
      </c>
      <c r="F2" s="63"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1
Medium: 0
Low: 0")</f>
        <v>High: 1
Medium: 0
Low: 0</v>
      </c>
      <c r="G2" s="61"/>
      <c r="H2" s="61"/>
      <c r="I2" s="61"/>
      <c r="J2" s="61"/>
      <c r="K2" s="61"/>
      <c r="L2" s="61"/>
      <c r="M2" s="61"/>
      <c r="N2" s="61"/>
      <c r="O2" s="61"/>
      <c r="P2" s="61"/>
      <c r="Q2" s="61"/>
      <c r="R2" s="61"/>
      <c r="S2" s="61"/>
      <c r="T2" s="61"/>
      <c r="U2" s="61"/>
      <c r="V2" s="61"/>
      <c r="W2" s="61"/>
      <c r="X2" s="61"/>
      <c r="Y2" s="61"/>
      <c r="Z2" s="61"/>
      <c r="AA2" s="61"/>
    </row>
    <row r="3">
      <c r="A3" s="64" t="str">
        <f>IFERROR(__xludf.DUMMYFUNCTION("""COMPUTED_VALUE"""),"Backend")</f>
        <v>Backend</v>
      </c>
      <c r="B3" s="64" t="str">
        <f>IFERROR(__xludf.DUMMYFUNCTION("""COMPUTED_VALUE"""),"Wallet")</f>
        <v>Wallet</v>
      </c>
      <c r="C3" s="64" t="str">
        <f>IFERROR(__xludf.DUMMYFUNCTION("TEXTJOIN("", "", TRUE, 
  FILTER('Main Report'!A12:A101, 
    ('Main Report'!B12:B101=A3) * ('Main Report'!C12:C101=B3)
  )
)
"),"BR-002")</f>
        <v>BR-002</v>
      </c>
      <c r="D3" s="62">
        <f>IFERROR(__xludf.DUMMYFUNCTION("COUNTA(UNIQUE(TRANSPOSE(SPLIT(C3, "", ""))))
"),1.0)</f>
        <v>1</v>
      </c>
      <c r="E3" s="64" t="str">
        <f>IF(D3="", "", TEXT((D3 / 'Main Report'!$E$7), "0.00%"))
</f>
        <v>1.85%</v>
      </c>
      <c r="F3" s="65"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1
Medium: 0
Low: 0")</f>
        <v>High: 1
Medium: 0
Low: 0</v>
      </c>
      <c r="G3" s="61"/>
      <c r="H3" s="61"/>
      <c r="I3" s="61"/>
      <c r="J3" s="61"/>
      <c r="K3" s="61"/>
      <c r="L3" s="61"/>
      <c r="M3" s="61"/>
      <c r="N3" s="61"/>
      <c r="O3" s="61"/>
      <c r="P3" s="61"/>
      <c r="Q3" s="61"/>
      <c r="R3" s="61"/>
      <c r="S3" s="61"/>
      <c r="T3" s="61"/>
      <c r="U3" s="61"/>
      <c r="V3" s="61"/>
      <c r="W3" s="61"/>
      <c r="X3" s="61"/>
      <c r="Y3" s="61"/>
      <c r="Z3" s="61"/>
      <c r="AA3" s="61"/>
    </row>
    <row r="4">
      <c r="A4" s="64" t="str">
        <f>IFERROR(__xludf.DUMMYFUNCTION("""COMPUTED_VALUE"""),"Father Account")</f>
        <v>Father Account</v>
      </c>
      <c r="B4" s="64" t="str">
        <f>IFERROR(__xludf.DUMMYFUNCTION("""COMPUTED_VALUE"""),"Bridge Mode")</f>
        <v>Bridge Mode</v>
      </c>
      <c r="C4" s="64" t="str">
        <f>IFERROR(__xludf.DUMMYFUNCTION("TEXTJOIN("", "", TRUE, 
  FILTER('Main Report'!A13:A102, 
    ('Main Report'!B13:B102=A4) * ('Main Report'!C13:C102=B4)
  )
)
"),"BR-003")</f>
        <v>BR-003</v>
      </c>
      <c r="D4" s="62">
        <f>IFERROR(__xludf.DUMMYFUNCTION("COUNTA(UNIQUE(TRANSPOSE(SPLIT(C4, "", ""))))
"),1.0)</f>
        <v>1</v>
      </c>
      <c r="E4" s="64" t="str">
        <f>IF(D4="", "", TEXT((D4 / 'Main Report'!$E$7), "0.00%"))
</f>
        <v>1.85%</v>
      </c>
      <c r="F4" s="65"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1
Medium: 0
Low: 0")</f>
        <v>High: 1
Medium: 0
Low: 0</v>
      </c>
      <c r="G4" s="61"/>
      <c r="H4" s="61"/>
      <c r="I4" s="61"/>
      <c r="J4" s="61"/>
      <c r="K4" s="61"/>
      <c r="L4" s="61"/>
      <c r="M4" s="61"/>
      <c r="N4" s="61"/>
      <c r="O4" s="61"/>
      <c r="P4" s="61"/>
      <c r="Q4" s="61"/>
      <c r="R4" s="61"/>
      <c r="S4" s="61"/>
      <c r="T4" s="61"/>
      <c r="U4" s="61"/>
      <c r="V4" s="61"/>
      <c r="W4" s="61"/>
      <c r="X4" s="61"/>
      <c r="Y4" s="61"/>
      <c r="Z4" s="61"/>
      <c r="AA4" s="61"/>
    </row>
    <row r="5">
      <c r="A5" s="64" t="str">
        <f>IFERROR(__xludf.DUMMYFUNCTION("""COMPUTED_VALUE"""),"Father Account")</f>
        <v>Father Account</v>
      </c>
      <c r="B5" s="64" t="str">
        <f>IFERROR(__xludf.DUMMYFUNCTION("""COMPUTED_VALUE"""),"Event")</f>
        <v>Event</v>
      </c>
      <c r="C5" s="64" t="str">
        <f>IFERROR(__xludf.DUMMYFUNCTION("TEXTJOIN("", "", TRUE, 
  FILTER('Main Report'!A14:A103, 
    ('Main Report'!B14:B103=A5) * ('Main Report'!C14:C103=B5)
  )
)
"),"BR-004, BR-005, BR-006, BR-007")</f>
        <v>BR-004, BR-005, BR-006, BR-007</v>
      </c>
      <c r="D5" s="62">
        <f>IFERROR(__xludf.DUMMYFUNCTION("COUNTA(UNIQUE(TRANSPOSE(SPLIT(C5, "", ""))))
"),4.0)</f>
        <v>4</v>
      </c>
      <c r="E5" s="64" t="str">
        <f>IF(D5="", "", TEXT((D5 / 'Main Report'!$E$7), "0.00%"))
</f>
        <v>7.41%</v>
      </c>
      <c r="F5" s="65"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1
Medium: 3
Low: 0")</f>
        <v>High: 1
Medium: 3
Low: 0</v>
      </c>
      <c r="G5" s="61"/>
      <c r="H5" s="61"/>
      <c r="I5" s="61"/>
      <c r="J5" s="61"/>
      <c r="K5" s="61"/>
      <c r="L5" s="61"/>
      <c r="M5" s="61"/>
      <c r="N5" s="61"/>
      <c r="O5" s="61"/>
      <c r="P5" s="61"/>
      <c r="Q5" s="61"/>
      <c r="R5" s="61"/>
      <c r="S5" s="61"/>
      <c r="T5" s="61"/>
      <c r="U5" s="61"/>
      <c r="V5" s="61"/>
      <c r="W5" s="61"/>
      <c r="X5" s="61"/>
      <c r="Y5" s="61"/>
      <c r="Z5" s="61"/>
      <c r="AA5" s="61"/>
    </row>
    <row r="6">
      <c r="A6" s="64" t="str">
        <f>IFERROR(__xludf.DUMMYFUNCTION("""COMPUTED_VALUE"""),"Father Account")</f>
        <v>Father Account</v>
      </c>
      <c r="B6" s="64" t="str">
        <f>IFERROR(__xludf.DUMMYFUNCTION("""COMPUTED_VALUE"""),"Expense")</f>
        <v>Expense</v>
      </c>
      <c r="C6" s="64" t="str">
        <f>IFERROR(__xludf.DUMMYFUNCTION("TEXTJOIN("", "", TRUE, 
  FILTER('Main Report'!A15:A104, 
    ('Main Report'!B15:B104=A6) * ('Main Report'!C15:C104=B6)
  )
)
"),"BR-008, BR-009, BR-010, BR-011, BR-012, BR-013, BR-014, BR-015")</f>
        <v>BR-008, BR-009, BR-010, BR-011, BR-012, BR-013, BR-014, BR-015</v>
      </c>
      <c r="D6" s="62">
        <f>IFERROR(__xludf.DUMMYFUNCTION("COUNTA(UNIQUE(TRANSPOSE(SPLIT(C6, "", ""))))
"),8.0)</f>
        <v>8</v>
      </c>
      <c r="E6" s="64" t="str">
        <f>IF(D6="", "", TEXT((D6 / 'Main Report'!$E$7), "0.00%"))
</f>
        <v>14.81%</v>
      </c>
      <c r="F6" s="65"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4
Medium: 3
Low: 1")</f>
        <v>High: 4
Medium: 3
Low: 1</v>
      </c>
      <c r="G6" s="61"/>
      <c r="H6" s="61"/>
      <c r="I6" s="61"/>
      <c r="J6" s="61"/>
      <c r="K6" s="61"/>
      <c r="L6" s="61"/>
      <c r="M6" s="61"/>
      <c r="N6" s="61"/>
      <c r="O6" s="61"/>
      <c r="P6" s="61"/>
      <c r="Q6" s="61"/>
      <c r="R6" s="61"/>
      <c r="S6" s="61"/>
      <c r="T6" s="61"/>
      <c r="U6" s="61"/>
      <c r="V6" s="61"/>
      <c r="W6" s="61"/>
      <c r="X6" s="61"/>
      <c r="Y6" s="61"/>
      <c r="Z6" s="61"/>
      <c r="AA6" s="61"/>
    </row>
    <row r="7">
      <c r="A7" s="64" t="str">
        <f>IFERROR(__xludf.DUMMYFUNCTION("""COMPUTED_VALUE"""),"Father Account")</f>
        <v>Father Account</v>
      </c>
      <c r="B7" s="64" t="str">
        <f>IFERROR(__xludf.DUMMYFUNCTION("""COMPUTED_VALUE"""),"Home")</f>
        <v>Home</v>
      </c>
      <c r="C7" s="64" t="str">
        <f>IFERROR(__xludf.DUMMYFUNCTION("TEXTJOIN("", "", TRUE, 
  FILTER('Main Report'!A16:A105, 
    ('Main Report'!B16:B105=A7) * ('Main Report'!C16:C105=B7)
  )
)
"),"BR-016")</f>
        <v>BR-016</v>
      </c>
      <c r="D7" s="62">
        <f>IFERROR(__xludf.DUMMYFUNCTION("COUNTA(UNIQUE(TRANSPOSE(SPLIT(C7, "", ""))))
"),1.0)</f>
        <v>1</v>
      </c>
      <c r="E7" s="64" t="str">
        <f>IF(D7="", "", TEXT((D7 / 'Main Report'!$E$7), "0.00%"))
</f>
        <v>1.85%</v>
      </c>
      <c r="F7" s="65"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0
Medium: 1
Low: 0")</f>
        <v>High: 0
Medium: 1
Low: 0</v>
      </c>
      <c r="G7" s="61"/>
      <c r="H7" s="61"/>
      <c r="I7" s="61"/>
      <c r="J7" s="61"/>
      <c r="K7" s="61"/>
      <c r="L7" s="61"/>
      <c r="M7" s="61"/>
      <c r="N7" s="61"/>
      <c r="O7" s="61"/>
      <c r="P7" s="61"/>
      <c r="Q7" s="61"/>
      <c r="R7" s="61"/>
      <c r="S7" s="61"/>
      <c r="T7" s="61"/>
      <c r="U7" s="61"/>
      <c r="V7" s="61"/>
      <c r="W7" s="61"/>
      <c r="X7" s="61"/>
      <c r="Y7" s="61"/>
      <c r="Z7" s="61"/>
      <c r="AA7" s="61"/>
    </row>
    <row r="8">
      <c r="A8" s="64" t="str">
        <f>IFERROR(__xludf.DUMMYFUNCTION("""COMPUTED_VALUE"""),"Father Account")</f>
        <v>Father Account</v>
      </c>
      <c r="B8" s="64" t="str">
        <f>IFERROR(__xludf.DUMMYFUNCTION("""COMPUTED_VALUE"""),"Legal Records")</f>
        <v>Legal Records</v>
      </c>
      <c r="C8" s="64" t="str">
        <f>IFERROR(__xludf.DUMMYFUNCTION("TEXTJOIN("", "", TRUE, 
  FILTER('Main Report'!A17:A106, 
    ('Main Report'!B17:B106=A8) * ('Main Report'!C17:C106=B8)
  )
)
"),"BR-017")</f>
        <v>BR-017</v>
      </c>
      <c r="D8" s="62">
        <f>IFERROR(__xludf.DUMMYFUNCTION("COUNTA(UNIQUE(TRANSPOSE(SPLIT(C8, "", ""))))
"),1.0)</f>
        <v>1</v>
      </c>
      <c r="E8" s="64" t="str">
        <f>IF(D8="", "", TEXT((D8 / 'Main Report'!$E$7), "0.00%"))
</f>
        <v>1.85%</v>
      </c>
      <c r="F8" s="65"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1
Medium: 0
Low: 0")</f>
        <v>High: 1
Medium: 0
Low: 0</v>
      </c>
      <c r="G8" s="61"/>
      <c r="H8" s="61"/>
      <c r="I8" s="61"/>
      <c r="J8" s="61"/>
      <c r="K8" s="61"/>
      <c r="L8" s="61"/>
      <c r="M8" s="61"/>
      <c r="N8" s="61"/>
      <c r="O8" s="61"/>
      <c r="P8" s="61"/>
      <c r="Q8" s="61"/>
      <c r="R8" s="61"/>
      <c r="S8" s="61"/>
      <c r="T8" s="61"/>
      <c r="U8" s="61"/>
      <c r="V8" s="61"/>
      <c r="W8" s="61"/>
      <c r="X8" s="61"/>
      <c r="Y8" s="61"/>
      <c r="Z8" s="61"/>
      <c r="AA8" s="61"/>
    </row>
    <row r="9">
      <c r="A9" s="64" t="str">
        <f>IFERROR(__xludf.DUMMYFUNCTION("""COMPUTED_VALUE"""),"Father Account")</f>
        <v>Father Account</v>
      </c>
      <c r="B9" s="64" t="str">
        <f>IFERROR(__xludf.DUMMYFUNCTION("""COMPUTED_VALUE"""),"Login")</f>
        <v>Login</v>
      </c>
      <c r="C9" s="64" t="str">
        <f>IFERROR(__xludf.DUMMYFUNCTION("TEXTJOIN("", "", TRUE, 
  FILTER('Main Report'!A18:A107, 
    ('Main Report'!B18:B107=A9) * ('Main Report'!C18:C107=B9)
  )
)
"),"BR-018, BR-019")</f>
        <v>BR-018, BR-019</v>
      </c>
      <c r="D9" s="62">
        <f>IFERROR(__xludf.DUMMYFUNCTION("COUNTA(UNIQUE(TRANSPOSE(SPLIT(C9, "", ""))))
"),2.0)</f>
        <v>2</v>
      </c>
      <c r="E9" s="64" t="str">
        <f>IF(D9="", "", TEXT((D9 / 'Main Report'!$E$7), "0.00%"))
</f>
        <v>3.70%</v>
      </c>
      <c r="F9" s="65"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2
Medium: 0
Low: 0")</f>
        <v>High: 2
Medium: 0
Low: 0</v>
      </c>
      <c r="G9" s="61"/>
      <c r="H9" s="61"/>
      <c r="I9" s="61"/>
      <c r="J9" s="61"/>
      <c r="K9" s="61"/>
      <c r="L9" s="61"/>
      <c r="M9" s="61"/>
      <c r="N9" s="61"/>
      <c r="O9" s="61"/>
      <c r="P9" s="61"/>
      <c r="Q9" s="61"/>
      <c r="R9" s="61"/>
      <c r="S9" s="61"/>
      <c r="T9" s="61"/>
      <c r="U9" s="61"/>
      <c r="V9" s="61"/>
      <c r="W9" s="61"/>
      <c r="X9" s="61"/>
      <c r="Y9" s="61"/>
      <c r="Z9" s="61"/>
      <c r="AA9" s="61"/>
    </row>
    <row r="10">
      <c r="A10" s="64" t="str">
        <f>IFERROR(__xludf.DUMMYFUNCTION("""COMPUTED_VALUE"""),"Father Account")</f>
        <v>Father Account</v>
      </c>
      <c r="B10" s="64" t="str">
        <f>IFERROR(__xludf.DUMMYFUNCTION("""COMPUTED_VALUE"""),"Notification")</f>
        <v>Notification</v>
      </c>
      <c r="C10" s="64" t="str">
        <f>IFERROR(__xludf.DUMMYFUNCTION("TEXTJOIN("", "", TRUE, 
  FILTER('Main Report'!A19:A108, 
    ('Main Report'!B19:B108=A10) * ('Main Report'!C19:C108=B10)
  )
)
"),"BR-020")</f>
        <v>BR-020</v>
      </c>
      <c r="D10" s="62">
        <f>IFERROR(__xludf.DUMMYFUNCTION("COUNTA(UNIQUE(TRANSPOSE(SPLIT(C10, "", ""))))
"),1.0)</f>
        <v>1</v>
      </c>
      <c r="E10" s="64" t="str">
        <f>IF(D10="", "", TEXT((D10 / 'Main Report'!$E$7), "0.00%"))
</f>
        <v>1.85%</v>
      </c>
      <c r="F10" s="65"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"),"High: 1
Medium: 0
Low: 0")</f>
        <v>High: 1
Medium: 0
Low: 0</v>
      </c>
      <c r="G10" s="61"/>
      <c r="H10" s="61"/>
      <c r="I10" s="61"/>
      <c r="J10" s="61"/>
      <c r="K10" s="61"/>
      <c r="L10" s="61"/>
      <c r="M10" s="61"/>
      <c r="N10" s="61"/>
      <c r="O10" s="61"/>
      <c r="P10" s="61"/>
      <c r="Q10" s="61"/>
      <c r="R10" s="61"/>
      <c r="S10" s="61"/>
      <c r="T10" s="61"/>
      <c r="U10" s="61"/>
      <c r="V10" s="61"/>
      <c r="W10" s="61"/>
      <c r="X10" s="61"/>
      <c r="Y10" s="61"/>
      <c r="Z10" s="61"/>
      <c r="AA10" s="61"/>
    </row>
    <row r="11">
      <c r="A11" s="64" t="str">
        <f>IFERROR(__xludf.DUMMYFUNCTION("""COMPUTED_VALUE"""),"Father Account")</f>
        <v>Father Account</v>
      </c>
      <c r="B11" s="64" t="str">
        <f>IFERROR(__xludf.DUMMYFUNCTION("""COMPUTED_VALUE"""),"Settings -&gt; Choose The App")</f>
        <v>Settings -&gt; Choose The App</v>
      </c>
      <c r="C11" s="64" t="str">
        <f>IFERROR(__xludf.DUMMYFUNCTION("TEXTJOIN("", "", TRUE, 
  FILTER('Main Report'!A20:A109, 
    ('Main Report'!B20:B109=A11) * ('Main Report'!C20:C109=B11)
  )
)
"),"BR-021")</f>
        <v>BR-021</v>
      </c>
      <c r="D11" s="62">
        <f>IFERROR(__xludf.DUMMYFUNCTION("COUNTA(UNIQUE(TRANSPOSE(SPLIT(C11, "", ""))))
"),1.0)</f>
        <v>1</v>
      </c>
      <c r="E11" s="64" t="str">
        <f>IF(D11="", "", TEXT((D11 / 'Main Report'!$E$7), "0.00%"))
</f>
        <v>1.85%</v>
      </c>
      <c r="F11" s="65"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"),"High: 1
Medium: 0
Low: 0")</f>
        <v>High: 1
Medium: 0
Low: 0</v>
      </c>
      <c r="G11" s="61"/>
      <c r="H11" s="61"/>
      <c r="I11" s="61"/>
      <c r="J11" s="61"/>
      <c r="K11" s="61"/>
      <c r="L11" s="61"/>
      <c r="M11" s="61"/>
      <c r="N11" s="61"/>
      <c r="O11" s="61"/>
      <c r="P11" s="61"/>
      <c r="Q11" s="61"/>
      <c r="R11" s="61"/>
      <c r="S11" s="61"/>
      <c r="T11" s="61"/>
      <c r="U11" s="61"/>
      <c r="V11" s="61"/>
      <c r="W11" s="61"/>
      <c r="X11" s="61"/>
      <c r="Y11" s="61"/>
      <c r="Z11" s="61"/>
      <c r="AA11" s="61"/>
    </row>
    <row r="12">
      <c r="A12" s="64" t="str">
        <f>IFERROR(__xludf.DUMMYFUNCTION("""COMPUTED_VALUE"""),"Father Account")</f>
        <v>Father Account</v>
      </c>
      <c r="B12" s="64" t="str">
        <f>IFERROR(__xludf.DUMMYFUNCTION("""COMPUTED_VALUE"""),"Settings -&gt; Co-Parent information")</f>
        <v>Settings -&gt; Co-Parent information</v>
      </c>
      <c r="C12" s="64" t="str">
        <f>IFERROR(__xludf.DUMMYFUNCTION("TEXTJOIN("", "", TRUE, 
  FILTER('Main Report'!A21:A110, 
    ('Main Report'!B21:B110=A12) * ('Main Report'!C21:C110=B12)
  )
)
"),"BR-022")</f>
        <v>BR-022</v>
      </c>
      <c r="D12" s="62">
        <f>IFERROR(__xludf.DUMMYFUNCTION("COUNTA(UNIQUE(TRANSPOSE(SPLIT(C12, "", ""))))
"),1.0)</f>
        <v>1</v>
      </c>
      <c r="E12" s="64" t="str">
        <f>IF(D12="", "", TEXT((D12 / 'Main Report'!$E$7), "0.00%"))
</f>
        <v>1.85%</v>
      </c>
      <c r="F12" s="65"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"),"High: 1
Medium: 0
Low: 0")</f>
        <v>High: 1
Medium: 0
Low: 0</v>
      </c>
      <c r="G12" s="61"/>
      <c r="H12" s="61"/>
      <c r="I12" s="61"/>
      <c r="J12" s="61"/>
      <c r="K12" s="61"/>
      <c r="L12" s="61"/>
      <c r="M12" s="61"/>
      <c r="N12" s="61"/>
      <c r="O12" s="61"/>
      <c r="P12" s="61"/>
      <c r="Q12" s="61"/>
      <c r="R12" s="61"/>
      <c r="S12" s="61"/>
      <c r="T12" s="61"/>
      <c r="U12" s="61"/>
      <c r="V12" s="61"/>
      <c r="W12" s="61"/>
      <c r="X12" s="61"/>
      <c r="Y12" s="61"/>
      <c r="Z12" s="61"/>
      <c r="AA12" s="61"/>
    </row>
    <row r="13">
      <c r="A13" s="64" t="str">
        <f>IFERROR(__xludf.DUMMYFUNCTION("""COMPUTED_VALUE"""),"Father Account")</f>
        <v>Father Account</v>
      </c>
      <c r="B13" s="64" t="str">
        <f>IFERROR(__xludf.DUMMYFUNCTION("""COMPUTED_VALUE"""),"Settings -&gt; Help &amp; Support")</f>
        <v>Settings -&gt; Help &amp; Support</v>
      </c>
      <c r="C13" s="64" t="str">
        <f>IFERROR(__xludf.DUMMYFUNCTION("TEXTJOIN("", "", TRUE, 
  FILTER('Main Report'!A22:A111, 
    ('Main Report'!B22:B111=A13) * ('Main Report'!C22:C111=B13)
  )
)
"),"BR-023")</f>
        <v>BR-023</v>
      </c>
      <c r="D13" s="62">
        <f>IFERROR(__xludf.DUMMYFUNCTION("COUNTA(UNIQUE(TRANSPOSE(SPLIT(C13, "", ""))))
"),1.0)</f>
        <v>1</v>
      </c>
      <c r="E13" s="64" t="str">
        <f>IF(D13="", "", TEXT((D13 / 'Main Report'!$E$7), "0.00%"))
</f>
        <v>1.85%</v>
      </c>
      <c r="F13" s="65"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"),"High: 0
Medium: 0
Low: 1")</f>
        <v>High: 0
Medium: 0
Low: 1</v>
      </c>
      <c r="G13" s="61"/>
      <c r="H13" s="61"/>
      <c r="I13" s="61"/>
      <c r="J13" s="61"/>
      <c r="K13" s="61"/>
      <c r="L13" s="61"/>
      <c r="M13" s="61"/>
      <c r="N13" s="61"/>
      <c r="O13" s="61"/>
      <c r="P13" s="61"/>
      <c r="Q13" s="61"/>
      <c r="R13" s="61"/>
      <c r="S13" s="61"/>
      <c r="T13" s="61"/>
      <c r="U13" s="61"/>
      <c r="V13" s="61"/>
      <c r="W13" s="61"/>
      <c r="X13" s="61"/>
      <c r="Y13" s="61"/>
      <c r="Z13" s="61"/>
      <c r="AA13" s="61"/>
    </row>
    <row r="14">
      <c r="A14" s="64" t="str">
        <f>IFERROR(__xludf.DUMMYFUNCTION("""COMPUTED_VALUE"""),"Father Account")</f>
        <v>Father Account</v>
      </c>
      <c r="B14" s="64" t="str">
        <f>IFERROR(__xludf.DUMMYFUNCTION("""COMPUTED_VALUE"""),"Settings -&gt; Legacy Contact")</f>
        <v>Settings -&gt; Legacy Contact</v>
      </c>
      <c r="C14" s="64" t="str">
        <f>IFERROR(__xludf.DUMMYFUNCTION("TEXTJOIN("", "", TRUE, 
  FILTER('Main Report'!A23:A112, 
    ('Main Report'!B23:B112=A14) * ('Main Report'!C23:C112=B14)
  )
)
"),"BR-024")</f>
        <v>BR-024</v>
      </c>
      <c r="D14" s="62">
        <f>IFERROR(__xludf.DUMMYFUNCTION("COUNTA(UNIQUE(TRANSPOSE(SPLIT(C14, "", ""))))
"),1.0)</f>
        <v>1</v>
      </c>
      <c r="E14" s="64" t="str">
        <f>IF(D14="", "", TEXT((D14 / 'Main Report'!$E$7), "0.00%"))
</f>
        <v>1.85%</v>
      </c>
      <c r="F14" s="65"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"),"High: 1
Medium: 0
Low: 0")</f>
        <v>High: 1
Medium: 0
Low: 0</v>
      </c>
      <c r="G14" s="61"/>
      <c r="H14" s="61"/>
      <c r="I14" s="61"/>
      <c r="J14" s="61"/>
      <c r="K14" s="61"/>
      <c r="L14" s="61"/>
      <c r="M14" s="61"/>
      <c r="N14" s="61"/>
      <c r="O14" s="61"/>
      <c r="P14" s="61"/>
      <c r="Q14" s="61"/>
      <c r="R14" s="61"/>
      <c r="S14" s="61"/>
      <c r="T14" s="61"/>
      <c r="U14" s="61"/>
      <c r="V14" s="61"/>
      <c r="W14" s="61"/>
      <c r="X14" s="61"/>
      <c r="Y14" s="61"/>
      <c r="Z14" s="61"/>
      <c r="AA14" s="61"/>
    </row>
    <row r="15">
      <c r="A15" s="64" t="str">
        <f>IFERROR(__xludf.DUMMYFUNCTION("""COMPUTED_VALUE"""),"Father Account")</f>
        <v>Father Account</v>
      </c>
      <c r="B15" s="64" t="str">
        <f>IFERROR(__xludf.DUMMYFUNCTION("""COMPUTED_VALUE"""),"Settings -&gt; Subscription")</f>
        <v>Settings -&gt; Subscription</v>
      </c>
      <c r="C15" s="64" t="str">
        <f>IFERROR(__xludf.DUMMYFUNCTION("TEXTJOIN("", "", TRUE, 
  FILTER('Main Report'!A24:A113, 
    ('Main Report'!B24:B113=A15) * ('Main Report'!C24:C113=B15)
  )
)
"),"BR-025")</f>
        <v>BR-025</v>
      </c>
      <c r="D15" s="62">
        <f>IFERROR(__xludf.DUMMYFUNCTION("COUNTA(UNIQUE(TRANSPOSE(SPLIT(C15, "", ""))))
"),1.0)</f>
        <v>1</v>
      </c>
      <c r="E15" s="64" t="str">
        <f>IF(D15="", "", TEXT((D15 / 'Main Report'!$E$7), "0.00%"))
</f>
        <v>1.85%</v>
      </c>
      <c r="F15" s="65"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"),"High: 1
Medium: 0
Low: 0")</f>
        <v>High: 1
Medium: 0
Low: 0</v>
      </c>
      <c r="G15" s="61"/>
      <c r="H15" s="61"/>
      <c r="I15" s="61"/>
      <c r="J15" s="61"/>
      <c r="K15" s="61"/>
      <c r="L15" s="61"/>
      <c r="M15" s="61"/>
      <c r="N15" s="61"/>
      <c r="O15" s="61"/>
      <c r="P15" s="61"/>
      <c r="Q15" s="61"/>
      <c r="R15" s="61"/>
      <c r="S15" s="61"/>
      <c r="T15" s="61"/>
      <c r="U15" s="61"/>
      <c r="V15" s="61"/>
      <c r="W15" s="61"/>
      <c r="X15" s="61"/>
      <c r="Y15" s="61"/>
      <c r="Z15" s="61"/>
      <c r="AA15" s="61"/>
    </row>
    <row r="16">
      <c r="A16" s="64" t="str">
        <f>IFERROR(__xludf.DUMMYFUNCTION("""COMPUTED_VALUE"""),"Father Account")</f>
        <v>Father Account</v>
      </c>
      <c r="B16" s="64" t="str">
        <f>IFERROR(__xludf.DUMMYFUNCTION("""COMPUTED_VALUE"""),"Support Forum")</f>
        <v>Support Forum</v>
      </c>
      <c r="C16" s="64" t="str">
        <f>IFERROR(__xludf.DUMMYFUNCTION("TEXTJOIN("", "", TRUE, 
  FILTER('Main Report'!A25:A114, 
    ('Main Report'!B25:B114=A16) * ('Main Report'!C25:C114=B16)
  )
)
"),"BR-026, BR-027, BR-028, BR-029, BR-030, BR-031, BR-032, BR-033, BR-034")</f>
        <v>BR-026, BR-027, BR-028, BR-029, BR-030, BR-031, BR-032, BR-033, BR-034</v>
      </c>
      <c r="D16" s="62">
        <f>IFERROR(__xludf.DUMMYFUNCTION("COUNTA(UNIQUE(TRANSPOSE(SPLIT(C16, "", ""))))
"),9.0)</f>
        <v>9</v>
      </c>
      <c r="E16" s="64" t="str">
        <f>IF(D16="", "", TEXT((D16 / 'Main Report'!$E$7), "0.00%"))
</f>
        <v>16.67%</v>
      </c>
      <c r="F16" s="65"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"),"High: 3
Medium: 5
Low: 1")</f>
        <v>High: 3
Medium: 5
Low: 1</v>
      </c>
      <c r="G16" s="61"/>
      <c r="H16" s="61"/>
      <c r="I16" s="61"/>
      <c r="J16" s="61"/>
      <c r="K16" s="61"/>
      <c r="L16" s="61"/>
      <c r="M16" s="61"/>
      <c r="N16" s="61"/>
      <c r="O16" s="61"/>
      <c r="P16" s="61"/>
      <c r="Q16" s="61"/>
      <c r="R16" s="61"/>
      <c r="S16" s="61"/>
      <c r="T16" s="61"/>
      <c r="U16" s="61"/>
      <c r="V16" s="61"/>
      <c r="W16" s="61"/>
      <c r="X16" s="61"/>
      <c r="Y16" s="61"/>
      <c r="Z16" s="61"/>
      <c r="AA16" s="61"/>
    </row>
    <row r="17">
      <c r="A17" s="64" t="str">
        <f>IFERROR(__xludf.DUMMYFUNCTION("""COMPUTED_VALUE"""),"Mother Account")</f>
        <v>Mother Account</v>
      </c>
      <c r="B17" s="64" t="str">
        <f>IFERROR(__xludf.DUMMYFUNCTION("""COMPUTED_VALUE"""),"Call")</f>
        <v>Call</v>
      </c>
      <c r="C17" s="64" t="str">
        <f>IFERROR(__xludf.DUMMYFUNCTION("TEXTJOIN("", "", TRUE, 
  FILTER('Main Report'!A26:A115, 
    ('Main Report'!B26:B115=A17) * ('Main Report'!C26:C115=B17)
  )
)
"),"BR-035, BR-036")</f>
        <v>BR-035, BR-036</v>
      </c>
      <c r="D17" s="62">
        <f>IFERROR(__xludf.DUMMYFUNCTION("COUNTA(UNIQUE(TRANSPOSE(SPLIT(C17, "", ""))))
"),2.0)</f>
        <v>2</v>
      </c>
      <c r="E17" s="64" t="str">
        <f>IF(D17="", "", TEXT((D17 / 'Main Report'!$E$7), "0.00%"))
</f>
        <v>3.70%</v>
      </c>
      <c r="F17" s="65"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"),"High: 1
Medium: 1
Low: 0")</f>
        <v>High: 1
Medium: 1
Low: 0</v>
      </c>
      <c r="G17" s="61"/>
      <c r="H17" s="61"/>
      <c r="I17" s="61"/>
      <c r="J17" s="61"/>
      <c r="K17" s="61"/>
      <c r="L17" s="61"/>
      <c r="M17" s="61"/>
      <c r="N17" s="61"/>
      <c r="O17" s="61"/>
      <c r="P17" s="61"/>
      <c r="Q17" s="61"/>
      <c r="R17" s="61"/>
      <c r="S17" s="61"/>
      <c r="T17" s="61"/>
      <c r="U17" s="61"/>
      <c r="V17" s="61"/>
      <c r="W17" s="61"/>
      <c r="X17" s="61"/>
      <c r="Y17" s="61"/>
      <c r="Z17" s="61"/>
      <c r="AA17" s="61"/>
    </row>
    <row r="18">
      <c r="A18" s="64" t="str">
        <f>IFERROR(__xludf.DUMMYFUNCTION("""COMPUTED_VALUE"""),"Mother Account")</f>
        <v>Mother Account</v>
      </c>
      <c r="B18" s="64" t="str">
        <f>IFERROR(__xludf.DUMMYFUNCTION("""COMPUTED_VALUE"""),"Document")</f>
        <v>Document</v>
      </c>
      <c r="C18" s="64" t="str">
        <f>IFERROR(__xludf.DUMMYFUNCTION("TEXTJOIN("", "", TRUE, 
  FILTER('Main Report'!A27:A116, 
    ('Main Report'!B27:B116=A18) * ('Main Report'!C27:C116=B18)
  )
)
"),"BR-037, BR-038, BR-039, BR-040, BR-041, BR-042, BR-043, BR-044")</f>
        <v>BR-037, BR-038, BR-039, BR-040, BR-041, BR-042, BR-043, BR-044</v>
      </c>
      <c r="D18" s="62">
        <f>IFERROR(__xludf.DUMMYFUNCTION("COUNTA(UNIQUE(TRANSPOSE(SPLIT(C18, "", ""))))
"),8.0)</f>
        <v>8</v>
      </c>
      <c r="E18" s="64" t="str">
        <f>IF(D18="", "", TEXT((D18 / 'Main Report'!$E$7), "0.00%"))
</f>
        <v>14.81%</v>
      </c>
      <c r="F18" s="65"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"),"High: 4
Medium: 3
Low: 1")</f>
        <v>High: 4
Medium: 3
Low: 1</v>
      </c>
      <c r="G18" s="61"/>
      <c r="H18" s="61"/>
      <c r="I18" s="61"/>
      <c r="J18" s="61"/>
      <c r="K18" s="61"/>
      <c r="L18" s="61"/>
      <c r="M18" s="61"/>
      <c r="N18" s="61"/>
      <c r="O18" s="61"/>
      <c r="P18" s="61"/>
      <c r="Q18" s="61"/>
      <c r="R18" s="61"/>
      <c r="S18" s="61"/>
      <c r="T18" s="61"/>
      <c r="U18" s="61"/>
      <c r="V18" s="61"/>
      <c r="W18" s="61"/>
      <c r="X18" s="61"/>
      <c r="Y18" s="61"/>
      <c r="Z18" s="61"/>
      <c r="AA18" s="61"/>
    </row>
    <row r="19">
      <c r="A19" s="64" t="str">
        <f>IFERROR(__xludf.DUMMYFUNCTION("""COMPUTED_VALUE"""),"Mother Account")</f>
        <v>Mother Account</v>
      </c>
      <c r="B19" s="64" t="str">
        <f>IFERROR(__xludf.DUMMYFUNCTION("""COMPUTED_VALUE"""),"Home")</f>
        <v>Home</v>
      </c>
      <c r="C19" s="64" t="str">
        <f>IFERROR(__xludf.DUMMYFUNCTION("TEXTJOIN("", "", TRUE, 
  FILTER('Main Report'!A28:A117, 
    ('Main Report'!B28:B117=A19) * ('Main Report'!C28:C117=B19)
  )
)
"),"BR-045")</f>
        <v>BR-045</v>
      </c>
      <c r="D19" s="62">
        <f>IFERROR(__xludf.DUMMYFUNCTION("COUNTA(UNIQUE(TRANSPOSE(SPLIT(C19, "", ""))))
"),1.0)</f>
        <v>1</v>
      </c>
      <c r="E19" s="64" t="str">
        <f>IF(D19="", "", TEXT((D19 / 'Main Report'!$E$7), "0.00%"))
</f>
        <v>1.85%</v>
      </c>
      <c r="F19" s="65"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"),"High: 0
Medium: 1
Low: 0")</f>
        <v>High: 0
Medium: 1
Low: 0</v>
      </c>
      <c r="G19" s="61"/>
      <c r="H19" s="61"/>
      <c r="I19" s="61"/>
      <c r="J19" s="61"/>
      <c r="K19" s="61"/>
      <c r="L19" s="61"/>
      <c r="M19" s="61"/>
      <c r="N19" s="61"/>
      <c r="O19" s="61"/>
      <c r="P19" s="61"/>
      <c r="Q19" s="61"/>
      <c r="R19" s="61"/>
      <c r="S19" s="61"/>
      <c r="T19" s="61"/>
      <c r="U19" s="61"/>
      <c r="V19" s="61"/>
      <c r="W19" s="61"/>
      <c r="X19" s="61"/>
      <c r="Y19" s="61"/>
      <c r="Z19" s="61"/>
      <c r="AA19" s="61"/>
    </row>
    <row r="20">
      <c r="A20" s="62" t="str">
        <f>IFERROR(__xludf.DUMMYFUNCTION("""COMPUTED_VALUE"""),"Mother Account")</f>
        <v>Mother Account</v>
      </c>
      <c r="B20" s="62" t="str">
        <f>IFERROR(__xludf.DUMMYFUNCTION("""COMPUTED_VALUE"""),"Message")</f>
        <v>Message</v>
      </c>
      <c r="C20" s="64" t="str">
        <f>IFERROR(__xludf.DUMMYFUNCTION("TEXTJOIN("", "", TRUE, 
  FILTER('Main Report'!A29:A118, 
    ('Main Report'!B29:B118=A20) * ('Main Report'!C29:C118=B20)
  )
)
"),"BR-046, BR-047")</f>
        <v>BR-046, BR-047</v>
      </c>
      <c r="D20" s="62">
        <f>IFERROR(__xludf.DUMMYFUNCTION("COUNTA(UNIQUE(TRANSPOSE(SPLIT(C20, "", ""))))
"),2.0)</f>
        <v>2</v>
      </c>
      <c r="E20" s="64" t="str">
        <f>IF(D20="", "", TEXT((D20 / 'Main Report'!$E$7), "0.00%"))
</f>
        <v>3.70%</v>
      </c>
      <c r="F20" s="65"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"),"High: 2
Medium: 0
Low: 0")</f>
        <v>High: 2
Medium: 0
Low: 0</v>
      </c>
      <c r="G20" s="61"/>
      <c r="H20" s="61"/>
      <c r="I20" s="61"/>
      <c r="J20" s="61"/>
      <c r="K20" s="61"/>
      <c r="L20" s="61"/>
      <c r="M20" s="61"/>
      <c r="N20" s="61"/>
      <c r="O20" s="61"/>
      <c r="P20" s="61"/>
      <c r="Q20" s="61"/>
      <c r="R20" s="61"/>
      <c r="S20" s="61"/>
      <c r="T20" s="61"/>
      <c r="U20" s="61"/>
      <c r="V20" s="61"/>
      <c r="W20" s="61"/>
      <c r="X20" s="61"/>
      <c r="Y20" s="61"/>
      <c r="Z20" s="61"/>
      <c r="AA20" s="61"/>
    </row>
    <row r="21">
      <c r="A21" s="64" t="str">
        <f>IFERROR(__xludf.DUMMYFUNCTION("""COMPUTED_VALUE"""),"Mother Account")</f>
        <v>Mother Account</v>
      </c>
      <c r="B21" s="64" t="str">
        <f>IFERROR(__xludf.DUMMYFUNCTION("""COMPUTED_VALUE"""),"OTP")</f>
        <v>OTP</v>
      </c>
      <c r="C21" s="64" t="str">
        <f>IFERROR(__xludf.DUMMYFUNCTION("TEXTJOIN("", "", TRUE, 
  FILTER('Main Report'!A30:A119, 
    ('Main Report'!B30:B119=A21) * ('Main Report'!C30:C119=B21)
  )
)
"),"BR-048, BR-049")</f>
        <v>BR-048, BR-049</v>
      </c>
      <c r="D21" s="64"/>
      <c r="E21" s="64" t="str">
        <f>IF(D21="", "", TEXT((D21 / 'Main Report'!$E$7), "0.00%"))
</f>
        <v/>
      </c>
      <c r="F21" s="65"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"),"High: 1
Medium: 1
Low: 0")</f>
        <v>High: 1
Medium: 1
Low: 0</v>
      </c>
      <c r="G21" s="61"/>
      <c r="H21" s="61"/>
      <c r="I21" s="61"/>
      <c r="J21" s="61"/>
      <c r="K21" s="61"/>
      <c r="L21" s="61"/>
      <c r="M21" s="61"/>
      <c r="N21" s="61"/>
      <c r="O21" s="61"/>
      <c r="P21" s="61"/>
      <c r="Q21" s="61"/>
      <c r="R21" s="61"/>
      <c r="S21" s="61"/>
      <c r="T21" s="61"/>
      <c r="U21" s="61"/>
      <c r="V21" s="61"/>
      <c r="W21" s="61"/>
      <c r="X21" s="61"/>
      <c r="Y21" s="61"/>
      <c r="Z21" s="61"/>
      <c r="AA21" s="61"/>
    </row>
    <row r="22">
      <c r="A22" s="64" t="str">
        <f>IFERROR(__xludf.DUMMYFUNCTION("""COMPUTED_VALUE"""),"Mother Account")</f>
        <v>Mother Account</v>
      </c>
      <c r="B22" s="64" t="str">
        <f>IFERROR(__xludf.DUMMYFUNCTION("""COMPUTED_VALUE"""),"Subscription")</f>
        <v>Subscription</v>
      </c>
      <c r="C22" s="64"/>
      <c r="D22" s="64"/>
      <c r="E22" s="64"/>
      <c r="F22" s="64"/>
      <c r="G22" s="61"/>
      <c r="H22" s="61"/>
      <c r="I22" s="61"/>
      <c r="J22" s="61"/>
      <c r="K22" s="61"/>
      <c r="L22" s="61"/>
      <c r="M22" s="61"/>
      <c r="N22" s="61"/>
      <c r="O22" s="61"/>
      <c r="P22" s="61"/>
      <c r="Q22" s="61"/>
      <c r="R22" s="61"/>
      <c r="S22" s="61"/>
      <c r="T22" s="61"/>
      <c r="U22" s="61"/>
      <c r="V22" s="61"/>
      <c r="W22" s="61"/>
      <c r="X22" s="61"/>
      <c r="Y22" s="61"/>
      <c r="Z22" s="61"/>
      <c r="AA22" s="61"/>
    </row>
    <row r="23">
      <c r="A23" s="64"/>
      <c r="B23" s="64"/>
      <c r="C23" s="64"/>
      <c r="D23" s="64"/>
      <c r="E23" s="64"/>
      <c r="F23" s="64"/>
      <c r="G23" s="61"/>
      <c r="H23" s="61"/>
      <c r="I23" s="61"/>
      <c r="J23" s="61"/>
      <c r="K23" s="61"/>
      <c r="L23" s="61"/>
      <c r="M23" s="61"/>
      <c r="N23" s="61"/>
      <c r="O23" s="61"/>
      <c r="P23" s="61"/>
      <c r="Q23" s="61"/>
      <c r="R23" s="61"/>
      <c r="S23" s="61"/>
      <c r="T23" s="61"/>
      <c r="U23" s="61"/>
      <c r="V23" s="61"/>
      <c r="W23" s="61"/>
      <c r="X23" s="61"/>
      <c r="Y23" s="61"/>
      <c r="Z23" s="61"/>
      <c r="AA23" s="61"/>
    </row>
    <row r="24">
      <c r="A24" s="64"/>
      <c r="B24" s="64"/>
      <c r="C24" s="64"/>
      <c r="D24" s="64"/>
      <c r="E24" s="64"/>
      <c r="F24" s="64"/>
      <c r="G24" s="61"/>
      <c r="H24" s="61"/>
      <c r="I24" s="61"/>
      <c r="J24" s="61"/>
      <c r="K24" s="61"/>
      <c r="L24" s="61"/>
      <c r="M24" s="61"/>
      <c r="N24" s="61"/>
      <c r="O24" s="61"/>
      <c r="P24" s="61"/>
      <c r="Q24" s="61"/>
      <c r="R24" s="61"/>
      <c r="S24" s="61"/>
      <c r="T24" s="61"/>
      <c r="U24" s="61"/>
      <c r="V24" s="61"/>
      <c r="W24" s="61"/>
      <c r="X24" s="61"/>
      <c r="Y24" s="61"/>
      <c r="Z24" s="61"/>
      <c r="AA24" s="61"/>
    </row>
    <row r="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row>
    <row r="26">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row>
    <row r="27">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row>
    <row r="28">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row>
    <row r="29">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row>
    <row r="30">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row>
    <row r="3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row>
    <row r="32">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row>
    <row r="33">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row>
    <row r="34">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row>
    <row r="3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row>
    <row r="36">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row>
    <row r="37">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row>
    <row r="38">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4" width="15.25"/>
    <col customWidth="1" min="15" max="16" width="17.25"/>
    <col customWidth="1" min="17" max="17" width="15.25"/>
  </cols>
  <sheetData>
    <row r="1">
      <c r="A1" s="17"/>
      <c r="B1" s="17"/>
      <c r="C1" s="17"/>
      <c r="D1" s="17"/>
      <c r="E1" s="17"/>
      <c r="F1" s="17"/>
      <c r="G1" s="17"/>
      <c r="H1" s="17"/>
      <c r="I1" s="17"/>
      <c r="J1" s="17"/>
      <c r="K1" s="17"/>
      <c r="L1" s="17"/>
      <c r="M1" s="17"/>
      <c r="N1" s="17"/>
      <c r="Q1" s="17"/>
    </row>
    <row r="2">
      <c r="A2" s="12" t="s">
        <v>9</v>
      </c>
      <c r="B2" s="67" t="s">
        <v>23</v>
      </c>
      <c r="C2" s="17"/>
      <c r="D2" s="68" t="s">
        <v>24</v>
      </c>
      <c r="E2" s="68" t="s">
        <v>213</v>
      </c>
      <c r="F2" s="17"/>
      <c r="G2" s="17"/>
      <c r="H2" s="69"/>
      <c r="I2" s="69"/>
      <c r="J2" s="69"/>
      <c r="K2" s="69"/>
      <c r="L2" s="69"/>
      <c r="M2" s="69"/>
      <c r="N2" s="17"/>
      <c r="Q2" s="17"/>
    </row>
    <row r="3">
      <c r="A3" s="12" t="s">
        <v>29</v>
      </c>
      <c r="B3" s="70"/>
      <c r="C3" s="17"/>
      <c r="D3" s="71" t="s">
        <v>61</v>
      </c>
      <c r="E3" s="72">
        <f>COUNTIF(Bug_report!K8:K1004, "High")</f>
        <v>28</v>
      </c>
      <c r="F3" s="17"/>
      <c r="G3" s="17"/>
      <c r="H3" s="17"/>
      <c r="I3" s="17"/>
      <c r="J3" s="17"/>
      <c r="K3" s="17"/>
      <c r="L3" s="17"/>
      <c r="M3" s="17"/>
      <c r="N3" s="17"/>
      <c r="Q3" s="17"/>
    </row>
    <row r="4">
      <c r="A4" s="12" t="s">
        <v>214</v>
      </c>
      <c r="B4" s="73"/>
      <c r="C4" s="17"/>
      <c r="D4" s="74" t="s">
        <v>70</v>
      </c>
      <c r="E4" s="72">
        <f>COUNTIF(Bug_report!K8:K1005, "Medium")</f>
        <v>21</v>
      </c>
      <c r="F4" s="17"/>
      <c r="G4" s="17"/>
      <c r="H4" s="17"/>
      <c r="I4" s="17"/>
      <c r="J4" s="17"/>
      <c r="K4" s="17"/>
      <c r="L4" s="17"/>
      <c r="M4" s="17"/>
      <c r="N4" s="17"/>
      <c r="Q4" s="17"/>
    </row>
    <row r="5">
      <c r="A5" s="12" t="s">
        <v>30</v>
      </c>
      <c r="B5" s="75"/>
      <c r="C5" s="17"/>
      <c r="D5" s="76" t="s">
        <v>78</v>
      </c>
      <c r="E5" s="72">
        <f>COUNTIF(Bug_report!K8:K1006, "Low")</f>
        <v>5</v>
      </c>
      <c r="F5" s="17"/>
      <c r="G5" s="17"/>
      <c r="H5" s="17"/>
      <c r="I5" s="17"/>
      <c r="J5" s="17"/>
      <c r="K5" s="17"/>
      <c r="L5" s="17"/>
      <c r="M5" s="17"/>
      <c r="N5" s="17"/>
      <c r="Q5" s="17"/>
    </row>
    <row r="6">
      <c r="A6" s="12" t="s">
        <v>32</v>
      </c>
      <c r="B6" s="77"/>
      <c r="C6" s="17"/>
      <c r="D6" s="78"/>
      <c r="E6" s="78"/>
      <c r="F6" s="17"/>
      <c r="G6" s="17"/>
      <c r="H6" s="17"/>
      <c r="I6" s="17"/>
      <c r="J6" s="17"/>
      <c r="K6" s="17"/>
      <c r="L6" s="17"/>
      <c r="M6" s="17"/>
      <c r="N6" s="17"/>
      <c r="Q6" s="17"/>
    </row>
    <row r="7">
      <c r="A7" s="12" t="s">
        <v>25</v>
      </c>
      <c r="B7" s="77"/>
      <c r="C7" s="17"/>
      <c r="D7" s="79" t="s">
        <v>222</v>
      </c>
      <c r="E7" s="80">
        <f>SUM(E3:E5)</f>
        <v>54</v>
      </c>
      <c r="F7" s="17"/>
      <c r="G7" s="17"/>
      <c r="H7" s="17"/>
      <c r="I7" s="17"/>
      <c r="J7" s="17"/>
      <c r="K7" s="17"/>
      <c r="L7" s="17"/>
      <c r="M7" s="17"/>
      <c r="N7" s="81"/>
      <c r="O7" s="81"/>
      <c r="Q7" s="17"/>
    </row>
    <row r="8">
      <c r="A8" s="17"/>
      <c r="B8" s="17"/>
      <c r="C8" s="17"/>
      <c r="D8" s="79" t="s">
        <v>223</v>
      </c>
      <c r="E8" s="80">
        <f>COUNTIF(N11:N2387, "Solved")</f>
        <v>0</v>
      </c>
      <c r="F8" s="17"/>
      <c r="G8" s="17"/>
      <c r="H8" s="17"/>
      <c r="I8" s="17"/>
      <c r="J8" s="17"/>
      <c r="K8" s="17"/>
      <c r="L8" s="17"/>
      <c r="M8" s="17"/>
      <c r="N8" s="81"/>
      <c r="O8" s="81"/>
      <c r="Q8" s="17"/>
    </row>
    <row r="9">
      <c r="A9" s="17"/>
      <c r="B9" s="17"/>
      <c r="C9" s="17"/>
      <c r="D9" s="17"/>
      <c r="E9" s="17"/>
      <c r="F9" s="17"/>
      <c r="G9" s="17"/>
      <c r="H9" s="17"/>
      <c r="I9" s="17"/>
      <c r="J9" s="17"/>
      <c r="K9" s="17"/>
      <c r="L9" s="17"/>
      <c r="M9" s="17"/>
      <c r="N9" s="81"/>
      <c r="O9" s="81"/>
      <c r="Q9" s="17"/>
    </row>
    <row r="10">
      <c r="A10" s="82" t="s">
        <v>5</v>
      </c>
      <c r="B10" s="82" t="s">
        <v>7</v>
      </c>
      <c r="C10" s="82" t="s">
        <v>41</v>
      </c>
      <c r="D10" s="82" t="s">
        <v>42</v>
      </c>
      <c r="E10" s="82" t="s">
        <v>18</v>
      </c>
      <c r="F10" s="82" t="s">
        <v>19</v>
      </c>
      <c r="G10" s="82" t="s">
        <v>13</v>
      </c>
      <c r="H10" s="82" t="s">
        <v>20</v>
      </c>
      <c r="I10" s="82" t="s">
        <v>21</v>
      </c>
      <c r="J10" s="82" t="s">
        <v>22</v>
      </c>
      <c r="K10" s="82" t="s">
        <v>24</v>
      </c>
      <c r="L10" s="82" t="s">
        <v>43</v>
      </c>
      <c r="M10" s="82" t="s">
        <v>44</v>
      </c>
      <c r="N10" s="83" t="s">
        <v>45</v>
      </c>
      <c r="O10" s="83" t="s">
        <v>46</v>
      </c>
      <c r="P10" s="83" t="s">
        <v>47</v>
      </c>
      <c r="Q10" s="83" t="s">
        <v>26</v>
      </c>
      <c r="R10" s="84"/>
      <c r="S10" s="84"/>
      <c r="T10" s="84"/>
      <c r="U10" s="84"/>
      <c r="V10" s="84"/>
      <c r="W10" s="84"/>
      <c r="X10" s="84"/>
      <c r="Y10" s="84"/>
      <c r="Z10" s="84"/>
      <c r="AA10" s="84"/>
    </row>
    <row r="11">
      <c r="A11" s="85" t="str">
        <f t="array" ref="A11:A100">IF((LEN(B11:B100)+LEN(C11:C100))&gt;0, "BR-" &amp; TEXT(ROW(B11:B100)-ROW(B11)+1,"000"), "")
</f>
        <v>BR-001</v>
      </c>
      <c r="B11" s="86" t="str">
        <f>IFERROR(__xludf.DUMMYFUNCTION("QUERY(
  {
    ARRAYFORMULA({
      TRIM(Bug_report!B8:B2383), 
      Bug_report!C8:P2383, 
      IF(LEN(Bug_report!B8:B2383), ""Fahad"", """")
    })
  },
  ""SELECT * WHERE Col1 IS NOT NULL ORDER BY Col1 ASC, Col2 ASC"",
  0
)"),"Backend")</f>
        <v>Backend</v>
      </c>
      <c r="C11" s="87" t="str">
        <f>IFERROR(__xludf.DUMMYFUNCTION("""COMPUTED_VALUE"""),"Profile")</f>
        <v>Profile</v>
      </c>
      <c r="D11" s="87" t="str">
        <f>IFERROR(__xludf.DUMMYFUNCTION("""COMPUTED_VALUE"""),"Unable to save Twilio data after setting up a new account.")</f>
        <v>Unable to save Twilio data after setting up a new account.</v>
      </c>
      <c r="E11" s="87" t="str">
        <f>IFERROR(__xludf.DUMMYFUNCTION("""COMPUTED_VALUE"""),"User need to use the app on their mobile device")</f>
        <v>User need to use the app on their mobile device</v>
      </c>
      <c r="F11" s="87" t="str">
        <f>IFERROR(__xludf.DUMMYFUNCTION("""COMPUTED_VALUE"""),"1. Open app
2. Login with valid credentials
3. Goto settings -&gt; profile")</f>
        <v>1. Open app
2. Login with valid credentials
3. Goto settings -&gt; profile</v>
      </c>
      <c r="G11" s="87" t="str">
        <f>IFERROR(__xludf.DUMMYFUNCTION("""COMPUTED_VALUE"""),"MOM user credential")</f>
        <v>MOM user credential</v>
      </c>
      <c r="H11" s="87" t="str">
        <f>IFERROR(__xludf.DUMMYFUNCTION("""COMPUTED_VALUE"""),"Twilio information should be stored after a user creates an account.")</f>
        <v>Twilio information should be stored after a user creates an account.</v>
      </c>
      <c r="I11" s="87" t="str">
        <f>IFERROR(__xludf.DUMMYFUNCTION("""COMPUTED_VALUE"""),"Failed to store users twilio information in backend ")</f>
        <v>Failed to store users twilio information in backend </v>
      </c>
      <c r="J11" s="87" t="str">
        <f>IFERROR(__xludf.DUMMYFUNCTION("""COMPUTED_VALUE"""),"Fail")</f>
        <v>Fail</v>
      </c>
      <c r="K11" s="87" t="str">
        <f>IFERROR(__xludf.DUMMYFUNCTION("""COMPUTED_VALUE"""),"High")</f>
        <v>High</v>
      </c>
      <c r="L11" s="88" t="str">
        <f>IFERROR(__xludf.DUMMYFUNCTION("""COMPUTED_VALUE"""),"054.png")</f>
        <v>054.png</v>
      </c>
      <c r="M11" s="87"/>
      <c r="N11" s="86"/>
      <c r="O11" s="86"/>
      <c r="P11" s="86"/>
      <c r="Q11" s="86" t="str">
        <f>IFERROR(__xludf.DUMMYFUNCTION("""COMPUTED_VALUE"""),"Fahad")</f>
        <v>Fahad</v>
      </c>
      <c r="R11" s="89"/>
      <c r="S11" s="89"/>
      <c r="T11" s="89"/>
      <c r="U11" s="89"/>
      <c r="V11" s="89"/>
      <c r="W11" s="89"/>
      <c r="X11" s="89"/>
      <c r="Y11" s="89"/>
      <c r="Z11" s="89"/>
      <c r="AA11" s="89"/>
    </row>
    <row r="12">
      <c r="A12" s="90" t="s">
        <v>260</v>
      </c>
      <c r="B12" s="91" t="str">
        <f>IFERROR(__xludf.DUMMYFUNCTION("""COMPUTED_VALUE"""),"Backend")</f>
        <v>Backend</v>
      </c>
      <c r="C12" s="91" t="str">
        <f>IFERROR(__xludf.DUMMYFUNCTION("""COMPUTED_VALUE"""),"Wallet")</f>
        <v>Wallet</v>
      </c>
      <c r="D12" s="91" t="str">
        <f>IFERROR(__xludf.DUMMYFUNCTION("""COMPUTED_VALUE"""),"Unable to redirect the user to the home page after completing a subscription purchase.")</f>
        <v>Unable to redirect the user to the home page after completing a subscription purchase.</v>
      </c>
      <c r="E12" s="91" t="str">
        <f>IFERROR(__xludf.DUMMYFUNCTION("""COMPUTED_VALUE"""),"User need to use the app on their mobile device")</f>
        <v>User need to use the app on their mobile device</v>
      </c>
      <c r="F12" s="91" t="str">
        <f>IFERROR(__xludf.DUMMYFUNCTION("""COMPUTED_VALUE"""),"1. Open app
2. Login with valid credentials
3. Purchase plan")</f>
        <v>1. Open app
2. Login with valid credentials
3. Purchase plan</v>
      </c>
      <c r="G12" s="91" t="str">
        <f>IFERROR(__xludf.DUMMYFUNCTION("""COMPUTED_VALUE"""),"MOM user credential")</f>
        <v>MOM user credential</v>
      </c>
      <c r="H12" s="91" t="str">
        <f>IFERROR(__xludf.DUMMYFUNCTION("""COMPUTED_VALUE"""),"User should redirect to home page after purchasing plan")</f>
        <v>User should redirect to home page after purchasing plan</v>
      </c>
      <c r="I12" s="91" t="str">
        <f>IFERROR(__xludf.DUMMYFUNCTION("""COMPUTED_VALUE"""),"Failed to redirect user to home page")</f>
        <v>Failed to redirect user to home page</v>
      </c>
      <c r="J12" s="91" t="str">
        <f>IFERROR(__xludf.DUMMYFUNCTION("""COMPUTED_VALUE"""),"Fail")</f>
        <v>Fail</v>
      </c>
      <c r="K12" s="91" t="str">
        <f>IFERROR(__xludf.DUMMYFUNCTION("""COMPUTED_VALUE"""),"High")</f>
        <v>High</v>
      </c>
      <c r="L12" s="92" t="str">
        <f>IFERROR(__xludf.DUMMYFUNCTION("""COMPUTED_VALUE"""),"053.png")</f>
        <v>053.png</v>
      </c>
      <c r="M12" s="91"/>
      <c r="N12" s="91"/>
      <c r="O12" s="91"/>
      <c r="P12" s="91"/>
      <c r="Q12" s="91" t="str">
        <f>IFERROR(__xludf.DUMMYFUNCTION("""COMPUTED_VALUE"""),"Fahad")</f>
        <v>Fahad</v>
      </c>
      <c r="R12" s="89"/>
      <c r="S12" s="89"/>
      <c r="T12" s="89"/>
      <c r="U12" s="89"/>
      <c r="V12" s="89"/>
      <c r="W12" s="89"/>
      <c r="X12" s="89"/>
      <c r="Y12" s="89"/>
      <c r="Z12" s="89"/>
      <c r="AA12" s="89"/>
    </row>
    <row r="13">
      <c r="A13" s="90" t="s">
        <v>268</v>
      </c>
      <c r="B13" s="91" t="str">
        <f>IFERROR(__xludf.DUMMYFUNCTION("""COMPUTED_VALUE"""),"Father Account")</f>
        <v>Father Account</v>
      </c>
      <c r="C13" s="91" t="str">
        <f>IFERROR(__xludf.DUMMYFUNCTION("""COMPUTED_VALUE"""),"Bridge Mode")</f>
        <v>Bridge Mode</v>
      </c>
      <c r="D13" s="91" t="str">
        <f>IFERROR(__xludf.DUMMYFUNCTION("""COMPUTED_VALUE"""),"Code validation is not yet implemented in co-parent bridge mode.")</f>
        <v>Code validation is not yet implemented in co-parent bridge mode.</v>
      </c>
      <c r="E13" s="91" t="str">
        <f>IFERROR(__xludf.DUMMYFUNCTION("""COMPUTED_VALUE"""),"User need to use the app on their mobile device")</f>
        <v>User need to use the app on their mobile device</v>
      </c>
      <c r="F13" s="91" t="str">
        <f>IFERROR(__xludf.DUMMYFUNCTION("""COMPUTED_VALUE"""),"1. Open app
2. Login using valid credentials
3. Enter co-parent code")</f>
        <v>1. Open app
2. Login using valid credentials
3. Enter co-parent code</v>
      </c>
      <c r="G13" s="91" t="str">
        <f>IFERROR(__xludf.DUMMYFUNCTION("""COMPUTED_VALUE"""),"DAD user credential")</f>
        <v>DAD user credential</v>
      </c>
      <c r="H13" s="91" t="str">
        <f>IFERROR(__xludf.DUMMYFUNCTION("""COMPUTED_VALUE"""),"Code validation should be implemented ")</f>
        <v>Code validation should be implemented </v>
      </c>
      <c r="I13" s="91" t="str">
        <f>IFERROR(__xludf.DUMMYFUNCTION("""COMPUTED_VALUE"""),"Without invitation code validation, user can go to next step")</f>
        <v>Without invitation code validation, user can go to next step</v>
      </c>
      <c r="J13" s="91" t="str">
        <f>IFERROR(__xludf.DUMMYFUNCTION("""COMPUTED_VALUE"""),"Fail")</f>
        <v>Fail</v>
      </c>
      <c r="K13" s="91" t="str">
        <f>IFERROR(__xludf.DUMMYFUNCTION("""COMPUTED_VALUE"""),"High")</f>
        <v>High</v>
      </c>
      <c r="L13" s="92" t="str">
        <f>IFERROR(__xludf.DUMMYFUNCTION("""COMPUTED_VALUE"""),"020.mp4")</f>
        <v>020.mp4</v>
      </c>
      <c r="M13" s="91"/>
      <c r="N13" s="91"/>
      <c r="O13" s="91"/>
      <c r="P13" s="91"/>
      <c r="Q13" s="91" t="str">
        <f>IFERROR(__xludf.DUMMYFUNCTION("""COMPUTED_VALUE"""),"Fahad")</f>
        <v>Fahad</v>
      </c>
      <c r="R13" s="89"/>
      <c r="S13" s="89"/>
      <c r="T13" s="89"/>
      <c r="U13" s="89"/>
      <c r="V13" s="89"/>
      <c r="W13" s="89"/>
      <c r="X13" s="89"/>
      <c r="Y13" s="89"/>
      <c r="Z13" s="89"/>
      <c r="AA13" s="89"/>
    </row>
    <row r="14">
      <c r="A14" s="90" t="s">
        <v>274</v>
      </c>
      <c r="B14" s="91" t="str">
        <f>IFERROR(__xludf.DUMMYFUNCTION("""COMPUTED_VALUE"""),"Father Account")</f>
        <v>Father Account</v>
      </c>
      <c r="C14" s="91" t="str">
        <f>IFERROR(__xludf.DUMMYFUNCTION("""COMPUTED_VALUE"""),"Event")</f>
        <v>Event</v>
      </c>
      <c r="D14" s="91" t="str">
        <f>IFERROR(__xludf.DUMMYFUNCTION("""COMPUTED_VALUE"""),"Event scheduled for the entire day.")</f>
        <v>Event scheduled for the entire day.</v>
      </c>
      <c r="E14" s="91" t="str">
        <f>IFERROR(__xludf.DUMMYFUNCTION("""COMPUTED_VALUE"""),"User need to use the app on their mobile device")</f>
        <v>User need to use the app on their mobile device</v>
      </c>
      <c r="F14" s="91" t="str">
        <f>IFERROR(__xludf.DUMMYFUNCTION("""COMPUTED_VALUE"""),"1. Open app
2. Login with valid credentials
3. Set event in calender")</f>
        <v>1. Open app
2. Login with valid credentials
3. Set event in calender</v>
      </c>
      <c r="G14" s="91" t="str">
        <f>IFERROR(__xludf.DUMMYFUNCTION("""COMPUTED_VALUE"""),"DAD user credential")</f>
        <v>DAD user credential</v>
      </c>
      <c r="H14" s="91" t="str">
        <f>IFERROR(__xludf.DUMMYFUNCTION("""COMPUTED_VALUE"""),"Time and date should display properly")</f>
        <v>Time and date should display properly</v>
      </c>
      <c r="I14" s="91" t="str">
        <f>IFERROR(__xludf.DUMMYFUNCTION("""COMPUTED_VALUE"""),"Set all day as event time but in playcard it shows blank")</f>
        <v>Set all day as event time but in playcard it shows blank</v>
      </c>
      <c r="J14" s="91" t="str">
        <f>IFERROR(__xludf.DUMMYFUNCTION("""COMPUTED_VALUE"""),"Fail")</f>
        <v>Fail</v>
      </c>
      <c r="K14" s="91" t="str">
        <f>IFERROR(__xludf.DUMMYFUNCTION("""COMPUTED_VALUE"""),"Medium")</f>
        <v>Medium</v>
      </c>
      <c r="L14" s="92" t="str">
        <f>IFERROR(__xludf.DUMMYFUNCTION("""COMPUTED_VALUE"""),"029.png")</f>
        <v>029.png</v>
      </c>
      <c r="M14" s="91"/>
      <c r="N14" s="91"/>
      <c r="O14" s="91"/>
      <c r="P14" s="91"/>
      <c r="Q14" s="91" t="str">
        <f>IFERROR(__xludf.DUMMYFUNCTION("""COMPUTED_VALUE"""),"Fahad")</f>
        <v>Fahad</v>
      </c>
      <c r="R14" s="89"/>
      <c r="S14" s="89"/>
      <c r="T14" s="89"/>
      <c r="U14" s="89"/>
      <c r="V14" s="89"/>
      <c r="W14" s="89"/>
      <c r="X14" s="89"/>
      <c r="Y14" s="89"/>
      <c r="Z14" s="89"/>
      <c r="AA14" s="89"/>
    </row>
    <row r="15">
      <c r="A15" s="90" t="s">
        <v>280</v>
      </c>
      <c r="B15" s="91" t="str">
        <f>IFERROR(__xludf.DUMMYFUNCTION("""COMPUTED_VALUE"""),"Father Account")</f>
        <v>Father Account</v>
      </c>
      <c r="C15" s="91" t="str">
        <f>IFERROR(__xludf.DUMMYFUNCTION("""COMPUTED_VALUE"""),"Event")</f>
        <v>Event</v>
      </c>
      <c r="D15" s="91" t="str">
        <f>IFERROR(__xludf.DUMMYFUNCTION("""COMPUTED_VALUE"""),"Can set the event to reverse time. Logical error")</f>
        <v>Can set the event to reverse time. Logical error</v>
      </c>
      <c r="E15" s="91" t="str">
        <f>IFERROR(__xludf.DUMMYFUNCTION("""COMPUTED_VALUE"""),"User need to use the app on their mobile device")</f>
        <v>User need to use the app on their mobile device</v>
      </c>
      <c r="F15" s="91" t="str">
        <f>IFERROR(__xludf.DUMMYFUNCTION("""COMPUTED_VALUE"""),"1. Open app
2. Login with valid credentials
3. Set event in calender")</f>
        <v>1. Open app
2. Login with valid credentials
3. Set event in calender</v>
      </c>
      <c r="G15" s="91" t="str">
        <f>IFERROR(__xludf.DUMMYFUNCTION("""COMPUTED_VALUE"""),"DAD user credential")</f>
        <v>DAD user credential</v>
      </c>
      <c r="H15" s="91" t="str">
        <f>IFERROR(__xludf.DUMMYFUNCTION("""COMPUTED_VALUE"""),"start time should be smaller than end time")</f>
        <v>start time should be smaller than end time</v>
      </c>
      <c r="I15" s="91" t="str">
        <f>IFERROR(__xludf.DUMMYFUNCTION("""COMPUTED_VALUE"""),"Can set event end time before event start time")</f>
        <v>Can set event end time before event start time</v>
      </c>
      <c r="J15" s="91" t="str">
        <f>IFERROR(__xludf.DUMMYFUNCTION("""COMPUTED_VALUE"""),"Fail")</f>
        <v>Fail</v>
      </c>
      <c r="K15" s="91" t="str">
        <f>IFERROR(__xludf.DUMMYFUNCTION("""COMPUTED_VALUE"""),"Medium")</f>
        <v>Medium</v>
      </c>
      <c r="L15" s="92" t="str">
        <f>IFERROR(__xludf.DUMMYFUNCTION("""COMPUTED_VALUE"""),"030.png")</f>
        <v>030.png</v>
      </c>
      <c r="M15" s="91"/>
      <c r="N15" s="91"/>
      <c r="O15" s="91"/>
      <c r="P15" s="91"/>
      <c r="Q15" s="91" t="str">
        <f>IFERROR(__xludf.DUMMYFUNCTION("""COMPUTED_VALUE"""),"Fahad")</f>
        <v>Fahad</v>
      </c>
      <c r="R15" s="89"/>
      <c r="S15" s="89"/>
      <c r="T15" s="89"/>
      <c r="U15" s="89"/>
      <c r="V15" s="89"/>
      <c r="W15" s="89"/>
      <c r="X15" s="89"/>
      <c r="Y15" s="89"/>
      <c r="Z15" s="89"/>
      <c r="AA15" s="89"/>
    </row>
    <row r="16">
      <c r="A16" s="90" t="s">
        <v>286</v>
      </c>
      <c r="B16" s="91" t="str">
        <f>IFERROR(__xludf.DUMMYFUNCTION("""COMPUTED_VALUE"""),"Father Account")</f>
        <v>Father Account</v>
      </c>
      <c r="C16" s="91" t="str">
        <f>IFERROR(__xludf.DUMMYFUNCTION("""COMPUTED_VALUE"""),"Event")</f>
        <v>Event</v>
      </c>
      <c r="D16" s="91" t="str">
        <f>IFERROR(__xludf.DUMMYFUNCTION("""COMPUTED_VALUE"""),"Event doesn’t update dynamically when it’s created and the user is logged in.")</f>
        <v>Event doesn’t update dynamically when it’s created and the user is logged in.</v>
      </c>
      <c r="E16" s="91" t="str">
        <f>IFERROR(__xludf.DUMMYFUNCTION("""COMPUTED_VALUE"""),"User need to use the app on their mobile device")</f>
        <v>User need to use the app on their mobile device</v>
      </c>
      <c r="F16" s="91" t="str">
        <f>IFERROR(__xludf.DUMMYFUNCTION("""COMPUTED_VALUE"""),"1. Open app
2. Login with valid credentials
3. Set event in calender")</f>
        <v>1. Open app
2. Login with valid credentials
3. Set event in calender</v>
      </c>
      <c r="G16" s="91" t="str">
        <f>IFERROR(__xludf.DUMMYFUNCTION("""COMPUTED_VALUE"""),"DAD user credential")</f>
        <v>DAD user credential</v>
      </c>
      <c r="H16" s="91" t="str">
        <f>IFERROR(__xludf.DUMMYFUNCTION("""COMPUTED_VALUE"""),"Event should update dynamically with a notification popup.")</f>
        <v>Event should update dynamically with a notification popup.</v>
      </c>
      <c r="I16" s="91" t="str">
        <f>IFERROR(__xludf.DUMMYFUNCTION("""COMPUTED_VALUE"""),"No popup is displayed, and the event doesn’t update dynamically.")</f>
        <v>No popup is displayed, and the event doesn’t update dynamically.</v>
      </c>
      <c r="J16" s="91" t="str">
        <f>IFERROR(__xludf.DUMMYFUNCTION("""COMPUTED_VALUE"""),"Fail")</f>
        <v>Fail</v>
      </c>
      <c r="K16" s="91" t="str">
        <f>IFERROR(__xludf.DUMMYFUNCTION("""COMPUTED_VALUE"""),"High")</f>
        <v>High</v>
      </c>
      <c r="L16" s="92" t="str">
        <f>IFERROR(__xludf.DUMMYFUNCTION("""COMPUTED_VALUE"""),"031.png")</f>
        <v>031.png</v>
      </c>
      <c r="M16" s="91"/>
      <c r="N16" s="91"/>
      <c r="O16" s="91"/>
      <c r="P16" s="91"/>
      <c r="Q16" s="91" t="str">
        <f>IFERROR(__xludf.DUMMYFUNCTION("""COMPUTED_VALUE"""),"Fahad")</f>
        <v>Fahad</v>
      </c>
      <c r="R16" s="89"/>
      <c r="S16" s="89"/>
      <c r="T16" s="89"/>
      <c r="U16" s="89"/>
      <c r="V16" s="89"/>
      <c r="W16" s="89"/>
      <c r="X16" s="89"/>
      <c r="Y16" s="89"/>
      <c r="Z16" s="89"/>
      <c r="AA16" s="89"/>
    </row>
    <row r="17">
      <c r="A17" s="90" t="s">
        <v>292</v>
      </c>
      <c r="B17" s="91" t="str">
        <f>IFERROR(__xludf.DUMMYFUNCTION("""COMPUTED_VALUE"""),"Father Account")</f>
        <v>Father Account</v>
      </c>
      <c r="C17" s="91" t="str">
        <f>IFERROR(__xludf.DUMMYFUNCTION("""COMPUTED_VALUE"""),"Event")</f>
        <v>Event</v>
      </c>
      <c r="D17" s="91" t="str">
        <f>IFERROR(__xludf.DUMMYFUNCTION("""COMPUTED_VALUE"""),"Difference between a real device and an emulator, must be precise")</f>
        <v>Difference between a real device and an emulator, must be precise</v>
      </c>
      <c r="E17" s="91" t="str">
        <f>IFERROR(__xludf.DUMMYFUNCTION("""COMPUTED_VALUE"""),"User need to use the app on their mobile device")</f>
        <v>User need to use the app on their mobile device</v>
      </c>
      <c r="F17" s="91" t="str">
        <f>IFERROR(__xludf.DUMMYFUNCTION("""COMPUTED_VALUE"""),"1. Open app
2. Login with valid credentials
3. Set event in calender")</f>
        <v>1. Open app
2. Login with valid credentials
3. Set event in calender</v>
      </c>
      <c r="G17" s="91" t="str">
        <f>IFERROR(__xludf.DUMMYFUNCTION("""COMPUTED_VALUE"""),"DAD user credential")</f>
        <v>DAD user credential</v>
      </c>
      <c r="H17" s="91" t="str">
        <f>IFERROR(__xludf.DUMMYFUNCTION("""COMPUTED_VALUE"""),"Design should be as same as figma")</f>
        <v>Design should be as same as figma</v>
      </c>
      <c r="I17" s="91" t="str">
        <f>IFERROR(__xludf.DUMMYFUNCTION("""COMPUTED_VALUE"""),"Difference in app on button has been noticed")</f>
        <v>Difference in app on button has been noticed</v>
      </c>
      <c r="J17" s="91" t="str">
        <f>IFERROR(__xludf.DUMMYFUNCTION("""COMPUTED_VALUE"""),"Fail")</f>
        <v>Fail</v>
      </c>
      <c r="K17" s="91" t="str">
        <f>IFERROR(__xludf.DUMMYFUNCTION("""COMPUTED_VALUE"""),"Medium")</f>
        <v>Medium</v>
      </c>
      <c r="L17" s="92" t="str">
        <f>IFERROR(__xludf.DUMMYFUNCTION("""COMPUTED_VALUE"""),"032.png")</f>
        <v>032.png</v>
      </c>
      <c r="M17" s="91"/>
      <c r="N17" s="91"/>
      <c r="O17" s="91"/>
      <c r="P17" s="91"/>
      <c r="Q17" s="91" t="str">
        <f>IFERROR(__xludf.DUMMYFUNCTION("""COMPUTED_VALUE"""),"Fahad")</f>
        <v>Fahad</v>
      </c>
      <c r="R17" s="89"/>
      <c r="S17" s="89"/>
      <c r="T17" s="89"/>
      <c r="U17" s="89"/>
      <c r="V17" s="89"/>
      <c r="W17" s="89"/>
      <c r="X17" s="89"/>
      <c r="Y17" s="89"/>
      <c r="Z17" s="89"/>
      <c r="AA17" s="89"/>
    </row>
    <row r="18">
      <c r="A18" s="90" t="s">
        <v>298</v>
      </c>
      <c r="B18" s="91" t="str">
        <f>IFERROR(__xludf.DUMMYFUNCTION("""COMPUTED_VALUE"""),"Father Account")</f>
        <v>Father Account</v>
      </c>
      <c r="C18" s="91" t="str">
        <f>IFERROR(__xludf.DUMMYFUNCTION("""COMPUTED_VALUE"""),"Expense")</f>
        <v>Expense</v>
      </c>
      <c r="D18" s="91" t="str">
        <f>IFERROR(__xludf.DUMMYFUNCTION("""COMPUTED_VALUE"""),"Failed to close the popup box by clicking on a random spot on the page.")</f>
        <v>Failed to close the popup box by clicking on a random spot on the page.</v>
      </c>
      <c r="E18" s="91" t="str">
        <f>IFERROR(__xludf.DUMMYFUNCTION("""COMPUTED_VALUE"""),"User need to use the app on their mobile device")</f>
        <v>User need to use the app on their mobile device</v>
      </c>
      <c r="F18" s="91" t="str">
        <f>IFERROR(__xludf.DUMMYFUNCTION("""COMPUTED_VALUE"""),"1. Open app
2. Login with valid credentials
3. Click on expense")</f>
        <v>1. Open app
2. Login with valid credentials
3. Click on expense</v>
      </c>
      <c r="G18" s="91" t="str">
        <f>IFERROR(__xludf.DUMMYFUNCTION("""COMPUTED_VALUE"""),"DAD user credential")</f>
        <v>DAD user credential</v>
      </c>
      <c r="H18" s="91" t="str">
        <f>IFERROR(__xludf.DUMMYFUNCTION("""COMPUTED_VALUE"""),"Dialouge box should close when user clicks on random site than dialouge box")</f>
        <v>Dialouge box should close when user clicks on random site than dialouge box</v>
      </c>
      <c r="I18" s="91" t="str">
        <f>IFERROR(__xludf.DUMMYFUNCTION("""COMPUTED_VALUE"""),"Failed to close the dialogue box by clicking on random places other than the dialogue box.")</f>
        <v>Failed to close the dialogue box by clicking on random places other than the dialogue box.</v>
      </c>
      <c r="J18" s="91" t="str">
        <f>IFERROR(__xludf.DUMMYFUNCTION("""COMPUTED_VALUE"""),"Fail")</f>
        <v>Fail</v>
      </c>
      <c r="K18" s="91" t="str">
        <f>IFERROR(__xludf.DUMMYFUNCTION("""COMPUTED_VALUE"""),"Medium")</f>
        <v>Medium</v>
      </c>
      <c r="L18" s="92" t="str">
        <f>IFERROR(__xludf.DUMMYFUNCTION("""COMPUTED_VALUE"""),"033.mp4")</f>
        <v>033.mp4</v>
      </c>
      <c r="M18" s="91"/>
      <c r="N18" s="91"/>
      <c r="O18" s="91"/>
      <c r="P18" s="91"/>
      <c r="Q18" s="91" t="str">
        <f>IFERROR(__xludf.DUMMYFUNCTION("""COMPUTED_VALUE"""),"Fahad")</f>
        <v>Fahad</v>
      </c>
      <c r="R18" s="89"/>
      <c r="S18" s="89"/>
      <c r="T18" s="89"/>
      <c r="U18" s="89"/>
      <c r="V18" s="89"/>
      <c r="W18" s="89"/>
      <c r="X18" s="89"/>
      <c r="Y18" s="89"/>
      <c r="Z18" s="89"/>
      <c r="AA18" s="89"/>
    </row>
    <row r="19">
      <c r="A19" s="90" t="s">
        <v>304</v>
      </c>
      <c r="B19" s="91" t="str">
        <f>IFERROR(__xludf.DUMMYFUNCTION("""COMPUTED_VALUE"""),"Father Account")</f>
        <v>Father Account</v>
      </c>
      <c r="C19" s="91" t="str">
        <f>IFERROR(__xludf.DUMMYFUNCTION("""COMPUTED_VALUE"""),"Expense")</f>
        <v>Expense</v>
      </c>
      <c r="D19" s="91" t="str">
        <f>IFERROR(__xludf.DUMMYFUNCTION("""COMPUTED_VALUE"""),"Different font style used")</f>
        <v>Different font style used</v>
      </c>
      <c r="E19" s="91" t="str">
        <f>IFERROR(__xludf.DUMMYFUNCTION("""COMPUTED_VALUE"""),"User need to use the app on their mobile device")</f>
        <v>User need to use the app on their mobile device</v>
      </c>
      <c r="F19" s="91" t="str">
        <f>IFERROR(__xludf.DUMMYFUNCTION("""COMPUTED_VALUE"""),"1. Open app
2. Login with valid credentials
3. Click on expense")</f>
        <v>1. Open app
2. Login with valid credentials
3. Click on expense</v>
      </c>
      <c r="G19" s="91" t="str">
        <f>IFERROR(__xludf.DUMMYFUNCTION("""COMPUTED_VALUE"""),"DAD user credential")</f>
        <v>DAD user credential</v>
      </c>
      <c r="H19" s="91" t="str">
        <f>IFERROR(__xludf.DUMMYFUNCTION("""COMPUTED_VALUE"""),"All text font should be same ")</f>
        <v>All text font should be same </v>
      </c>
      <c r="I19" s="91" t="str">
        <f>IFERROR(__xludf.DUMMYFUNCTION("""COMPUTED_VALUE"""),"Different font used ")</f>
        <v>Different font used </v>
      </c>
      <c r="J19" s="91" t="str">
        <f>IFERROR(__xludf.DUMMYFUNCTION("""COMPUTED_VALUE"""),"Fail")</f>
        <v>Fail</v>
      </c>
      <c r="K19" s="91" t="str">
        <f>IFERROR(__xludf.DUMMYFUNCTION("""COMPUTED_VALUE"""),"Low")</f>
        <v>Low</v>
      </c>
      <c r="L19" s="92" t="str">
        <f>IFERROR(__xludf.DUMMYFUNCTION("""COMPUTED_VALUE"""),"034.png")</f>
        <v>034.png</v>
      </c>
      <c r="M19" s="91"/>
      <c r="N19" s="91"/>
      <c r="O19" s="91"/>
      <c r="P19" s="91"/>
      <c r="Q19" s="91" t="str">
        <f>IFERROR(__xludf.DUMMYFUNCTION("""COMPUTED_VALUE"""),"Fahad")</f>
        <v>Fahad</v>
      </c>
      <c r="R19" s="89"/>
      <c r="S19" s="89"/>
      <c r="T19" s="89"/>
      <c r="U19" s="89"/>
      <c r="V19" s="89"/>
      <c r="W19" s="89"/>
      <c r="X19" s="89"/>
      <c r="Y19" s="89"/>
      <c r="Z19" s="89"/>
      <c r="AA19" s="89"/>
    </row>
    <row r="20">
      <c r="A20" s="90" t="s">
        <v>310</v>
      </c>
      <c r="B20" s="91" t="str">
        <f>IFERROR(__xludf.DUMMYFUNCTION("""COMPUTED_VALUE"""),"Father Account")</f>
        <v>Father Account</v>
      </c>
      <c r="C20" s="91" t="str">
        <f>IFERROR(__xludf.DUMMYFUNCTION("""COMPUTED_VALUE"""),"Expense")</f>
        <v>Expense</v>
      </c>
      <c r="D20" s="91" t="str">
        <f>IFERROR(__xludf.DUMMYFUNCTION("""COMPUTED_VALUE"""),"Alignment broke when selecting catagory")</f>
        <v>Alignment broke when selecting catagory</v>
      </c>
      <c r="E20" s="91" t="str">
        <f>IFERROR(__xludf.DUMMYFUNCTION("""COMPUTED_VALUE"""),"User need to use the app on their mobile device")</f>
        <v>User need to use the app on their mobile device</v>
      </c>
      <c r="F20" s="91" t="str">
        <f>IFERROR(__xludf.DUMMYFUNCTION("""COMPUTED_VALUE"""),"1. Open app
2. Login with valid credentials
3. Click on expense")</f>
        <v>1. Open app
2. Login with valid credentials
3. Click on expense</v>
      </c>
      <c r="G20" s="91" t="str">
        <f>IFERROR(__xludf.DUMMYFUNCTION("""COMPUTED_VALUE"""),"DAD user credential")</f>
        <v>DAD user credential</v>
      </c>
      <c r="H20" s="91" t="str">
        <f>IFERROR(__xludf.DUMMYFUNCTION("""COMPUTED_VALUE"""),"Alignment and design should be same ")</f>
        <v>Alignment and design should be same </v>
      </c>
      <c r="I20" s="91" t="str">
        <f>IFERROR(__xludf.DUMMYFUNCTION("""COMPUTED_VALUE"""),"Broken alignment has been noticed when selecting catagory")</f>
        <v>Broken alignment has been noticed when selecting catagory</v>
      </c>
      <c r="J20" s="91" t="str">
        <f>IFERROR(__xludf.DUMMYFUNCTION("""COMPUTED_VALUE"""),"Fail")</f>
        <v>Fail</v>
      </c>
      <c r="K20" s="91" t="str">
        <f>IFERROR(__xludf.DUMMYFUNCTION("""COMPUTED_VALUE"""),"Medium")</f>
        <v>Medium</v>
      </c>
      <c r="L20" s="92" t="str">
        <f>IFERROR(__xludf.DUMMYFUNCTION("""COMPUTED_VALUE"""),"035.png")</f>
        <v>035.png</v>
      </c>
      <c r="M20" s="91"/>
      <c r="N20" s="91"/>
      <c r="O20" s="91"/>
      <c r="P20" s="91"/>
      <c r="Q20" s="91" t="str">
        <f>IFERROR(__xludf.DUMMYFUNCTION("""COMPUTED_VALUE"""),"Fahad")</f>
        <v>Fahad</v>
      </c>
      <c r="R20" s="89"/>
      <c r="S20" s="89"/>
      <c r="T20" s="89"/>
      <c r="U20" s="89"/>
      <c r="V20" s="89"/>
      <c r="W20" s="89"/>
      <c r="X20" s="89"/>
      <c r="Y20" s="89"/>
      <c r="Z20" s="89"/>
      <c r="AA20" s="89"/>
    </row>
    <row r="21">
      <c r="A21" s="90" t="s">
        <v>318</v>
      </c>
      <c r="B21" s="91" t="str">
        <f>IFERROR(__xludf.DUMMYFUNCTION("""COMPUTED_VALUE"""),"Father Account")</f>
        <v>Father Account</v>
      </c>
      <c r="C21" s="91" t="str">
        <f>IFERROR(__xludf.DUMMYFUNCTION("""COMPUTED_VALUE"""),"Expense")</f>
        <v>Expense</v>
      </c>
      <c r="D21" s="91" t="str">
        <f>IFERROR(__xludf.DUMMYFUNCTION("""COMPUTED_VALUE"""),"Flow broken")</f>
        <v>Flow broken</v>
      </c>
      <c r="E21" s="91" t="str">
        <f>IFERROR(__xludf.DUMMYFUNCTION("""COMPUTED_VALUE"""),"User need to use the app on their mobile device")</f>
        <v>User need to use the app on their mobile device</v>
      </c>
      <c r="F21" s="91" t="str">
        <f>IFERROR(__xludf.DUMMYFUNCTION("""COMPUTED_VALUE"""),"1. Open app
2. Login with valid credentials
3. Click on expense")</f>
        <v>1. Open app
2. Login with valid credentials
3. Click on expense</v>
      </c>
      <c r="G21" s="91" t="str">
        <f>IFERROR(__xludf.DUMMYFUNCTION("""COMPUTED_VALUE"""),"DAD user credential")</f>
        <v>DAD user credential</v>
      </c>
      <c r="H21" s="91" t="str">
        <f>IFERROR(__xludf.DUMMYFUNCTION("""COMPUTED_VALUE"""),"There should be a validation process between two parents, where one submits a request and the other has the authority to approve or reject it. Additionally, a double validation should be implemented to verify whether the requested amount has been paid or "&amp;"not.")</f>
        <v>There should be a validation process between two parents, where one submits a request and the other has the authority to approve or reject it. Additionally, a double validation should be implemented to verify whether the requested amount has been paid or not.</v>
      </c>
      <c r="I21" s="91" t="str">
        <f>IFERROR(__xludf.DUMMYFUNCTION("""COMPUTED_VALUE"""),"Add expense and manage flow broken")</f>
        <v>Add expense and manage flow broken</v>
      </c>
      <c r="J21" s="91" t="str">
        <f>IFERROR(__xludf.DUMMYFUNCTION("""COMPUTED_VALUE"""),"Fail")</f>
        <v>Fail</v>
      </c>
      <c r="K21" s="91" t="str">
        <f>IFERROR(__xludf.DUMMYFUNCTION("""COMPUTED_VALUE"""),"High")</f>
        <v>High</v>
      </c>
      <c r="L21" s="92" t="str">
        <f>IFERROR(__xludf.DUMMYFUNCTION("""COMPUTED_VALUE"""),"036.png")</f>
        <v>036.png</v>
      </c>
      <c r="M21" s="91"/>
      <c r="N21" s="91"/>
      <c r="O21" s="91"/>
      <c r="P21" s="91"/>
      <c r="Q21" s="91" t="str">
        <f>IFERROR(__xludf.DUMMYFUNCTION("""COMPUTED_VALUE"""),"Fahad")</f>
        <v>Fahad</v>
      </c>
      <c r="R21" s="89"/>
      <c r="S21" s="89"/>
      <c r="T21" s="89"/>
      <c r="U21" s="89"/>
      <c r="V21" s="89"/>
      <c r="W21" s="89"/>
      <c r="X21" s="89"/>
      <c r="Y21" s="89"/>
      <c r="Z21" s="89"/>
      <c r="AA21" s="89"/>
    </row>
    <row r="22">
      <c r="A22" s="90" t="s">
        <v>324</v>
      </c>
      <c r="B22" s="91" t="str">
        <f>IFERROR(__xludf.DUMMYFUNCTION("""COMPUTED_VALUE"""),"Father Account")</f>
        <v>Father Account</v>
      </c>
      <c r="C22" s="91" t="str">
        <f>IFERROR(__xludf.DUMMYFUNCTION("""COMPUTED_VALUE"""),"Expense")</f>
        <v>Expense</v>
      </c>
      <c r="D22" s="91" t="str">
        <f>IFERROR(__xludf.DUMMYFUNCTION("""COMPUTED_VALUE"""),"All expenses are listed under the ""Paid"" category, but they don’t appear in the ""Approved"" tab.")</f>
        <v>All expenses are listed under the "Paid" category, but they don’t appear in the "Approved" tab.</v>
      </c>
      <c r="E22" s="91" t="str">
        <f>IFERROR(__xludf.DUMMYFUNCTION("""COMPUTED_VALUE"""),"User need to use the app on their mobile device")</f>
        <v>User need to use the app on their mobile device</v>
      </c>
      <c r="F22" s="91" t="str">
        <f>IFERROR(__xludf.DUMMYFUNCTION("""COMPUTED_VALUE"""),"1. Open app
2. Login with valid credentials
3. Click on expense")</f>
        <v>1. Open app
2. Login with valid credentials
3. Click on expense</v>
      </c>
      <c r="G22" s="91" t="str">
        <f>IFERROR(__xludf.DUMMYFUNCTION("""COMPUTED_VALUE"""),"DAD user credential")</f>
        <v>DAD user credential</v>
      </c>
      <c r="H22" s="91" t="str">
        <f>IFERROR(__xludf.DUMMYFUNCTION("""COMPUTED_VALUE"""),"Expenses should be validated on both sides for authenticity.")</f>
        <v>Expenses should be validated on both sides for authenticity.</v>
      </c>
      <c r="I22" s="91" t="str">
        <f>IFERROR(__xludf.DUMMYFUNCTION("""COMPUTED_VALUE"""),"Missing approve/reject on co-parent account ")</f>
        <v>Missing approve/reject on co-parent account </v>
      </c>
      <c r="J22" s="91" t="str">
        <f>IFERROR(__xludf.DUMMYFUNCTION("""COMPUTED_VALUE"""),"Fail")</f>
        <v>Fail</v>
      </c>
      <c r="K22" s="91" t="str">
        <f>IFERROR(__xludf.DUMMYFUNCTION("""COMPUTED_VALUE"""),"High")</f>
        <v>High</v>
      </c>
      <c r="L22" s="92" t="str">
        <f>IFERROR(__xludf.DUMMYFUNCTION("""COMPUTED_VALUE"""),"037.mp4")</f>
        <v>037.mp4</v>
      </c>
      <c r="M22" s="91"/>
      <c r="N22" s="91"/>
      <c r="O22" s="91"/>
      <c r="P22" s="91"/>
      <c r="Q22" s="91" t="str">
        <f>IFERROR(__xludf.DUMMYFUNCTION("""COMPUTED_VALUE"""),"Fahad")</f>
        <v>Fahad</v>
      </c>
      <c r="R22" s="89"/>
      <c r="S22" s="89"/>
      <c r="T22" s="89"/>
      <c r="U22" s="89"/>
      <c r="V22" s="89"/>
      <c r="W22" s="89"/>
      <c r="X22" s="89"/>
      <c r="Y22" s="89"/>
      <c r="Z22" s="89"/>
      <c r="AA22" s="89"/>
    </row>
    <row r="23">
      <c r="A23" s="90" t="s">
        <v>330</v>
      </c>
      <c r="B23" s="91" t="str">
        <f>IFERROR(__xludf.DUMMYFUNCTION("""COMPUTED_VALUE"""),"Father Account")</f>
        <v>Father Account</v>
      </c>
      <c r="C23" s="91" t="str">
        <f>IFERROR(__xludf.DUMMYFUNCTION("""COMPUTED_VALUE"""),"Expense")</f>
        <v>Expense</v>
      </c>
      <c r="D23" s="91" t="str">
        <f>IFERROR(__xludf.DUMMYFUNCTION("""COMPUTED_VALUE"""),"Expense spent in August but showing in September")</f>
        <v>Expense spent in August but showing in September</v>
      </c>
      <c r="E23" s="91" t="str">
        <f>IFERROR(__xludf.DUMMYFUNCTION("""COMPUTED_VALUE"""),"User need to use the app on their mobile device")</f>
        <v>User need to use the app on their mobile device</v>
      </c>
      <c r="F23" s="91" t="str">
        <f>IFERROR(__xludf.DUMMYFUNCTION("""COMPUTED_VALUE"""),"1. Open app
2. Login with valid credentials
3. Click on expense")</f>
        <v>1. Open app
2. Login with valid credentials
3. Click on expense</v>
      </c>
      <c r="G23" s="91" t="str">
        <f>IFERROR(__xludf.DUMMYFUNCTION("""COMPUTED_VALUE"""),"DAD user credential")</f>
        <v>DAD user credential</v>
      </c>
      <c r="H23" s="91" t="str">
        <f>IFERROR(__xludf.DUMMYFUNCTION("""COMPUTED_VALUE"""),"Expense month should be shown correctly.")</f>
        <v>Expense month should be shown correctly.</v>
      </c>
      <c r="I23" s="91" t="str">
        <f>IFERROR(__xludf.DUMMYFUNCTION("""COMPUTED_VALUE"""),"August expenses are showing under the September month.")</f>
        <v>August expenses are showing under the September month.</v>
      </c>
      <c r="J23" s="91" t="str">
        <f>IFERROR(__xludf.DUMMYFUNCTION("""COMPUTED_VALUE"""),"Fail")</f>
        <v>Fail</v>
      </c>
      <c r="K23" s="91" t="str">
        <f>IFERROR(__xludf.DUMMYFUNCTION("""COMPUTED_VALUE"""),"High")</f>
        <v>High</v>
      </c>
      <c r="L23" s="92" t="str">
        <f>IFERROR(__xludf.DUMMYFUNCTION("""COMPUTED_VALUE"""),"038.mp4")</f>
        <v>038.mp4</v>
      </c>
      <c r="M23" s="91"/>
      <c r="N23" s="91"/>
      <c r="O23" s="91"/>
      <c r="P23" s="91"/>
      <c r="Q23" s="91" t="str">
        <f>IFERROR(__xludf.DUMMYFUNCTION("""COMPUTED_VALUE"""),"Fahad")</f>
        <v>Fahad</v>
      </c>
      <c r="R23" s="89"/>
      <c r="S23" s="89"/>
      <c r="T23" s="89"/>
      <c r="U23" s="89"/>
      <c r="V23" s="89"/>
      <c r="W23" s="89"/>
      <c r="X23" s="89"/>
      <c r="Y23" s="89"/>
      <c r="Z23" s="89"/>
      <c r="AA23" s="89"/>
    </row>
    <row r="24">
      <c r="A24" s="90" t="s">
        <v>336</v>
      </c>
      <c r="B24" s="91" t="str">
        <f>IFERROR(__xludf.DUMMYFUNCTION("""COMPUTED_VALUE"""),"Father Account")</f>
        <v>Father Account</v>
      </c>
      <c r="C24" s="91" t="str">
        <f>IFERROR(__xludf.DUMMYFUNCTION("""COMPUTED_VALUE"""),"Expense")</f>
        <v>Expense</v>
      </c>
      <c r="D24" s="91" t="str">
        <f>IFERROR(__xludf.DUMMYFUNCTION("""COMPUTED_VALUE"""),"Not all categories are showing in the filter section.")</f>
        <v>Not all categories are showing in the filter section.</v>
      </c>
      <c r="E24" s="91" t="str">
        <f>IFERROR(__xludf.DUMMYFUNCTION("""COMPUTED_VALUE"""),"User need to use the app on their mobile device")</f>
        <v>User need to use the app on their mobile device</v>
      </c>
      <c r="F24" s="91" t="str">
        <f>IFERROR(__xludf.DUMMYFUNCTION("""COMPUTED_VALUE"""),"1. Open app
2. Login with valid credentials
3. Click on expense")</f>
        <v>1. Open app
2. Login with valid credentials
3. Click on expense</v>
      </c>
      <c r="G24" s="91" t="str">
        <f>IFERROR(__xludf.DUMMYFUNCTION("""COMPUTED_VALUE"""),"DAD user credential")</f>
        <v>DAD user credential</v>
      </c>
      <c r="H24" s="91" t="str">
        <f>IFERROR(__xludf.DUMMYFUNCTION("""COMPUTED_VALUE"""),"All categories should be displayed to address the filter issue.")</f>
        <v>All categories should be displayed to address the filter issue.</v>
      </c>
      <c r="I24" s="91" t="str">
        <f>IFERROR(__xludf.DUMMYFUNCTION("""COMPUTED_VALUE"""),"Only a limited number of categories are shown for filtering.")</f>
        <v>Only a limited number of categories are shown for filtering.</v>
      </c>
      <c r="J24" s="91" t="str">
        <f>IFERROR(__xludf.DUMMYFUNCTION("""COMPUTED_VALUE"""),"Fail")</f>
        <v>Fail</v>
      </c>
      <c r="K24" s="91" t="str">
        <f>IFERROR(__xludf.DUMMYFUNCTION("""COMPUTED_VALUE"""),"Medium")</f>
        <v>Medium</v>
      </c>
      <c r="L24" s="92" t="str">
        <f>IFERROR(__xludf.DUMMYFUNCTION("""COMPUTED_VALUE"""),"039.png")</f>
        <v>039.png</v>
      </c>
      <c r="M24" s="91"/>
      <c r="N24" s="91"/>
      <c r="O24" s="91"/>
      <c r="P24" s="91"/>
      <c r="Q24" s="91" t="str">
        <f>IFERROR(__xludf.DUMMYFUNCTION("""COMPUTED_VALUE"""),"Fahad")</f>
        <v>Fahad</v>
      </c>
      <c r="R24" s="89"/>
      <c r="S24" s="89"/>
      <c r="T24" s="89"/>
      <c r="U24" s="89"/>
      <c r="V24" s="89"/>
      <c r="W24" s="89"/>
      <c r="X24" s="89"/>
      <c r="Y24" s="89"/>
      <c r="Z24" s="89"/>
      <c r="AA24" s="89"/>
    </row>
    <row r="25">
      <c r="A25" s="90" t="s">
        <v>342</v>
      </c>
      <c r="B25" s="91" t="str">
        <f>IFERROR(__xludf.DUMMYFUNCTION("""COMPUTED_VALUE"""),"Father Account")</f>
        <v>Father Account</v>
      </c>
      <c r="C25" s="91" t="str">
        <f>IFERROR(__xludf.DUMMYFUNCTION("""COMPUTED_VALUE"""),"Expense")</f>
        <v>Expense</v>
      </c>
      <c r="D25" s="91" t="str">
        <f>IFERROR(__xludf.DUMMYFUNCTION("""COMPUTED_VALUE"""),"Calculation error was found, as the total spend is $170 and each share amounts to $85.")</f>
        <v>Calculation error was found, as the total spend is $170 and each share amounts to $85.</v>
      </c>
      <c r="E25" s="91" t="str">
        <f>IFERROR(__xludf.DUMMYFUNCTION("""COMPUTED_VALUE"""),"User need to use the app on their mobile device")</f>
        <v>User need to use the app on their mobile device</v>
      </c>
      <c r="F25" s="91" t="str">
        <f>IFERROR(__xludf.DUMMYFUNCTION("""COMPUTED_VALUE"""),"1. Open app
2. Login with valid credentials
3. Click on expense")</f>
        <v>1. Open app
2. Login with valid credentials
3. Click on expense</v>
      </c>
      <c r="G25" s="91" t="str">
        <f>IFERROR(__xludf.DUMMYFUNCTION("""COMPUTED_VALUE"""),"DAD user credential")</f>
        <v>DAD user credential</v>
      </c>
      <c r="H25" s="91" t="str">
        <f>IFERROR(__xludf.DUMMYFUNCTION("""COMPUTED_VALUE"""),"Calculation needs to be accurate.")</f>
        <v>Calculation needs to be accurate.</v>
      </c>
      <c r="I25" s="91" t="str">
        <f>IFERROR(__xludf.DUMMYFUNCTION("""COMPUTED_VALUE"""),"Calculation error has been noticed")</f>
        <v>Calculation error has been noticed</v>
      </c>
      <c r="J25" s="91" t="str">
        <f>IFERROR(__xludf.DUMMYFUNCTION("""COMPUTED_VALUE"""),"Fail")</f>
        <v>Fail</v>
      </c>
      <c r="K25" s="91" t="str">
        <f>IFERROR(__xludf.DUMMYFUNCTION("""COMPUTED_VALUE"""),"High")</f>
        <v>High</v>
      </c>
      <c r="L25" s="92" t="str">
        <f>IFERROR(__xludf.DUMMYFUNCTION("""COMPUTED_VALUE"""),"040.png")</f>
        <v>040.png</v>
      </c>
      <c r="M25" s="91"/>
      <c r="N25" s="91"/>
      <c r="O25" s="91"/>
      <c r="P25" s="91"/>
      <c r="Q25" s="91" t="str">
        <f>IFERROR(__xludf.DUMMYFUNCTION("""COMPUTED_VALUE"""),"Fahad")</f>
        <v>Fahad</v>
      </c>
      <c r="R25" s="89"/>
      <c r="S25" s="89"/>
      <c r="T25" s="89"/>
      <c r="U25" s="89"/>
      <c r="V25" s="89"/>
      <c r="W25" s="89"/>
      <c r="X25" s="89"/>
      <c r="Y25" s="89"/>
      <c r="Z25" s="89"/>
      <c r="AA25" s="89"/>
    </row>
    <row r="26">
      <c r="A26" s="90" t="s">
        <v>348</v>
      </c>
      <c r="B26" s="91" t="str">
        <f>IFERROR(__xludf.DUMMYFUNCTION("""COMPUTED_VALUE"""),"Father Account")</f>
        <v>Father Account</v>
      </c>
      <c r="C26" s="91" t="str">
        <f>IFERROR(__xludf.DUMMYFUNCTION("""COMPUTED_VALUE"""),"Home")</f>
        <v>Home</v>
      </c>
      <c r="D26" s="91" t="str">
        <f>IFERROR(__xludf.DUMMYFUNCTION("""COMPUTED_VALUE"""),"Clicking on the profile should redirect the user to their profile page.")</f>
        <v>Clicking on the profile should redirect the user to their profile page.</v>
      </c>
      <c r="E26" s="91" t="str">
        <f>IFERROR(__xludf.DUMMYFUNCTION("""COMPUTED_VALUE"""),"User need to use the app on their mobile device")</f>
        <v>User need to use the app on their mobile device</v>
      </c>
      <c r="F26" s="91" t="str">
        <f>IFERROR(__xludf.DUMMYFUNCTION("""COMPUTED_VALUE"""),"1. Open app
2. Login with valid credentials
3. Goto Home")</f>
        <v>1. Open app
2. Login with valid credentials
3. Goto Home</v>
      </c>
      <c r="G26" s="91" t="str">
        <f>IFERROR(__xludf.DUMMYFUNCTION("""COMPUTED_VALUE"""),"MOM user credential")</f>
        <v>MOM user credential</v>
      </c>
      <c r="H26" s="91" t="str">
        <f>IFERROR(__xludf.DUMMYFUNCTION("""COMPUTED_VALUE"""),"Clicking the profile should take the user straight to their profile page.")</f>
        <v>Clicking the profile should take the user straight to their profile page.</v>
      </c>
      <c r="I26" s="91" t="str">
        <f>IFERROR(__xludf.DUMMYFUNCTION("""COMPUTED_VALUE"""),"Clicking on the profile doesn’t redirect to the profile page.")</f>
        <v>Clicking on the profile doesn’t redirect to the profile page.</v>
      </c>
      <c r="J26" s="91" t="str">
        <f>IFERROR(__xludf.DUMMYFUNCTION("""COMPUTED_VALUE"""),"Fail")</f>
        <v>Fail</v>
      </c>
      <c r="K26" s="91" t="str">
        <f>IFERROR(__xludf.DUMMYFUNCTION("""COMPUTED_VALUE"""),"Medium")</f>
        <v>Medium</v>
      </c>
      <c r="L26" s="92" t="str">
        <f>IFERROR(__xludf.DUMMYFUNCTION("""COMPUTED_VALUE"""),"051.png")</f>
        <v>051.png</v>
      </c>
      <c r="M26" s="91"/>
      <c r="N26" s="91"/>
      <c r="O26" s="91"/>
      <c r="P26" s="91"/>
      <c r="Q26" s="91" t="str">
        <f>IFERROR(__xludf.DUMMYFUNCTION("""COMPUTED_VALUE"""),"Fahad")</f>
        <v>Fahad</v>
      </c>
      <c r="R26" s="89"/>
      <c r="S26" s="89"/>
      <c r="T26" s="89"/>
      <c r="U26" s="89"/>
      <c r="V26" s="89"/>
      <c r="W26" s="89"/>
      <c r="X26" s="89"/>
      <c r="Y26" s="89"/>
      <c r="Z26" s="89"/>
      <c r="AA26" s="89"/>
    </row>
    <row r="27">
      <c r="A27" s="90" t="s">
        <v>354</v>
      </c>
      <c r="B27" s="91" t="str">
        <f>IFERROR(__xludf.DUMMYFUNCTION("""COMPUTED_VALUE"""),"Father Account")</f>
        <v>Father Account</v>
      </c>
      <c r="C27" s="91" t="str">
        <f>IFERROR(__xludf.DUMMYFUNCTION("""COMPUTED_VALUE"""),"Legal Records")</f>
        <v>Legal Records</v>
      </c>
      <c r="D27" s="91" t="str">
        <f>IFERROR(__xludf.DUMMYFUNCTION("""COMPUTED_VALUE"""),"Failed to open legal records. Not working properly.")</f>
        <v>Failed to open legal records. Not working properly.</v>
      </c>
      <c r="E27" s="91" t="str">
        <f>IFERROR(__xludf.DUMMYFUNCTION("""COMPUTED_VALUE"""),"User need to use the app on their mobile device")</f>
        <v>User need to use the app on their mobile device</v>
      </c>
      <c r="F27" s="91" t="str">
        <f>IFERROR(__xludf.DUMMYFUNCTION("""COMPUTED_VALUE"""),"1. Open app
2. Login with valid credentials
3. Click on Legal Records")</f>
        <v>1. Open app
2. Login with valid credentials
3. Click on Legal Records</v>
      </c>
      <c r="G27" s="91" t="str">
        <f>IFERROR(__xludf.DUMMYFUNCTION("""COMPUTED_VALUE"""),"DAD user credential")</f>
        <v>DAD user credential</v>
      </c>
      <c r="H27" s="91" t="str">
        <f>IFERROR(__xludf.DUMMYFUNCTION("""COMPUTED_VALUE"""),"Functions should works properly as expected")</f>
        <v>Functions should works properly as expected</v>
      </c>
      <c r="I27" s="91" t="str">
        <f>IFERROR(__xludf.DUMMYFUNCTION("""COMPUTED_VALUE"""),"Function should work as expected")</f>
        <v>Function should work as expected</v>
      </c>
      <c r="J27" s="91" t="str">
        <f>IFERROR(__xludf.DUMMYFUNCTION("""COMPUTED_VALUE"""),"Fail")</f>
        <v>Fail</v>
      </c>
      <c r="K27" s="91" t="str">
        <f>IFERROR(__xludf.DUMMYFUNCTION("""COMPUTED_VALUE"""),"High")</f>
        <v>High</v>
      </c>
      <c r="L27" s="92" t="str">
        <f>IFERROR(__xludf.DUMMYFUNCTION("""COMPUTED_VALUE"""),"050.png")</f>
        <v>050.png</v>
      </c>
      <c r="M27" s="91"/>
      <c r="N27" s="91"/>
      <c r="O27" s="91"/>
      <c r="P27" s="91"/>
      <c r="Q27" s="91" t="str">
        <f>IFERROR(__xludf.DUMMYFUNCTION("""COMPUTED_VALUE"""),"Fahad")</f>
        <v>Fahad</v>
      </c>
      <c r="R27" s="89"/>
      <c r="S27" s="89"/>
      <c r="T27" s="89"/>
      <c r="U27" s="89"/>
      <c r="V27" s="89"/>
      <c r="W27" s="89"/>
      <c r="X27" s="89"/>
      <c r="Y27" s="89"/>
      <c r="Z27" s="89"/>
      <c r="AA27" s="89"/>
    </row>
    <row r="28">
      <c r="A28" s="90" t="s">
        <v>360</v>
      </c>
      <c r="B28" s="91" t="str">
        <f>IFERROR(__xludf.DUMMYFUNCTION("""COMPUTED_VALUE"""),"Father Account")</f>
        <v>Father Account</v>
      </c>
      <c r="C28" s="91" t="str">
        <f>IFERROR(__xludf.DUMMYFUNCTION("""COMPUTED_VALUE"""),"Login")</f>
        <v>Login</v>
      </c>
      <c r="D28" s="91" t="str">
        <f>IFERROR(__xludf.DUMMYFUNCTION("""COMPUTED_VALUE"""),"Number format should be displayed to match the correct code (country code + number).")</f>
        <v>Number format should be displayed to match the correct code (country code + number).</v>
      </c>
      <c r="E28" s="91" t="str">
        <f>IFERROR(__xludf.DUMMYFUNCTION("""COMPUTED_VALUE"""),"User need to use the app on their mobile device")</f>
        <v>User need to use the app on their mobile device</v>
      </c>
      <c r="F28" s="91" t="str">
        <f>IFERROR(__xludf.DUMMYFUNCTION("""COMPUTED_VALUE"""),"1. Open app
2. Login using valid credentials")</f>
        <v>1. Open app
2. Login using valid credentials</v>
      </c>
      <c r="G28" s="91" t="str">
        <f>IFERROR(__xludf.DUMMYFUNCTION("""COMPUTED_VALUE"""),"DAD user credential")</f>
        <v>DAD user credential</v>
      </c>
      <c r="H28" s="91" t="str">
        <f>IFERROR(__xludf.DUMMYFUNCTION("""COMPUTED_VALUE"""),"Should suggest the number format to match with backend")</f>
        <v>Should suggest the number format to match with backend</v>
      </c>
      <c r="I28" s="91" t="str">
        <f>IFERROR(__xludf.DUMMYFUNCTION("""COMPUTED_VALUE"""),"Valid account displays an invalid/unregistered number error when attempting to log in.")</f>
        <v>Valid account displays an invalid/unregistered number error when attempting to log in.</v>
      </c>
      <c r="J28" s="91" t="str">
        <f>IFERROR(__xludf.DUMMYFUNCTION("""COMPUTED_VALUE"""),"Fail")</f>
        <v>Fail</v>
      </c>
      <c r="K28" s="91" t="str">
        <f>IFERROR(__xludf.DUMMYFUNCTION("""COMPUTED_VALUE"""),"High")</f>
        <v>High</v>
      </c>
      <c r="L28" s="92" t="str">
        <f>IFERROR(__xludf.DUMMYFUNCTION("""COMPUTED_VALUE"""),"021.png")</f>
        <v>021.png</v>
      </c>
      <c r="M28" s="91"/>
      <c r="N28" s="91"/>
      <c r="O28" s="91"/>
      <c r="P28" s="91"/>
      <c r="Q28" s="91" t="str">
        <f>IFERROR(__xludf.DUMMYFUNCTION("""COMPUTED_VALUE"""),"Fahad")</f>
        <v>Fahad</v>
      </c>
      <c r="R28" s="89"/>
      <c r="S28" s="89"/>
      <c r="T28" s="89"/>
      <c r="U28" s="89"/>
      <c r="V28" s="89"/>
      <c r="W28" s="89"/>
      <c r="X28" s="89"/>
      <c r="Y28" s="89"/>
      <c r="Z28" s="89"/>
      <c r="AA28" s="89"/>
    </row>
    <row r="29">
      <c r="A29" s="90" t="s">
        <v>366</v>
      </c>
      <c r="B29" s="91" t="str">
        <f>IFERROR(__xludf.DUMMYFUNCTION("""COMPUTED_VALUE"""),"Father Account")</f>
        <v>Father Account</v>
      </c>
      <c r="C29" s="91" t="str">
        <f>IFERROR(__xludf.DUMMYFUNCTION("""COMPUTED_VALUE"""),"Login")</f>
        <v>Login</v>
      </c>
      <c r="D29" s="91" t="str">
        <f>IFERROR(__xludf.DUMMYFUNCTION("""COMPUTED_VALUE"""),"Failed to sign up using Google.")</f>
        <v>Failed to sign up using Google.</v>
      </c>
      <c r="E29" s="91" t="str">
        <f>IFERROR(__xludf.DUMMYFUNCTION("""COMPUTED_VALUE"""),"User need to use the app on their mobile device")</f>
        <v>User need to use the app on their mobile device</v>
      </c>
      <c r="F29" s="91" t="str">
        <f>IFERROR(__xludf.DUMMYFUNCTION("""COMPUTED_VALUE"""),"1. Open app
2. Signup using google signup")</f>
        <v>1. Open app
2. Signup using google signup</v>
      </c>
      <c r="G29" s="91" t="str">
        <f>IFERROR(__xludf.DUMMYFUNCTION("""COMPUTED_VALUE"""),"DAD user credential")</f>
        <v>DAD user credential</v>
      </c>
      <c r="H29" s="91" t="str">
        <f>IFERROR(__xludf.DUMMYFUNCTION("""COMPUTED_VALUE"""),"User should be able to signup using google signup")</f>
        <v>User should be able to signup using google signup</v>
      </c>
      <c r="I29" s="91" t="str">
        <f>IFERROR(__xludf.DUMMYFUNCTION("""COMPUTED_VALUE"""),"faile to signup using google signup")</f>
        <v>faile to signup using google signup</v>
      </c>
      <c r="J29" s="91" t="str">
        <f>IFERROR(__xludf.DUMMYFUNCTION("""COMPUTED_VALUE"""),"Fail")</f>
        <v>Fail</v>
      </c>
      <c r="K29" s="91" t="str">
        <f>IFERROR(__xludf.DUMMYFUNCTION("""COMPUTED_VALUE"""),"High")</f>
        <v>High</v>
      </c>
      <c r="L29" s="92" t="str">
        <f>IFERROR(__xludf.DUMMYFUNCTION("""COMPUTED_VALUE"""),"022.png")</f>
        <v>022.png</v>
      </c>
      <c r="M29" s="91"/>
      <c r="N29" s="91"/>
      <c r="O29" s="91"/>
      <c r="P29" s="91"/>
      <c r="Q29" s="91" t="str">
        <f>IFERROR(__xludf.DUMMYFUNCTION("""COMPUTED_VALUE"""),"Fahad")</f>
        <v>Fahad</v>
      </c>
      <c r="R29" s="89"/>
      <c r="S29" s="89"/>
      <c r="T29" s="89"/>
      <c r="U29" s="89"/>
      <c r="V29" s="89"/>
      <c r="W29" s="89"/>
      <c r="X29" s="89"/>
      <c r="Y29" s="89"/>
      <c r="Z29" s="89"/>
      <c r="AA29" s="89"/>
    </row>
    <row r="30">
      <c r="A30" s="90" t="s">
        <v>374</v>
      </c>
      <c r="B30" s="91" t="str">
        <f>IFERROR(__xludf.DUMMYFUNCTION("""COMPUTED_VALUE"""),"Father Account")</f>
        <v>Father Account</v>
      </c>
      <c r="C30" s="91" t="str">
        <f>IFERROR(__xludf.DUMMYFUNCTION("""COMPUTED_VALUE"""),"Notification")</f>
        <v>Notification</v>
      </c>
      <c r="D30" s="91" t="str">
        <f>IFERROR(__xludf.DUMMYFUNCTION("""COMPUTED_VALUE"""),"Failed to receive calendar notification even though the co-parent enabled notifications.")</f>
        <v>Failed to receive calendar notification even though the co-parent enabled notifications.</v>
      </c>
      <c r="E30" s="91" t="str">
        <f>IFERROR(__xludf.DUMMYFUNCTION("""COMPUTED_VALUE"""),"User need to use the app on their mobile device")</f>
        <v>User need to use the app on their mobile device</v>
      </c>
      <c r="F30" s="91" t="str">
        <f>IFERROR(__xludf.DUMMYFUNCTION("""COMPUTED_VALUE"""),"1. Open app
2. Login with valid credentials
3. Set event in calender
4. Check if notification popup in co-parent account")</f>
        <v>1. Open app
2. Login with valid credentials
3. Set event in calender
4. Check if notification popup in co-parent account</v>
      </c>
      <c r="G30" s="91" t="str">
        <f>IFERROR(__xludf.DUMMYFUNCTION("""COMPUTED_VALUE"""),"DAD user credential")</f>
        <v>DAD user credential</v>
      </c>
      <c r="H30" s="91" t="str">
        <f>IFERROR(__xludf.DUMMYFUNCTION("""COMPUTED_VALUE"""),"Co-parents should receive a notification if they turn on the receive notification toggle.")</f>
        <v>Co-parents should receive a notification if they turn on the receive notification toggle.</v>
      </c>
      <c r="I30" s="91" t="str">
        <f>IFERROR(__xludf.DUMMYFUNCTION("""COMPUTED_VALUE"""),"Did not receive notification on the co-parent's side.")</f>
        <v>Did not receive notification on the co-parent's side.</v>
      </c>
      <c r="J30" s="91" t="str">
        <f>IFERROR(__xludf.DUMMYFUNCTION("""COMPUTED_VALUE"""),"Fail")</f>
        <v>Fail</v>
      </c>
      <c r="K30" s="91" t="str">
        <f>IFERROR(__xludf.DUMMYFUNCTION("""COMPUTED_VALUE"""),"High")</f>
        <v>High</v>
      </c>
      <c r="L30" s="92" t="str">
        <f>IFERROR(__xludf.DUMMYFUNCTION("""COMPUTED_VALUE"""),"028.png")</f>
        <v>028.png</v>
      </c>
      <c r="M30" s="91"/>
      <c r="N30" s="91"/>
      <c r="O30" s="91"/>
      <c r="P30" s="91"/>
      <c r="Q30" s="91" t="str">
        <f>IFERROR(__xludf.DUMMYFUNCTION("""COMPUTED_VALUE"""),"Fahad")</f>
        <v>Fahad</v>
      </c>
      <c r="R30" s="89"/>
      <c r="S30" s="89"/>
      <c r="T30" s="89"/>
      <c r="U30" s="89"/>
      <c r="V30" s="89"/>
      <c r="W30" s="89"/>
      <c r="X30" s="89"/>
      <c r="Y30" s="89"/>
      <c r="Z30" s="89"/>
      <c r="AA30" s="89"/>
    </row>
    <row r="31">
      <c r="A31" s="90" t="s">
        <v>383</v>
      </c>
      <c r="B31" s="91" t="str">
        <f>IFERROR(__xludf.DUMMYFUNCTION("""COMPUTED_VALUE"""),"Father Account")</f>
        <v>Father Account</v>
      </c>
      <c r="C31" s="91" t="str">
        <f>IFERROR(__xludf.DUMMYFUNCTION("""COMPUTED_VALUE"""),"Settings -&gt; Choose The App")</f>
        <v>Settings -&gt; Choose The App</v>
      </c>
      <c r="D31" s="91" t="str">
        <f>IFERROR(__xludf.DUMMYFUNCTION("""COMPUTED_VALUE"""),"Non-functional module has been seen")</f>
        <v>Non-functional module has been seen</v>
      </c>
      <c r="E31" s="91" t="str">
        <f>IFERROR(__xludf.DUMMYFUNCTION("""COMPUTED_VALUE"""),"User need to use the app on their mobile device")</f>
        <v>User need to use the app on their mobile device</v>
      </c>
      <c r="F31" s="91" t="str">
        <f>IFERROR(__xludf.DUMMYFUNCTION("""COMPUTED_VALUE"""),"1. Open app
2. Login with valid credentials
3. Goto Settings
4. Click on Choose The App section")</f>
        <v>1. Open app
2. Login with valid credentials
3. Goto Settings
4. Click on Choose The App section</v>
      </c>
      <c r="G31" s="91" t="str">
        <f>IFERROR(__xludf.DUMMYFUNCTION("""COMPUTED_VALUE"""),"DAD user credential")</f>
        <v>DAD user credential</v>
      </c>
      <c r="H31" s="91" t="str">
        <f>IFERROR(__xludf.DUMMYFUNCTION("""COMPUTED_VALUE"""),"Module should works properly as expected")</f>
        <v>Module should works properly as expected</v>
      </c>
      <c r="I31" s="91" t="str">
        <f>IFERROR(__xludf.DUMMYFUNCTION("""COMPUTED_VALUE"""),"non functional module has been nothced")</f>
        <v>non functional module has been nothced</v>
      </c>
      <c r="J31" s="91" t="str">
        <f>IFERROR(__xludf.DUMMYFUNCTION("""COMPUTED_VALUE"""),"Fail")</f>
        <v>Fail</v>
      </c>
      <c r="K31" s="91" t="str">
        <f>IFERROR(__xludf.DUMMYFUNCTION("""COMPUTED_VALUE"""),"High")</f>
        <v>High</v>
      </c>
      <c r="L31" s="92" t="str">
        <f>IFERROR(__xludf.DUMMYFUNCTION("""COMPUTED_VALUE"""),"025.png")</f>
        <v>025.png</v>
      </c>
      <c r="M31" s="91"/>
      <c r="N31" s="91"/>
      <c r="O31" s="91"/>
      <c r="P31" s="91"/>
      <c r="Q31" s="91" t="str">
        <f>IFERROR(__xludf.DUMMYFUNCTION("""COMPUTED_VALUE"""),"Fahad")</f>
        <v>Fahad</v>
      </c>
      <c r="R31" s="89"/>
      <c r="S31" s="89"/>
      <c r="T31" s="89"/>
      <c r="U31" s="89"/>
      <c r="V31" s="89"/>
      <c r="W31" s="89"/>
      <c r="X31" s="89"/>
      <c r="Y31" s="89"/>
      <c r="Z31" s="89"/>
      <c r="AA31" s="89"/>
    </row>
    <row r="32">
      <c r="A32" s="90" t="s">
        <v>388</v>
      </c>
      <c r="B32" s="91" t="str">
        <f>IFERROR(__xludf.DUMMYFUNCTION("""COMPUTED_VALUE"""),"Father Account")</f>
        <v>Father Account</v>
      </c>
      <c r="C32" s="91" t="str">
        <f>IFERROR(__xludf.DUMMYFUNCTION("""COMPUTED_VALUE"""),"Settings -&gt; Co-Parent information")</f>
        <v>Settings -&gt; Co-Parent information</v>
      </c>
      <c r="D32" s="91" t="str">
        <f>IFERROR(__xludf.DUMMYFUNCTION("""COMPUTED_VALUE"""),"Failed to show co-parent contact number on another co-parent  profile")</f>
        <v>Failed to show co-parent contact number on another co-parent  profile</v>
      </c>
      <c r="E32" s="91" t="str">
        <f>IFERROR(__xludf.DUMMYFUNCTION("""COMPUTED_VALUE"""),"User need to use the app on their mobile device")</f>
        <v>User need to use the app on their mobile device</v>
      </c>
      <c r="F32" s="91" t="str">
        <f>IFERROR(__xludf.DUMMYFUNCTION("""COMPUTED_VALUE"""),"1. Open app
2. Login with valid credentials
3. Goto Settings
4. Click on co-parent information")</f>
        <v>1. Open app
2. Login with valid credentials
3. Goto Settings
4. Click on co-parent information</v>
      </c>
      <c r="G32" s="91" t="str">
        <f>IFERROR(__xludf.DUMMYFUNCTION("""COMPUTED_VALUE"""),"DAD user credential")</f>
        <v>DAD user credential</v>
      </c>
      <c r="H32" s="91" t="str">
        <f>IFERROR(__xludf.DUMMYFUNCTION("""COMPUTED_VALUE"""),"On both accounts, the co-parent information should be displayed correctly.")</f>
        <v>On both accounts, the co-parent information should be displayed correctly.</v>
      </c>
      <c r="I32" s="91" t="str">
        <f>IFERROR(__xludf.DUMMYFUNCTION("""COMPUTED_VALUE"""),"Failed to show co-parent contact information on both account")</f>
        <v>Failed to show co-parent contact information on both account</v>
      </c>
      <c r="J32" s="91" t="str">
        <f>IFERROR(__xludf.DUMMYFUNCTION("""COMPUTED_VALUE"""),"Fail")</f>
        <v>Fail</v>
      </c>
      <c r="K32" s="91" t="str">
        <f>IFERROR(__xludf.DUMMYFUNCTION("""COMPUTED_VALUE"""),"High")</f>
        <v>High</v>
      </c>
      <c r="L32" s="92" t="str">
        <f>IFERROR(__xludf.DUMMYFUNCTION("""COMPUTED_VALUE"""),"024.png")</f>
        <v>024.png</v>
      </c>
      <c r="M32" s="91"/>
      <c r="N32" s="91"/>
      <c r="O32" s="91"/>
      <c r="P32" s="91"/>
      <c r="Q32" s="91" t="str">
        <f>IFERROR(__xludf.DUMMYFUNCTION("""COMPUTED_VALUE"""),"Fahad")</f>
        <v>Fahad</v>
      </c>
      <c r="R32" s="89"/>
      <c r="S32" s="89"/>
      <c r="T32" s="89"/>
      <c r="U32" s="89"/>
      <c r="V32" s="89"/>
      <c r="W32" s="89"/>
      <c r="X32" s="89"/>
      <c r="Y32" s="89"/>
      <c r="Z32" s="89"/>
      <c r="AA32" s="89"/>
    </row>
    <row r="33">
      <c r="A33" s="90" t="s">
        <v>397</v>
      </c>
      <c r="B33" s="91" t="str">
        <f>IFERROR(__xludf.DUMMYFUNCTION("""COMPUTED_VALUE"""),"Father Account")</f>
        <v>Father Account</v>
      </c>
      <c r="C33" s="91" t="str">
        <f>IFERROR(__xludf.DUMMYFUNCTION("""COMPUTED_VALUE"""),"Settings -&gt; Help &amp; Support")</f>
        <v>Settings -&gt; Help &amp; Support</v>
      </c>
      <c r="D33" s="91" t="str">
        <f>IFERROR(__xludf.DUMMYFUNCTION("""COMPUTED_VALUE"""),"dummy email should be set as placeholder")</f>
        <v>dummy email should be set as placeholder</v>
      </c>
      <c r="E33" s="91" t="str">
        <f>IFERROR(__xludf.DUMMYFUNCTION("""COMPUTED_VALUE"""),"User need to use the app on their mobile device")</f>
        <v>User need to use the app on their mobile device</v>
      </c>
      <c r="F33" s="91" t="str">
        <f>IFERROR(__xludf.DUMMYFUNCTION("""COMPUTED_VALUE"""),"1. Open app
2. Login with valid credentials
3. Goto Settings
4. Click on Help &amp; Support")</f>
        <v>1. Open app
2. Login with valid credentials
3. Goto Settings
4. Click on Help &amp; Support</v>
      </c>
      <c r="G33" s="91" t="str">
        <f>IFERROR(__xludf.DUMMYFUNCTION("""COMPUTED_VALUE"""),"DAD user credential")</f>
        <v>DAD user credential</v>
      </c>
      <c r="H33" s="91" t="str">
        <f>IFERROR(__xludf.DUMMYFUNCTION("""COMPUTED_VALUE"""),"Placeholder value should be displayed instead of the actual data.")</f>
        <v>Placeholder value should be displayed instead of the actual data.</v>
      </c>
      <c r="I33" s="91" t="str">
        <f>IFERROR(__xludf.DUMMYFUNCTION("""COMPUTED_VALUE"""),"Dummy email set as actual text")</f>
        <v>Dummy email set as actual text</v>
      </c>
      <c r="J33" s="91" t="str">
        <f>IFERROR(__xludf.DUMMYFUNCTION("""COMPUTED_VALUE"""),"Fail")</f>
        <v>Fail</v>
      </c>
      <c r="K33" s="91" t="str">
        <f>IFERROR(__xludf.DUMMYFUNCTION("""COMPUTED_VALUE"""),"Low")</f>
        <v>Low</v>
      </c>
      <c r="L33" s="92" t="str">
        <f>IFERROR(__xludf.DUMMYFUNCTION("""COMPUTED_VALUE"""),"027.png")</f>
        <v>027.png</v>
      </c>
      <c r="M33" s="91"/>
      <c r="N33" s="91"/>
      <c r="O33" s="91"/>
      <c r="P33" s="91"/>
      <c r="Q33" s="91" t="str">
        <f>IFERROR(__xludf.DUMMYFUNCTION("""COMPUTED_VALUE"""),"Fahad")</f>
        <v>Fahad</v>
      </c>
      <c r="R33" s="89"/>
      <c r="S33" s="89"/>
      <c r="T33" s="89"/>
      <c r="U33" s="89"/>
      <c r="V33" s="89"/>
      <c r="W33" s="89"/>
      <c r="X33" s="89"/>
      <c r="Y33" s="89"/>
      <c r="Z33" s="89"/>
      <c r="AA33" s="89"/>
    </row>
    <row r="34">
      <c r="A34" s="90" t="s">
        <v>405</v>
      </c>
      <c r="B34" s="91" t="str">
        <f>IFERROR(__xludf.DUMMYFUNCTION("""COMPUTED_VALUE"""),"Father Account")</f>
        <v>Father Account</v>
      </c>
      <c r="C34" s="91" t="str">
        <f>IFERROR(__xludf.DUMMYFUNCTION("""COMPUTED_VALUE"""),"Settings -&gt; Legacy Contact")</f>
        <v>Settings -&gt; Legacy Contact</v>
      </c>
      <c r="D34" s="91" t="str">
        <f>IFERROR(__xludf.DUMMYFUNCTION("""COMPUTED_VALUE"""),"Dummy legacy contact has been set by default.")</f>
        <v>Dummy legacy contact has been set by default.</v>
      </c>
      <c r="E34" s="91" t="str">
        <f>IFERROR(__xludf.DUMMYFUNCTION("""COMPUTED_VALUE"""),"User need to use the app on their mobile device")</f>
        <v>User need to use the app on their mobile device</v>
      </c>
      <c r="F34" s="91" t="str">
        <f>IFERROR(__xludf.DUMMYFUNCTION("""COMPUTED_VALUE"""),"1. Open app
2. Login with valid credentials
3. Goto Settings
4. Click on Legacy Contact")</f>
        <v>1. Open app
2. Login with valid credentials
3. Goto Settings
4. Click on Legacy Contact</v>
      </c>
      <c r="G34" s="91" t="str">
        <f>IFERROR(__xludf.DUMMYFUNCTION("""COMPUTED_VALUE"""),"DAD user credential")</f>
        <v>DAD user credential</v>
      </c>
      <c r="H34" s="91" t="str">
        <f>IFERROR(__xludf.DUMMYFUNCTION("""COMPUTED_VALUE"""),"Dummy data should not be displayed on user side")</f>
        <v>Dummy data should not be displayed on user side</v>
      </c>
      <c r="I34" s="91" t="str">
        <f>IFERROR(__xludf.DUMMYFUNCTION("""COMPUTED_VALUE"""),"Dummy data store by default")</f>
        <v>Dummy data store by default</v>
      </c>
      <c r="J34" s="91" t="str">
        <f>IFERROR(__xludf.DUMMYFUNCTION("""COMPUTED_VALUE"""),"Fail")</f>
        <v>Fail</v>
      </c>
      <c r="K34" s="91" t="str">
        <f>IFERROR(__xludf.DUMMYFUNCTION("""COMPUTED_VALUE"""),"High")</f>
        <v>High</v>
      </c>
      <c r="L34" s="92" t="str">
        <f>IFERROR(__xludf.DUMMYFUNCTION("""COMPUTED_VALUE"""),"026.png")</f>
        <v>026.png</v>
      </c>
      <c r="M34" s="91"/>
      <c r="N34" s="91"/>
      <c r="O34" s="91"/>
      <c r="P34" s="91"/>
      <c r="Q34" s="91" t="str">
        <f>IFERROR(__xludf.DUMMYFUNCTION("""COMPUTED_VALUE"""),"Fahad")</f>
        <v>Fahad</v>
      </c>
      <c r="R34" s="89"/>
      <c r="S34" s="89"/>
      <c r="T34" s="89"/>
      <c r="U34" s="89"/>
      <c r="V34" s="89"/>
      <c r="W34" s="89"/>
      <c r="X34" s="89"/>
      <c r="Y34" s="89"/>
      <c r="Z34" s="89"/>
      <c r="AA34" s="89"/>
    </row>
    <row r="35">
      <c r="A35" s="90" t="s">
        <v>408</v>
      </c>
      <c r="B35" s="91" t="str">
        <f>IFERROR(__xludf.DUMMYFUNCTION("""COMPUTED_VALUE"""),"Father Account")</f>
        <v>Father Account</v>
      </c>
      <c r="C35" s="91" t="str">
        <f>IFERROR(__xludf.DUMMYFUNCTION("""COMPUTED_VALUE"""),"Settings -&gt; Subscription")</f>
        <v>Settings -&gt; Subscription</v>
      </c>
      <c r="D35" s="91" t="str">
        <f>IFERROR(__xludf.DUMMYFUNCTION("""COMPUTED_VALUE"""),"Payment went through successfully, but when opening the app, it shows that no payment has been made and no plan has been purchased.")</f>
        <v>Payment went through successfully, but when opening the app, it shows that no payment has been made and no plan has been purchased.</v>
      </c>
      <c r="E35" s="91" t="str">
        <f>IFERROR(__xludf.DUMMYFUNCTION("""COMPUTED_VALUE"""),"User need to use the app on their mobile device")</f>
        <v>User need to use the app on their mobile device</v>
      </c>
      <c r="F35" s="91" t="str">
        <f>IFERROR(__xludf.DUMMYFUNCTION("""COMPUTED_VALUE"""),"1. Open app
2. Sign up by filling required field
3. Goto OTP page
4. Verify OTP and go to next page")</f>
        <v>1. Open app
2. Sign up by filling required field
3. Goto OTP page
4. Verify OTP and go to next page</v>
      </c>
      <c r="G35" s="91" t="str">
        <f>IFERROR(__xludf.DUMMYFUNCTION("""COMPUTED_VALUE"""),"DAD user credential")</f>
        <v>DAD user credential</v>
      </c>
      <c r="H35" s="91" t="str">
        <f>IFERROR(__xludf.DUMMYFUNCTION("""COMPUTED_VALUE"""),"co-parent should be able to purchase the subscription")</f>
        <v>co-parent should be able to purchase the subscription</v>
      </c>
      <c r="I35" s="91" t="str">
        <f>IFERROR(__xludf.DUMMYFUNCTION("""COMPUTED_VALUE"""),"Failed to purchase plan on co-parent side")</f>
        <v>Failed to purchase plan on co-parent side</v>
      </c>
      <c r="J35" s="91" t="str">
        <f>IFERROR(__xludf.DUMMYFUNCTION("""COMPUTED_VALUE"""),"Fail")</f>
        <v>Fail</v>
      </c>
      <c r="K35" s="91" t="str">
        <f>IFERROR(__xludf.DUMMYFUNCTION("""COMPUTED_VALUE"""),"High")</f>
        <v>High</v>
      </c>
      <c r="L35" s="92" t="str">
        <f>IFERROR(__xludf.DUMMYFUNCTION("""COMPUTED_VALUE"""),"023.mp4")</f>
        <v>023.mp4</v>
      </c>
      <c r="M35" s="91"/>
      <c r="N35" s="91"/>
      <c r="O35" s="91"/>
      <c r="P35" s="91"/>
      <c r="Q35" s="91" t="str">
        <f>IFERROR(__xludf.DUMMYFUNCTION("""COMPUTED_VALUE"""),"Fahad")</f>
        <v>Fahad</v>
      </c>
      <c r="R35" s="89"/>
      <c r="S35" s="89"/>
      <c r="T35" s="89"/>
      <c r="U35" s="89"/>
      <c r="V35" s="89"/>
      <c r="W35" s="89"/>
      <c r="X35" s="89"/>
      <c r="Y35" s="89"/>
      <c r="Z35" s="89"/>
      <c r="AA35" s="89"/>
    </row>
    <row r="36">
      <c r="A36" s="90" t="s">
        <v>411</v>
      </c>
      <c r="B36" s="91" t="str">
        <f>IFERROR(__xludf.DUMMYFUNCTION("""COMPUTED_VALUE"""),"Father Account")</f>
        <v>Father Account</v>
      </c>
      <c r="C36" s="91" t="str">
        <f>IFERROR(__xludf.DUMMYFUNCTION("""COMPUTED_VALUE"""),"Support Forum")</f>
        <v>Support Forum</v>
      </c>
      <c r="D36" s="91" t="str">
        <f>IFERROR(__xludf.DUMMYFUNCTION("""COMPUTED_VALUE"""),"Email and token number shown in user name")</f>
        <v>Email and token number shown in user name</v>
      </c>
      <c r="E36" s="91" t="str">
        <f>IFERROR(__xludf.DUMMYFUNCTION("""COMPUTED_VALUE"""),"User need to use the app on their mobile device")</f>
        <v>User need to use the app on their mobile device</v>
      </c>
      <c r="F36" s="91" t="str">
        <f>IFERROR(__xludf.DUMMYFUNCTION("""COMPUTED_VALUE"""),"1. Open app
2. Login with valid credentials
3. Click on Support Forum")</f>
        <v>1. Open app
2. Login with valid credentials
3. Click on Support Forum</v>
      </c>
      <c r="G36" s="91" t="str">
        <f>IFERROR(__xludf.DUMMYFUNCTION("""COMPUTED_VALUE"""),"DAD user credential")</f>
        <v>DAD user credential</v>
      </c>
      <c r="H36" s="91" t="str">
        <f>IFERROR(__xludf.DUMMYFUNCTION("""COMPUTED_VALUE"""),"Show the user's name or display ""Anonymous"" if they choose to post anonymously.")</f>
        <v>Show the user's name or display "Anonymous" if they choose to post anonymously.</v>
      </c>
      <c r="I36" s="91" t="str">
        <f>IFERROR(__xludf.DUMMYFUNCTION("""COMPUTED_VALUE"""),"Displaying the email and token name as the username")</f>
        <v>Displaying the email and token name as the username</v>
      </c>
      <c r="J36" s="91" t="str">
        <f>IFERROR(__xludf.DUMMYFUNCTION("""COMPUTED_VALUE"""),"Fail")</f>
        <v>Fail</v>
      </c>
      <c r="K36" s="91" t="str">
        <f>IFERROR(__xludf.DUMMYFUNCTION("""COMPUTED_VALUE"""),"Medium")</f>
        <v>Medium</v>
      </c>
      <c r="L36" s="92" t="str">
        <f>IFERROR(__xludf.DUMMYFUNCTION("""COMPUTED_VALUE"""),"041.png")</f>
        <v>041.png</v>
      </c>
      <c r="M36" s="91"/>
      <c r="N36" s="91"/>
      <c r="O36" s="91"/>
      <c r="P36" s="91"/>
      <c r="Q36" s="91" t="str">
        <f>IFERROR(__xludf.DUMMYFUNCTION("""COMPUTED_VALUE"""),"Fahad")</f>
        <v>Fahad</v>
      </c>
      <c r="R36" s="89"/>
      <c r="S36" s="89"/>
      <c r="T36" s="89"/>
      <c r="U36" s="89"/>
      <c r="V36" s="89"/>
      <c r="W36" s="89"/>
      <c r="X36" s="89"/>
      <c r="Y36" s="89"/>
      <c r="Z36" s="89"/>
      <c r="AA36" s="89"/>
    </row>
    <row r="37">
      <c r="A37" s="90" t="s">
        <v>414</v>
      </c>
      <c r="B37" s="91" t="str">
        <f>IFERROR(__xludf.DUMMYFUNCTION("""COMPUTED_VALUE"""),"Father Account")</f>
        <v>Father Account</v>
      </c>
      <c r="C37" s="91" t="str">
        <f>IFERROR(__xludf.DUMMYFUNCTION("""COMPUTED_VALUE"""),"Support Forum")</f>
        <v>Support Forum</v>
      </c>
      <c r="D37" s="91" t="str">
        <f>IFERROR(__xludf.DUMMYFUNCTION("""COMPUTED_VALUE"""),"See more button is displayed on all posts, whether they are long or short.")</f>
        <v>See more button is displayed on all posts, whether they are long or short.</v>
      </c>
      <c r="E37" s="91" t="str">
        <f>IFERROR(__xludf.DUMMYFUNCTION("""COMPUTED_VALUE"""),"User need to use the app on their mobile device")</f>
        <v>User need to use the app on their mobile device</v>
      </c>
      <c r="F37" s="91" t="str">
        <f>IFERROR(__xludf.DUMMYFUNCTION("""COMPUTED_VALUE"""),"1. Open app
2. Login with valid credentials
3. Click on Support Forum")</f>
        <v>1. Open app
2. Login with valid credentials
3. Click on Support Forum</v>
      </c>
      <c r="G37" s="91" t="str">
        <f>IFERROR(__xludf.DUMMYFUNCTION("""COMPUTED_VALUE"""),"DAD user credential")</f>
        <v>DAD user credential</v>
      </c>
      <c r="H37" s="91" t="str">
        <f>IFERROR(__xludf.DUMMYFUNCTION("""COMPUTED_VALUE"""),"""See more"" button should apper when the post is too long to display")</f>
        <v>"See more" button should apper when the post is too long to display</v>
      </c>
      <c r="I37" s="91" t="str">
        <f>IFERROR(__xludf.DUMMYFUNCTION("""COMPUTED_VALUE"""),"The ""See more"" button shows up all the time, whether it's a short post or a long one.")</f>
        <v>The "See more" button shows up all the time, whether it's a short post or a long one.</v>
      </c>
      <c r="J37" s="91" t="str">
        <f>IFERROR(__xludf.DUMMYFUNCTION("""COMPUTED_VALUE"""),"Fail")</f>
        <v>Fail</v>
      </c>
      <c r="K37" s="91" t="str">
        <f>IFERROR(__xludf.DUMMYFUNCTION("""COMPUTED_VALUE"""),"Medium")</f>
        <v>Medium</v>
      </c>
      <c r="L37" s="92" t="str">
        <f>IFERROR(__xludf.DUMMYFUNCTION("""COMPUTED_VALUE"""),"042.mp4")</f>
        <v>042.mp4</v>
      </c>
      <c r="M37" s="91"/>
      <c r="N37" s="91"/>
      <c r="O37" s="91"/>
      <c r="P37" s="91"/>
      <c r="Q37" s="91" t="str">
        <f>IFERROR(__xludf.DUMMYFUNCTION("""COMPUTED_VALUE"""),"Fahad")</f>
        <v>Fahad</v>
      </c>
      <c r="R37" s="89"/>
      <c r="S37" s="89"/>
      <c r="T37" s="89"/>
      <c r="U37" s="89"/>
      <c r="V37" s="89"/>
      <c r="W37" s="89"/>
      <c r="X37" s="89"/>
      <c r="Y37" s="89"/>
      <c r="Z37" s="89"/>
      <c r="AA37" s="89"/>
    </row>
    <row r="38">
      <c r="A38" s="90" t="s">
        <v>415</v>
      </c>
      <c r="B38" s="91" t="str">
        <f>IFERROR(__xludf.DUMMYFUNCTION("""COMPUTED_VALUE"""),"Father Account")</f>
        <v>Father Account</v>
      </c>
      <c r="C38" s="91" t="str">
        <f>IFERROR(__xludf.DUMMYFUNCTION("""COMPUTED_VALUE"""),"Support Forum")</f>
        <v>Support Forum</v>
      </c>
      <c r="D38" s="91" t="str">
        <f>IFERROR(__xludf.DUMMYFUNCTION("""COMPUTED_VALUE"""),"Couldn’t close the post banner because no close button was found.")</f>
        <v>Couldn’t close the post banner because no close button was found.</v>
      </c>
      <c r="E38" s="91" t="str">
        <f>IFERROR(__xludf.DUMMYFUNCTION("""COMPUTED_VALUE"""),"User need to use the app on their mobile device")</f>
        <v>User need to use the app on their mobile device</v>
      </c>
      <c r="F38" s="91" t="str">
        <f>IFERROR(__xludf.DUMMYFUNCTION("""COMPUTED_VALUE"""),"1. Open app
2. Login with valid credentials
3. Click on Support Forum")</f>
        <v>1. Open app
2. Login with valid credentials
3. Click on Support Forum</v>
      </c>
      <c r="G38" s="91" t="str">
        <f>IFERROR(__xludf.DUMMYFUNCTION("""COMPUTED_VALUE"""),"DAD user credential")</f>
        <v>DAD user credential</v>
      </c>
      <c r="H38" s="91" t="str">
        <f>IFERROR(__xludf.DUMMYFUNCTION("""COMPUTED_VALUE"""),"Banner’s close button should be positioned at the top right.")</f>
        <v>Banner’s close button should be positioned at the top right.</v>
      </c>
      <c r="I38" s="91" t="str">
        <f>IFERROR(__xludf.DUMMYFUNCTION("""COMPUTED_VALUE"""),"Could not close the banner for the post.")</f>
        <v>Could not close the banner for the post.</v>
      </c>
      <c r="J38" s="91" t="str">
        <f>IFERROR(__xludf.DUMMYFUNCTION("""COMPUTED_VALUE"""),"Fail")</f>
        <v>Fail</v>
      </c>
      <c r="K38" s="91" t="str">
        <f>IFERROR(__xludf.DUMMYFUNCTION("""COMPUTED_VALUE"""),"Medium")</f>
        <v>Medium</v>
      </c>
      <c r="L38" s="92" t="str">
        <f>IFERROR(__xludf.DUMMYFUNCTION("""COMPUTED_VALUE"""),"043.mp4")</f>
        <v>043.mp4</v>
      </c>
      <c r="M38" s="91"/>
      <c r="N38" s="91"/>
      <c r="O38" s="91"/>
      <c r="P38" s="91"/>
      <c r="Q38" s="91" t="str">
        <f>IFERROR(__xludf.DUMMYFUNCTION("""COMPUTED_VALUE"""),"Fahad")</f>
        <v>Fahad</v>
      </c>
      <c r="R38" s="89"/>
      <c r="S38" s="89"/>
      <c r="T38" s="89"/>
      <c r="U38" s="89"/>
      <c r="V38" s="89"/>
      <c r="W38" s="89"/>
      <c r="X38" s="89"/>
      <c r="Y38" s="89"/>
      <c r="Z38" s="89"/>
      <c r="AA38" s="89"/>
    </row>
    <row r="39">
      <c r="A39" s="90" t="s">
        <v>416</v>
      </c>
      <c r="B39" s="91" t="str">
        <f>IFERROR(__xludf.DUMMYFUNCTION("""COMPUTED_VALUE"""),"Father Account")</f>
        <v>Father Account</v>
      </c>
      <c r="C39" s="91" t="str">
        <f>IFERROR(__xludf.DUMMYFUNCTION("""COMPUTED_VALUE"""),"Support Forum")</f>
        <v>Support Forum</v>
      </c>
      <c r="D39" s="91" t="str">
        <f>IFERROR(__xludf.DUMMYFUNCTION("""COMPUTED_VALUE"""),"Unable to upload the post anonymously.")</f>
        <v>Unable to upload the post anonymously.</v>
      </c>
      <c r="E39" s="91" t="str">
        <f>IFERROR(__xludf.DUMMYFUNCTION("""COMPUTED_VALUE"""),"User need to use the app on their mobile device")</f>
        <v>User need to use the app on their mobile device</v>
      </c>
      <c r="F39" s="91" t="str">
        <f>IFERROR(__xludf.DUMMYFUNCTION("""COMPUTED_VALUE"""),"1. Open app
2. Login with valid credentials
3. Click on Support Forum")</f>
        <v>1. Open app
2. Login with valid credentials
3. Click on Support Forum</v>
      </c>
      <c r="G39" s="91" t="str">
        <f>IFERROR(__xludf.DUMMYFUNCTION("""COMPUTED_VALUE"""),"DAD user credential")</f>
        <v>DAD user credential</v>
      </c>
      <c r="H39" s="91" t="str">
        <f>IFERROR(__xludf.DUMMYFUNCTION("""COMPUTED_VALUE"""),"Post should be uploaded without revealing the author’s identity.")</f>
        <v>Post should be uploaded without revealing the author’s identity.</v>
      </c>
      <c r="I39" s="91" t="str">
        <f>IFERROR(__xludf.DUMMYFUNCTION("""COMPUTED_VALUE"""),"Anonymous post feature didn’t work.")</f>
        <v>Anonymous post feature didn’t work.</v>
      </c>
      <c r="J39" s="91" t="str">
        <f>IFERROR(__xludf.DUMMYFUNCTION("""COMPUTED_VALUE"""),"Fail")</f>
        <v>Fail</v>
      </c>
      <c r="K39" s="91" t="str">
        <f>IFERROR(__xludf.DUMMYFUNCTION("""COMPUTED_VALUE"""),"High")</f>
        <v>High</v>
      </c>
      <c r="L39" s="92" t="str">
        <f>IFERROR(__xludf.DUMMYFUNCTION("""COMPUTED_VALUE"""),"044.mp4")</f>
        <v>044.mp4</v>
      </c>
      <c r="M39" s="91"/>
      <c r="N39" s="91"/>
      <c r="O39" s="91"/>
      <c r="P39" s="91"/>
      <c r="Q39" s="91" t="str">
        <f>IFERROR(__xludf.DUMMYFUNCTION("""COMPUTED_VALUE"""),"Fahad")</f>
        <v>Fahad</v>
      </c>
      <c r="R39" s="89"/>
      <c r="S39" s="89"/>
      <c r="T39" s="89"/>
      <c r="U39" s="89"/>
      <c r="V39" s="89"/>
      <c r="W39" s="89"/>
      <c r="X39" s="89"/>
      <c r="Y39" s="89"/>
      <c r="Z39" s="89"/>
      <c r="AA39" s="89"/>
    </row>
    <row r="40">
      <c r="A40" s="90" t="s">
        <v>417</v>
      </c>
      <c r="B40" s="91" t="str">
        <f>IFERROR(__xludf.DUMMYFUNCTION("""COMPUTED_VALUE"""),"Father Account")</f>
        <v>Father Account</v>
      </c>
      <c r="C40" s="91" t="str">
        <f>IFERROR(__xludf.DUMMYFUNCTION("""COMPUTED_VALUE"""),"Support Forum")</f>
        <v>Support Forum</v>
      </c>
      <c r="D40" s="91" t="str">
        <f>IFERROR(__xludf.DUMMYFUNCTION("""COMPUTED_VALUE"""),"Options to edit, delete, or share the post are not available.")</f>
        <v>Options to edit, delete, or share the post are not available.</v>
      </c>
      <c r="E40" s="91" t="str">
        <f>IFERROR(__xludf.DUMMYFUNCTION("""COMPUTED_VALUE"""),"User need to use the app on their mobile device")</f>
        <v>User need to use the app on their mobile device</v>
      </c>
      <c r="F40" s="91" t="str">
        <f>IFERROR(__xludf.DUMMYFUNCTION("""COMPUTED_VALUE"""),"1. Open app
2. Login with valid credentials
3. Click on Support Forum")</f>
        <v>1. Open app
2. Login with valid credentials
3. Click on Support Forum</v>
      </c>
      <c r="G40" s="91" t="str">
        <f>IFERROR(__xludf.DUMMYFUNCTION("""COMPUTED_VALUE"""),"DAD user credential")</f>
        <v>DAD user credential</v>
      </c>
      <c r="H40" s="91" t="str">
        <f>IFERROR(__xludf.DUMMYFUNCTION("""COMPUTED_VALUE"""),"Post edit, delete, or share options should be clearly visible and positioned correctly.")</f>
        <v>Post edit, delete, or share options should be clearly visible and positioned correctly.</v>
      </c>
      <c r="I40" s="91" t="str">
        <f>IFERROR(__xludf.DUMMYFUNCTION("""COMPUTED_VALUE"""),"Post edit, delete, or share options are missing in the frontend.")</f>
        <v>Post edit, delete, or share options are missing in the frontend.</v>
      </c>
      <c r="J40" s="91" t="str">
        <f>IFERROR(__xludf.DUMMYFUNCTION("""COMPUTED_VALUE"""),"Fail")</f>
        <v>Fail</v>
      </c>
      <c r="K40" s="91" t="str">
        <f>IFERROR(__xludf.DUMMYFUNCTION("""COMPUTED_VALUE"""),"High")</f>
        <v>High</v>
      </c>
      <c r="L40" s="92" t="str">
        <f>IFERROR(__xludf.DUMMYFUNCTION("""COMPUTED_VALUE"""),"045.png")</f>
        <v>045.png</v>
      </c>
      <c r="M40" s="91"/>
      <c r="N40" s="91"/>
      <c r="O40" s="91"/>
      <c r="P40" s="91"/>
      <c r="Q40" s="91" t="str">
        <f>IFERROR(__xludf.DUMMYFUNCTION("""COMPUTED_VALUE"""),"Fahad")</f>
        <v>Fahad</v>
      </c>
      <c r="R40" s="89"/>
      <c r="S40" s="89"/>
      <c r="T40" s="89"/>
      <c r="U40" s="89"/>
      <c r="V40" s="89"/>
      <c r="W40" s="89"/>
      <c r="X40" s="89"/>
      <c r="Y40" s="89"/>
      <c r="Z40" s="89"/>
      <c r="AA40" s="89"/>
    </row>
    <row r="41">
      <c r="A41" s="90" t="s">
        <v>418</v>
      </c>
      <c r="B41" s="91" t="str">
        <f>IFERROR(__xludf.DUMMYFUNCTION("""COMPUTED_VALUE"""),"Father Account")</f>
        <v>Father Account</v>
      </c>
      <c r="C41" s="91" t="str">
        <f>IFERROR(__xludf.DUMMYFUNCTION("""COMPUTED_VALUE"""),"Support Forum")</f>
        <v>Support Forum</v>
      </c>
      <c r="D41" s="91" t="str">
        <f>IFERROR(__xludf.DUMMYFUNCTION("""COMPUTED_VALUE"""),"Comments on the post aren’t updating in real time.")</f>
        <v>Comments on the post aren’t updating in real time.</v>
      </c>
      <c r="E41" s="91" t="str">
        <f>IFERROR(__xludf.DUMMYFUNCTION("""COMPUTED_VALUE"""),"User need to use the app on their mobile device")</f>
        <v>User need to use the app on their mobile device</v>
      </c>
      <c r="F41" s="91" t="str">
        <f>IFERROR(__xludf.DUMMYFUNCTION("""COMPUTED_VALUE"""),"1. Open app
2. Login with valid credentials
3. Click on Support Forum")</f>
        <v>1. Open app
2. Login with valid credentials
3. Click on Support Forum</v>
      </c>
      <c r="G41" s="91" t="str">
        <f>IFERROR(__xludf.DUMMYFUNCTION("""COMPUTED_VALUE"""),"DAD user credential")</f>
        <v>DAD user credential</v>
      </c>
      <c r="H41" s="91" t="str">
        <f>IFERROR(__xludf.DUMMYFUNCTION("""COMPUTED_VALUE"""),"Comments should update in real time with a popup notification.")</f>
        <v>Comments should update in real time with a popup notification.</v>
      </c>
      <c r="I41" s="91" t="str">
        <f>IFERROR(__xludf.DUMMYFUNCTION("""COMPUTED_VALUE"""),"Comments don’t update automatically, and no notifications appear when someone comments on a post.")</f>
        <v>Comments don’t update automatically, and no notifications appear when someone comments on a post.</v>
      </c>
      <c r="J41" s="91" t="str">
        <f>IFERROR(__xludf.DUMMYFUNCTION("""COMPUTED_VALUE"""),"Fail")</f>
        <v>Fail</v>
      </c>
      <c r="K41" s="91" t="str">
        <f>IFERROR(__xludf.DUMMYFUNCTION("""COMPUTED_VALUE"""),"High")</f>
        <v>High</v>
      </c>
      <c r="L41" s="92" t="str">
        <f>IFERROR(__xludf.DUMMYFUNCTION("""COMPUTED_VALUE"""),"046.png")</f>
        <v>046.png</v>
      </c>
      <c r="M41" s="91"/>
      <c r="N41" s="91"/>
      <c r="O41" s="91"/>
      <c r="P41" s="91"/>
      <c r="Q41" s="91" t="str">
        <f>IFERROR(__xludf.DUMMYFUNCTION("""COMPUTED_VALUE"""),"Fahad")</f>
        <v>Fahad</v>
      </c>
      <c r="R41" s="89"/>
      <c r="S41" s="89"/>
      <c r="T41" s="89"/>
      <c r="U41" s="89"/>
      <c r="V41" s="89"/>
      <c r="W41" s="89"/>
      <c r="X41" s="89"/>
      <c r="Y41" s="89"/>
      <c r="Z41" s="89"/>
      <c r="AA41" s="89"/>
    </row>
    <row r="42">
      <c r="A42" s="90" t="s">
        <v>419</v>
      </c>
      <c r="B42" s="91" t="str">
        <f>IFERROR(__xludf.DUMMYFUNCTION("""COMPUTED_VALUE"""),"Father Account")</f>
        <v>Father Account</v>
      </c>
      <c r="C42" s="91" t="str">
        <f>IFERROR(__xludf.DUMMYFUNCTION("""COMPUTED_VALUE"""),"Support Forum")</f>
        <v>Support Forum</v>
      </c>
      <c r="D42" s="91" t="str">
        <f>IFERROR(__xludf.DUMMYFUNCTION("""COMPUTED_VALUE"""),"Comments are not showing when posts pop up.")</f>
        <v>Comments are not showing when posts pop up.</v>
      </c>
      <c r="E42" s="91" t="str">
        <f>IFERROR(__xludf.DUMMYFUNCTION("""COMPUTED_VALUE"""),"User need to use the app on their mobile device")</f>
        <v>User need to use the app on their mobile device</v>
      </c>
      <c r="F42" s="91" t="str">
        <f>IFERROR(__xludf.DUMMYFUNCTION("""COMPUTED_VALUE"""),"1. Open app
2. Login with valid credentials
3. Click on Support Forum")</f>
        <v>1. Open app
2. Login with valid credentials
3. Click on Support Forum</v>
      </c>
      <c r="G42" s="91" t="str">
        <f>IFERROR(__xludf.DUMMYFUNCTION("""COMPUTED_VALUE"""),"DAD user credential")</f>
        <v>DAD user credential</v>
      </c>
      <c r="H42" s="91" t="str">
        <f>IFERROR(__xludf.DUMMYFUNCTION("""COMPUTED_VALUE"""),"Comments are not visible when banner popup")</f>
        <v>Comments are not visible when banner popup</v>
      </c>
      <c r="I42" s="91" t="str">
        <f>IFERROR(__xludf.DUMMYFUNCTION("""COMPUTED_VALUE"""),"Comments should be visible when the banner popups")</f>
        <v>Comments should be visible when the banner popups</v>
      </c>
      <c r="J42" s="91" t="str">
        <f>IFERROR(__xludf.DUMMYFUNCTION("""COMPUTED_VALUE"""),"Fail")</f>
        <v>Fail</v>
      </c>
      <c r="K42" s="91" t="str">
        <f>IFERROR(__xludf.DUMMYFUNCTION("""COMPUTED_VALUE"""),"Medium")</f>
        <v>Medium</v>
      </c>
      <c r="L42" s="92" t="str">
        <f>IFERROR(__xludf.DUMMYFUNCTION("""COMPUTED_VALUE"""),"047.mp4")</f>
        <v>047.mp4</v>
      </c>
      <c r="M42" s="91"/>
      <c r="N42" s="91"/>
      <c r="O42" s="91"/>
      <c r="P42" s="91"/>
      <c r="Q42" s="91" t="str">
        <f>IFERROR(__xludf.DUMMYFUNCTION("""COMPUTED_VALUE"""),"Fahad")</f>
        <v>Fahad</v>
      </c>
      <c r="R42" s="89"/>
      <c r="S42" s="89"/>
      <c r="T42" s="89"/>
      <c r="U42" s="89"/>
      <c r="V42" s="89"/>
      <c r="W42" s="89"/>
      <c r="X42" s="89"/>
      <c r="Y42" s="89"/>
      <c r="Z42" s="89"/>
      <c r="AA42" s="89"/>
    </row>
    <row r="43">
      <c r="A43" s="90" t="s">
        <v>420</v>
      </c>
      <c r="B43" s="91" t="str">
        <f>IFERROR(__xludf.DUMMYFUNCTION("""COMPUTED_VALUE"""),"Father Account")</f>
        <v>Father Account</v>
      </c>
      <c r="C43" s="91" t="str">
        <f>IFERROR(__xludf.DUMMYFUNCTION("""COMPUTED_VALUE"""),"Support Forum")</f>
        <v>Support Forum</v>
      </c>
      <c r="D43" s="91" t="str">
        <f>IFERROR(__xludf.DUMMYFUNCTION("""COMPUTED_VALUE"""),"Category name should appear below the username.")</f>
        <v>Category name should appear below the username.</v>
      </c>
      <c r="E43" s="91" t="str">
        <f>IFERROR(__xludf.DUMMYFUNCTION("""COMPUTED_VALUE"""),"User need to use the app on their mobile device")</f>
        <v>User need to use the app on their mobile device</v>
      </c>
      <c r="F43" s="91" t="str">
        <f>IFERROR(__xludf.DUMMYFUNCTION("""COMPUTED_VALUE"""),"1. Open app
2. Login with valid credentials
3. Click on Support Forum")</f>
        <v>1. Open app
2. Login with valid credentials
3. Click on Support Forum</v>
      </c>
      <c r="G43" s="91" t="str">
        <f>IFERROR(__xludf.DUMMYFUNCTION("""COMPUTED_VALUE"""),"DAD user credential")</f>
        <v>DAD user credential</v>
      </c>
      <c r="H43" s="91" t="str">
        <f>IFERROR(__xludf.DUMMYFUNCTION("""COMPUTED_VALUE"""),"Category name should be displayed beneath the username.")</f>
        <v>Category name should be displayed beneath the username.</v>
      </c>
      <c r="I43" s="91" t="str">
        <f>IFERROR(__xludf.DUMMYFUNCTION("""COMPUTED_VALUE"""),"Category name is missing from the post banner.")</f>
        <v>Category name is missing from the post banner.</v>
      </c>
      <c r="J43" s="91" t="str">
        <f>IFERROR(__xludf.DUMMYFUNCTION("""COMPUTED_VALUE"""),"Fail")</f>
        <v>Fail</v>
      </c>
      <c r="K43" s="91" t="str">
        <f>IFERROR(__xludf.DUMMYFUNCTION("""COMPUTED_VALUE"""),"Low")</f>
        <v>Low</v>
      </c>
      <c r="L43" s="92" t="str">
        <f>IFERROR(__xludf.DUMMYFUNCTION("""COMPUTED_VALUE"""),"048.png")</f>
        <v>048.png</v>
      </c>
      <c r="M43" s="91"/>
      <c r="N43" s="91"/>
      <c r="O43" s="91"/>
      <c r="P43" s="91"/>
      <c r="Q43" s="91" t="str">
        <f>IFERROR(__xludf.DUMMYFUNCTION("""COMPUTED_VALUE"""),"Fahad")</f>
        <v>Fahad</v>
      </c>
      <c r="R43" s="89"/>
      <c r="S43" s="89"/>
      <c r="T43" s="89"/>
      <c r="U43" s="89"/>
      <c r="V43" s="89"/>
      <c r="W43" s="89"/>
      <c r="X43" s="89"/>
      <c r="Y43" s="89"/>
      <c r="Z43" s="89"/>
      <c r="AA43" s="89"/>
    </row>
    <row r="44">
      <c r="A44" s="90" t="s">
        <v>421</v>
      </c>
      <c r="B44" s="91" t="str">
        <f>IFERROR(__xludf.DUMMYFUNCTION("""COMPUTED_VALUE"""),"Father Account")</f>
        <v>Father Account</v>
      </c>
      <c r="C44" s="91" t="str">
        <f>IFERROR(__xludf.DUMMYFUNCTION("""COMPUTED_VALUE"""),"Support Forum")</f>
        <v>Support Forum</v>
      </c>
      <c r="D44" s="91" t="str">
        <f>IFERROR(__xludf.DUMMYFUNCTION("""COMPUTED_VALUE"""),"Post banner displays a different time than expected.")</f>
        <v>Post banner displays a different time than expected.</v>
      </c>
      <c r="E44" s="91" t="str">
        <f>IFERROR(__xludf.DUMMYFUNCTION("""COMPUTED_VALUE"""),"User need to use the app on their mobile device")</f>
        <v>User need to use the app on their mobile device</v>
      </c>
      <c r="F44" s="91" t="str">
        <f>IFERROR(__xludf.DUMMYFUNCTION("""COMPUTED_VALUE"""),"1. Open app
2. Login with valid credentials
3. Click on Support Forum")</f>
        <v>1. Open app
2. Login with valid credentials
3. Click on Support Forum</v>
      </c>
      <c r="G44" s="91" t="str">
        <f>IFERROR(__xludf.DUMMYFUNCTION("""COMPUTED_VALUE"""),"DAD user credential")</f>
        <v>DAD user credential</v>
      </c>
      <c r="H44" s="91" t="str">
        <f>IFERROR(__xludf.DUMMYFUNCTION("""COMPUTED_VALUE"""),"Time should be same in post in different banner")</f>
        <v>Time should be same in post in different banner</v>
      </c>
      <c r="I44" s="91" t="str">
        <f>IFERROR(__xludf.DUMMYFUNCTION("""COMPUTED_VALUE"""),"Post banner displays different times on different sites.")</f>
        <v>Post banner displays different times on different sites.</v>
      </c>
      <c r="J44" s="91" t="str">
        <f>IFERROR(__xludf.DUMMYFUNCTION("""COMPUTED_VALUE"""),"Fail")</f>
        <v>Fail</v>
      </c>
      <c r="K44" s="91" t="str">
        <f>IFERROR(__xludf.DUMMYFUNCTION("""COMPUTED_VALUE"""),"Medium")</f>
        <v>Medium</v>
      </c>
      <c r="L44" s="92" t="str">
        <f>IFERROR(__xludf.DUMMYFUNCTION("""COMPUTED_VALUE"""),"049.mp4")</f>
        <v>049.mp4</v>
      </c>
      <c r="M44" s="91"/>
      <c r="N44" s="91"/>
      <c r="O44" s="91"/>
      <c r="P44" s="91"/>
      <c r="Q44" s="91" t="str">
        <f>IFERROR(__xludf.DUMMYFUNCTION("""COMPUTED_VALUE"""),"Fahad")</f>
        <v>Fahad</v>
      </c>
      <c r="R44" s="89"/>
      <c r="S44" s="89"/>
      <c r="T44" s="89"/>
      <c r="U44" s="89"/>
      <c r="V44" s="89"/>
      <c r="W44" s="89"/>
      <c r="X44" s="89"/>
      <c r="Y44" s="89"/>
      <c r="Z44" s="89"/>
      <c r="AA44" s="89"/>
    </row>
    <row r="45">
      <c r="A45" s="90" t="s">
        <v>422</v>
      </c>
      <c r="B45" s="91" t="str">
        <f>IFERROR(__xludf.DUMMYFUNCTION("""COMPUTED_VALUE"""),"Mother Account")</f>
        <v>Mother Account</v>
      </c>
      <c r="C45" s="91" t="str">
        <f>IFERROR(__xludf.DUMMYFUNCTION("""COMPUTED_VALUE"""),"Call")</f>
        <v>Call</v>
      </c>
      <c r="D45" s="91" t="str">
        <f>IFERROR(__xludf.DUMMYFUNCTION("""COMPUTED_VALUE"""),"Alignment issue")</f>
        <v>Alignment issue</v>
      </c>
      <c r="E45" s="91" t="str">
        <f>IFERROR(__xludf.DUMMYFUNCTION("""COMPUTED_VALUE"""),"User need to use the app on their mobile device")</f>
        <v>User need to use the app on their mobile device</v>
      </c>
      <c r="F45" s="91" t="str">
        <f>IFERROR(__xludf.DUMMYFUNCTION("""COMPUTED_VALUE"""),"1. Open app
2. Login using valid credentials
3. Click on call")</f>
        <v>1. Open app
2. Login using valid credentials
3. Click on call</v>
      </c>
      <c r="G45" s="91" t="str">
        <f>IFERROR(__xludf.DUMMYFUNCTION("""COMPUTED_VALUE"""),"MOM user credential")</f>
        <v>MOM user credential</v>
      </c>
      <c r="H45" s="91" t="str">
        <f>IFERROR(__xludf.DUMMYFUNCTION("""COMPUTED_VALUE"""),"Design and alignment should be as same as figma")</f>
        <v>Design and alignment should be as same as figma</v>
      </c>
      <c r="I45" s="91" t="str">
        <f>IFERROR(__xludf.DUMMYFUNCTION("""COMPUTED_VALUE"""),"Overlapp issue has been noticed ")</f>
        <v>Overlapp issue has been noticed </v>
      </c>
      <c r="J45" s="91" t="str">
        <f>IFERROR(__xludf.DUMMYFUNCTION("""COMPUTED_VALUE"""),"Fail")</f>
        <v>Fail</v>
      </c>
      <c r="K45" s="91" t="str">
        <f>IFERROR(__xludf.DUMMYFUNCTION("""COMPUTED_VALUE"""),"Medium")</f>
        <v>Medium</v>
      </c>
      <c r="L45" s="92" t="str">
        <f>IFERROR(__xludf.DUMMYFUNCTION("""COMPUTED_VALUE"""),"010.png")</f>
        <v>010.png</v>
      </c>
      <c r="M45" s="91"/>
      <c r="N45" s="91"/>
      <c r="O45" s="91"/>
      <c r="P45" s="91"/>
      <c r="Q45" s="91" t="str">
        <f>IFERROR(__xludf.DUMMYFUNCTION("""COMPUTED_VALUE"""),"Fahad")</f>
        <v>Fahad</v>
      </c>
      <c r="R45" s="89"/>
      <c r="S45" s="89"/>
      <c r="T45" s="89"/>
      <c r="U45" s="89"/>
      <c r="V45" s="89"/>
      <c r="W45" s="89"/>
      <c r="X45" s="89"/>
      <c r="Y45" s="89"/>
      <c r="Z45" s="89"/>
      <c r="AA45" s="89"/>
    </row>
    <row r="46">
      <c r="A46" s="90" t="s">
        <v>423</v>
      </c>
      <c r="B46" s="91" t="str">
        <f>IFERROR(__xludf.DUMMYFUNCTION("""COMPUTED_VALUE"""),"Mother Account")</f>
        <v>Mother Account</v>
      </c>
      <c r="C46" s="91" t="str">
        <f>IFERROR(__xludf.DUMMYFUNCTION("""COMPUTED_VALUE"""),"Call")</f>
        <v>Call</v>
      </c>
      <c r="D46" s="91" t="str">
        <f>IFERROR(__xludf.DUMMYFUNCTION("""COMPUTED_VALUE"""),"Displays co-parent as offline even when no co-parent has been added.")</f>
        <v>Displays co-parent as offline even when no co-parent has been added.</v>
      </c>
      <c r="E46" s="91" t="str">
        <f>IFERROR(__xludf.DUMMYFUNCTION("""COMPUTED_VALUE"""),"User need to use the app on their mobile device")</f>
        <v>User need to use the app on their mobile device</v>
      </c>
      <c r="F46" s="91" t="str">
        <f>IFERROR(__xludf.DUMMYFUNCTION("""COMPUTED_VALUE"""),"1. Open app
2. Login using valid credentials
3. Click on call")</f>
        <v>1. Open app
2. Login using valid credentials
3. Click on call</v>
      </c>
      <c r="G46" s="91" t="str">
        <f>IFERROR(__xludf.DUMMYFUNCTION("""COMPUTED_VALUE"""),"MOM user credential")</f>
        <v>MOM user credential</v>
      </c>
      <c r="H46" s="91" t="str">
        <f>IFERROR(__xludf.DUMMYFUNCTION("""COMPUTED_VALUE"""),"If no co-parent has been added, thanit should now display co-parent offline")</f>
        <v>If no co-parent has been added, thanit should now display co-parent offline</v>
      </c>
      <c r="I46" s="91" t="str">
        <f>IFERROR(__xludf.DUMMYFUNCTION("""COMPUTED_VALUE"""),"Display co-parent is offline where there is no co-parent added")</f>
        <v>Display co-parent is offline where there is no co-parent added</v>
      </c>
      <c r="J46" s="91" t="str">
        <f>IFERROR(__xludf.DUMMYFUNCTION("""COMPUTED_VALUE"""),"Fail")</f>
        <v>Fail</v>
      </c>
      <c r="K46" s="91" t="str">
        <f>IFERROR(__xludf.DUMMYFUNCTION("""COMPUTED_VALUE"""),"High")</f>
        <v>High</v>
      </c>
      <c r="L46" s="92" t="str">
        <f>IFERROR(__xludf.DUMMYFUNCTION("""COMPUTED_VALUE"""),"011.png")</f>
        <v>011.png</v>
      </c>
      <c r="M46" s="91"/>
      <c r="N46" s="91"/>
      <c r="O46" s="91"/>
      <c r="P46" s="91"/>
      <c r="Q46" s="91" t="str">
        <f>IFERROR(__xludf.DUMMYFUNCTION("""COMPUTED_VALUE"""),"Fahad")</f>
        <v>Fahad</v>
      </c>
      <c r="R46" s="89"/>
      <c r="S46" s="89"/>
      <c r="T46" s="89"/>
      <c r="U46" s="89"/>
      <c r="V46" s="89"/>
      <c r="W46" s="89"/>
      <c r="X46" s="89"/>
      <c r="Y46" s="89"/>
      <c r="Z46" s="89"/>
      <c r="AA46" s="89"/>
    </row>
    <row r="47">
      <c r="A47" s="90" t="s">
        <v>424</v>
      </c>
      <c r="B47" s="91" t="str">
        <f>IFERROR(__xludf.DUMMYFUNCTION("""COMPUTED_VALUE"""),"Mother Account")</f>
        <v>Mother Account</v>
      </c>
      <c r="C47" s="91" t="str">
        <f>IFERROR(__xludf.DUMMYFUNCTION("""COMPUTED_VALUE"""),"Document")</f>
        <v>Document</v>
      </c>
      <c r="D47" s="91" t="str">
        <f>IFERROR(__xludf.DUMMYFUNCTION("""COMPUTED_VALUE"""),"No document has been uploaded, yet the document banner is still showing.")</f>
        <v>No document has been uploaded, yet the document banner is still showing.</v>
      </c>
      <c r="E47" s="91" t="str">
        <f>IFERROR(__xludf.DUMMYFUNCTION("""COMPUTED_VALUE"""),"User need to use the app on their mobile device")</f>
        <v>User need to use the app on their mobile device</v>
      </c>
      <c r="F47" s="91" t="str">
        <f>IFERROR(__xludf.DUMMYFUNCTION("""COMPUTED_VALUE"""),"1. Open app
2. Login using valid credentials
3. Click on Document")</f>
        <v>1. Open app
2. Login using valid credentials
3. Click on Document</v>
      </c>
      <c r="G47" s="91" t="str">
        <f>IFERROR(__xludf.DUMMYFUNCTION("""COMPUTED_VALUE"""),"MOM user credential")</f>
        <v>MOM user credential</v>
      </c>
      <c r="H47" s="91" t="str">
        <f>IFERROR(__xludf.DUMMYFUNCTION("""COMPUTED_VALUE"""),"Blank page should be displayed if there is not document ")</f>
        <v>Blank page should be displayed if there is not document </v>
      </c>
      <c r="I47" s="91" t="str">
        <f>IFERROR(__xludf.DUMMYFUNCTION("""COMPUTED_VALUE"""),"Show document banner when there is not document")</f>
        <v>Show document banner when there is not document</v>
      </c>
      <c r="J47" s="91" t="str">
        <f>IFERROR(__xludf.DUMMYFUNCTION("""COMPUTED_VALUE"""),"Fail")</f>
        <v>Fail</v>
      </c>
      <c r="K47" s="91" t="str">
        <f>IFERROR(__xludf.DUMMYFUNCTION("""COMPUTED_VALUE"""),"Medium")</f>
        <v>Medium</v>
      </c>
      <c r="L47" s="92" t="str">
        <f>IFERROR(__xludf.DUMMYFUNCTION("""COMPUTED_VALUE"""),"012.png")</f>
        <v>012.png</v>
      </c>
      <c r="M47" s="91"/>
      <c r="N47" s="91"/>
      <c r="O47" s="91"/>
      <c r="P47" s="91"/>
      <c r="Q47" s="91" t="str">
        <f>IFERROR(__xludf.DUMMYFUNCTION("""COMPUTED_VALUE"""),"Fahad")</f>
        <v>Fahad</v>
      </c>
      <c r="R47" s="89"/>
      <c r="S47" s="89"/>
      <c r="T47" s="89"/>
      <c r="U47" s="89"/>
      <c r="V47" s="89"/>
      <c r="W47" s="89"/>
      <c r="X47" s="89"/>
      <c r="Y47" s="89"/>
      <c r="Z47" s="89"/>
      <c r="AA47" s="89"/>
    </row>
    <row r="48">
      <c r="A48" s="90" t="s">
        <v>425</v>
      </c>
      <c r="B48" s="91" t="str">
        <f>IFERROR(__xludf.DUMMYFUNCTION("""COMPUTED_VALUE"""),"Mother Account")</f>
        <v>Mother Account</v>
      </c>
      <c r="C48" s="91" t="str">
        <f>IFERROR(__xludf.DUMMYFUNCTION("""COMPUTED_VALUE"""),"Document")</f>
        <v>Document</v>
      </c>
      <c r="D48" s="91" t="str">
        <f>IFERROR(__xludf.DUMMYFUNCTION("""COMPUTED_VALUE"""),"Image preview missing in edit document section")</f>
        <v>Image preview missing in edit document section</v>
      </c>
      <c r="E48" s="91" t="str">
        <f>IFERROR(__xludf.DUMMYFUNCTION("""COMPUTED_VALUE"""),"User need to use the app on their mobile device")</f>
        <v>User need to use the app on their mobile device</v>
      </c>
      <c r="F48" s="91" t="str">
        <f>IFERROR(__xludf.DUMMYFUNCTION("""COMPUTED_VALUE"""),"1. Open app
2. Login using valid credentials
3. Click on Document")</f>
        <v>1. Open app
2. Login using valid credentials
3. Click on Document</v>
      </c>
      <c r="G48" s="91" t="str">
        <f>IFERROR(__xludf.DUMMYFUNCTION("""COMPUTED_VALUE"""),"MOM user credential")</f>
        <v>MOM user credential</v>
      </c>
      <c r="H48" s="91" t="str">
        <f>IFERROR(__xludf.DUMMYFUNCTION("""COMPUTED_VALUE"""),"Image should be displayed properly")</f>
        <v>Image should be displayed properly</v>
      </c>
      <c r="I48" s="91" t="str">
        <f>IFERROR(__xludf.DUMMYFUNCTION("""COMPUTED_VALUE"""),"Missing image, no preview")</f>
        <v>Missing image, no preview</v>
      </c>
      <c r="J48" s="91" t="str">
        <f>IFERROR(__xludf.DUMMYFUNCTION("""COMPUTED_VALUE"""),"Fail")</f>
        <v>Fail</v>
      </c>
      <c r="K48" s="91" t="str">
        <f>IFERROR(__xludf.DUMMYFUNCTION("""COMPUTED_VALUE"""),"Medium")</f>
        <v>Medium</v>
      </c>
      <c r="L48" s="92" t="str">
        <f>IFERROR(__xludf.DUMMYFUNCTION("""COMPUTED_VALUE"""),"013.png")</f>
        <v>013.png</v>
      </c>
      <c r="M48" s="91"/>
      <c r="N48" s="91"/>
      <c r="O48" s="91"/>
      <c r="P48" s="91"/>
      <c r="Q48" s="91" t="str">
        <f>IFERROR(__xludf.DUMMYFUNCTION("""COMPUTED_VALUE"""),"Fahad")</f>
        <v>Fahad</v>
      </c>
      <c r="R48" s="89"/>
      <c r="S48" s="89"/>
      <c r="T48" s="89"/>
      <c r="U48" s="89"/>
      <c r="V48" s="89"/>
      <c r="W48" s="89"/>
      <c r="X48" s="89"/>
      <c r="Y48" s="89"/>
      <c r="Z48" s="89"/>
      <c r="AA48" s="89"/>
    </row>
    <row r="49">
      <c r="A49" s="90" t="s">
        <v>426</v>
      </c>
      <c r="B49" s="91" t="str">
        <f>IFERROR(__xludf.DUMMYFUNCTION("""COMPUTED_VALUE"""),"Mother Account")</f>
        <v>Mother Account</v>
      </c>
      <c r="C49" s="91" t="str">
        <f>IFERROR(__xludf.DUMMYFUNCTION("""COMPUTED_VALUE"""),"Document")</f>
        <v>Document</v>
      </c>
      <c r="D49" s="91" t="str">
        <f>IFERROR(__xludf.DUMMYFUNCTION("""COMPUTED_VALUE"""),"Failed to store description message")</f>
        <v>Failed to store description message</v>
      </c>
      <c r="E49" s="91" t="str">
        <f>IFERROR(__xludf.DUMMYFUNCTION("""COMPUTED_VALUE"""),"User need to use the app on their mobile device")</f>
        <v>User need to use the app on their mobile device</v>
      </c>
      <c r="F49" s="91" t="str">
        <f>IFERROR(__xludf.DUMMYFUNCTION("""COMPUTED_VALUE"""),"1. Open app
2. Login using valid credentials
3. Click on Document")</f>
        <v>1. Open app
2. Login using valid credentials
3. Click on Document</v>
      </c>
      <c r="G49" s="91" t="str">
        <f>IFERROR(__xludf.DUMMYFUNCTION("""COMPUTED_VALUE"""),"MOM user credential")</f>
        <v>MOM user credential</v>
      </c>
      <c r="H49" s="91" t="str">
        <f>IFERROR(__xludf.DUMMYFUNCTION("""COMPUTED_VALUE"""),"Description message should be store properly")</f>
        <v>Description message should be store properly</v>
      </c>
      <c r="I49" s="91" t="str">
        <f>IFERROR(__xludf.DUMMYFUNCTION("""COMPUTED_VALUE"""),"Failed to displaye description message")</f>
        <v>Failed to displaye description message</v>
      </c>
      <c r="J49" s="91" t="str">
        <f>IFERROR(__xludf.DUMMYFUNCTION("""COMPUTED_VALUE"""),"Fail")</f>
        <v>Fail</v>
      </c>
      <c r="K49" s="91" t="str">
        <f>IFERROR(__xludf.DUMMYFUNCTION("""COMPUTED_VALUE"""),"High")</f>
        <v>High</v>
      </c>
      <c r="L49" s="92" t="str">
        <f>IFERROR(__xludf.DUMMYFUNCTION("""COMPUTED_VALUE"""),"014.mp4")</f>
        <v>014.mp4</v>
      </c>
      <c r="M49" s="91"/>
      <c r="N49" s="91"/>
      <c r="O49" s="91"/>
      <c r="P49" s="91"/>
      <c r="Q49" s="91" t="str">
        <f>IFERROR(__xludf.DUMMYFUNCTION("""COMPUTED_VALUE"""),"Fahad")</f>
        <v>Fahad</v>
      </c>
      <c r="R49" s="89"/>
      <c r="S49" s="89"/>
      <c r="T49" s="89"/>
      <c r="U49" s="89"/>
      <c r="V49" s="89"/>
      <c r="W49" s="89"/>
      <c r="X49" s="89"/>
      <c r="Y49" s="89"/>
      <c r="Z49" s="89"/>
      <c r="AA49" s="89"/>
    </row>
    <row r="50">
      <c r="A50" s="90" t="s">
        <v>427</v>
      </c>
      <c r="B50" s="91" t="str">
        <f>IFERROR(__xludf.DUMMYFUNCTION("""COMPUTED_VALUE"""),"Mother Account")</f>
        <v>Mother Account</v>
      </c>
      <c r="C50" s="91" t="str">
        <f>IFERROR(__xludf.DUMMYFUNCTION("""COMPUTED_VALUE"""),"Document")</f>
        <v>Document</v>
      </c>
      <c r="D50" s="91" t="str">
        <f>IFERROR(__xludf.DUMMYFUNCTION("""COMPUTED_VALUE"""),"Unable to download the document")</f>
        <v>Unable to download the document</v>
      </c>
      <c r="E50" s="91" t="str">
        <f>IFERROR(__xludf.DUMMYFUNCTION("""COMPUTED_VALUE"""),"User need to use the app on their mobile device")</f>
        <v>User need to use the app on their mobile device</v>
      </c>
      <c r="F50" s="91" t="str">
        <f>IFERROR(__xludf.DUMMYFUNCTION("""COMPUTED_VALUE"""),"1. Open app
2. Login using valid credentials
3. Click on Document")</f>
        <v>1. Open app
2. Login using valid credentials
3. Click on Document</v>
      </c>
      <c r="G50" s="91" t="str">
        <f>IFERROR(__xludf.DUMMYFUNCTION("""COMPUTED_VALUE"""),"MOM user credential")</f>
        <v>MOM user credential</v>
      </c>
      <c r="H50" s="91" t="str">
        <f>IFERROR(__xludf.DUMMYFUNCTION("""COMPUTED_VALUE"""),"User should be able to download document ")</f>
        <v>User should be able to download document </v>
      </c>
      <c r="I50" s="91" t="str">
        <f>IFERROR(__xludf.DUMMYFUNCTION("""COMPUTED_VALUE"""),"Failed to download document on user side")</f>
        <v>Failed to download document on user side</v>
      </c>
      <c r="J50" s="91" t="str">
        <f>IFERROR(__xludf.DUMMYFUNCTION("""COMPUTED_VALUE"""),"Fail")</f>
        <v>Fail</v>
      </c>
      <c r="K50" s="91" t="str">
        <f>IFERROR(__xludf.DUMMYFUNCTION("""COMPUTED_VALUE"""),"High")</f>
        <v>High</v>
      </c>
      <c r="L50" s="92" t="str">
        <f>IFERROR(__xludf.DUMMYFUNCTION("""COMPUTED_VALUE"""),"015.mp4")</f>
        <v>015.mp4</v>
      </c>
      <c r="M50" s="91"/>
      <c r="N50" s="91"/>
      <c r="O50" s="91"/>
      <c r="P50" s="91"/>
      <c r="Q50" s="91" t="str">
        <f>IFERROR(__xludf.DUMMYFUNCTION("""COMPUTED_VALUE"""),"Fahad")</f>
        <v>Fahad</v>
      </c>
      <c r="R50" s="89"/>
      <c r="S50" s="89"/>
      <c r="T50" s="89"/>
      <c r="U50" s="89"/>
      <c r="V50" s="89"/>
      <c r="W50" s="89"/>
      <c r="X50" s="89"/>
      <c r="Y50" s="89"/>
      <c r="Z50" s="89"/>
      <c r="AA50" s="89"/>
    </row>
    <row r="51">
      <c r="A51" s="90" t="s">
        <v>428</v>
      </c>
      <c r="B51" s="91" t="str">
        <f>IFERROR(__xludf.DUMMYFUNCTION("""COMPUTED_VALUE"""),"Mother Account")</f>
        <v>Mother Account</v>
      </c>
      <c r="C51" s="91" t="str">
        <f>IFERROR(__xludf.DUMMYFUNCTION("""COMPUTED_VALUE"""),"Document")</f>
        <v>Document</v>
      </c>
      <c r="D51" s="91" t="str">
        <f>IFERROR(__xludf.DUMMYFUNCTION("""COMPUTED_VALUE"""),"Unable to preview image.")</f>
        <v>Unable to preview image.</v>
      </c>
      <c r="E51" s="91" t="str">
        <f>IFERROR(__xludf.DUMMYFUNCTION("""COMPUTED_VALUE"""),"User need to use the app on their mobile device")</f>
        <v>User need to use the app on their mobile device</v>
      </c>
      <c r="F51" s="91" t="str">
        <f>IFERROR(__xludf.DUMMYFUNCTION("""COMPUTED_VALUE"""),"1. Open app
2. Login using valid credentials
3. Click on Document")</f>
        <v>1. Open app
2. Login using valid credentials
3. Click on Document</v>
      </c>
      <c r="G51" s="91" t="str">
        <f>IFERROR(__xludf.DUMMYFUNCTION("""COMPUTED_VALUE"""),"MOM user credential")</f>
        <v>MOM user credential</v>
      </c>
      <c r="H51" s="91" t="str">
        <f>IFERROR(__xludf.DUMMYFUNCTION("""COMPUTED_VALUE"""),"User should be able to preview image")</f>
        <v>User should be able to preview image</v>
      </c>
      <c r="I51" s="91" t="str">
        <f>IFERROR(__xludf.DUMMYFUNCTION("""COMPUTED_VALUE"""),"Failed to preview image")</f>
        <v>Failed to preview image</v>
      </c>
      <c r="J51" s="91" t="str">
        <f>IFERROR(__xludf.DUMMYFUNCTION("""COMPUTED_VALUE"""),"Fail")</f>
        <v>Fail</v>
      </c>
      <c r="K51" s="91" t="str">
        <f>IFERROR(__xludf.DUMMYFUNCTION("""COMPUTED_VALUE"""),"High")</f>
        <v>High</v>
      </c>
      <c r="L51" s="92" t="str">
        <f>IFERROR(__xludf.DUMMYFUNCTION("""COMPUTED_VALUE"""),"016.mp4")</f>
        <v>016.mp4</v>
      </c>
      <c r="M51" s="91"/>
      <c r="N51" s="91"/>
      <c r="O51" s="91"/>
      <c r="P51" s="91"/>
      <c r="Q51" s="91" t="str">
        <f>IFERROR(__xludf.DUMMYFUNCTION("""COMPUTED_VALUE"""),"Fahad")</f>
        <v>Fahad</v>
      </c>
      <c r="R51" s="89"/>
      <c r="S51" s="89"/>
      <c r="T51" s="89"/>
      <c r="U51" s="89"/>
      <c r="V51" s="89"/>
      <c r="W51" s="89"/>
      <c r="X51" s="89"/>
      <c r="Y51" s="89"/>
      <c r="Z51" s="89"/>
      <c r="AA51" s="89"/>
    </row>
    <row r="52">
      <c r="A52" s="90" t="s">
        <v>429</v>
      </c>
      <c r="B52" s="91" t="str">
        <f>IFERROR(__xludf.DUMMYFUNCTION("""COMPUTED_VALUE"""),"Mother Account")</f>
        <v>Mother Account</v>
      </c>
      <c r="C52" s="91" t="str">
        <f>IFERROR(__xludf.DUMMYFUNCTION("""COMPUTED_VALUE"""),"Document")</f>
        <v>Document</v>
      </c>
      <c r="D52" s="91" t="str">
        <f>IFERROR(__xludf.DUMMYFUNCTION("""COMPUTED_VALUE"""),"Failed to display file size")</f>
        <v>Failed to display file size</v>
      </c>
      <c r="E52" s="91" t="str">
        <f>IFERROR(__xludf.DUMMYFUNCTION("""COMPUTED_VALUE"""),"User need to use the app on their mobile device")</f>
        <v>User need to use the app on their mobile device</v>
      </c>
      <c r="F52" s="91" t="str">
        <f>IFERROR(__xludf.DUMMYFUNCTION("""COMPUTED_VALUE"""),"1. Open app
2. Login using valid credentials
3. Click on Document")</f>
        <v>1. Open app
2. Login using valid credentials
3. Click on Document</v>
      </c>
      <c r="G52" s="91" t="str">
        <f>IFERROR(__xludf.DUMMYFUNCTION("""COMPUTED_VALUE"""),"MOM user credential")</f>
        <v>MOM user credential</v>
      </c>
      <c r="H52" s="91" t="str">
        <f>IFERROR(__xludf.DUMMYFUNCTION("""COMPUTED_VALUE"""),"File size should displayed properly")</f>
        <v>File size should displayed properly</v>
      </c>
      <c r="I52" s="91" t="str">
        <f>IFERROR(__xludf.DUMMYFUNCTION("""COMPUTED_VALUE"""),"Failed to view file size")</f>
        <v>Failed to view file size</v>
      </c>
      <c r="J52" s="91" t="str">
        <f>IFERROR(__xludf.DUMMYFUNCTION("""COMPUTED_VALUE"""),"Fail")</f>
        <v>Fail</v>
      </c>
      <c r="K52" s="91" t="str">
        <f>IFERROR(__xludf.DUMMYFUNCTION("""COMPUTED_VALUE"""),"Medium")</f>
        <v>Medium</v>
      </c>
      <c r="L52" s="92" t="str">
        <f>IFERROR(__xludf.DUMMYFUNCTION("""COMPUTED_VALUE"""),"017.png")</f>
        <v>017.png</v>
      </c>
      <c r="M52" s="91"/>
      <c r="N52" s="91"/>
      <c r="O52" s="91"/>
      <c r="P52" s="91"/>
      <c r="Q52" s="91" t="str">
        <f>IFERROR(__xludf.DUMMYFUNCTION("""COMPUTED_VALUE"""),"Fahad")</f>
        <v>Fahad</v>
      </c>
      <c r="R52" s="89"/>
      <c r="S52" s="89"/>
      <c r="T52" s="89"/>
      <c r="U52" s="89"/>
      <c r="V52" s="89"/>
      <c r="W52" s="89"/>
      <c r="X52" s="89"/>
      <c r="Y52" s="89"/>
      <c r="Z52" s="89"/>
      <c r="AA52" s="89"/>
    </row>
    <row r="53">
      <c r="A53" s="90" t="s">
        <v>430</v>
      </c>
      <c r="B53" s="91" t="str">
        <f>IFERROR(__xludf.DUMMYFUNCTION("""COMPUTED_VALUE"""),"Mother Account")</f>
        <v>Mother Account</v>
      </c>
      <c r="C53" s="91" t="str">
        <f>IFERROR(__xludf.DUMMYFUNCTION("""COMPUTED_VALUE"""),"Document")</f>
        <v>Document</v>
      </c>
      <c r="D53" s="91" t="str">
        <f>IFERROR(__xludf.DUMMYFUNCTION("""COMPUTED_VALUE"""),"Failed to upload document.")</f>
        <v>Failed to upload document.</v>
      </c>
      <c r="E53" s="91" t="str">
        <f>IFERROR(__xludf.DUMMYFUNCTION("""COMPUTED_VALUE"""),"User need to use the app on their mobile device")</f>
        <v>User need to use the app on their mobile device</v>
      </c>
      <c r="F53" s="91" t="str">
        <f>IFERROR(__xludf.DUMMYFUNCTION("""COMPUTED_VALUE"""),"1. Open app
2. Login using valid credentials
3. Click on Document")</f>
        <v>1. Open app
2. Login using valid credentials
3. Click on Document</v>
      </c>
      <c r="G53" s="91" t="str">
        <f>IFERROR(__xludf.DUMMYFUNCTION("""COMPUTED_VALUE"""),"MOM user credential")</f>
        <v>MOM user credential</v>
      </c>
      <c r="H53" s="91" t="str">
        <f>IFERROR(__xludf.DUMMYFUNCTION("""COMPUTED_VALUE"""),"Users should be able to upload their documents without encountering any issues.")</f>
        <v>Users should be able to upload their documents without encountering any issues.</v>
      </c>
      <c r="I53" s="91" t="str">
        <f>IFERROR(__xludf.DUMMYFUNCTION("""COMPUTED_VALUE"""),"Failed to upload document ")</f>
        <v>Failed to upload document </v>
      </c>
      <c r="J53" s="91" t="str">
        <f>IFERROR(__xludf.DUMMYFUNCTION("""COMPUTED_VALUE"""),"Fail")</f>
        <v>Fail</v>
      </c>
      <c r="K53" s="91" t="str">
        <f>IFERROR(__xludf.DUMMYFUNCTION("""COMPUTED_VALUE"""),"High")</f>
        <v>High</v>
      </c>
      <c r="L53" s="92" t="str">
        <f>IFERROR(__xludf.DUMMYFUNCTION("""COMPUTED_VALUE"""),"018.png")</f>
        <v>018.png</v>
      </c>
      <c r="M53" s="91"/>
      <c r="N53" s="91"/>
      <c r="O53" s="91"/>
      <c r="P53" s="91"/>
      <c r="Q53" s="91" t="str">
        <f>IFERROR(__xludf.DUMMYFUNCTION("""COMPUTED_VALUE"""),"Fahad")</f>
        <v>Fahad</v>
      </c>
      <c r="R53" s="89"/>
      <c r="S53" s="89"/>
      <c r="T53" s="89"/>
      <c r="U53" s="89"/>
      <c r="V53" s="89"/>
      <c r="W53" s="89"/>
      <c r="X53" s="89"/>
      <c r="Y53" s="89"/>
      <c r="Z53" s="89"/>
      <c r="AA53" s="89"/>
    </row>
    <row r="54">
      <c r="A54" s="90" t="s">
        <v>431</v>
      </c>
      <c r="B54" s="91" t="str">
        <f>IFERROR(__xludf.DUMMYFUNCTION("""COMPUTED_VALUE"""),"Mother Account")</f>
        <v>Mother Account</v>
      </c>
      <c r="C54" s="91" t="str">
        <f>IFERROR(__xludf.DUMMYFUNCTION("""COMPUTED_VALUE"""),"Document")</f>
        <v>Document</v>
      </c>
      <c r="D54" s="91" t="str">
        <f>IFERROR(__xludf.DUMMYFUNCTION("""COMPUTED_VALUE"""),"Should display user name")</f>
        <v>Should display user name</v>
      </c>
      <c r="E54" s="91" t="str">
        <f>IFERROR(__xludf.DUMMYFUNCTION("""COMPUTED_VALUE"""),"User need to use the app on their mobile device")</f>
        <v>User need to use the app on their mobile device</v>
      </c>
      <c r="F54" s="91" t="str">
        <f>IFERROR(__xludf.DUMMYFUNCTION("""COMPUTED_VALUE"""),"1. Open app
2. Login using valid credentials
3. Click on Document")</f>
        <v>1. Open app
2. Login using valid credentials
3. Click on Document</v>
      </c>
      <c r="G54" s="91" t="str">
        <f>IFERROR(__xludf.DUMMYFUNCTION("""COMPUTED_VALUE"""),"MOM user credential")</f>
        <v>MOM user credential</v>
      </c>
      <c r="H54" s="91" t="str">
        <f>IFERROR(__xludf.DUMMYFUNCTION("""COMPUTED_VALUE"""),"Should display user name, not user ID ")</f>
        <v>Should display user name, not user ID </v>
      </c>
      <c r="I54" s="91" t="str">
        <f>IFERROR(__xludf.DUMMYFUNCTION("""COMPUTED_VALUE"""),"Showing user ID as user name ")</f>
        <v>Showing user ID as user name </v>
      </c>
      <c r="J54" s="91" t="str">
        <f>IFERROR(__xludf.DUMMYFUNCTION("""COMPUTED_VALUE"""),"Fail")</f>
        <v>Fail</v>
      </c>
      <c r="K54" s="91" t="str">
        <f>IFERROR(__xludf.DUMMYFUNCTION("""COMPUTED_VALUE"""),"Low")</f>
        <v>Low</v>
      </c>
      <c r="L54" s="92" t="str">
        <f>IFERROR(__xludf.DUMMYFUNCTION("""COMPUTED_VALUE"""),"019.png")</f>
        <v>019.png</v>
      </c>
      <c r="M54" s="91"/>
      <c r="N54" s="91"/>
      <c r="O54" s="91"/>
      <c r="P54" s="91"/>
      <c r="Q54" s="91" t="str">
        <f>IFERROR(__xludf.DUMMYFUNCTION("""COMPUTED_VALUE"""),"Fahad")</f>
        <v>Fahad</v>
      </c>
      <c r="R54" s="89"/>
      <c r="S54" s="89"/>
      <c r="T54" s="89"/>
      <c r="U54" s="89"/>
      <c r="V54" s="89"/>
      <c r="W54" s="89"/>
      <c r="X54" s="89"/>
      <c r="Y54" s="89"/>
      <c r="Z54" s="89"/>
      <c r="AA54" s="89"/>
    </row>
    <row r="55">
      <c r="A55" s="90" t="s">
        <v>432</v>
      </c>
      <c r="B55" s="91" t="str">
        <f>IFERROR(__xludf.DUMMYFUNCTION("""COMPUTED_VALUE"""),"Mother Account")</f>
        <v>Mother Account</v>
      </c>
      <c r="C55" s="91" t="str">
        <f>IFERROR(__xludf.DUMMYFUNCTION("""COMPUTED_VALUE"""),"Home")</f>
        <v>Home</v>
      </c>
      <c r="D55" s="91" t="str">
        <f>IFERROR(__xludf.DUMMYFUNCTION("""COMPUTED_VALUE"""),"Clicking on the home icon opened the home page, which was overlapping.")</f>
        <v>Clicking on the home icon opened the home page, which was overlapping.</v>
      </c>
      <c r="E55" s="91" t="str">
        <f>IFERROR(__xludf.DUMMYFUNCTION("""COMPUTED_VALUE"""),"User need to use the app on their mobile device")</f>
        <v>User need to use the app on their mobile device</v>
      </c>
      <c r="F55" s="91" t="str">
        <f>IFERROR(__xludf.DUMMYFUNCTION("""COMPUTED_VALUE"""),"1. Open app
2. Login with valid credentials
3. Goto Home")</f>
        <v>1. Open app
2. Login with valid credentials
3. Goto Home</v>
      </c>
      <c r="G55" s="91" t="str">
        <f>IFERROR(__xludf.DUMMYFUNCTION("""COMPUTED_VALUE"""),"MOM user credential")</f>
        <v>MOM user credential</v>
      </c>
      <c r="H55" s="91" t="str">
        <f>IFERROR(__xludf.DUMMYFUNCTION("""COMPUTED_VALUE"""),"Home page should open with a single click.")</f>
        <v>Home page should open with a single click.</v>
      </c>
      <c r="I55" s="91" t="str">
        <f>IFERROR(__xludf.DUMMYFUNCTION("""COMPUTED_VALUE"""),"Clicking multiple times on the home page opens several home tabs.")</f>
        <v>Clicking multiple times on the home page opens several home tabs.</v>
      </c>
      <c r="J55" s="91" t="str">
        <f>IFERROR(__xludf.DUMMYFUNCTION("""COMPUTED_VALUE"""),"Fail")</f>
        <v>Fail</v>
      </c>
      <c r="K55" s="91" t="str">
        <f>IFERROR(__xludf.DUMMYFUNCTION("""COMPUTED_VALUE"""),"Medium")</f>
        <v>Medium</v>
      </c>
      <c r="L55" s="92" t="str">
        <f>IFERROR(__xludf.DUMMYFUNCTION("""COMPUTED_VALUE"""),"052.mp4")</f>
        <v>052.mp4</v>
      </c>
      <c r="M55" s="91"/>
      <c r="N55" s="91"/>
      <c r="O55" s="91"/>
      <c r="P55" s="91"/>
      <c r="Q55" s="91" t="str">
        <f>IFERROR(__xludf.DUMMYFUNCTION("""COMPUTED_VALUE"""),"Fahad")</f>
        <v>Fahad</v>
      </c>
      <c r="R55" s="89"/>
      <c r="S55" s="89"/>
      <c r="T55" s="89"/>
      <c r="U55" s="89"/>
      <c r="V55" s="89"/>
      <c r="W55" s="89"/>
      <c r="X55" s="89"/>
      <c r="Y55" s="89"/>
      <c r="Z55" s="89"/>
      <c r="AA55" s="89"/>
    </row>
    <row r="56">
      <c r="A56" s="90" t="s">
        <v>433</v>
      </c>
      <c r="B56" s="91" t="str">
        <f>IFERROR(__xludf.DUMMYFUNCTION("""COMPUTED_VALUE"""),"Mother Account")</f>
        <v>Mother Account</v>
      </c>
      <c r="C56" s="91" t="str">
        <f>IFERROR(__xludf.DUMMYFUNCTION("""COMPUTED_VALUE"""),"Message")</f>
        <v>Message</v>
      </c>
      <c r="D56" s="91" t="str">
        <f>IFERROR(__xludf.DUMMYFUNCTION("""COMPUTED_VALUE"""),"No send icon visible, but the image gets sent when clicking on the “crop” option.")</f>
        <v>No send icon visible, but the image gets sent when clicking on the “crop” option.</v>
      </c>
      <c r="E56" s="91" t="str">
        <f>IFERROR(__xludf.DUMMYFUNCTION("""COMPUTED_VALUE"""),"User need to use the app on their mobile device")</f>
        <v>User need to use the app on their mobile device</v>
      </c>
      <c r="F56" s="91" t="str">
        <f>IFERROR(__xludf.DUMMYFUNCTION("""COMPUTED_VALUE"""),"1. Open app
2. Login using valid credentials
3. Click on message ")</f>
        <v>1. Open app
2. Login using valid credentials
3. Click on message </v>
      </c>
      <c r="G56" s="91" t="str">
        <f>IFERROR(__xludf.DUMMYFUNCTION("""COMPUTED_VALUE"""),"MOM user credential")</f>
        <v>MOM user credential</v>
      </c>
      <c r="H56" s="91" t="str">
        <f>IFERROR(__xludf.DUMMYFUNCTION("""COMPUTED_VALUE"""),"Send button should be visible.")</f>
        <v>Send button should be visible.</v>
      </c>
      <c r="I56" s="91" t="str">
        <f>IFERROR(__xludf.DUMMYFUNCTION("""COMPUTED_VALUE"""),"Send button is missing but can still send a picture by clicking on the crop option.")</f>
        <v>Send button is missing but can still send a picture by clicking on the crop option.</v>
      </c>
      <c r="J56" s="91" t="str">
        <f>IFERROR(__xludf.DUMMYFUNCTION("""COMPUTED_VALUE"""),"Fail")</f>
        <v>Fail</v>
      </c>
      <c r="K56" s="91" t="str">
        <f>IFERROR(__xludf.DUMMYFUNCTION("""COMPUTED_VALUE"""),"High")</f>
        <v>High</v>
      </c>
      <c r="L56" s="92" t="str">
        <f>IFERROR(__xludf.DUMMYFUNCTION("""COMPUTED_VALUE"""),"008.mp4")</f>
        <v>008.mp4</v>
      </c>
      <c r="M56" s="91"/>
      <c r="N56" s="91"/>
      <c r="O56" s="91"/>
      <c r="P56" s="91"/>
      <c r="Q56" s="91" t="str">
        <f>IFERROR(__xludf.DUMMYFUNCTION("""COMPUTED_VALUE"""),"Fahad")</f>
        <v>Fahad</v>
      </c>
      <c r="R56" s="89"/>
      <c r="S56" s="89"/>
      <c r="T56" s="89"/>
      <c r="U56" s="89"/>
      <c r="V56" s="89"/>
      <c r="W56" s="89"/>
      <c r="X56" s="89"/>
      <c r="Y56" s="89"/>
      <c r="Z56" s="89"/>
      <c r="AA56" s="89"/>
    </row>
    <row r="57">
      <c r="A57" s="90" t="s">
        <v>434</v>
      </c>
      <c r="B57" s="91" t="str">
        <f>IFERROR(__xludf.DUMMYFUNCTION("""COMPUTED_VALUE"""),"Mother Account")</f>
        <v>Mother Account</v>
      </c>
      <c r="C57" s="91" t="str">
        <f>IFERROR(__xludf.DUMMYFUNCTION("""COMPUTED_VALUE"""),"Message")</f>
        <v>Message</v>
      </c>
      <c r="D57" s="91" t="str">
        <f>IFERROR(__xludf.DUMMYFUNCTION("""COMPUTED_VALUE"""),"Download chat redirects to the API backend page.")</f>
        <v>Download chat redirects to the API backend page.</v>
      </c>
      <c r="E57" s="91" t="str">
        <f>IFERROR(__xludf.DUMMYFUNCTION("""COMPUTED_VALUE"""),"User need to use the app on their mobile device")</f>
        <v>User need to use the app on their mobile device</v>
      </c>
      <c r="F57" s="91" t="str">
        <f>IFERROR(__xludf.DUMMYFUNCTION("""COMPUTED_VALUE"""),"1. Open app
2. Login using valid credentials
3. Click on message ")</f>
        <v>1. Open app
2. Login using valid credentials
3. Click on message </v>
      </c>
      <c r="G57" s="91" t="str">
        <f>IFERROR(__xludf.DUMMYFUNCTION("""COMPUTED_VALUE"""),"MOM user credential")</f>
        <v>MOM user credential</v>
      </c>
      <c r="H57" s="91" t="str">
        <f>IFERROR(__xludf.DUMMYFUNCTION("""COMPUTED_VALUE"""),"Should be able to download full conversation")</f>
        <v>Should be able to download full conversation</v>
      </c>
      <c r="I57" s="91" t="str">
        <f>IFERROR(__xludf.DUMMYFUNCTION("""COMPUTED_VALUE"""),"Failed to download conversation, redirect to backend api page")</f>
        <v>Failed to download conversation, redirect to backend api page</v>
      </c>
      <c r="J57" s="91" t="str">
        <f>IFERROR(__xludf.DUMMYFUNCTION("""COMPUTED_VALUE"""),"Fail")</f>
        <v>Fail</v>
      </c>
      <c r="K57" s="91" t="str">
        <f>IFERROR(__xludf.DUMMYFUNCTION("""COMPUTED_VALUE"""),"High")</f>
        <v>High</v>
      </c>
      <c r="L57" s="92" t="str">
        <f>IFERROR(__xludf.DUMMYFUNCTION("""COMPUTED_VALUE"""),"009.mp4")</f>
        <v>009.mp4</v>
      </c>
      <c r="M57" s="91"/>
      <c r="N57" s="91"/>
      <c r="O57" s="91"/>
      <c r="P57" s="91"/>
      <c r="Q57" s="91" t="str">
        <f>IFERROR(__xludf.DUMMYFUNCTION("""COMPUTED_VALUE"""),"Fahad")</f>
        <v>Fahad</v>
      </c>
      <c r="R57" s="89"/>
      <c r="S57" s="89"/>
      <c r="T57" s="89"/>
      <c r="U57" s="89"/>
      <c r="V57" s="89"/>
      <c r="W57" s="89"/>
      <c r="X57" s="89"/>
      <c r="Y57" s="89"/>
      <c r="Z57" s="89"/>
      <c r="AA57" s="89"/>
    </row>
    <row r="58">
      <c r="A58" s="90" t="s">
        <v>435</v>
      </c>
      <c r="B58" s="91" t="str">
        <f>IFERROR(__xludf.DUMMYFUNCTION("""COMPUTED_VALUE"""),"Mother Account")</f>
        <v>Mother Account</v>
      </c>
      <c r="C58" s="91" t="str">
        <f>IFERROR(__xludf.DUMMYFUNCTION("""COMPUTED_VALUE"""),"OTP")</f>
        <v>OTP</v>
      </c>
      <c r="D58" s="91" t="str">
        <f>IFERROR(__xludf.DUMMYFUNCTION("""COMPUTED_VALUE"""),"Failed to receive OTP for account verification")</f>
        <v>Failed to receive OTP for account verification</v>
      </c>
      <c r="E58" s="91" t="str">
        <f>IFERROR(__xludf.DUMMYFUNCTION("""COMPUTED_VALUE"""),"User need to use the app on their mobile device")</f>
        <v>User need to use the app on their mobile device</v>
      </c>
      <c r="F58" s="91" t="str">
        <f>IFERROR(__xludf.DUMMYFUNCTION("""COMPUTED_VALUE"""),"1. Open app")</f>
        <v>1. Open app</v>
      </c>
      <c r="G58" s="91" t="str">
        <f>IFERROR(__xludf.DUMMYFUNCTION("""COMPUTED_VALUE"""),"MOM user credential")</f>
        <v>MOM user credential</v>
      </c>
      <c r="H58" s="91" t="str">
        <f>IFERROR(__xludf.DUMMYFUNCTION("""COMPUTED_VALUE"""),"User should be able to receive the OTP without any issues.")</f>
        <v>User should be able to receive the OTP without any issues.</v>
      </c>
      <c r="I58" s="91" t="str">
        <f>IFERROR(__xludf.DUMMYFUNCTION("""COMPUTED_VALUE"""),"Used failed to receive OTP")</f>
        <v>Used failed to receive OTP</v>
      </c>
      <c r="J58" s="91" t="str">
        <f>IFERROR(__xludf.DUMMYFUNCTION("""COMPUTED_VALUE"""),"Fail")</f>
        <v>Fail</v>
      </c>
      <c r="K58" s="91" t="str">
        <f>IFERROR(__xludf.DUMMYFUNCTION("""COMPUTED_VALUE"""),"High")</f>
        <v>High</v>
      </c>
      <c r="L58" s="92" t="str">
        <f>IFERROR(__xludf.DUMMYFUNCTION("""COMPUTED_VALUE"""),"001.png")</f>
        <v>001.png</v>
      </c>
      <c r="M58" s="91"/>
      <c r="N58" s="91"/>
      <c r="O58" s="91"/>
      <c r="P58" s="91"/>
      <c r="Q58" s="91" t="str">
        <f>IFERROR(__xludf.DUMMYFUNCTION("""COMPUTED_VALUE"""),"Fahad")</f>
        <v>Fahad</v>
      </c>
      <c r="R58" s="89"/>
      <c r="S58" s="89"/>
      <c r="T58" s="89"/>
      <c r="U58" s="89"/>
      <c r="V58" s="89"/>
      <c r="W58" s="89"/>
      <c r="X58" s="89"/>
      <c r="Y58" s="89"/>
      <c r="Z58" s="89"/>
      <c r="AA58" s="89"/>
    </row>
    <row r="59">
      <c r="A59" s="90" t="s">
        <v>436</v>
      </c>
      <c r="B59" s="91" t="str">
        <f>IFERROR(__xludf.DUMMYFUNCTION("""COMPUTED_VALUE"""),"Mother Account")</f>
        <v>Mother Account</v>
      </c>
      <c r="C59" s="91" t="str">
        <f>IFERROR(__xludf.DUMMYFUNCTION("""COMPUTED_VALUE"""),"OTP")</f>
        <v>OTP</v>
      </c>
      <c r="D59" s="91" t="str">
        <f>IFERROR(__xludf.DUMMYFUNCTION("""COMPUTED_VALUE"""),"Toast stays in a constant state. Should be vanish after 3-4 seconds")</f>
        <v>Toast stays in a constant state. Should be vanish after 3-4 seconds</v>
      </c>
      <c r="E59" s="91" t="str">
        <f>IFERROR(__xludf.DUMMYFUNCTION("""COMPUTED_VALUE"""),"User need to use the app on their mobile device")</f>
        <v>User need to use the app on their mobile device</v>
      </c>
      <c r="F59" s="91" t="str">
        <f>IFERROR(__xludf.DUMMYFUNCTION("""COMPUTED_VALUE"""),"1. Open app
2. Sign up by filling required field
3. Goto OTP page")</f>
        <v>1. Open app
2. Sign up by filling required field
3. Goto OTP page</v>
      </c>
      <c r="G59" s="91" t="str">
        <f>IFERROR(__xludf.DUMMYFUNCTION("""COMPUTED_VALUE"""),"MOM user credential")</f>
        <v>MOM user credential</v>
      </c>
      <c r="H59" s="91" t="str">
        <f>IFERROR(__xludf.DUMMYFUNCTION("""COMPUTED_VALUE"""),"Toast error message should only appear for 3-5 seconds")</f>
        <v>Toast error message should only appear for 3-5 seconds</v>
      </c>
      <c r="I59" s="91" t="str">
        <f>IFERROR(__xludf.DUMMYFUNCTION("""COMPUTED_VALUE"""),"Toast message remains in app unless it was removed ")</f>
        <v>Toast message remains in app unless it was removed </v>
      </c>
      <c r="J59" s="91" t="str">
        <f>IFERROR(__xludf.DUMMYFUNCTION("""COMPUTED_VALUE"""),"Fail")</f>
        <v>Fail</v>
      </c>
      <c r="K59" s="91" t="str">
        <f>IFERROR(__xludf.DUMMYFUNCTION("""COMPUTED_VALUE"""),"Medium")</f>
        <v>Medium</v>
      </c>
      <c r="L59" s="92" t="str">
        <f>IFERROR(__xludf.DUMMYFUNCTION("""COMPUTED_VALUE"""),"002.png")</f>
        <v>002.png</v>
      </c>
      <c r="M59" s="91"/>
      <c r="N59" s="91"/>
      <c r="O59" s="91"/>
      <c r="P59" s="91"/>
      <c r="Q59" s="91" t="str">
        <f>IFERROR(__xludf.DUMMYFUNCTION("""COMPUTED_VALUE"""),"Fahad")</f>
        <v>Fahad</v>
      </c>
      <c r="R59" s="89"/>
      <c r="S59" s="89"/>
      <c r="T59" s="89"/>
      <c r="U59" s="89"/>
      <c r="V59" s="89"/>
      <c r="W59" s="89"/>
      <c r="X59" s="89"/>
      <c r="Y59" s="89"/>
      <c r="Z59" s="89"/>
      <c r="AA59" s="89"/>
    </row>
    <row r="60">
      <c r="A60" s="90" t="s">
        <v>437</v>
      </c>
      <c r="B60" s="91" t="str">
        <f>IFERROR(__xludf.DUMMYFUNCTION("""COMPUTED_VALUE"""),"Mother Account")</f>
        <v>Mother Account</v>
      </c>
      <c r="C60" s="91" t="str">
        <f>IFERROR(__xludf.DUMMYFUNCTION("""COMPUTED_VALUE"""),"Subscription")</f>
        <v>Subscription</v>
      </c>
      <c r="D60" s="91" t="str">
        <f>IFERROR(__xludf.DUMMYFUNCTION("""COMPUTED_VALUE"""),"Spell mistake has been noticed")</f>
        <v>Spell mistake has been noticed</v>
      </c>
      <c r="E60" s="91" t="str">
        <f>IFERROR(__xludf.DUMMYFUNCTION("""COMPUTED_VALUE"""),"User need to use the app on their mobile device")</f>
        <v>User need to use the app on their mobile device</v>
      </c>
      <c r="F60" s="91" t="str">
        <f>IFERROR(__xludf.DUMMYFUNCTION("""COMPUTED_VALUE"""),"1. Open app
2. Sign up by filling required field
3. Goto OTP page
4. Verify OTP and go to next page")</f>
        <v>1. Open app
2. Sign up by filling required field
3. Goto OTP page
4. Verify OTP and go to next page</v>
      </c>
      <c r="G60" s="91" t="str">
        <f>IFERROR(__xludf.DUMMYFUNCTION("""COMPUTED_VALUE"""),"MOM user credential")</f>
        <v>MOM user credential</v>
      </c>
      <c r="H60" s="91" t="str">
        <f>IFERROR(__xludf.DUMMYFUNCTION("""COMPUTED_VALUE"""),"Spell mistake should not be visible")</f>
        <v>Spell mistake should not be visible</v>
      </c>
      <c r="I60" s="91" t="str">
        <f>IFERROR(__xludf.DUMMYFUNCTION("""COMPUTED_VALUE"""),"Spelling mistake has been noticed.")</f>
        <v>Spelling mistake has been noticed.</v>
      </c>
      <c r="J60" s="91" t="str">
        <f>IFERROR(__xludf.DUMMYFUNCTION("""COMPUTED_VALUE"""),"Fail")</f>
        <v>Fail</v>
      </c>
      <c r="K60" s="91" t="str">
        <f>IFERROR(__xludf.DUMMYFUNCTION("""COMPUTED_VALUE"""),"Low")</f>
        <v>Low</v>
      </c>
      <c r="L60" s="92" t="str">
        <f>IFERROR(__xludf.DUMMYFUNCTION("""COMPUTED_VALUE"""),"003.png")</f>
        <v>003.png</v>
      </c>
      <c r="M60" s="91"/>
      <c r="N60" s="91"/>
      <c r="O60" s="91"/>
      <c r="P60" s="91"/>
      <c r="Q60" s="91" t="str">
        <f>IFERROR(__xludf.DUMMYFUNCTION("""COMPUTED_VALUE"""),"Fahad")</f>
        <v>Fahad</v>
      </c>
      <c r="R60" s="89"/>
      <c r="S60" s="89"/>
      <c r="T60" s="89"/>
      <c r="U60" s="89"/>
      <c r="V60" s="89"/>
      <c r="W60" s="89"/>
      <c r="X60" s="89"/>
      <c r="Y60" s="89"/>
      <c r="Z60" s="89"/>
      <c r="AA60" s="89"/>
    </row>
    <row r="61">
      <c r="A61" s="90" t="s">
        <v>438</v>
      </c>
      <c r="B61" s="91" t="str">
        <f>IFERROR(__xludf.DUMMYFUNCTION("""COMPUTED_VALUE"""),"Mother Account")</f>
        <v>Mother Account</v>
      </c>
      <c r="C61" s="91" t="str">
        <f>IFERROR(__xludf.DUMMYFUNCTION("""COMPUTED_VALUE"""),"Subscription")</f>
        <v>Subscription</v>
      </c>
      <c r="D61" s="91" t="str">
        <f>IFERROR(__xludf.DUMMYFUNCTION("""COMPUTED_VALUE"""),"Yearly rate per month isn’t showing when a user selects the yearly subscription.")</f>
        <v>Yearly rate per month isn’t showing when a user selects the yearly subscription.</v>
      </c>
      <c r="E61" s="91" t="str">
        <f>IFERROR(__xludf.DUMMYFUNCTION("""COMPUTED_VALUE"""),"User need to use the app on their mobile device")</f>
        <v>User need to use the app on their mobile device</v>
      </c>
      <c r="F61" s="91" t="str">
        <f>IFERROR(__xludf.DUMMYFUNCTION("""COMPUTED_VALUE"""),"1. Open app
2. Sign up by filling required field
3. Goto OTP page
4. Verify OTP and go to next page")</f>
        <v>1. Open app
2. Sign up by filling required field
3. Goto OTP page
4. Verify OTP and go to next page</v>
      </c>
      <c r="G61" s="91" t="str">
        <f>IFERROR(__xludf.DUMMYFUNCTION("""COMPUTED_VALUE"""),"MOM user credential")</f>
        <v>MOM user credential</v>
      </c>
      <c r="H61" s="91" t="str">
        <f>IFERROR(__xludf.DUMMYFUNCTION("""COMPUTED_VALUE"""),"Alignment and design should be as same as figma")</f>
        <v>Alignment and design should be as same as figma</v>
      </c>
      <c r="I61" s="91" t="str">
        <f>IFERROR(__xludf.DUMMYFUNCTION("""COMPUTED_VALUE"""),"Alignment issue occurred when the user switched to a yearly subscription.")</f>
        <v>Alignment issue occurred when the user switched to a yearly subscription.</v>
      </c>
      <c r="J61" s="91" t="str">
        <f>IFERROR(__xludf.DUMMYFUNCTION("""COMPUTED_VALUE"""),"Fail")</f>
        <v>Fail</v>
      </c>
      <c r="K61" s="91" t="str">
        <f>IFERROR(__xludf.DUMMYFUNCTION("""COMPUTED_VALUE"""),"Medium")</f>
        <v>Medium</v>
      </c>
      <c r="L61" s="92" t="str">
        <f>IFERROR(__xludf.DUMMYFUNCTION("""COMPUTED_VALUE"""),"004.png")</f>
        <v>004.png</v>
      </c>
      <c r="M61" s="91"/>
      <c r="N61" s="91"/>
      <c r="O61" s="91"/>
      <c r="P61" s="91"/>
      <c r="Q61" s="91" t="str">
        <f>IFERROR(__xludf.DUMMYFUNCTION("""COMPUTED_VALUE"""),"Fahad")</f>
        <v>Fahad</v>
      </c>
      <c r="R61" s="89"/>
      <c r="S61" s="89"/>
      <c r="T61" s="89"/>
      <c r="U61" s="89"/>
      <c r="V61" s="89"/>
      <c r="W61" s="89"/>
      <c r="X61" s="89"/>
      <c r="Y61" s="89"/>
      <c r="Z61" s="89"/>
      <c r="AA61" s="89"/>
    </row>
    <row r="62">
      <c r="A62" s="90" t="s">
        <v>439</v>
      </c>
      <c r="B62" s="91" t="str">
        <f>IFERROR(__xludf.DUMMYFUNCTION("""COMPUTED_VALUE"""),"Mother Account")</f>
        <v>Mother Account</v>
      </c>
      <c r="C62" s="91" t="str">
        <f>IFERROR(__xludf.DUMMYFUNCTION("""COMPUTED_VALUE"""),"Subscription")</f>
        <v>Subscription</v>
      </c>
      <c r="D62" s="91" t="str">
        <f>IFERROR(__xludf.DUMMYFUNCTION("""COMPUTED_VALUE"""),"Goes to the subscription page but then redirects to the website’s home page, where the user isn’t logged in.")</f>
        <v>Goes to the subscription page but then redirects to the website’s home page, where the user isn’t logged in.</v>
      </c>
      <c r="E62" s="91" t="str">
        <f>IFERROR(__xludf.DUMMYFUNCTION("""COMPUTED_VALUE"""),"User need to use the app on their mobile device")</f>
        <v>User need to use the app on their mobile device</v>
      </c>
      <c r="F62" s="91" t="str">
        <f>IFERROR(__xludf.DUMMYFUNCTION("""COMPUTED_VALUE"""),"1. Open app
2. Sign up by filling required field
3. Goto OTP page
4. Verify OTP and go to next page")</f>
        <v>1. Open app
2. Sign up by filling required field
3. Goto OTP page
4. Verify OTP and go to next page</v>
      </c>
      <c r="G62" s="91" t="str">
        <f>IFERROR(__xludf.DUMMYFUNCTION("""COMPUTED_VALUE"""),"MOM user credential")</f>
        <v>MOM user credential</v>
      </c>
      <c r="H62" s="91" t="str">
        <f>IFERROR(__xludf.DUMMYFUNCTION("""COMPUTED_VALUE"""),"User should be redirected to a webpage with their login state intact, and from there, be taken to the subscription page.")</f>
        <v>User should be redirected to a webpage with their login state intact, and from there, be taken to the subscription page.</v>
      </c>
      <c r="I62" s="91" t="str">
        <f>IFERROR(__xludf.DUMMYFUNCTION("""COMPUTED_VALUE"""),"User is redirected to the web page in a logged-out state.")</f>
        <v>User is redirected to the web page in a logged-out state.</v>
      </c>
      <c r="J62" s="91" t="str">
        <f>IFERROR(__xludf.DUMMYFUNCTION("""COMPUTED_VALUE"""),"Fail")</f>
        <v>Fail</v>
      </c>
      <c r="K62" s="91" t="str">
        <f>IFERROR(__xludf.DUMMYFUNCTION("""COMPUTED_VALUE"""),"High")</f>
        <v>High</v>
      </c>
      <c r="L62" s="92" t="str">
        <f>IFERROR(__xludf.DUMMYFUNCTION("""COMPUTED_VALUE"""),"005.mp4")</f>
        <v>005.mp4</v>
      </c>
      <c r="M62" s="91"/>
      <c r="N62" s="91"/>
      <c r="O62" s="91"/>
      <c r="P62" s="91"/>
      <c r="Q62" s="91" t="str">
        <f>IFERROR(__xludf.DUMMYFUNCTION("""COMPUTED_VALUE"""),"Fahad")</f>
        <v>Fahad</v>
      </c>
      <c r="R62" s="89"/>
      <c r="S62" s="89"/>
      <c r="T62" s="89"/>
      <c r="U62" s="89"/>
      <c r="V62" s="89"/>
      <c r="W62" s="89"/>
      <c r="X62" s="89"/>
      <c r="Y62" s="89"/>
      <c r="Z62" s="89"/>
      <c r="AA62" s="89"/>
    </row>
    <row r="63">
      <c r="A63" s="90" t="s">
        <v>440</v>
      </c>
      <c r="B63" s="91" t="str">
        <f>IFERROR(__xludf.DUMMYFUNCTION("""COMPUTED_VALUE"""),"Mother Account")</f>
        <v>Mother Account</v>
      </c>
      <c r="C63" s="91" t="str">
        <f>IFERROR(__xludf.DUMMYFUNCTION("""COMPUTED_VALUE"""),"Subscription")</f>
        <v>Subscription</v>
      </c>
      <c r="D63" s="91" t="str">
        <f>IFERROR(__xludf.DUMMYFUNCTION("""COMPUTED_VALUE"""),"Didn’t automatically redirect the user to app after they purchased it.")</f>
        <v>Didn’t automatically redirect the user to app after they purchased it.</v>
      </c>
      <c r="E63" s="91" t="str">
        <f>IFERROR(__xludf.DUMMYFUNCTION("""COMPUTED_VALUE"""),"User need to use the app on their mobile device")</f>
        <v>User need to use the app on their mobile device</v>
      </c>
      <c r="F63" s="91" t="str">
        <f>IFERROR(__xludf.DUMMYFUNCTION("""COMPUTED_VALUE"""),"1. Open app
2. Sign up by filling required field
3. Goto OTP page
4. Verify OTP and go to next page")</f>
        <v>1. Open app
2. Sign up by filling required field
3. Goto OTP page
4. Verify OTP and go to next page</v>
      </c>
      <c r="G63" s="91" t="str">
        <f>IFERROR(__xludf.DUMMYFUNCTION("""COMPUTED_VALUE"""),"MOM user credential")</f>
        <v>MOM user credential</v>
      </c>
      <c r="H63" s="91" t="str">
        <f>IFERROR(__xludf.DUMMYFUNCTION("""COMPUTED_VALUE"""),"Should redirect users to app")</f>
        <v>Should redirect users to app</v>
      </c>
      <c r="I63" s="91" t="str">
        <f>IFERROR(__xludf.DUMMYFUNCTION("""COMPUTED_VALUE"""),"Unable to redirect the user to the app after completing the subscription purchase.")</f>
        <v>Unable to redirect the user to the app after completing the subscription purchase.</v>
      </c>
      <c r="J63" s="91" t="str">
        <f>IFERROR(__xludf.DUMMYFUNCTION("""COMPUTED_VALUE"""),"Fail")</f>
        <v>Fail</v>
      </c>
      <c r="K63" s="91" t="str">
        <f>IFERROR(__xludf.DUMMYFUNCTION("""COMPUTED_VALUE"""),"Medium")</f>
        <v>Medium</v>
      </c>
      <c r="L63" s="92" t="str">
        <f>IFERROR(__xludf.DUMMYFUNCTION("""COMPUTED_VALUE"""),"006.mp4")</f>
        <v>006.mp4</v>
      </c>
      <c r="M63" s="91"/>
      <c r="N63" s="91"/>
      <c r="O63" s="91"/>
      <c r="P63" s="91"/>
      <c r="Q63" s="91" t="str">
        <f>IFERROR(__xludf.DUMMYFUNCTION("""COMPUTED_VALUE"""),"Fahad")</f>
        <v>Fahad</v>
      </c>
      <c r="R63" s="89"/>
      <c r="S63" s="89"/>
      <c r="T63" s="89"/>
      <c r="U63" s="89"/>
      <c r="V63" s="89"/>
      <c r="W63" s="89"/>
      <c r="X63" s="89"/>
      <c r="Y63" s="89"/>
      <c r="Z63" s="89"/>
      <c r="AA63" s="89"/>
    </row>
    <row r="64">
      <c r="A64" s="90" t="s">
        <v>441</v>
      </c>
      <c r="B64" s="91" t="str">
        <f>IFERROR(__xludf.DUMMYFUNCTION("""COMPUTED_VALUE"""),"Mother Account")</f>
        <v>Mother Account</v>
      </c>
      <c r="C64" s="91" t="str">
        <f>IFERROR(__xludf.DUMMYFUNCTION("""COMPUTED_VALUE"""),"Subscription")</f>
        <v>Subscription</v>
      </c>
      <c r="D64" s="91" t="str">
        <f>IFERROR(__xludf.DUMMYFUNCTION("""COMPUTED_VALUE"""),"Highlight the discounted price when a user chooses the yearly package instead of the monthly package.")</f>
        <v>Highlight the discounted price when a user chooses the yearly package instead of the monthly package.</v>
      </c>
      <c r="E64" s="91" t="str">
        <f>IFERROR(__xludf.DUMMYFUNCTION("""COMPUTED_VALUE"""),"User need to use the app on their mobile device")</f>
        <v>User need to use the app on their mobile device</v>
      </c>
      <c r="F64" s="91" t="str">
        <f>IFERROR(__xludf.DUMMYFUNCTION("""COMPUTED_VALUE"""),"1. Open app
2. Login using valid credentials
3. Click on settings
4. Goto subscription ")</f>
        <v>1. Open app
2. Login using valid credentials
3. Click on settings
4. Goto subscription </v>
      </c>
      <c r="G64" s="91" t="str">
        <f>IFERROR(__xludf.DUMMYFUNCTION("""COMPUTED_VALUE"""),"MOM user credential")</f>
        <v>MOM user credential</v>
      </c>
      <c r="H64" s="91" t="str">
        <f>IFERROR(__xludf.DUMMYFUNCTION("""COMPUTED_VALUE"""),"Highlight the discount percentage for purchasing the yearly package instead of the monthly package.")</f>
        <v>Highlight the discount percentage for purchasing the yearly package instead of the monthly package.</v>
      </c>
      <c r="I64" s="91" t="str">
        <f>IFERROR(__xludf.DUMMYFUNCTION("""COMPUTED_VALUE"""),"No discount price has been shown")</f>
        <v>No discount price has been shown</v>
      </c>
      <c r="J64" s="91" t="str">
        <f>IFERROR(__xludf.DUMMYFUNCTION("""COMPUTED_VALUE"""),"Fail")</f>
        <v>Fail</v>
      </c>
      <c r="K64" s="91" t="str">
        <f>IFERROR(__xludf.DUMMYFUNCTION("""COMPUTED_VALUE"""),"Medium")</f>
        <v>Medium</v>
      </c>
      <c r="L64" s="92" t="str">
        <f>IFERROR(__xludf.DUMMYFUNCTION("""COMPUTED_VALUE"""),"007.png")</f>
        <v>007.png</v>
      </c>
      <c r="M64" s="91"/>
      <c r="N64" s="91"/>
      <c r="O64" s="91"/>
      <c r="P64" s="91"/>
      <c r="Q64" s="91" t="str">
        <f>IFERROR(__xludf.DUMMYFUNCTION("""COMPUTED_VALUE"""),"Fahad")</f>
        <v>Fahad</v>
      </c>
      <c r="R64" s="89"/>
      <c r="S64" s="89"/>
      <c r="T64" s="89"/>
      <c r="U64" s="89"/>
      <c r="V64" s="89"/>
      <c r="W64" s="89"/>
      <c r="X64" s="89"/>
      <c r="Y64" s="89"/>
      <c r="Z64" s="89"/>
      <c r="AA64" s="89"/>
    </row>
    <row r="65">
      <c r="A65" s="97" t="s">
        <v>442</v>
      </c>
      <c r="B65" s="89"/>
      <c r="C65" s="89"/>
      <c r="D65" s="89"/>
      <c r="E65" s="89"/>
      <c r="F65" s="89"/>
      <c r="G65" s="89"/>
      <c r="H65" s="89"/>
      <c r="I65" s="89"/>
      <c r="J65" s="89"/>
      <c r="K65" s="89"/>
      <c r="L65" s="89"/>
      <c r="M65" s="89"/>
      <c r="N65" s="89"/>
      <c r="O65" s="89"/>
      <c r="P65" s="89"/>
      <c r="Q65" s="89"/>
      <c r="R65" s="89"/>
      <c r="S65" s="89"/>
      <c r="T65" s="89"/>
      <c r="U65" s="89"/>
      <c r="V65" s="89"/>
      <c r="W65" s="89"/>
      <c r="X65" s="89"/>
      <c r="Y65" s="89"/>
      <c r="Z65" s="89"/>
      <c r="AA65" s="89"/>
    </row>
    <row r="66">
      <c r="A66" s="97" t="s">
        <v>442</v>
      </c>
      <c r="B66" s="89"/>
      <c r="C66" s="89"/>
      <c r="D66" s="89"/>
      <c r="E66" s="89"/>
      <c r="F66" s="89"/>
      <c r="G66" s="89"/>
      <c r="H66" s="89"/>
      <c r="I66" s="89"/>
      <c r="J66" s="89"/>
      <c r="K66" s="89"/>
      <c r="L66" s="89"/>
      <c r="M66" s="89"/>
      <c r="N66" s="89"/>
      <c r="O66" s="89"/>
      <c r="P66" s="89"/>
      <c r="Q66" s="89"/>
      <c r="R66" s="89"/>
      <c r="S66" s="89"/>
      <c r="T66" s="89"/>
      <c r="U66" s="89"/>
      <c r="V66" s="89"/>
      <c r="W66" s="89"/>
      <c r="X66" s="89"/>
      <c r="Y66" s="89"/>
      <c r="Z66" s="89"/>
      <c r="AA66" s="89"/>
    </row>
    <row r="67">
      <c r="A67" s="97" t="s">
        <v>442</v>
      </c>
      <c r="B67" s="89"/>
      <c r="C67" s="89"/>
      <c r="D67" s="89"/>
      <c r="E67" s="89"/>
      <c r="F67" s="89"/>
      <c r="G67" s="89"/>
      <c r="H67" s="89"/>
      <c r="I67" s="89"/>
      <c r="J67" s="89"/>
      <c r="K67" s="89"/>
      <c r="L67" s="89"/>
      <c r="M67" s="89"/>
      <c r="N67" s="89"/>
      <c r="O67" s="89"/>
      <c r="P67" s="89"/>
      <c r="Q67" s="89"/>
      <c r="R67" s="89"/>
      <c r="S67" s="89"/>
      <c r="T67" s="89"/>
      <c r="U67" s="89"/>
      <c r="V67" s="89"/>
      <c r="W67" s="89"/>
      <c r="X67" s="89"/>
      <c r="Y67" s="89"/>
      <c r="Z67" s="89"/>
      <c r="AA67" s="89"/>
    </row>
    <row r="68">
      <c r="A68" s="97" t="s">
        <v>442</v>
      </c>
      <c r="B68" s="89"/>
      <c r="C68" s="89"/>
      <c r="D68" s="89"/>
      <c r="E68" s="89"/>
      <c r="F68" s="89"/>
      <c r="G68" s="89"/>
      <c r="H68" s="89"/>
      <c r="I68" s="89"/>
      <c r="J68" s="89"/>
      <c r="K68" s="89"/>
      <c r="L68" s="89"/>
      <c r="M68" s="89"/>
      <c r="N68" s="89"/>
      <c r="O68" s="89"/>
      <c r="P68" s="89"/>
      <c r="Q68" s="89"/>
      <c r="R68" s="89"/>
      <c r="S68" s="89"/>
      <c r="T68" s="89"/>
      <c r="U68" s="89"/>
      <c r="V68" s="89"/>
      <c r="W68" s="89"/>
      <c r="X68" s="89"/>
      <c r="Y68" s="89"/>
      <c r="Z68" s="89"/>
      <c r="AA68" s="89"/>
    </row>
    <row r="69">
      <c r="A69" s="97" t="s">
        <v>442</v>
      </c>
      <c r="B69" s="89"/>
      <c r="C69" s="89"/>
      <c r="D69" s="89"/>
      <c r="E69" s="89"/>
      <c r="F69" s="89"/>
      <c r="G69" s="89"/>
      <c r="H69" s="89"/>
      <c r="I69" s="89"/>
      <c r="J69" s="89"/>
      <c r="K69" s="89"/>
      <c r="L69" s="89"/>
      <c r="M69" s="89"/>
      <c r="N69" s="89"/>
      <c r="O69" s="89"/>
      <c r="P69" s="89"/>
      <c r="Q69" s="89"/>
      <c r="R69" s="89"/>
      <c r="S69" s="89"/>
      <c r="T69" s="89"/>
      <c r="U69" s="89"/>
      <c r="V69" s="89"/>
      <c r="W69" s="89"/>
      <c r="X69" s="89"/>
      <c r="Y69" s="89"/>
      <c r="Z69" s="89"/>
      <c r="AA69" s="89"/>
    </row>
    <row r="70">
      <c r="A70" s="97" t="s">
        <v>442</v>
      </c>
      <c r="B70" s="89"/>
      <c r="C70" s="89"/>
      <c r="D70" s="89"/>
      <c r="E70" s="89"/>
      <c r="F70" s="89"/>
      <c r="G70" s="89"/>
      <c r="H70" s="89"/>
      <c r="I70" s="89"/>
      <c r="J70" s="89"/>
      <c r="K70" s="89"/>
      <c r="L70" s="89"/>
      <c r="M70" s="89"/>
      <c r="N70" s="89"/>
      <c r="O70" s="89"/>
      <c r="P70" s="89"/>
      <c r="Q70" s="89"/>
      <c r="R70" s="89"/>
      <c r="S70" s="89"/>
      <c r="T70" s="89"/>
      <c r="U70" s="89"/>
      <c r="V70" s="89"/>
      <c r="W70" s="89"/>
      <c r="X70" s="89"/>
      <c r="Y70" s="89"/>
      <c r="Z70" s="89"/>
      <c r="AA70" s="89"/>
    </row>
    <row r="71">
      <c r="A71" s="97" t="s">
        <v>442</v>
      </c>
      <c r="B71" s="89"/>
      <c r="C71" s="89"/>
      <c r="D71" s="89"/>
      <c r="E71" s="89"/>
      <c r="F71" s="89"/>
      <c r="G71" s="89"/>
      <c r="H71" s="89"/>
      <c r="I71" s="89"/>
      <c r="J71" s="89"/>
      <c r="K71" s="89"/>
      <c r="L71" s="89"/>
      <c r="M71" s="89"/>
      <c r="N71" s="89"/>
      <c r="O71" s="89"/>
      <c r="P71" s="89"/>
      <c r="Q71" s="89"/>
      <c r="R71" s="89"/>
      <c r="S71" s="89"/>
      <c r="T71" s="89"/>
      <c r="U71" s="89"/>
      <c r="V71" s="89"/>
      <c r="W71" s="89"/>
      <c r="X71" s="89"/>
      <c r="Y71" s="89"/>
      <c r="Z71" s="89"/>
      <c r="AA71" s="89"/>
    </row>
    <row r="72">
      <c r="A72" s="97" t="s">
        <v>442</v>
      </c>
      <c r="B72" s="89"/>
      <c r="C72" s="89"/>
      <c r="D72" s="89"/>
      <c r="E72" s="89"/>
      <c r="F72" s="89"/>
      <c r="G72" s="89"/>
      <c r="H72" s="89"/>
      <c r="I72" s="89"/>
      <c r="J72" s="89"/>
      <c r="K72" s="89"/>
      <c r="L72" s="89"/>
      <c r="M72" s="89"/>
      <c r="N72" s="89"/>
      <c r="O72" s="89"/>
      <c r="P72" s="89"/>
      <c r="Q72" s="89"/>
      <c r="R72" s="89"/>
      <c r="S72" s="89"/>
      <c r="T72" s="89"/>
      <c r="U72" s="89"/>
      <c r="V72" s="89"/>
      <c r="W72" s="89"/>
      <c r="X72" s="89"/>
      <c r="Y72" s="89"/>
      <c r="Z72" s="89"/>
      <c r="AA72" s="89"/>
    </row>
    <row r="73">
      <c r="A73" s="97" t="s">
        <v>442</v>
      </c>
      <c r="B73" s="89"/>
      <c r="C73" s="89"/>
      <c r="D73" s="89"/>
      <c r="E73" s="89"/>
      <c r="F73" s="89"/>
      <c r="G73" s="89"/>
      <c r="H73" s="89"/>
      <c r="I73" s="89"/>
      <c r="J73" s="89"/>
      <c r="K73" s="89"/>
      <c r="L73" s="89"/>
      <c r="M73" s="89"/>
      <c r="N73" s="89"/>
      <c r="O73" s="89"/>
      <c r="P73" s="89"/>
      <c r="Q73" s="89"/>
      <c r="R73" s="89"/>
      <c r="S73" s="89"/>
      <c r="T73" s="89"/>
      <c r="U73" s="89"/>
      <c r="V73" s="89"/>
      <c r="W73" s="89"/>
      <c r="X73" s="89"/>
      <c r="Y73" s="89"/>
      <c r="Z73" s="89"/>
      <c r="AA73" s="89"/>
    </row>
    <row r="74">
      <c r="A74" s="97" t="s">
        <v>442</v>
      </c>
      <c r="B74" s="89"/>
      <c r="C74" s="89"/>
      <c r="D74" s="89"/>
      <c r="E74" s="89"/>
      <c r="F74" s="89"/>
      <c r="G74" s="89"/>
      <c r="H74" s="89"/>
      <c r="I74" s="89"/>
      <c r="J74" s="89"/>
      <c r="K74" s="89"/>
      <c r="L74" s="89"/>
      <c r="M74" s="89"/>
      <c r="N74" s="89"/>
      <c r="O74" s="89"/>
      <c r="P74" s="89"/>
      <c r="Q74" s="89"/>
      <c r="R74" s="89"/>
      <c r="S74" s="89"/>
      <c r="T74" s="89"/>
      <c r="U74" s="89"/>
      <c r="V74" s="89"/>
      <c r="W74" s="89"/>
      <c r="X74" s="89"/>
      <c r="Y74" s="89"/>
      <c r="Z74" s="89"/>
      <c r="AA74" s="89"/>
    </row>
    <row r="75">
      <c r="A75" s="97" t="s">
        <v>442</v>
      </c>
      <c r="B75" s="89"/>
      <c r="C75" s="89"/>
      <c r="D75" s="89"/>
      <c r="E75" s="89"/>
      <c r="F75" s="89"/>
      <c r="G75" s="89"/>
      <c r="H75" s="89"/>
      <c r="I75" s="89"/>
      <c r="J75" s="89"/>
      <c r="K75" s="89"/>
      <c r="L75" s="89"/>
      <c r="M75" s="89"/>
      <c r="N75" s="89"/>
      <c r="O75" s="89"/>
      <c r="P75" s="89"/>
      <c r="Q75" s="89"/>
      <c r="R75" s="89"/>
      <c r="S75" s="89"/>
      <c r="T75" s="89"/>
      <c r="U75" s="89"/>
      <c r="V75" s="89"/>
      <c r="W75" s="89"/>
      <c r="X75" s="89"/>
      <c r="Y75" s="89"/>
      <c r="Z75" s="89"/>
      <c r="AA75" s="89"/>
    </row>
    <row r="76">
      <c r="A76" s="97" t="s">
        <v>442</v>
      </c>
      <c r="B76" s="89"/>
      <c r="C76" s="89"/>
      <c r="D76" s="89"/>
      <c r="E76" s="89"/>
      <c r="F76" s="89"/>
      <c r="G76" s="89"/>
      <c r="H76" s="89"/>
      <c r="I76" s="89"/>
      <c r="J76" s="89"/>
      <c r="K76" s="89"/>
      <c r="L76" s="89"/>
      <c r="M76" s="89"/>
      <c r="N76" s="89"/>
      <c r="O76" s="89"/>
      <c r="P76" s="89"/>
      <c r="Q76" s="89"/>
      <c r="R76" s="89"/>
      <c r="S76" s="89"/>
      <c r="T76" s="89"/>
      <c r="U76" s="89"/>
      <c r="V76" s="89"/>
      <c r="W76" s="89"/>
      <c r="X76" s="89"/>
      <c r="Y76" s="89"/>
      <c r="Z76" s="89"/>
      <c r="AA76" s="89"/>
    </row>
    <row r="77">
      <c r="A77" s="97" t="s">
        <v>442</v>
      </c>
      <c r="B77" s="89"/>
      <c r="C77" s="89"/>
      <c r="D77" s="89"/>
      <c r="E77" s="89"/>
      <c r="F77" s="89"/>
      <c r="G77" s="89"/>
      <c r="H77" s="89"/>
      <c r="I77" s="89"/>
      <c r="J77" s="89"/>
      <c r="K77" s="89"/>
      <c r="L77" s="89"/>
      <c r="M77" s="89"/>
      <c r="N77" s="89"/>
      <c r="O77" s="89"/>
      <c r="P77" s="89"/>
      <c r="Q77" s="89"/>
      <c r="R77" s="89"/>
      <c r="S77" s="89"/>
      <c r="T77" s="89"/>
      <c r="U77" s="89"/>
      <c r="V77" s="89"/>
      <c r="W77" s="89"/>
      <c r="X77" s="89"/>
      <c r="Y77" s="89"/>
      <c r="Z77" s="89"/>
      <c r="AA77" s="89"/>
    </row>
    <row r="78">
      <c r="A78" s="97" t="s">
        <v>442</v>
      </c>
      <c r="B78" s="89"/>
      <c r="C78" s="89"/>
      <c r="D78" s="89"/>
      <c r="E78" s="89"/>
      <c r="F78" s="89"/>
      <c r="G78" s="89"/>
      <c r="H78" s="89"/>
      <c r="I78" s="89"/>
      <c r="J78" s="89"/>
      <c r="K78" s="89"/>
      <c r="L78" s="89"/>
      <c r="M78" s="89"/>
      <c r="N78" s="89"/>
      <c r="O78" s="89"/>
      <c r="P78" s="89"/>
      <c r="Q78" s="89"/>
      <c r="R78" s="89"/>
      <c r="S78" s="89"/>
      <c r="T78" s="89"/>
      <c r="U78" s="89"/>
      <c r="V78" s="89"/>
      <c r="W78" s="89"/>
      <c r="X78" s="89"/>
      <c r="Y78" s="89"/>
      <c r="Z78" s="89"/>
      <c r="AA78" s="89"/>
    </row>
    <row r="79">
      <c r="A79" s="97" t="s">
        <v>442</v>
      </c>
      <c r="B79" s="89"/>
      <c r="C79" s="89"/>
      <c r="D79" s="89"/>
      <c r="E79" s="89"/>
      <c r="F79" s="89"/>
      <c r="G79" s="89"/>
      <c r="H79" s="89"/>
      <c r="I79" s="89"/>
      <c r="J79" s="89"/>
      <c r="K79" s="89"/>
      <c r="L79" s="89"/>
      <c r="M79" s="89"/>
      <c r="N79" s="89"/>
      <c r="O79" s="89"/>
      <c r="P79" s="89"/>
      <c r="Q79" s="89"/>
      <c r="R79" s="89"/>
      <c r="S79" s="89"/>
      <c r="T79" s="89"/>
      <c r="U79" s="89"/>
      <c r="V79" s="89"/>
      <c r="W79" s="89"/>
      <c r="X79" s="89"/>
      <c r="Y79" s="89"/>
      <c r="Z79" s="89"/>
      <c r="AA79" s="89"/>
    </row>
    <row r="80">
      <c r="A80" s="97" t="s">
        <v>442</v>
      </c>
      <c r="B80" s="89"/>
      <c r="C80" s="89"/>
      <c r="D80" s="89"/>
      <c r="E80" s="89"/>
      <c r="F80" s="89"/>
      <c r="G80" s="89"/>
      <c r="H80" s="89"/>
      <c r="I80" s="89"/>
      <c r="J80" s="89"/>
      <c r="K80" s="89"/>
      <c r="L80" s="89"/>
      <c r="M80" s="89"/>
      <c r="N80" s="89"/>
      <c r="O80" s="89"/>
      <c r="P80" s="89"/>
      <c r="Q80" s="89"/>
      <c r="R80" s="89"/>
      <c r="S80" s="89"/>
      <c r="T80" s="89"/>
      <c r="U80" s="89"/>
      <c r="V80" s="89"/>
      <c r="W80" s="89"/>
      <c r="X80" s="89"/>
      <c r="Y80" s="89"/>
      <c r="Z80" s="89"/>
      <c r="AA80" s="89"/>
    </row>
    <row r="81">
      <c r="A81" s="97" t="s">
        <v>442</v>
      </c>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row>
    <row r="82">
      <c r="A82" s="97" t="s">
        <v>442</v>
      </c>
      <c r="B82" s="89"/>
      <c r="C82" s="89"/>
      <c r="D82" s="89"/>
      <c r="E82" s="89"/>
      <c r="F82" s="89"/>
      <c r="G82" s="89"/>
      <c r="H82" s="89"/>
      <c r="I82" s="89"/>
      <c r="J82" s="89"/>
      <c r="K82" s="89"/>
      <c r="L82" s="89"/>
      <c r="M82" s="89"/>
      <c r="N82" s="89"/>
      <c r="O82" s="89"/>
      <c r="P82" s="89"/>
      <c r="Q82" s="89"/>
      <c r="R82" s="89"/>
      <c r="S82" s="89"/>
      <c r="T82" s="89"/>
      <c r="U82" s="89"/>
      <c r="V82" s="89"/>
      <c r="W82" s="89"/>
      <c r="X82" s="89"/>
      <c r="Y82" s="89"/>
      <c r="Z82" s="89"/>
      <c r="AA82" s="89"/>
    </row>
    <row r="83">
      <c r="A83" s="97" t="s">
        <v>442</v>
      </c>
      <c r="B83" s="89"/>
      <c r="C83" s="89"/>
      <c r="D83" s="89"/>
      <c r="E83" s="89"/>
      <c r="F83" s="89"/>
      <c r="G83" s="89"/>
      <c r="H83" s="89"/>
      <c r="I83" s="89"/>
      <c r="J83" s="89"/>
      <c r="K83" s="89"/>
      <c r="L83" s="89"/>
      <c r="M83" s="89"/>
      <c r="N83" s="89"/>
      <c r="O83" s="89"/>
      <c r="P83" s="89"/>
      <c r="Q83" s="89"/>
      <c r="R83" s="89"/>
      <c r="S83" s="89"/>
      <c r="T83" s="89"/>
      <c r="U83" s="89"/>
      <c r="V83" s="89"/>
      <c r="W83" s="89"/>
      <c r="X83" s="89"/>
      <c r="Y83" s="89"/>
      <c r="Z83" s="89"/>
      <c r="AA83" s="89"/>
    </row>
    <row r="84">
      <c r="A84" s="97" t="s">
        <v>442</v>
      </c>
      <c r="B84" s="89"/>
      <c r="C84" s="89"/>
      <c r="D84" s="89"/>
      <c r="E84" s="89"/>
      <c r="F84" s="89"/>
      <c r="G84" s="89"/>
      <c r="H84" s="89"/>
      <c r="I84" s="89"/>
      <c r="J84" s="89"/>
      <c r="K84" s="89"/>
      <c r="L84" s="89"/>
      <c r="M84" s="89"/>
      <c r="N84" s="89"/>
      <c r="O84" s="89"/>
      <c r="P84" s="89"/>
      <c r="Q84" s="89"/>
      <c r="R84" s="89"/>
      <c r="S84" s="89"/>
      <c r="T84" s="89"/>
      <c r="U84" s="89"/>
      <c r="V84" s="89"/>
      <c r="W84" s="89"/>
      <c r="X84" s="89"/>
      <c r="Y84" s="89"/>
      <c r="Z84" s="89"/>
      <c r="AA84" s="89"/>
    </row>
    <row r="85">
      <c r="A85" s="97" t="s">
        <v>442</v>
      </c>
      <c r="B85" s="89"/>
      <c r="C85" s="89"/>
      <c r="D85" s="89"/>
      <c r="E85" s="89"/>
      <c r="F85" s="89"/>
      <c r="G85" s="89"/>
      <c r="H85" s="89"/>
      <c r="I85" s="89"/>
      <c r="J85" s="89"/>
      <c r="K85" s="89"/>
      <c r="L85" s="89"/>
      <c r="M85" s="89"/>
      <c r="N85" s="89"/>
      <c r="O85" s="89"/>
      <c r="P85" s="89"/>
      <c r="Q85" s="89"/>
      <c r="R85" s="89"/>
      <c r="S85" s="89"/>
      <c r="T85" s="89"/>
      <c r="U85" s="89"/>
      <c r="V85" s="89"/>
      <c r="W85" s="89"/>
      <c r="X85" s="89"/>
      <c r="Y85" s="89"/>
      <c r="Z85" s="89"/>
      <c r="AA85" s="89"/>
    </row>
    <row r="86">
      <c r="A86" s="97" t="s">
        <v>442</v>
      </c>
      <c r="B86" s="89"/>
      <c r="C86" s="89"/>
      <c r="D86" s="89"/>
      <c r="E86" s="89"/>
      <c r="F86" s="89"/>
      <c r="G86" s="89"/>
      <c r="H86" s="89"/>
      <c r="I86" s="89"/>
      <c r="J86" s="89"/>
      <c r="K86" s="89"/>
      <c r="L86" s="89"/>
      <c r="M86" s="89"/>
      <c r="N86" s="89"/>
      <c r="O86" s="89"/>
      <c r="P86" s="89"/>
      <c r="Q86" s="89"/>
      <c r="R86" s="89"/>
      <c r="S86" s="89"/>
      <c r="T86" s="89"/>
      <c r="U86" s="89"/>
      <c r="V86" s="89"/>
      <c r="W86" s="89"/>
      <c r="X86" s="89"/>
      <c r="Y86" s="89"/>
      <c r="Z86" s="89"/>
      <c r="AA86" s="89"/>
    </row>
    <row r="87">
      <c r="A87" s="97" t="s">
        <v>442</v>
      </c>
      <c r="B87" s="89"/>
      <c r="C87" s="89"/>
      <c r="D87" s="89"/>
      <c r="E87" s="89"/>
      <c r="F87" s="89"/>
      <c r="G87" s="89"/>
      <c r="H87" s="89"/>
      <c r="I87" s="89"/>
      <c r="J87" s="89"/>
      <c r="K87" s="89"/>
      <c r="L87" s="89"/>
      <c r="M87" s="89"/>
      <c r="N87" s="89"/>
      <c r="O87" s="89"/>
      <c r="P87" s="89"/>
      <c r="Q87" s="89"/>
      <c r="R87" s="89"/>
      <c r="S87" s="89"/>
      <c r="T87" s="89"/>
      <c r="U87" s="89"/>
      <c r="V87" s="89"/>
      <c r="W87" s="89"/>
      <c r="X87" s="89"/>
      <c r="Y87" s="89"/>
      <c r="Z87" s="89"/>
      <c r="AA87" s="89"/>
    </row>
    <row r="88">
      <c r="A88" s="97" t="s">
        <v>442</v>
      </c>
      <c r="B88" s="89"/>
      <c r="C88" s="89"/>
      <c r="D88" s="89"/>
      <c r="E88" s="89"/>
      <c r="F88" s="89"/>
      <c r="G88" s="89"/>
      <c r="H88" s="89"/>
      <c r="I88" s="89"/>
      <c r="J88" s="89"/>
      <c r="K88" s="89"/>
      <c r="L88" s="89"/>
      <c r="M88" s="89"/>
      <c r="N88" s="89"/>
      <c r="O88" s="89"/>
      <c r="P88" s="89"/>
      <c r="Q88" s="89"/>
      <c r="R88" s="89"/>
      <c r="S88" s="89"/>
      <c r="T88" s="89"/>
      <c r="U88" s="89"/>
      <c r="V88" s="89"/>
      <c r="W88" s="89"/>
      <c r="X88" s="89"/>
      <c r="Y88" s="89"/>
      <c r="Z88" s="89"/>
      <c r="AA88" s="89"/>
    </row>
    <row r="89">
      <c r="A89" s="97" t="s">
        <v>442</v>
      </c>
      <c r="B89" s="89"/>
      <c r="C89" s="89"/>
      <c r="D89" s="89"/>
      <c r="E89" s="89"/>
      <c r="F89" s="89"/>
      <c r="G89" s="89"/>
      <c r="H89" s="89"/>
      <c r="I89" s="89"/>
      <c r="J89" s="89"/>
      <c r="K89" s="89"/>
      <c r="L89" s="89"/>
      <c r="M89" s="89"/>
      <c r="N89" s="89"/>
      <c r="O89" s="89"/>
      <c r="P89" s="89"/>
      <c r="Q89" s="89"/>
      <c r="R89" s="89"/>
      <c r="S89" s="89"/>
      <c r="T89" s="89"/>
      <c r="U89" s="89"/>
      <c r="V89" s="89"/>
      <c r="W89" s="89"/>
      <c r="X89" s="89"/>
      <c r="Y89" s="89"/>
      <c r="Z89" s="89"/>
      <c r="AA89" s="89"/>
    </row>
    <row r="90">
      <c r="A90" s="97" t="s">
        <v>442</v>
      </c>
    </row>
    <row r="91">
      <c r="A91" s="97" t="s">
        <v>442</v>
      </c>
    </row>
    <row r="92">
      <c r="A92" s="97" t="s">
        <v>442</v>
      </c>
    </row>
    <row r="93">
      <c r="A93" s="97" t="s">
        <v>442</v>
      </c>
    </row>
    <row r="94">
      <c r="A94" s="97" t="s">
        <v>442</v>
      </c>
    </row>
    <row r="95">
      <c r="A95" s="97" t="s">
        <v>442</v>
      </c>
    </row>
    <row r="96">
      <c r="A96" s="97" t="s">
        <v>442</v>
      </c>
    </row>
    <row r="97">
      <c r="A97" s="97" t="s">
        <v>442</v>
      </c>
    </row>
    <row r="98">
      <c r="A98" s="97" t="s">
        <v>442</v>
      </c>
    </row>
    <row r="99">
      <c r="A99" s="97" t="s">
        <v>442</v>
      </c>
    </row>
    <row r="100">
      <c r="A100" s="24" t="s">
        <v>442</v>
      </c>
    </row>
  </sheetData>
  <dataValidations>
    <dataValidation type="list" allowBlank="1" showErrorMessage="1" sqref="K11:K64">
      <formula1>"Low,Medium,High"</formula1>
    </dataValidation>
    <dataValidation type="list" allowBlank="1" showErrorMessage="1" sqref="J11:J64">
      <formula1>"Fail,Pass"</formula1>
    </dataValidation>
    <dataValidation type="list" allowBlank="1" showErrorMessage="1" sqref="N11:N64">
      <formula1>"Solved,Unsolved"</formula1>
    </dataValidation>
    <dataValidation type="list" allowBlank="1" showErrorMessage="1" sqref="O11:O64">
      <formula1>"Front-End,Back-End,AI,UI/UX"</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7"/>
    <hyperlink r:id="rId18" ref="L28"/>
    <hyperlink r:id="rId19" ref="L29"/>
    <hyperlink r:id="rId20" ref="L30"/>
    <hyperlink r:id="rId21" ref="L31"/>
    <hyperlink r:id="rId22" ref="L32"/>
    <hyperlink r:id="rId23" ref="L33"/>
    <hyperlink r:id="rId24" ref="L34"/>
    <hyperlink r:id="rId25" ref="L35"/>
    <hyperlink r:id="rId26" ref="L36"/>
    <hyperlink r:id="rId27" ref="L37"/>
    <hyperlink r:id="rId28" ref="L38"/>
    <hyperlink r:id="rId29" ref="L39"/>
    <hyperlink r:id="rId30" ref="L40"/>
    <hyperlink r:id="rId31" ref="L41"/>
    <hyperlink r:id="rId32" ref="L42"/>
    <hyperlink r:id="rId33" ref="L43"/>
    <hyperlink r:id="rId34" ref="L44"/>
    <hyperlink r:id="rId35" ref="L45"/>
    <hyperlink r:id="rId36" ref="L46"/>
    <hyperlink r:id="rId37" ref="L47"/>
    <hyperlink r:id="rId38" ref="L48"/>
    <hyperlink r:id="rId39" ref="L49"/>
    <hyperlink r:id="rId40" ref="L50"/>
    <hyperlink r:id="rId41" ref="L51"/>
    <hyperlink r:id="rId42" ref="L52"/>
    <hyperlink r:id="rId43" ref="L53"/>
    <hyperlink r:id="rId44" ref="L54"/>
    <hyperlink r:id="rId45" ref="L55"/>
    <hyperlink r:id="rId46" ref="L56"/>
    <hyperlink r:id="rId47" ref="L57"/>
    <hyperlink r:id="rId48" ref="L58"/>
    <hyperlink r:id="rId49" ref="L59"/>
    <hyperlink r:id="rId50" ref="L60"/>
    <hyperlink r:id="rId51" ref="L61"/>
    <hyperlink r:id="rId52" ref="L62"/>
    <hyperlink r:id="rId53" ref="L63"/>
    <hyperlink r:id="rId54" ref="L64"/>
  </hyperlinks>
  <drawing r:id="rId55"/>
</worksheet>
</file>