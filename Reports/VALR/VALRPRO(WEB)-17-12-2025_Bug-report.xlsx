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Fahad" sheetId="2" r:id="rId5"/>
    <sheet state="visible" name="Tahsin" sheetId="3" r:id="rId6"/>
    <sheet state="visible" name="Summary Report" sheetId="4" r:id="rId7"/>
  </sheets>
  <definedNames/>
  <calcPr/>
</workbook>
</file>

<file path=xl/sharedStrings.xml><?xml version="1.0" encoding="utf-8"?>
<sst xmlns="http://schemas.openxmlformats.org/spreadsheetml/2006/main" count="715" uniqueCount="313">
  <si>
    <t xml:space="preserve">Tester : </t>
  </si>
  <si>
    <t>Mohammed Fahad Faisal</t>
  </si>
  <si>
    <t>Severity</t>
  </si>
  <si>
    <t>Issues</t>
  </si>
  <si>
    <t>Project Name:</t>
  </si>
  <si>
    <t>High</t>
  </si>
  <si>
    <t>Project URL:</t>
  </si>
  <si>
    <t>Medium</t>
  </si>
  <si>
    <t>Developer: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</si>
  <si>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</si>
  <si>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</si>
  <si>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</si>
  <si>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</si>
  <si>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</si>
  <si>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</si>
  <si>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</si>
  <si>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</si>
  <si>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</si>
  <si>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</si>
  <si>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</si>
  <si>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</si>
  <si>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</si>
  <si>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</si>
  <si>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</si>
  <si>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</si>
  <si>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</si>
  <si>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</si>
  <si>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</si>
  <si>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</si>
  <si>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frontend</t>
  </si>
  <si>
    <t>chat issue</t>
  </si>
  <si>
    <t>BR-002</t>
  </si>
  <si>
    <t>Solved</t>
  </si>
  <si>
    <t>BR-003</t>
  </si>
  <si>
    <t>BR-004</t>
  </si>
  <si>
    <t>BR-005</t>
  </si>
  <si>
    <t>BR-006</t>
  </si>
  <si>
    <t>BR-007</t>
  </si>
  <si>
    <t>BR-008</t>
  </si>
  <si>
    <t>BR-009</t>
  </si>
  <si>
    <t>backend issue</t>
  </si>
  <si>
    <t>BR-010</t>
  </si>
  <si>
    <t>BR-011</t>
  </si>
  <si>
    <t>BR-012</t>
  </si>
  <si>
    <t>client satisfaction/ client amon koraise</t>
  </si>
  <si>
    <t>BR-013</t>
  </si>
  <si>
    <t>cleint data dey nai . ami gpt theke relivent data bosailm</t>
  </si>
  <si>
    <t>BR-014</t>
  </si>
  <si>
    <t>done</t>
  </si>
  <si>
    <t>BR-015</t>
  </si>
  <si>
    <t>BR-016</t>
  </si>
  <si>
    <t>amonta howar to kotha na/ siam vai er samne solve</t>
  </si>
  <si>
    <t>BR-017</t>
  </si>
  <si>
    <t>BR-018</t>
  </si>
  <si>
    <t>BR-019</t>
  </si>
  <si>
    <t>need confirmation</t>
  </si>
  <si>
    <t>BR-020</t>
  </si>
  <si>
    <t>BR-021</t>
  </si>
  <si>
    <t>no issue found</t>
  </si>
  <si>
    <t>BR-022</t>
  </si>
  <si>
    <t>previous one was 37 sec/new one 11 sec</t>
  </si>
  <si>
    <t>BR-023</t>
  </si>
  <si>
    <t>it was default. done</t>
  </si>
  <si>
    <t>BR-024</t>
  </si>
  <si>
    <t>BR-025</t>
  </si>
  <si>
    <t>BR-026</t>
  </si>
  <si>
    <t>done/ updated voice and name matching my component name</t>
  </si>
  <si>
    <t>BR-027</t>
  </si>
  <si>
    <t>BR-028</t>
  </si>
  <si>
    <t>BR-029</t>
  </si>
  <si>
    <t>BR-030</t>
  </si>
  <si>
    <t>done, new one is 11 sec</t>
  </si>
  <si>
    <t>BR-031</t>
  </si>
  <si>
    <t>BR-032</t>
  </si>
  <si>
    <t>BR-033</t>
  </si>
  <si>
    <t xml:space="preserve">previous one was 43 sec/new one is 9 sec </t>
  </si>
  <si>
    <t>BR-034</t>
  </si>
  <si>
    <t>BR-035</t>
  </si>
  <si>
    <t>previous one was 49sec/ new one is 12 sec</t>
  </si>
  <si>
    <t>BR-036</t>
  </si>
  <si>
    <t>BR-037</t>
  </si>
  <si>
    <t>previous one was 49sec/ new one is 11 sec</t>
  </si>
  <si>
    <t>BR-038</t>
  </si>
  <si>
    <t>BR-039</t>
  </si>
  <si>
    <t>BR-040</t>
  </si>
  <si>
    <t/>
  </si>
  <si>
    <t xml:space="preserve">Email : </t>
  </si>
  <si>
    <t>tolom65588@roastic.com</t>
  </si>
  <si>
    <t xml:space="preserve">Password : </t>
  </si>
  <si>
    <t>Windows 11 Pro 
Version:24H2 
OS build:26100.4946</t>
  </si>
  <si>
    <t>Environment:</t>
  </si>
  <si>
    <t>Brave 1.81.135 
(Official Build) (64-bit)
Chromium: 139.0.7258.127</t>
  </si>
  <si>
    <t>Test ID</t>
  </si>
  <si>
    <t>TC_001</t>
  </si>
  <si>
    <t>Register</t>
  </si>
  <si>
    <t>User can set symbolic character in their name when they register</t>
  </si>
  <si>
    <t>User should be in browser</t>
  </si>
  <si>
    <r>
      <rPr>
        <rFont val="Merriweather"/>
        <sz val="10.0"/>
      </rPr>
      <t xml:space="preserve">1. Goto </t>
    </r>
    <r>
      <rPr>
        <rFont val="Merriweather"/>
        <color rgb="FF1155CC"/>
        <sz val="10.0"/>
        <u/>
      </rPr>
      <t>Link</t>
    </r>
  </si>
  <si>
    <t>Email : tolom65588@roastic.com                
Password : 1234567890</t>
  </si>
  <si>
    <t>User name should only contain alphabetical characters not symbolic characters</t>
  </si>
  <si>
    <t>User can add symbolic characters</t>
  </si>
  <si>
    <t>Fail</t>
  </si>
  <si>
    <t>https://drive.google.com/drive/folders/1bY2wuEwm8DI5xbbYxBXRV8lb2JzwDPQE?usp=sharing</t>
  </si>
  <si>
    <t>TC_002</t>
  </si>
  <si>
    <t>OTP</t>
  </si>
  <si>
    <t xml:space="preserve">No OTP page found when user register </t>
  </si>
  <si>
    <r>
      <rPr>
        <rFont val="Merriweather"/>
        <sz val="10.0"/>
      </rPr>
      <t xml:space="preserve">1. Goto </t>
    </r>
    <r>
      <rPr>
        <rFont val="Merriweather"/>
        <color rgb="FF1155CC"/>
        <sz val="10.0"/>
        <u/>
      </rPr>
      <t xml:space="preserve">Link
</t>
    </r>
    <r>
      <rPr>
        <rFont val="Merriweather"/>
        <sz val="10.0"/>
      </rPr>
      <t>2. Fillout necessary data and click enter</t>
    </r>
  </si>
  <si>
    <t>User need to validate their account by providing OTP which they should receive in the mail when they register</t>
  </si>
  <si>
    <t>No OTP send to mail and no place to submit OTP</t>
  </si>
  <si>
    <t>TC_003</t>
  </si>
  <si>
    <t>Strong password generator failed</t>
  </si>
  <si>
    <r>
      <rPr>
        <rFont val="Merriweather"/>
        <sz val="10.0"/>
      </rPr>
      <t xml:space="preserve">1. Goto </t>
    </r>
    <r>
      <rPr>
        <rFont val="Merriweather"/>
        <color rgb="FF1155CC"/>
        <sz val="10.0"/>
        <u/>
      </rPr>
      <t xml:space="preserve">Link
</t>
    </r>
    <r>
      <rPr>
        <rFont val="Merriweather"/>
        <sz val="10.0"/>
      </rPr>
      <t>2. Fillout necessary data and click enter</t>
    </r>
  </si>
  <si>
    <t>User need to follow rules to generate password which can not get bypass by other unauthorize user</t>
  </si>
  <si>
    <t>Only numeric / alphabe character is enough to register</t>
  </si>
  <si>
    <t>https://drive.google.com/file/d/104l09N5YRNDyg2nbdb40ElbLyWDpVCwb/view?usp=drive_link</t>
  </si>
  <si>
    <t>Use Strong Passwords | CISA</t>
  </si>
  <si>
    <t>TC_004</t>
  </si>
  <si>
    <t>OTP submit timeout is not implemented</t>
  </si>
  <si>
    <r>
      <rPr>
        <rFont val="Merriweather"/>
        <sz val="10.0"/>
      </rPr>
      <t xml:space="preserve">1. Goto </t>
    </r>
    <r>
      <rPr>
        <rFont val="Merriweather"/>
        <color rgb="FF1155CC"/>
        <sz val="10.0"/>
        <u/>
      </rPr>
      <t xml:space="preserve">Link
</t>
    </r>
    <r>
      <rPr>
        <rFont val="Merriweather"/>
        <sz val="10.0"/>
      </rPr>
      <t>2. Fillout necessary data and click enter</t>
    </r>
  </si>
  <si>
    <t xml:space="preserve">When user receive OTP , a time limit should be integrated </t>
  </si>
  <si>
    <t>No time limit to submit OTP has integrated</t>
  </si>
  <si>
    <t>https://drive.google.com/file/d/1WEJmtG53BuRTlfue2ylB_Vd_K_AjMEXp/view?usp=drive_link</t>
  </si>
  <si>
    <t>TC_005</t>
  </si>
  <si>
    <t>Notification</t>
  </si>
  <si>
    <t>Notification generate in OTP page but shows in Home Page</t>
  </si>
  <si>
    <r>
      <rPr>
        <rFont val="Merriweather"/>
        <sz val="10.0"/>
      </rPr>
      <t xml:space="preserve">1. Goto </t>
    </r>
    <r>
      <rPr>
        <rFont val="Merriweather"/>
        <color rgb="FF1155CC"/>
        <sz val="10.0"/>
        <u/>
      </rPr>
      <t xml:space="preserve">Link
</t>
    </r>
    <r>
      <rPr>
        <rFont val="Merriweather"/>
        <sz val="10.0"/>
      </rPr>
      <t>2. Login using valid credentials</t>
    </r>
  </si>
  <si>
    <t>Email : tolom65588@roastic.com                
Password : 123456789</t>
  </si>
  <si>
    <t>Notification should be displayed in accurate place</t>
  </si>
  <si>
    <t>Notification generate in OTP page of password reset , after all operation complete and login, then in home page , the notification displayed</t>
  </si>
  <si>
    <t>https://drive.google.com/file/d/1h1qWA3GHwAQAMzxGUVxO6vZtBwup1H1K/view?usp=drive_link</t>
  </si>
  <si>
    <t>TC_006</t>
  </si>
  <si>
    <t>Home</t>
  </si>
  <si>
    <t>Subscription package missing in home page</t>
  </si>
  <si>
    <r>
      <rPr>
        <rFont val="Merriweather"/>
        <sz val="10.0"/>
      </rPr>
      <t xml:space="preserve">1. Goto </t>
    </r>
    <r>
      <rPr>
        <rFont val="Merriweather"/>
        <color rgb="FF1155CC"/>
        <sz val="10.0"/>
        <u/>
      </rPr>
      <t xml:space="preserve">Link
</t>
    </r>
    <r>
      <rPr>
        <rFont val="Merriweather"/>
        <sz val="10.0"/>
      </rPr>
      <t>2. Login using valid credentials</t>
    </r>
  </si>
  <si>
    <t>there are 2 subscription package but one display in first banner</t>
  </si>
  <si>
    <t>all subscription banners should display all package amount</t>
  </si>
  <si>
    <t>https://drive.google.com/file/d/156HsqIAzHZDlWTb3KCqbc2eM7HsvjfY8/view?usp=drive_link</t>
  </si>
  <si>
    <t>TC_007</t>
  </si>
  <si>
    <t>Same descrption use in different title bannaer</t>
  </si>
  <si>
    <r>
      <rPr>
        <rFont val="Merriweather"/>
        <sz val="10.0"/>
      </rPr>
      <t xml:space="preserve">1. Goto </t>
    </r>
    <r>
      <rPr>
        <rFont val="Merriweather"/>
        <color rgb="FF1155CC"/>
        <sz val="10.0"/>
        <u/>
      </rPr>
      <t xml:space="preserve">Link
</t>
    </r>
    <r>
      <rPr>
        <rFont val="Merriweather"/>
        <sz val="10.0"/>
      </rPr>
      <t>2. Login using valid credentials
3. Goto benefit playcard</t>
    </r>
  </si>
  <si>
    <t>Different title and description should be use in different banner</t>
  </si>
  <si>
    <t>Same description use in different banner</t>
  </si>
  <si>
    <t>https://drive.google.com/file/d/1oy00P69ZYcP54DKVHJFgu-3XKR6NGN2h/view?usp=drive_link</t>
  </si>
  <si>
    <t>TC_008</t>
  </si>
  <si>
    <t>Link with home page when it should take to contact us page</t>
  </si>
  <si>
    <r>
      <rPr>
        <rFont val="Merriweather"/>
        <sz val="10.0"/>
      </rPr>
      <t xml:space="preserve">1. Goto </t>
    </r>
    <r>
      <rPr>
        <rFont val="Merriweather"/>
        <color rgb="FF1155CC"/>
        <sz val="10.0"/>
        <u/>
      </rPr>
      <t xml:space="preserve">Link
</t>
    </r>
    <r>
      <rPr>
        <rFont val="Merriweather"/>
        <sz val="10.0"/>
      </rPr>
      <t>2. Login using valid credentials
3. Goto link pages</t>
    </r>
  </si>
  <si>
    <t>When select contact us , it should take to contact us page</t>
  </si>
  <si>
    <t>Take to home page instead to contact us page</t>
  </si>
  <si>
    <t>https://drive.google.com/file/d/1CcAeSoTyEkCrZN_PdMYtipKIyUsB909L/view?usp=drive_link</t>
  </si>
  <si>
    <t>TC_009</t>
  </si>
  <si>
    <t>link with home page when it should take to FAQ section</t>
  </si>
  <si>
    <r>
      <rPr>
        <rFont val="Merriweather"/>
        <sz val="10.0"/>
      </rPr>
      <t xml:space="preserve">1. Goto </t>
    </r>
    <r>
      <rPr>
        <rFont val="Merriweather"/>
        <color rgb="FF1155CC"/>
        <sz val="10.0"/>
        <u/>
      </rPr>
      <t xml:space="preserve">Link
</t>
    </r>
    <r>
      <rPr>
        <rFont val="Merriweather"/>
        <sz val="10.0"/>
      </rPr>
      <t>2. Login using valid credentials
3. Goto link pages</t>
    </r>
  </si>
  <si>
    <t>when select on FAQ section , it should take user to FAQ</t>
  </si>
  <si>
    <t>take to home page instead to FAQ section</t>
  </si>
  <si>
    <t>https://drive.google.com/file/d/17d1EWU0TzJyfaE7eF1zeEH2l4YoEbci_/view?usp=drive_link</t>
  </si>
  <si>
    <t>TC_010</t>
  </si>
  <si>
    <t>Chat</t>
  </si>
  <si>
    <t>Failed to response on first message</t>
  </si>
  <si>
    <r>
      <rPr>
        <rFont val="Merriweather"/>
        <sz val="10.0"/>
      </rPr>
      <t xml:space="preserve">1. Goto </t>
    </r>
    <r>
      <rPr>
        <rFont val="Merriweather"/>
        <color rgb="FF1155CC"/>
        <sz val="10.0"/>
        <u/>
      </rPr>
      <t xml:space="preserve">Link
</t>
    </r>
    <r>
      <rPr>
        <rFont val="Merriweather"/>
        <sz val="10.0"/>
      </rPr>
      <t>2. Login using valid credentials
3. Click on Chat icon</t>
    </r>
  </si>
  <si>
    <t>Chat icon should response perfectly</t>
  </si>
  <si>
    <t>failed to response on first message</t>
  </si>
  <si>
    <t>https://drive.google.com/file/d/1uqRfYn6ereteYt9UiXMvMaHmIn1soq4_/view?usp=drive_link</t>
  </si>
  <si>
    <t>TC_011</t>
  </si>
  <si>
    <t>VA Form</t>
  </si>
  <si>
    <t>Input box fill color</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</si>
  <si>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</si>
  <si>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Input box should be all same and not use in different color</t>
  </si>
  <si>
    <t>Different color is used in inpu field which is not pleaseable to user</t>
  </si>
  <si>
    <t>https://drive.google.com/file/d/1rSCapT0_wyhR1qpPsq6vrcmO6ygnxurz/view?usp=drive_link</t>
  </si>
  <si>
    <t>TC_012</t>
  </si>
  <si>
    <t>Voice still tolds to select permanent or temporary address</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</si>
  <si>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</si>
  <si>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Voice should only narrate the topic exists on page</t>
  </si>
  <si>
    <t>Old voice remains in this page</t>
  </si>
  <si>
    <t>https://drive.google.com/file/d/1_C1uG-VtDB_jCDCmTUJ8rFbfvSS7L2Rs/view?usp=drive_link</t>
  </si>
  <si>
    <t>TC_013</t>
  </si>
  <si>
    <t>Country always set as US</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</si>
  <si>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</si>
  <si>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Coutry should be taken input from user</t>
  </si>
  <si>
    <t>it is best pracice to let user input</t>
  </si>
  <si>
    <t>TC_014</t>
  </si>
  <si>
    <t>Same question asked in different page</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</si>
  <si>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</si>
  <si>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Repeated question should not be asked in different page</t>
  </si>
  <si>
    <t>repeated questions in asked in different pages</t>
  </si>
  <si>
    <t>https://drive.google.com/file/d/1PVq3J7jrNLw54ZnHiqhjWjOzHidJCOaG/view?usp=drive_link</t>
  </si>
  <si>
    <t>TC_015</t>
  </si>
  <si>
    <t>Prison war data takes 2 different date in pdf but in frontend it takes only 1 input</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</si>
  <si>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</si>
  <si>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Should be took accurate data in frontend which should placed perfectly in pdf</t>
  </si>
  <si>
    <t>only take one confinement date range in frontend but pdf can store 2 date</t>
  </si>
  <si>
    <t>https://drive.google.com/file/d/1q70SiB9PWG3WMT8cl0GWGdR8_Xpg5iBR/view?usp=drive_link</t>
  </si>
  <si>
    <t>TC_016</t>
  </si>
  <si>
    <t>Voice is not updated</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</si>
  <si>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</si>
  <si>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voice should be updated</t>
  </si>
  <si>
    <t>old voice remains</t>
  </si>
  <si>
    <t>https://drive.google.com/file/d/1IQAwQTR2_961GDEivDxIHXjVUpqUsv7e/view?usp=drive_link</t>
  </si>
  <si>
    <t>TC_017</t>
  </si>
  <si>
    <t>Voice is repeating after complete</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</si>
  <si>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</si>
  <si>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Voice should be turn off after it completes</t>
  </si>
  <si>
    <t xml:space="preserve">repeating </t>
  </si>
  <si>
    <t>TC_018</t>
  </si>
  <si>
    <t>client request to add another option name "combat"</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</si>
  <si>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</si>
  <si>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"combat " option should be placed which was requested by client</t>
  </si>
  <si>
    <t>option is not in the dropdown menu</t>
  </si>
  <si>
    <t>https://drive.google.com/file/d/1MBsJR6f9RfE2g98xXDJm251txPJF1123/view?usp=drive_link</t>
  </si>
  <si>
    <t>TC_019</t>
  </si>
  <si>
    <t>option set by default</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</si>
  <si>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</si>
  <si>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no option should be set bydefault</t>
  </si>
  <si>
    <t>divorce is set by default</t>
  </si>
  <si>
    <t>https://drive.google.com/file/d/18vdTilU5R3B01Ha5VQHnp8wtDVicsFut/view?usp=drive_link</t>
  </si>
  <si>
    <t>TC_020</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</si>
  <si>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</si>
  <si>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https://drive.google.com/file/d/1BQUVYYemNxmRd-5ePGVIj9mRdd3kwT3k/view?usp=drive_link</t>
  </si>
  <si>
    <t>TC_021</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</si>
  <si>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</si>
  <si>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TC_022</t>
  </si>
  <si>
    <t>Input data validation failed</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</si>
  <si>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</si>
  <si>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all input field values should be positive</t>
  </si>
  <si>
    <t>can placed negetive input by droparrow</t>
  </si>
  <si>
    <t>https://drive.google.com/file/d/16QakETcMBv2Pes9XMyv3l9fNJcY2N10a/view?usp=drive_link</t>
  </si>
  <si>
    <t>TC_023</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</si>
  <si>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</si>
  <si>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https://drive.google.com/file/d/1fUt8LL32FA8YqJ690xOf1yOGj3esmuF1/view?usp=drive_link</t>
  </si>
  <si>
    <t>TC_024</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</si>
  <si>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</si>
  <si>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TC_025</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</si>
  <si>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</si>
  <si>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https://drive.google.com/file/d/1rGDiPED7fuXWZrDQJXZxD37gblDpaNMK/view?usp=drive_link</t>
  </si>
  <si>
    <t>TC_026</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</si>
  <si>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</si>
  <si>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TC_027</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</si>
  <si>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</si>
  <si>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https://drive.google.com/file/d/1uqrOhCchIEakKXQdIGmwd3HvPkJv5mFr/view?usp=drive_link</t>
  </si>
  <si>
    <t>TC_028</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</si>
  <si>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</si>
  <si>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TC_029</t>
  </si>
  <si>
    <t>account number limit failed</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</si>
  <si>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</si>
  <si>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Account number limit fixed on 15 digit</t>
  </si>
  <si>
    <t>Can take infinite digit input</t>
  </si>
  <si>
    <t>https://drive.google.com/file/d/18vJR5_HxaRlWMhyr-vhEeanNAtI6gPie/view?usp=drive_link</t>
  </si>
  <si>
    <t>TC_030</t>
  </si>
  <si>
    <t>Submission failed when upload statement</t>
  </si>
  <si>
    <r>
      <rPr>
        <rFont val="Merriweather"/>
        <sz val="10.0"/>
      </rPr>
      <t xml:space="preserve">1. Goto </t>
    </r>
    <r>
      <rPr>
        <rFont val="Merriweather"/>
        <color rgb="FF1155CC"/>
        <sz val="10.0"/>
        <u/>
      </rPr>
      <t xml:space="preserve">Link
</t>
    </r>
    <r>
      <rPr>
        <rFont val="Merriweather"/>
        <sz val="10.0"/>
      </rPr>
      <t>2. Login using valid credentials
3. buy plan and click on claim now</t>
    </r>
  </si>
  <si>
    <t>User statement upload operation should not be cause system failure and the app should not crash</t>
  </si>
  <si>
    <t>Crash when upload statement</t>
  </si>
  <si>
    <t>https://drive.google.com/file/d/19OBPrJeLu9R4J2EHMFswnXDoV-P8JxLX/view?usp=drive_link</t>
  </si>
  <si>
    <t>TC_031</t>
  </si>
  <si>
    <t>Generated PDF</t>
  </si>
  <si>
    <t>PDF : 526-EZ</t>
  </si>
  <si>
    <t>garbage value in pdf</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</si>
  <si>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</si>
  <si>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Only value from frontend should be placed in pdf</t>
  </si>
  <si>
    <t>Random garbage value has been store in pdf</t>
  </si>
  <si>
    <t>https://drive.google.com/file/d/1iee7Ie3xsjQD_JFK_MepFruRoQb-Xyp-/view?usp=drive_link</t>
  </si>
  <si>
    <t>TC_032</t>
  </si>
  <si>
    <t>Select one value from frontend but selected 2 value in pdf</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</si>
  <si>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</si>
  <si>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Only one should select in pdf which was taken input in frontend</t>
  </si>
  <si>
    <t>selecteed "Marine Corp" in frontend but "Air Force" is also selected in pdf</t>
  </si>
  <si>
    <t>https://drive.google.com/file/d/1AO9Vd6b_Vs6kCPA6Bo8UcoOR3-WjklJY/view?usp=drive_link</t>
  </si>
  <si>
    <t>TC_033</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</si>
  <si>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</si>
  <si>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Selected "Active" in frontend but "National Guard" is also selected</t>
  </si>
  <si>
    <t>https://drive.google.com/file/d/12NRqnRWmuuzpnTxDapZpurxcl2A19dqR/view?usp=drive_link</t>
  </si>
  <si>
    <t>TC_034</t>
  </si>
  <si>
    <t>Frontend only took one date (from and to)</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</si>
  <si>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</si>
  <si>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Only one date range is taken as input in frontend but displaying 2 date range in pdf</t>
  </si>
  <si>
    <t>https://drive.google.com/file/d/1I0Q9qWSBUfETUp5jqW2CATLovqw92jnF/view?usp=drive_link</t>
  </si>
  <si>
    <t>TC_035</t>
  </si>
  <si>
    <t>PDF : 0781-ARE</t>
  </si>
  <si>
    <t>Month is not displaying</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</si>
  <si>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</si>
  <si>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Month value is missing</t>
  </si>
  <si>
    <t>https://drive.google.com/file/d/1se6h-FFrvMQeO4bWmBPNdO3r9v0JpmLD/view?usp=drive_link</t>
  </si>
  <si>
    <t>TC_036</t>
  </si>
  <si>
    <t>No data is displaying in pdf which was taken as input from frontend</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</si>
  <si>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</si>
  <si>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No data is in pdf which was taken as input from frontend</t>
  </si>
  <si>
    <t>https://drive.google.com/file/d/1K47w9N9bwFul9HsJPzBSC63ljTjODND4/view?usp=drive_link</t>
  </si>
  <si>
    <t>TC_037</t>
  </si>
  <si>
    <t>Tick mark is not selected</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</si>
  <si>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</si>
  <si>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tick mark is not placed in pdf</t>
  </si>
  <si>
    <t>https://drive.google.com/file/d/1Ygi3sQYTFc1V6EtlvaxhbOxOKyfH5hre/view?usp=drive_link</t>
  </si>
  <si>
    <t>TC_038</t>
  </si>
  <si>
    <t>Garbage value in pdf</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</si>
  <si>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</si>
  <si>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Only inputed values should displayed in the pdf</t>
  </si>
  <si>
    <t>Grabage value is in the pdf</t>
  </si>
  <si>
    <t>https://drive.google.com/file/d/1DnMlWMEYXftFM426wHs9cynCEoO3XRQ6/view?usp=drive_link</t>
  </si>
  <si>
    <t>TC_039</t>
  </si>
  <si>
    <t>PDF : 0995-ARE</t>
  </si>
  <si>
    <t>Middle name is not formatter</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</si>
  <si>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</si>
  <si>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Middle name should be 1 character in pdf</t>
  </si>
  <si>
    <t>Full middle name is set</t>
  </si>
  <si>
    <t>https://drive.google.com/file/d/1NccAjGoj7Ar8UFQ9HP-0auHNdBprOAxj/view?usp=drive_link</t>
  </si>
  <si>
    <t>TC_040</t>
  </si>
  <si>
    <t>data is not filled properly in pdf</t>
  </si>
  <si>
    <r>
      <rPr>
        <rFont val="Merriweather"/>
        <sz val="10.0"/>
      </rPr>
      <t xml:space="preserve">1. Goto </t>
    </r>
    <r>
      <rPr>
        <rFont val="Merriweather"/>
        <color rgb="FF1155CC"/>
        <sz val="10.0"/>
        <u/>
      </rPr>
      <t xml:space="preserve">Link
</t>
    </r>
    <r>
      <rPr>
        <rFont val="Merriweather"/>
        <sz val="10.0"/>
      </rPr>
      <t>2. Login using valid credentials
3. buy plan and click on claim now
4 . Fillout form and generate pdf</t>
    </r>
  </si>
  <si>
    <t>https://drive.google.com/file/d/1Q2b9pLhkxHTo1wEZ-pzcLaNYy6meqH0C/view?usp=drive_link</t>
  </si>
  <si>
    <t>TC_041</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</si>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</sst>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b/>
      <sz val="15.0"/>
      <color theme="1"/>
      <name val="Calibri"/>
    </font>
    <font>
      <sz val="15.0"/>
      <color theme="1"/>
      <name val="Arial"/>
      <scheme val="minor"/>
    </font>
    <font>
      <u/>
      <color rgb="FF0000FF"/>
    </font>
    <font>
      <u/>
      <color rgb="FF0000FF"/>
    </font>
    <font>
      <b/>
      <sz val="10.0"/>
      <color theme="1"/>
      <name val="Merriweather"/>
    </font>
    <font>
      <sz val="10.0"/>
      <color theme="1"/>
      <name val="Merriweather"/>
    </font>
    <font/>
    <font>
      <sz val="10.0"/>
      <color rgb="FF1E2624"/>
      <name val="Merriweather"/>
    </font>
    <font>
      <u/>
      <sz val="10.0"/>
      <color rgb="FF0000FF"/>
      <name val="Merriweather"/>
    </font>
    <font>
      <u/>
      <sz val="10.0"/>
      <color rgb="FF0000FF"/>
      <name val="Merriweather"/>
    </font>
    <font>
      <u/>
      <sz val="10.0"/>
      <color rgb="FF0000FF"/>
      <name val="Merriweather"/>
    </font>
    <font>
      <u/>
      <sz val="10.0"/>
      <color rgb="FF1155CC"/>
      <name val="Merriweather"/>
    </font>
    <font>
      <u/>
      <sz val="10.0"/>
      <color rgb="FF0000FF"/>
      <name val="Merriweather"/>
    </font>
    <font>
      <u/>
      <sz val="10.0"/>
      <color rgb="FF1155CC"/>
      <name val="Merriweather"/>
    </font>
    <font>
      <u/>
      <color rgb="FF1155CC"/>
      <name val="Arial"/>
    </font>
    <font>
      <b/>
      <sz val="16.0"/>
      <color theme="1"/>
      <name val="Calibri"/>
    </font>
    <font>
      <sz val="12.0"/>
      <color theme="1"/>
      <name val="Calibri"/>
    </font>
    <font>
      <u/>
      <sz val="12.0"/>
      <color rgb="FF1155CC"/>
      <name val="Calibri"/>
    </font>
    <font>
      <b/>
      <sz val="13.0"/>
      <color theme="1"/>
      <name val="Times New Roman"/>
    </font>
  </fonts>
  <fills count="8">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10">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2" fillId="5" fontId="9" numFmtId="0" xfId="0" applyAlignment="1" applyBorder="1" applyFill="1" applyFont="1">
      <alignment horizontal="center" shrinkToFit="0" vertical="center" wrapText="1"/>
    </xf>
    <xf borderId="2" fillId="5" fontId="9"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Font="1"/>
    <xf borderId="1" fillId="0" fontId="13"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1" fillId="0" fontId="14" numFmtId="0" xfId="0" applyAlignment="1" applyBorder="1" applyFont="1">
      <alignment horizontal="center" readingOrder="0" shrinkToFit="0" vertical="center" wrapText="1"/>
    </xf>
    <xf borderId="5" fillId="0" fontId="14" numFmtId="0" xfId="0" applyAlignment="1" applyBorder="1" applyFont="1">
      <alignment horizontal="center" readingOrder="0" shrinkToFit="0" vertical="center" wrapText="1"/>
    </xf>
    <xf borderId="6" fillId="0" fontId="15" numFmtId="0" xfId="0" applyBorder="1" applyFont="1"/>
    <xf borderId="7" fillId="0" fontId="15" numFmtId="0" xfId="0" applyBorder="1" applyFont="1"/>
    <xf borderId="1" fillId="6" fontId="16" numFmtId="0" xfId="0" applyAlignment="1" applyBorder="1" applyFill="1" applyFont="1">
      <alignment horizontal="center" readingOrder="0" shrinkToFit="0" vertical="center" wrapText="1"/>
    </xf>
    <xf borderId="1" fillId="0" fontId="13" numFmtId="0" xfId="0" applyAlignment="1" applyBorder="1" applyFont="1">
      <alignment horizontal="center" readingOrder="0" shrinkToFit="0" vertical="center" wrapText="1"/>
    </xf>
    <xf borderId="2" fillId="7" fontId="13" numFmtId="0" xfId="0" applyAlignment="1" applyBorder="1" applyFill="1" applyFont="1">
      <alignment horizontal="center" shrinkToFit="0" vertical="center" wrapText="1"/>
    </xf>
    <xf borderId="4" fillId="0" fontId="14" numFmtId="0" xfId="0" applyAlignment="1" applyBorder="1" applyFont="1">
      <alignment horizontal="center" readingOrder="0" shrinkToFit="0" vertical="center" wrapText="1"/>
    </xf>
    <xf borderId="4" fillId="0" fontId="17" numFmtId="0" xfId="0" applyAlignment="1" applyBorder="1" applyFont="1">
      <alignment horizontal="center" readingOrder="0" shrinkToFit="0" vertical="center" wrapText="1"/>
    </xf>
    <xf borderId="8"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9"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3"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5" fontId="24" numFmtId="0" xfId="0" applyAlignment="1" applyBorder="1" applyFont="1">
      <alignment horizontal="center" shrinkToFit="0" vertical="center" wrapText="1"/>
    </xf>
    <xf borderId="1" fillId="0" fontId="25"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5" numFmtId="0" xfId="0" applyAlignment="1" applyBorder="1" applyFont="1">
      <alignment horizontal="left" shrinkToFit="0" vertical="center" wrapText="1"/>
    </xf>
    <xf borderId="9" fillId="0" fontId="25" numFmtId="0" xfId="0" applyAlignment="1" applyBorder="1" applyFont="1">
      <alignment horizontal="left" readingOrder="0" shrinkToFit="0" vertical="center" wrapText="1"/>
    </xf>
    <xf borderId="1" fillId="0" fontId="25" numFmtId="0" xfId="0" applyAlignment="1" applyBorder="1" applyFont="1">
      <alignment horizontal="left"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horizontal="left" readingOrder="0" shrinkToFit="0" vertical="center" wrapText="1"/>
    </xf>
    <xf borderId="0" fillId="0" fontId="25" numFmtId="0" xfId="0" applyAlignment="1" applyFont="1">
      <alignment horizontal="left" shrinkToFit="0" vertical="center" wrapText="1"/>
    </xf>
    <xf borderId="0" fillId="0" fontId="25" numFmtId="0" xfId="0" applyAlignment="1" applyFont="1">
      <alignment readingOrder="0"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9" fillId="0" fontId="25" numFmtId="0" xfId="0" applyAlignment="1" applyBorder="1" applyFont="1">
      <alignment readingOrder="0" shrinkToFit="0" vertical="center" wrapText="1"/>
    </xf>
    <xf borderId="0" fillId="0" fontId="25" numFmtId="0" xfId="0" applyAlignment="1" applyFont="1">
      <alignment readingOrder="0" shrinkToFit="0" vertical="center" wrapText="1"/>
    </xf>
    <xf borderId="0" fillId="0" fontId="25" numFmtId="0" xfId="0" applyAlignment="1" applyFont="1">
      <alignment shrinkToFit="0" vertical="center" wrapText="1"/>
    </xf>
    <xf borderId="2" fillId="5" fontId="27" numFmtId="0" xfId="0" applyAlignment="1" applyBorder="1" applyFont="1">
      <alignment horizontal="center" shrinkToFit="0" vertical="center" wrapText="1"/>
    </xf>
    <xf borderId="2" fillId="5" fontId="27" numFmtId="0" xfId="0" applyAlignment="1" applyBorder="1" applyFont="1">
      <alignment horizontal="center" readingOrder="0" shrinkToFit="0" vertical="center" wrapText="1"/>
    </xf>
    <xf borderId="2" fillId="5" fontId="2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981450" cy="1952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rSCapT0_wyhR1qpPsq6vrcmO6ygnxurz/view?usp=drive_link" TargetMode="External"/><Relationship Id="rId22" Type="http://schemas.openxmlformats.org/officeDocument/2006/relationships/hyperlink" Target="https://drive.google.com/file/d/1PVq3J7jrNLw54ZnHiqhjWjOzHidJCOaG/view?usp=drive_link" TargetMode="External"/><Relationship Id="rId21" Type="http://schemas.openxmlformats.org/officeDocument/2006/relationships/hyperlink" Target="https://drive.google.com/file/d/1_C1uG-VtDB_jCDCmTUJ8rFbfvSS7L2Rs/view?usp=drive_link" TargetMode="External"/><Relationship Id="rId24" Type="http://schemas.openxmlformats.org/officeDocument/2006/relationships/hyperlink" Target="https://drive.google.com/file/d/1IQAwQTR2_961GDEivDxIHXjVUpqUsv7e/view?usp=drive_link" TargetMode="External"/><Relationship Id="rId23" Type="http://schemas.openxmlformats.org/officeDocument/2006/relationships/hyperlink" Target="https://drive.google.com/file/d/1q70SiB9PWG3WMT8cl0GWGdR8_Xpg5iBR/view?usp=drive_link" TargetMode="External"/><Relationship Id="rId1" Type="http://schemas.openxmlformats.org/officeDocument/2006/relationships/hyperlink" Target="https://drive.google.com/file/d/1uqRfYn6ereteYt9UiXMvMaHmIn1soq4_/view?usp=drive_link" TargetMode="External"/><Relationship Id="rId2" Type="http://schemas.openxmlformats.org/officeDocument/2006/relationships/hyperlink" Target="https://drive.google.com/file/d/1se6h-FFrvMQeO4bWmBPNdO3r9v0JpmLD/view?usp=drive_link" TargetMode="External"/><Relationship Id="rId3" Type="http://schemas.openxmlformats.org/officeDocument/2006/relationships/hyperlink" Target="https://drive.google.com/file/d/1K47w9N9bwFul9HsJPzBSC63ljTjODND4/view?usp=drive_link" TargetMode="External"/><Relationship Id="rId4" Type="http://schemas.openxmlformats.org/officeDocument/2006/relationships/hyperlink" Target="https://drive.google.com/file/d/1Ygi3sQYTFc1V6EtlvaxhbOxOKyfH5hre/view?usp=drive_link" TargetMode="External"/><Relationship Id="rId9" Type="http://schemas.openxmlformats.org/officeDocument/2006/relationships/hyperlink" Target="https://drive.google.com/file/d/1AO9Vd6b_Vs6kCPA6Bo8UcoOR3-WjklJY/view?usp=drive_link" TargetMode="External"/><Relationship Id="rId26" Type="http://schemas.openxmlformats.org/officeDocument/2006/relationships/hyperlink" Target="https://drive.google.com/file/d/1MBsJR6f9RfE2g98xXDJm251txPJF1123/view?usp=drive_link" TargetMode="External"/><Relationship Id="rId25" Type="http://schemas.openxmlformats.org/officeDocument/2006/relationships/hyperlink" Target="https://drive.google.com/file/d/1IQAwQTR2_961GDEivDxIHXjVUpqUsv7e/view?usp=drive_link" TargetMode="External"/><Relationship Id="rId28" Type="http://schemas.openxmlformats.org/officeDocument/2006/relationships/hyperlink" Target="https://drive.google.com/file/d/1BQUVYYemNxmRd-5ePGVIj9mRdd3kwT3k/view?usp=drive_link" TargetMode="External"/><Relationship Id="rId27" Type="http://schemas.openxmlformats.org/officeDocument/2006/relationships/hyperlink" Target="https://drive.google.com/file/d/18vdTilU5R3B01Ha5VQHnp8wtDVicsFut/view?usp=drive_link" TargetMode="External"/><Relationship Id="rId5" Type="http://schemas.openxmlformats.org/officeDocument/2006/relationships/hyperlink" Target="https://drive.google.com/file/d/1DnMlWMEYXftFM426wHs9cynCEoO3XRQ6/view?usp=drive_link" TargetMode="External"/><Relationship Id="rId6" Type="http://schemas.openxmlformats.org/officeDocument/2006/relationships/hyperlink" Target="https://drive.google.com/file/d/1NccAjGoj7Ar8UFQ9HP-0auHNdBprOAxj/view?usp=drive_link" TargetMode="External"/><Relationship Id="rId29" Type="http://schemas.openxmlformats.org/officeDocument/2006/relationships/hyperlink" Target="https://drive.google.com/file/d/1BQUVYYemNxmRd-5ePGVIj9mRdd3kwT3k/view?usp=drive_link" TargetMode="External"/><Relationship Id="rId7" Type="http://schemas.openxmlformats.org/officeDocument/2006/relationships/hyperlink" Target="https://drive.google.com/file/d/1Q2b9pLhkxHTo1wEZ-pzcLaNYy6meqH0C/view?usp=drive_link" TargetMode="External"/><Relationship Id="rId8" Type="http://schemas.openxmlformats.org/officeDocument/2006/relationships/hyperlink" Target="https://drive.google.com/file/d/1iee7Ie3xsjQD_JFK_MepFruRoQb-Xyp-/view?usp=drive_link" TargetMode="External"/><Relationship Id="rId31" Type="http://schemas.openxmlformats.org/officeDocument/2006/relationships/hyperlink" Target="https://drive.google.com/file/d/1fUt8LL32FA8YqJ690xOf1yOGj3esmuF1/view?usp=drive_link" TargetMode="External"/><Relationship Id="rId30" Type="http://schemas.openxmlformats.org/officeDocument/2006/relationships/hyperlink" Target="https://drive.google.com/file/d/16QakETcMBv2Pes9XMyv3l9fNJcY2N10a/view?usp=drive_link" TargetMode="External"/><Relationship Id="rId11" Type="http://schemas.openxmlformats.org/officeDocument/2006/relationships/hyperlink" Target="https://drive.google.com/file/d/1I0Q9qWSBUfETUp5jqW2CATLovqw92jnF/view?usp=drive_link" TargetMode="External"/><Relationship Id="rId33" Type="http://schemas.openxmlformats.org/officeDocument/2006/relationships/hyperlink" Target="https://drive.google.com/file/d/1rGDiPED7fuXWZrDQJXZxD37gblDpaNMK/view?usp=drive_link" TargetMode="External"/><Relationship Id="rId10" Type="http://schemas.openxmlformats.org/officeDocument/2006/relationships/hyperlink" Target="https://drive.google.com/file/d/12NRqnRWmuuzpnTxDapZpurxcl2A19dqR/view?usp=drive_link" TargetMode="External"/><Relationship Id="rId32" Type="http://schemas.openxmlformats.org/officeDocument/2006/relationships/hyperlink" Target="https://drive.google.com/file/d/1fUt8LL32FA8YqJ690xOf1yOGj3esmuF1/view?usp=drive_link" TargetMode="External"/><Relationship Id="rId13" Type="http://schemas.openxmlformats.org/officeDocument/2006/relationships/hyperlink" Target="https://drive.google.com/file/d/1oy00P69ZYcP54DKVHJFgu-3XKR6NGN2h/view?usp=drive_link" TargetMode="External"/><Relationship Id="rId35" Type="http://schemas.openxmlformats.org/officeDocument/2006/relationships/hyperlink" Target="https://drive.google.com/file/d/1uqrOhCchIEakKXQdIGmwd3HvPkJv5mFr/view?usp=drive_link" TargetMode="External"/><Relationship Id="rId12" Type="http://schemas.openxmlformats.org/officeDocument/2006/relationships/hyperlink" Target="https://drive.google.com/file/d/156HsqIAzHZDlWTb3KCqbc2eM7HsvjfY8/view?usp=drive_link" TargetMode="External"/><Relationship Id="rId34" Type="http://schemas.openxmlformats.org/officeDocument/2006/relationships/hyperlink" Target="https://drive.google.com/file/d/1rGDiPED7fuXWZrDQJXZxD37gblDpaNMK/view?usp=drive_link" TargetMode="External"/><Relationship Id="rId15" Type="http://schemas.openxmlformats.org/officeDocument/2006/relationships/hyperlink" Target="https://drive.google.com/file/d/17d1EWU0TzJyfaE7eF1zeEH2l4YoEbci_/view?usp=drive_link" TargetMode="External"/><Relationship Id="rId37" Type="http://schemas.openxmlformats.org/officeDocument/2006/relationships/hyperlink" Target="https://drive.google.com/file/d/18vJR5_HxaRlWMhyr-vhEeanNAtI6gPie/view?usp=drive_link" TargetMode="External"/><Relationship Id="rId14" Type="http://schemas.openxmlformats.org/officeDocument/2006/relationships/hyperlink" Target="https://drive.google.com/file/d/1CcAeSoTyEkCrZN_PdMYtipKIyUsB909L/view?usp=drive_link" TargetMode="External"/><Relationship Id="rId36" Type="http://schemas.openxmlformats.org/officeDocument/2006/relationships/hyperlink" Target="https://drive.google.com/file/d/1uqrOhCchIEakKXQdIGmwd3HvPkJv5mFr/view?usp=drive_link" TargetMode="External"/><Relationship Id="rId17" Type="http://schemas.openxmlformats.org/officeDocument/2006/relationships/hyperlink" Target="https://drive.google.com/file/d/1WEJmtG53BuRTlfue2ylB_Vd_K_AjMEXp/view?usp=drive_link" TargetMode="External"/><Relationship Id="rId39" Type="http://schemas.openxmlformats.org/officeDocument/2006/relationships/drawing" Target="../drawings/drawing1.xml"/><Relationship Id="rId16" Type="http://schemas.openxmlformats.org/officeDocument/2006/relationships/hyperlink" Target="https://drive.google.com/file/d/1h1qWA3GHwAQAMzxGUVxO6vZtBwup1H1K/view?usp=drive_link" TargetMode="External"/><Relationship Id="rId38" Type="http://schemas.openxmlformats.org/officeDocument/2006/relationships/hyperlink" Target="https://drive.google.com/file/d/19OBPrJeLu9R4J2EHMFswnXDoV-P8JxLX/view?usp=drive_link" TargetMode="External"/><Relationship Id="rId19" Type="http://schemas.openxmlformats.org/officeDocument/2006/relationships/hyperlink" Target="https://drive.google.com/file/d/104l09N5YRNDyg2nbdb40ElbLyWDpVCwb/view?usp=drive_link" TargetMode="External"/><Relationship Id="rId18" Type="http://schemas.openxmlformats.org/officeDocument/2006/relationships/hyperlink" Target="https://drive.google.com/drive/folders/1bY2wuEwm8DI5xbbYxBXRV8lb2JzwDPQE?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valrpro.com/sign_up" TargetMode="External"/><Relationship Id="rId42" Type="http://schemas.openxmlformats.org/officeDocument/2006/relationships/hyperlink" Target="https://www.valrpro.com/sign_up" TargetMode="External"/><Relationship Id="rId41" Type="http://schemas.openxmlformats.org/officeDocument/2006/relationships/hyperlink" Target="https://drive.google.com/file/d/1BQUVYYemNxmRd-5ePGVIj9mRdd3kwT3k/view?usp=drive_link" TargetMode="External"/><Relationship Id="rId44" Type="http://schemas.openxmlformats.org/officeDocument/2006/relationships/hyperlink" Target="https://www.valrpro.com/sign_up" TargetMode="External"/><Relationship Id="rId43" Type="http://schemas.openxmlformats.org/officeDocument/2006/relationships/hyperlink" Target="https://drive.google.com/file/d/16QakETcMBv2Pes9XMyv3l9fNJcY2N10a/view?usp=drive_link" TargetMode="External"/><Relationship Id="rId46" Type="http://schemas.openxmlformats.org/officeDocument/2006/relationships/hyperlink" Target="https://www.valrpro.com/sign_up" TargetMode="External"/><Relationship Id="rId45" Type="http://schemas.openxmlformats.org/officeDocument/2006/relationships/hyperlink" Target="https://drive.google.com/file/d/1fUt8LL32FA8YqJ690xOf1yOGj3esmuF1/view?usp=drive_link" TargetMode="External"/><Relationship Id="rId80" Type="http://schemas.openxmlformats.org/officeDocument/2006/relationships/drawing" Target="../drawings/drawing2.xml"/><Relationship Id="rId1" Type="http://schemas.openxmlformats.org/officeDocument/2006/relationships/hyperlink" Target="https://www.valrpro.com/sign_up" TargetMode="External"/><Relationship Id="rId2" Type="http://schemas.openxmlformats.org/officeDocument/2006/relationships/hyperlink" Target="https://drive.google.com/drive/folders/1bY2wuEwm8DI5xbbYxBXRV8lb2JzwDPQE?usp=sharing" TargetMode="External"/><Relationship Id="rId3" Type="http://schemas.openxmlformats.org/officeDocument/2006/relationships/hyperlink" Target="https://www.valrpro.com/sign_up" TargetMode="External"/><Relationship Id="rId4" Type="http://schemas.openxmlformats.org/officeDocument/2006/relationships/hyperlink" Target="https://www.valrpro.com/sign_up" TargetMode="External"/><Relationship Id="rId9" Type="http://schemas.openxmlformats.org/officeDocument/2006/relationships/hyperlink" Target="https://www.valrpro.com/sign_up" TargetMode="External"/><Relationship Id="rId48" Type="http://schemas.openxmlformats.org/officeDocument/2006/relationships/hyperlink" Target="https://www.valrpro.com/sign_up" TargetMode="External"/><Relationship Id="rId47" Type="http://schemas.openxmlformats.org/officeDocument/2006/relationships/hyperlink" Target="https://drive.google.com/file/d/1fUt8LL32FA8YqJ690xOf1yOGj3esmuF1/view?usp=drive_link" TargetMode="External"/><Relationship Id="rId49" Type="http://schemas.openxmlformats.org/officeDocument/2006/relationships/hyperlink" Target="https://drive.google.com/file/d/1rGDiPED7fuXWZrDQJXZxD37gblDpaNMK/view?usp=drive_link" TargetMode="External"/><Relationship Id="rId5" Type="http://schemas.openxmlformats.org/officeDocument/2006/relationships/hyperlink" Target="https://drive.google.com/file/d/104l09N5YRNDyg2nbdb40ElbLyWDpVCwb/view?usp=drive_link" TargetMode="External"/><Relationship Id="rId6" Type="http://schemas.openxmlformats.org/officeDocument/2006/relationships/hyperlink" Target="https://www.cisa.gov/secure-our-world/use-strong-passwords" TargetMode="External"/><Relationship Id="rId7" Type="http://schemas.openxmlformats.org/officeDocument/2006/relationships/hyperlink" Target="https://www.valrpro.com/sign_up" TargetMode="External"/><Relationship Id="rId8" Type="http://schemas.openxmlformats.org/officeDocument/2006/relationships/hyperlink" Target="https://drive.google.com/file/d/1WEJmtG53BuRTlfue2ylB_Vd_K_AjMEXp/view?usp=drive_link" TargetMode="External"/><Relationship Id="rId73" Type="http://schemas.openxmlformats.org/officeDocument/2006/relationships/hyperlink" Target="https://drive.google.com/file/d/1Ygi3sQYTFc1V6EtlvaxhbOxOKyfH5hre/view?usp=drive_link" TargetMode="External"/><Relationship Id="rId72" Type="http://schemas.openxmlformats.org/officeDocument/2006/relationships/hyperlink" Target="https://www.valrpro.com/sign_up" TargetMode="External"/><Relationship Id="rId31" Type="http://schemas.openxmlformats.org/officeDocument/2006/relationships/hyperlink" Target="https://drive.google.com/file/d/1IQAwQTR2_961GDEivDxIHXjVUpqUsv7e/view?usp=drive_link" TargetMode="External"/><Relationship Id="rId75" Type="http://schemas.openxmlformats.org/officeDocument/2006/relationships/hyperlink" Target="https://drive.google.com/file/d/1DnMlWMEYXftFM426wHs9cynCEoO3XRQ6/view?usp=drive_link" TargetMode="External"/><Relationship Id="rId30" Type="http://schemas.openxmlformats.org/officeDocument/2006/relationships/hyperlink" Target="https://www.valrpro.com/sign_up" TargetMode="External"/><Relationship Id="rId74" Type="http://schemas.openxmlformats.org/officeDocument/2006/relationships/hyperlink" Target="https://www.valrpro.com/sign_up" TargetMode="External"/><Relationship Id="rId33" Type="http://schemas.openxmlformats.org/officeDocument/2006/relationships/hyperlink" Target="https://drive.google.com/file/d/1IQAwQTR2_961GDEivDxIHXjVUpqUsv7e/view?usp=drive_link" TargetMode="External"/><Relationship Id="rId77" Type="http://schemas.openxmlformats.org/officeDocument/2006/relationships/hyperlink" Target="https://drive.google.com/file/d/1NccAjGoj7Ar8UFQ9HP-0auHNdBprOAxj/view?usp=drive_link" TargetMode="External"/><Relationship Id="rId32" Type="http://schemas.openxmlformats.org/officeDocument/2006/relationships/hyperlink" Target="https://www.valrpro.com/sign_up" TargetMode="External"/><Relationship Id="rId76" Type="http://schemas.openxmlformats.org/officeDocument/2006/relationships/hyperlink" Target="https://www.valrpro.com/sign_up" TargetMode="External"/><Relationship Id="rId35" Type="http://schemas.openxmlformats.org/officeDocument/2006/relationships/hyperlink" Target="https://drive.google.com/file/d/1MBsJR6f9RfE2g98xXDJm251txPJF1123/view?usp=drive_link" TargetMode="External"/><Relationship Id="rId79" Type="http://schemas.openxmlformats.org/officeDocument/2006/relationships/hyperlink" Target="https://drive.google.com/file/d/1Q2b9pLhkxHTo1wEZ-pzcLaNYy6meqH0C/view?usp=drive_link" TargetMode="External"/><Relationship Id="rId34" Type="http://schemas.openxmlformats.org/officeDocument/2006/relationships/hyperlink" Target="https://www.valrpro.com/sign_up" TargetMode="External"/><Relationship Id="rId78" Type="http://schemas.openxmlformats.org/officeDocument/2006/relationships/hyperlink" Target="https://www.valrpro.com/sign_up" TargetMode="External"/><Relationship Id="rId71" Type="http://schemas.openxmlformats.org/officeDocument/2006/relationships/hyperlink" Target="https://drive.google.com/file/d/1K47w9N9bwFul9HsJPzBSC63ljTjODND4/view?usp=drive_link" TargetMode="External"/><Relationship Id="rId70" Type="http://schemas.openxmlformats.org/officeDocument/2006/relationships/hyperlink" Target="https://www.valrpro.com/sign_up" TargetMode="External"/><Relationship Id="rId37" Type="http://schemas.openxmlformats.org/officeDocument/2006/relationships/hyperlink" Target="https://drive.google.com/file/d/18vdTilU5R3B01Ha5VQHnp8wtDVicsFut/view?usp=drive_link" TargetMode="External"/><Relationship Id="rId36" Type="http://schemas.openxmlformats.org/officeDocument/2006/relationships/hyperlink" Target="https://www.valrpro.com/sign_up" TargetMode="External"/><Relationship Id="rId39" Type="http://schemas.openxmlformats.org/officeDocument/2006/relationships/hyperlink" Target="https://drive.google.com/file/d/1BQUVYYemNxmRd-5ePGVIj9mRdd3kwT3k/view?usp=drive_link" TargetMode="External"/><Relationship Id="rId38" Type="http://schemas.openxmlformats.org/officeDocument/2006/relationships/hyperlink" Target="https://www.valrpro.com/sign_up" TargetMode="External"/><Relationship Id="rId62" Type="http://schemas.openxmlformats.org/officeDocument/2006/relationships/hyperlink" Target="https://www.valrpro.com/sign_up" TargetMode="External"/><Relationship Id="rId61" Type="http://schemas.openxmlformats.org/officeDocument/2006/relationships/hyperlink" Target="https://drive.google.com/file/d/1iee7Ie3xsjQD_JFK_MepFruRoQb-Xyp-/view?usp=drive_link" TargetMode="External"/><Relationship Id="rId20" Type="http://schemas.openxmlformats.org/officeDocument/2006/relationships/hyperlink" Target="https://drive.google.com/file/d/1uqRfYn6ereteYt9UiXMvMaHmIn1soq4_/view?usp=drive_link" TargetMode="External"/><Relationship Id="rId64" Type="http://schemas.openxmlformats.org/officeDocument/2006/relationships/hyperlink" Target="https://www.valrpro.com/sign_up" TargetMode="External"/><Relationship Id="rId63" Type="http://schemas.openxmlformats.org/officeDocument/2006/relationships/hyperlink" Target="https://drive.google.com/file/d/1AO9Vd6b_Vs6kCPA6Bo8UcoOR3-WjklJY/view?usp=drive_link" TargetMode="External"/><Relationship Id="rId22" Type="http://schemas.openxmlformats.org/officeDocument/2006/relationships/hyperlink" Target="https://drive.google.com/file/d/1rSCapT0_wyhR1qpPsq6vrcmO6ygnxurz/view?usp=drive_link" TargetMode="External"/><Relationship Id="rId66" Type="http://schemas.openxmlformats.org/officeDocument/2006/relationships/hyperlink" Target="https://www.valrpro.com/sign_up" TargetMode="External"/><Relationship Id="rId21" Type="http://schemas.openxmlformats.org/officeDocument/2006/relationships/hyperlink" Target="https://www.valrpro.com/sign_up" TargetMode="External"/><Relationship Id="rId65" Type="http://schemas.openxmlformats.org/officeDocument/2006/relationships/hyperlink" Target="https://drive.google.com/file/d/12NRqnRWmuuzpnTxDapZpurxcl2A19dqR/view?usp=drive_link" TargetMode="External"/><Relationship Id="rId24" Type="http://schemas.openxmlformats.org/officeDocument/2006/relationships/hyperlink" Target="https://drive.google.com/file/d/1_C1uG-VtDB_jCDCmTUJ8rFbfvSS7L2Rs/view?usp=drive_link" TargetMode="External"/><Relationship Id="rId68" Type="http://schemas.openxmlformats.org/officeDocument/2006/relationships/hyperlink" Target="https://www.valrpro.com/sign_up" TargetMode="External"/><Relationship Id="rId23" Type="http://schemas.openxmlformats.org/officeDocument/2006/relationships/hyperlink" Target="https://www.valrpro.com/sign_up" TargetMode="External"/><Relationship Id="rId67" Type="http://schemas.openxmlformats.org/officeDocument/2006/relationships/hyperlink" Target="https://drive.google.com/file/d/1I0Q9qWSBUfETUp5jqW2CATLovqw92jnF/view?usp=drive_link" TargetMode="External"/><Relationship Id="rId60" Type="http://schemas.openxmlformats.org/officeDocument/2006/relationships/hyperlink" Target="https://www.valrpro.com/sign_up" TargetMode="External"/><Relationship Id="rId26" Type="http://schemas.openxmlformats.org/officeDocument/2006/relationships/hyperlink" Target="https://www.valrpro.com/sign_up" TargetMode="External"/><Relationship Id="rId25" Type="http://schemas.openxmlformats.org/officeDocument/2006/relationships/hyperlink" Target="https://www.valrpro.com/sign_up" TargetMode="External"/><Relationship Id="rId69" Type="http://schemas.openxmlformats.org/officeDocument/2006/relationships/hyperlink" Target="https://drive.google.com/file/d/1se6h-FFrvMQeO4bWmBPNdO3r9v0JpmLD/view?usp=drive_link" TargetMode="External"/><Relationship Id="rId28" Type="http://schemas.openxmlformats.org/officeDocument/2006/relationships/hyperlink" Target="https://www.valrpro.com/sign_up" TargetMode="External"/><Relationship Id="rId27" Type="http://schemas.openxmlformats.org/officeDocument/2006/relationships/hyperlink" Target="https://drive.google.com/file/d/1PVq3J7jrNLw54ZnHiqhjWjOzHidJCOaG/view?usp=drive_link" TargetMode="External"/><Relationship Id="rId29" Type="http://schemas.openxmlformats.org/officeDocument/2006/relationships/hyperlink" Target="https://drive.google.com/file/d/1q70SiB9PWG3WMT8cl0GWGdR8_Xpg5iBR/view?usp=drive_link" TargetMode="External"/><Relationship Id="rId51" Type="http://schemas.openxmlformats.org/officeDocument/2006/relationships/hyperlink" Target="https://drive.google.com/file/d/1rGDiPED7fuXWZrDQJXZxD37gblDpaNMK/view?usp=drive_link" TargetMode="External"/><Relationship Id="rId50" Type="http://schemas.openxmlformats.org/officeDocument/2006/relationships/hyperlink" Target="https://www.valrpro.com/sign_up" TargetMode="External"/><Relationship Id="rId53" Type="http://schemas.openxmlformats.org/officeDocument/2006/relationships/hyperlink" Target="https://drive.google.com/file/d/1uqrOhCchIEakKXQdIGmwd3HvPkJv5mFr/view?usp=drive_link" TargetMode="External"/><Relationship Id="rId52" Type="http://schemas.openxmlformats.org/officeDocument/2006/relationships/hyperlink" Target="https://www.valrpro.com/sign_up" TargetMode="External"/><Relationship Id="rId11" Type="http://schemas.openxmlformats.org/officeDocument/2006/relationships/hyperlink" Target="https://www.valrpro.com/sign_up" TargetMode="External"/><Relationship Id="rId55" Type="http://schemas.openxmlformats.org/officeDocument/2006/relationships/hyperlink" Target="https://drive.google.com/file/d/1uqrOhCchIEakKXQdIGmwd3HvPkJv5mFr/view?usp=drive_link" TargetMode="External"/><Relationship Id="rId10" Type="http://schemas.openxmlformats.org/officeDocument/2006/relationships/hyperlink" Target="https://drive.google.com/file/d/1h1qWA3GHwAQAMzxGUVxO6vZtBwup1H1K/view?usp=drive_link" TargetMode="External"/><Relationship Id="rId54" Type="http://schemas.openxmlformats.org/officeDocument/2006/relationships/hyperlink" Target="https://www.valrpro.com/sign_up" TargetMode="External"/><Relationship Id="rId13" Type="http://schemas.openxmlformats.org/officeDocument/2006/relationships/hyperlink" Target="https://www.valrpro.com/sign_up" TargetMode="External"/><Relationship Id="rId57" Type="http://schemas.openxmlformats.org/officeDocument/2006/relationships/hyperlink" Target="https://drive.google.com/file/d/18vJR5_HxaRlWMhyr-vhEeanNAtI6gPie/view?usp=drive_link" TargetMode="External"/><Relationship Id="rId12" Type="http://schemas.openxmlformats.org/officeDocument/2006/relationships/hyperlink" Target="https://drive.google.com/file/d/156HsqIAzHZDlWTb3KCqbc2eM7HsvjfY8/view?usp=drive_link" TargetMode="External"/><Relationship Id="rId56" Type="http://schemas.openxmlformats.org/officeDocument/2006/relationships/hyperlink" Target="https://www.valrpro.com/sign_up" TargetMode="External"/><Relationship Id="rId15" Type="http://schemas.openxmlformats.org/officeDocument/2006/relationships/hyperlink" Target="https://www.valrpro.com/sign_up" TargetMode="External"/><Relationship Id="rId59" Type="http://schemas.openxmlformats.org/officeDocument/2006/relationships/hyperlink" Target="https://drive.google.com/file/d/19OBPrJeLu9R4J2EHMFswnXDoV-P8JxLX/view?usp=drive_link" TargetMode="External"/><Relationship Id="rId14" Type="http://schemas.openxmlformats.org/officeDocument/2006/relationships/hyperlink" Target="https://drive.google.com/file/d/1oy00P69ZYcP54DKVHJFgu-3XKR6NGN2h/view?usp=drive_link" TargetMode="External"/><Relationship Id="rId58" Type="http://schemas.openxmlformats.org/officeDocument/2006/relationships/hyperlink" Target="https://www.valrpro.com/sign_up" TargetMode="External"/><Relationship Id="rId17" Type="http://schemas.openxmlformats.org/officeDocument/2006/relationships/hyperlink" Target="https://www.valrpro.com/sign_up" TargetMode="External"/><Relationship Id="rId16" Type="http://schemas.openxmlformats.org/officeDocument/2006/relationships/hyperlink" Target="https://drive.google.com/file/d/1CcAeSoTyEkCrZN_PdMYtipKIyUsB909L/view?usp=drive_link" TargetMode="External"/><Relationship Id="rId19" Type="http://schemas.openxmlformats.org/officeDocument/2006/relationships/hyperlink" Target="https://www.valrpro.com/sign_up" TargetMode="External"/><Relationship Id="rId18" Type="http://schemas.openxmlformats.org/officeDocument/2006/relationships/hyperlink" Target="https://drive.google.com/file/d/17d1EWU0TzJyfaE7eF1zeEH2l4YoEbci_/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c r="C3" s="1"/>
      <c r="D3" s="7" t="s">
        <v>5</v>
      </c>
      <c r="E3" s="8">
        <f>COUNTIF(Tahsin!K14:K1005, "High") + COUNTIF(Fahad!K8:K1004, "High")</f>
        <v>30</v>
      </c>
      <c r="F3" s="1"/>
      <c r="G3" s="1"/>
      <c r="H3" s="1"/>
      <c r="I3" s="1"/>
      <c r="J3" s="1"/>
      <c r="K3" s="1"/>
      <c r="L3" s="1"/>
      <c r="M3" s="1"/>
      <c r="N3" s="1"/>
      <c r="O3" s="1"/>
    </row>
    <row r="4">
      <c r="A4" s="2" t="s">
        <v>6</v>
      </c>
      <c r="B4" s="9"/>
      <c r="C4" s="1"/>
      <c r="D4" s="10" t="s">
        <v>7</v>
      </c>
      <c r="E4" s="8">
        <f>COUNTIF(Tahsin!K14:K1006, "Medium") + COUNTIF(Fahad!K8:K1005, "Medium")</f>
        <v>7</v>
      </c>
      <c r="F4" s="1"/>
      <c r="G4" s="1"/>
      <c r="H4" s="1"/>
      <c r="I4" s="1"/>
      <c r="J4" s="1"/>
      <c r="K4" s="1"/>
      <c r="L4" s="1"/>
      <c r="M4" s="1"/>
      <c r="N4" s="1"/>
      <c r="O4" s="1"/>
    </row>
    <row r="5">
      <c r="A5" s="2" t="s">
        <v>8</v>
      </c>
      <c r="B5" s="11"/>
      <c r="C5" s="1"/>
      <c r="D5" s="12" t="s">
        <v>9</v>
      </c>
      <c r="E5" s="8">
        <f>COUNTIF(Fahad!K8:K1006, "Low") + COUNTIF(Tahsin!K14:K1009, "Low")</f>
        <v>3</v>
      </c>
      <c r="F5" s="1"/>
      <c r="G5" s="1"/>
      <c r="H5" s="1"/>
      <c r="I5" s="1"/>
      <c r="J5" s="1"/>
      <c r="K5" s="1"/>
      <c r="L5" s="1"/>
      <c r="M5" s="1"/>
      <c r="N5" s="1"/>
      <c r="O5" s="1"/>
    </row>
    <row r="6">
      <c r="A6" s="2" t="s">
        <v>10</v>
      </c>
      <c r="B6" s="13"/>
      <c r="C6" s="1"/>
      <c r="D6" s="14"/>
      <c r="E6" s="14"/>
      <c r="F6" s="1"/>
      <c r="G6" s="1"/>
      <c r="H6" s="1"/>
      <c r="I6" s="1"/>
      <c r="J6" s="1"/>
      <c r="K6" s="1"/>
      <c r="L6" s="1"/>
      <c r="M6" s="1"/>
      <c r="N6" s="1"/>
      <c r="O6" s="1"/>
    </row>
    <row r="7">
      <c r="A7" s="2" t="s">
        <v>11</v>
      </c>
      <c r="B7" s="13"/>
      <c r="C7" s="1"/>
      <c r="D7" s="15" t="s">
        <v>12</v>
      </c>
      <c r="E7" s="16">
        <f>SUM(E3:E5)</f>
        <v>40</v>
      </c>
      <c r="F7" s="1"/>
      <c r="G7" s="1"/>
      <c r="H7" s="1"/>
      <c r="I7" s="1"/>
      <c r="J7" s="1"/>
      <c r="K7" s="1"/>
      <c r="L7" s="1"/>
      <c r="M7" s="1"/>
      <c r="N7" s="1"/>
      <c r="O7" s="1"/>
    </row>
    <row r="8">
      <c r="A8" s="1"/>
      <c r="B8" s="1"/>
      <c r="C8" s="1"/>
      <c r="D8" s="15" t="s">
        <v>13</v>
      </c>
      <c r="E8" s="16">
        <f>COUNTIF(O11:O1003, "Solved")</f>
        <v>35</v>
      </c>
      <c r="F8" s="1"/>
      <c r="G8" s="1"/>
      <c r="H8" s="1"/>
      <c r="I8" s="1"/>
      <c r="J8" s="1"/>
      <c r="K8" s="1"/>
      <c r="L8" s="1"/>
      <c r="M8" s="1"/>
      <c r="N8" s="1"/>
      <c r="O8" s="1"/>
    </row>
    <row r="9">
      <c r="A9" s="1"/>
      <c r="B9" s="1"/>
      <c r="C9" s="1"/>
      <c r="D9" s="1"/>
      <c r="E9" s="1"/>
      <c r="F9" s="1"/>
      <c r="G9" s="1"/>
      <c r="H9" s="1"/>
      <c r="I9" s="1"/>
      <c r="J9" s="1"/>
      <c r="K9" s="1"/>
      <c r="L9" s="1"/>
      <c r="M9" s="1"/>
      <c r="N9" s="1"/>
      <c r="O9" s="1"/>
    </row>
    <row r="10">
      <c r="A10" s="17" t="s">
        <v>14</v>
      </c>
      <c r="B10" s="17" t="s">
        <v>15</v>
      </c>
      <c r="C10" s="17" t="s">
        <v>16</v>
      </c>
      <c r="D10" s="17" t="s">
        <v>17</v>
      </c>
      <c r="E10" s="17" t="s">
        <v>18</v>
      </c>
      <c r="F10" s="17" t="s">
        <v>19</v>
      </c>
      <c r="G10" s="17" t="s">
        <v>20</v>
      </c>
      <c r="H10" s="17" t="s">
        <v>21</v>
      </c>
      <c r="I10" s="17" t="s">
        <v>22</v>
      </c>
      <c r="J10" s="17" t="s">
        <v>23</v>
      </c>
      <c r="K10" s="17" t="s">
        <v>2</v>
      </c>
      <c r="L10" s="17" t="s">
        <v>24</v>
      </c>
      <c r="M10" s="17" t="s">
        <v>25</v>
      </c>
      <c r="N10" s="18" t="s">
        <v>26</v>
      </c>
      <c r="O10" s="18" t="s">
        <v>27</v>
      </c>
      <c r="P10" s="18" t="s">
        <v>28</v>
      </c>
      <c r="Q10" s="19"/>
      <c r="R10" s="19"/>
      <c r="S10" s="19"/>
      <c r="T10" s="19"/>
      <c r="U10" s="19"/>
      <c r="V10" s="19"/>
      <c r="W10" s="19"/>
      <c r="X10" s="19"/>
      <c r="Y10" s="19"/>
      <c r="Z10" s="19"/>
      <c r="AA10" s="19"/>
    </row>
    <row r="11">
      <c r="A11" s="20" t="str">
        <f t="array" ref="A11:A100">IF((LEN(B11:B100)+LEN(C11:C100))&gt;0, "BR-" &amp; TEXT(ROW(B11:B100)-ROW(B11)+1,"000"), "")
</f>
        <v>BR-001</v>
      </c>
      <c r="B11" s="21" t="str">
        <f>IFERROR(__xludf.DUMMYFUNCTION("QUERY(
  {
    ARRAYFORMULA({TRIM(Fahad!B8:B999), Fahad!C8:M999, IF(LEN(Fahad!B8:B999), ""Fahad"", """")});
    ARRAYFORMULA({TRIM(Tahsin!B15:B999), Tahsin!C15:M999, IF(LEN(Tahsin!B15:B999), ""Tahsin"", """")})
  },
  ""SELECT * WHERE Col1 IS NOT NULL ORD"&amp;"ER BY Col1 ASC, Col2 ASC"",
  0
)
"),"Chat")</f>
        <v>Chat</v>
      </c>
      <c r="C11" s="21" t="str">
        <f>IFERROR(__xludf.DUMMYFUNCTION("""COMPUTED_VALUE"""),"Chat")</f>
        <v>Chat</v>
      </c>
      <c r="D11" s="21" t="str">
        <f>IFERROR(__xludf.DUMMYFUNCTION("""COMPUTED_VALUE"""),"Failed to response on first message")</f>
        <v>Failed to response on first message</v>
      </c>
      <c r="E11" s="21" t="str">
        <f>IFERROR(__xludf.DUMMYFUNCTION("""COMPUTED_VALUE"""),"User should be in browser")</f>
        <v>User should be in browser</v>
      </c>
      <c r="F11" s="21" t="str">
        <f>IFERROR(__xludf.DUMMYFUNCTION("""COMPUTED_VALUE"""),"1. Goto Link
2. Login using valid credentials
3. Click on Chat icon")</f>
        <v>1. Goto Link
2. Login using valid credentials
3. Click on Chat icon</v>
      </c>
      <c r="G11" s="21" t="str">
        <f>IFERROR(__xludf.DUMMYFUNCTION("""COMPUTED_VALUE"""),"Email : tolom65588@roastic.com                
Password : 123456789")</f>
        <v>Email : tolom65588@roastic.com                
Password : 123456789</v>
      </c>
      <c r="H11" s="21" t="str">
        <f>IFERROR(__xludf.DUMMYFUNCTION("""COMPUTED_VALUE"""),"Chat icon should response perfectly")</f>
        <v>Chat icon should response perfectly</v>
      </c>
      <c r="I11" s="21" t="str">
        <f>IFERROR(__xludf.DUMMYFUNCTION("""COMPUTED_VALUE"""),"failed to response on first message")</f>
        <v>failed to response on first message</v>
      </c>
      <c r="J11" s="21" t="str">
        <f>IFERROR(__xludf.DUMMYFUNCTION("""COMPUTED_VALUE"""),"Fail")</f>
        <v>Fail</v>
      </c>
      <c r="K11" s="21" t="str">
        <f>IFERROR(__xludf.DUMMYFUNCTION("""COMPUTED_VALUE"""),"High")</f>
        <v>High</v>
      </c>
      <c r="L11" s="22" t="str">
        <f>IFERROR(__xludf.DUMMYFUNCTION("""COMPUTED_VALUE"""),"https://drive.google.com/file/d/1uqRfYn6ereteYt9UiXMvMaHmIn1soq4_/view?usp=drive_link")</f>
        <v>https://drive.google.com/file/d/1uqRfYn6ereteYt9UiXMvMaHmIn1soq4_/view?usp=drive_link</v>
      </c>
      <c r="M11" s="21"/>
      <c r="N11" s="23" t="str">
        <f>IFERROR(__xludf.DUMMYFUNCTION("""COMPUTED_VALUE"""),"Fahad")</f>
        <v>Fahad</v>
      </c>
      <c r="O11" s="23" t="s">
        <v>29</v>
      </c>
      <c r="P11" s="23" t="s">
        <v>30</v>
      </c>
      <c r="Q11" s="24"/>
      <c r="R11" s="24"/>
      <c r="S11" s="24"/>
      <c r="T11" s="24"/>
      <c r="U11" s="24"/>
      <c r="V11" s="24"/>
      <c r="W11" s="24"/>
      <c r="X11" s="24"/>
      <c r="Y11" s="24"/>
      <c r="Z11" s="24"/>
      <c r="AA11" s="24"/>
    </row>
    <row r="12">
      <c r="A12" s="25" t="s">
        <v>31</v>
      </c>
      <c r="B12" s="26" t="str">
        <f>IFERROR(__xludf.DUMMYFUNCTION("""COMPUTED_VALUE"""),"Generated PDF")</f>
        <v>Generated PDF</v>
      </c>
      <c r="C12" s="26" t="str">
        <f>IFERROR(__xludf.DUMMYFUNCTION("""COMPUTED_VALUE"""),"PDF : 0781-ARE")</f>
        <v>PDF : 0781-ARE</v>
      </c>
      <c r="D12" s="26" t="str">
        <f>IFERROR(__xludf.DUMMYFUNCTION("""COMPUTED_VALUE"""),"Month is not displaying")</f>
        <v>Month is not displaying</v>
      </c>
      <c r="E12" s="26" t="str">
        <f>IFERROR(__xludf.DUMMYFUNCTION("""COMPUTED_VALUE"""),"User should be in browser")</f>
        <v>User should be in browser</v>
      </c>
      <c r="F12"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2" s="26" t="str">
        <f>IFERROR(__xludf.DUMMYFUNCTION("""COMPUTED_VALUE"""),"Email : tolom65588@roastic.com                
Password : 123456789")</f>
        <v>Email : tolom65588@roastic.com                
Password : 123456789</v>
      </c>
      <c r="H12" s="26" t="str">
        <f>IFERROR(__xludf.DUMMYFUNCTION("""COMPUTED_VALUE"""),"Only value from frontend should be placed in pdf")</f>
        <v>Only value from frontend should be placed in pdf</v>
      </c>
      <c r="I12" s="26" t="str">
        <f>IFERROR(__xludf.DUMMYFUNCTION("""COMPUTED_VALUE"""),"Month value is missing")</f>
        <v>Month value is missing</v>
      </c>
      <c r="J12" s="26" t="str">
        <f>IFERROR(__xludf.DUMMYFUNCTION("""COMPUTED_VALUE"""),"Fail")</f>
        <v>Fail</v>
      </c>
      <c r="K12" s="26" t="str">
        <f>IFERROR(__xludf.DUMMYFUNCTION("""COMPUTED_VALUE"""),"High")</f>
        <v>High</v>
      </c>
      <c r="L12" s="27" t="str">
        <f>IFERROR(__xludf.DUMMYFUNCTION("""COMPUTED_VALUE"""),"https://drive.google.com/file/d/1se6h-FFrvMQeO4bWmBPNdO3r9v0JpmLD/view?usp=drive_link")</f>
        <v>https://drive.google.com/file/d/1se6h-FFrvMQeO4bWmBPNdO3r9v0JpmLD/view?usp=drive_link</v>
      </c>
      <c r="M12" s="26"/>
      <c r="N12" s="26" t="str">
        <f>IFERROR(__xludf.DUMMYFUNCTION("""COMPUTED_VALUE"""),"Fahad")</f>
        <v>Fahad</v>
      </c>
      <c r="O12" s="25" t="s">
        <v>32</v>
      </c>
      <c r="P12" s="25"/>
      <c r="Q12" s="24"/>
      <c r="R12" s="24"/>
      <c r="S12" s="24"/>
      <c r="T12" s="24"/>
      <c r="U12" s="24"/>
      <c r="V12" s="24"/>
      <c r="W12" s="24"/>
      <c r="X12" s="24"/>
      <c r="Y12" s="24"/>
      <c r="Z12" s="24"/>
      <c r="AA12" s="24"/>
    </row>
    <row r="13">
      <c r="A13" s="25" t="s">
        <v>33</v>
      </c>
      <c r="B13" s="26" t="str">
        <f>IFERROR(__xludf.DUMMYFUNCTION("""COMPUTED_VALUE"""),"Generated PDF")</f>
        <v>Generated PDF</v>
      </c>
      <c r="C13" s="26" t="str">
        <f>IFERROR(__xludf.DUMMYFUNCTION("""COMPUTED_VALUE"""),"PDF : 0781-ARE")</f>
        <v>PDF : 0781-ARE</v>
      </c>
      <c r="D13" s="26" t="str">
        <f>IFERROR(__xludf.DUMMYFUNCTION("""COMPUTED_VALUE"""),"No data is displaying in pdf which was taken as input from frontend")</f>
        <v>No data is displaying in pdf which was taken as input from frontend</v>
      </c>
      <c r="E13" s="26" t="str">
        <f>IFERROR(__xludf.DUMMYFUNCTION("""COMPUTED_VALUE"""),"User should be in browser")</f>
        <v>User should be in browser</v>
      </c>
      <c r="F13"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3" s="26" t="str">
        <f>IFERROR(__xludf.DUMMYFUNCTION("""COMPUTED_VALUE"""),"Email : tolom65588@roastic.com                
Password : 123456789")</f>
        <v>Email : tolom65588@roastic.com                
Password : 123456789</v>
      </c>
      <c r="H13" s="26" t="str">
        <f>IFERROR(__xludf.DUMMYFUNCTION("""COMPUTED_VALUE"""),"Only value from frontend should be placed in pdf")</f>
        <v>Only value from frontend should be placed in pdf</v>
      </c>
      <c r="I13" s="26" t="str">
        <f>IFERROR(__xludf.DUMMYFUNCTION("""COMPUTED_VALUE"""),"No data is in pdf which was taken as input from frontend")</f>
        <v>No data is in pdf which was taken as input from frontend</v>
      </c>
      <c r="J13" s="26" t="str">
        <f>IFERROR(__xludf.DUMMYFUNCTION("""COMPUTED_VALUE"""),"Fail")</f>
        <v>Fail</v>
      </c>
      <c r="K13" s="26" t="str">
        <f>IFERROR(__xludf.DUMMYFUNCTION("""COMPUTED_VALUE"""),"High")</f>
        <v>High</v>
      </c>
      <c r="L13" s="27" t="str">
        <f>IFERROR(__xludf.DUMMYFUNCTION("""COMPUTED_VALUE"""),"https://drive.google.com/file/d/1K47w9N9bwFul9HsJPzBSC63ljTjODND4/view?usp=drive_link")</f>
        <v>https://drive.google.com/file/d/1K47w9N9bwFul9HsJPzBSC63ljTjODND4/view?usp=drive_link</v>
      </c>
      <c r="M13" s="26"/>
      <c r="N13" s="26" t="str">
        <f>IFERROR(__xludf.DUMMYFUNCTION("""COMPUTED_VALUE"""),"Fahad")</f>
        <v>Fahad</v>
      </c>
      <c r="O13" s="25" t="s">
        <v>32</v>
      </c>
      <c r="P13" s="26"/>
      <c r="Q13" s="24"/>
      <c r="R13" s="24"/>
      <c r="S13" s="24"/>
      <c r="T13" s="24"/>
      <c r="U13" s="24"/>
      <c r="V13" s="24"/>
      <c r="W13" s="24"/>
      <c r="X13" s="24"/>
      <c r="Y13" s="24"/>
      <c r="Z13" s="24"/>
      <c r="AA13" s="24"/>
    </row>
    <row r="14">
      <c r="A14" s="25" t="s">
        <v>34</v>
      </c>
      <c r="B14" s="26" t="str">
        <f>IFERROR(__xludf.DUMMYFUNCTION("""COMPUTED_VALUE"""),"Generated PDF")</f>
        <v>Generated PDF</v>
      </c>
      <c r="C14" s="26" t="str">
        <f>IFERROR(__xludf.DUMMYFUNCTION("""COMPUTED_VALUE"""),"PDF : 0781-ARE")</f>
        <v>PDF : 0781-ARE</v>
      </c>
      <c r="D14" s="26" t="str">
        <f>IFERROR(__xludf.DUMMYFUNCTION("""COMPUTED_VALUE"""),"Tick mark is not selected")</f>
        <v>Tick mark is not selected</v>
      </c>
      <c r="E14" s="26" t="str">
        <f>IFERROR(__xludf.DUMMYFUNCTION("""COMPUTED_VALUE"""),"User should be in browser")</f>
        <v>User should be in browser</v>
      </c>
      <c r="F14"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4" s="26" t="str">
        <f>IFERROR(__xludf.DUMMYFUNCTION("""COMPUTED_VALUE"""),"Email : tolom65588@roastic.com                
Password : 123456789")</f>
        <v>Email : tolom65588@roastic.com                
Password : 123456789</v>
      </c>
      <c r="H14" s="26" t="str">
        <f>IFERROR(__xludf.DUMMYFUNCTION("""COMPUTED_VALUE"""),"Only one should select in pdf which was taken input in frontend")</f>
        <v>Only one should select in pdf which was taken input in frontend</v>
      </c>
      <c r="I14" s="26" t="str">
        <f>IFERROR(__xludf.DUMMYFUNCTION("""COMPUTED_VALUE"""),"tick mark is not placed in pdf")</f>
        <v>tick mark is not placed in pdf</v>
      </c>
      <c r="J14" s="26" t="str">
        <f>IFERROR(__xludf.DUMMYFUNCTION("""COMPUTED_VALUE"""),"Fail")</f>
        <v>Fail</v>
      </c>
      <c r="K14" s="26" t="str">
        <f>IFERROR(__xludf.DUMMYFUNCTION("""COMPUTED_VALUE"""),"High")</f>
        <v>High</v>
      </c>
      <c r="L14" s="27" t="str">
        <f>IFERROR(__xludf.DUMMYFUNCTION("""COMPUTED_VALUE"""),"https://drive.google.com/file/d/1Ygi3sQYTFc1V6EtlvaxhbOxOKyfH5hre/view?usp=drive_link")</f>
        <v>https://drive.google.com/file/d/1Ygi3sQYTFc1V6EtlvaxhbOxOKyfH5hre/view?usp=drive_link</v>
      </c>
      <c r="M14" s="26"/>
      <c r="N14" s="26" t="str">
        <f>IFERROR(__xludf.DUMMYFUNCTION("""COMPUTED_VALUE"""),"Fahad")</f>
        <v>Fahad</v>
      </c>
      <c r="O14" s="25" t="s">
        <v>32</v>
      </c>
      <c r="P14" s="26"/>
      <c r="Q14" s="24"/>
      <c r="R14" s="24"/>
      <c r="S14" s="24"/>
      <c r="T14" s="24"/>
      <c r="U14" s="24"/>
      <c r="V14" s="24"/>
      <c r="W14" s="24"/>
      <c r="X14" s="24"/>
      <c r="Y14" s="24"/>
      <c r="Z14" s="24"/>
      <c r="AA14" s="24"/>
    </row>
    <row r="15">
      <c r="A15" s="25" t="s">
        <v>35</v>
      </c>
      <c r="B15" s="26" t="str">
        <f>IFERROR(__xludf.DUMMYFUNCTION("""COMPUTED_VALUE"""),"Generated PDF")</f>
        <v>Generated PDF</v>
      </c>
      <c r="C15" s="26" t="str">
        <f>IFERROR(__xludf.DUMMYFUNCTION("""COMPUTED_VALUE"""),"PDF : 0781-ARE")</f>
        <v>PDF : 0781-ARE</v>
      </c>
      <c r="D15" s="26" t="str">
        <f>IFERROR(__xludf.DUMMYFUNCTION("""COMPUTED_VALUE"""),"Garbage value in pdf")</f>
        <v>Garbage value in pdf</v>
      </c>
      <c r="E15" s="26" t="str">
        <f>IFERROR(__xludf.DUMMYFUNCTION("""COMPUTED_VALUE"""),"User should be in browser")</f>
        <v>User should be in browser</v>
      </c>
      <c r="F15"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5" s="26" t="str">
        <f>IFERROR(__xludf.DUMMYFUNCTION("""COMPUTED_VALUE"""),"Email : tolom65588@roastic.com                
Password : 123456789")</f>
        <v>Email : tolom65588@roastic.com                
Password : 123456789</v>
      </c>
      <c r="H15" s="26" t="str">
        <f>IFERROR(__xludf.DUMMYFUNCTION("""COMPUTED_VALUE"""),"Only inputed values should displayed in the pdf")</f>
        <v>Only inputed values should displayed in the pdf</v>
      </c>
      <c r="I15" s="26" t="str">
        <f>IFERROR(__xludf.DUMMYFUNCTION("""COMPUTED_VALUE"""),"Grabage value is in the pdf")</f>
        <v>Grabage value is in the pdf</v>
      </c>
      <c r="J15" s="26" t="str">
        <f>IFERROR(__xludf.DUMMYFUNCTION("""COMPUTED_VALUE"""),"Fail")</f>
        <v>Fail</v>
      </c>
      <c r="K15" s="26" t="str">
        <f>IFERROR(__xludf.DUMMYFUNCTION("""COMPUTED_VALUE"""),"High")</f>
        <v>High</v>
      </c>
      <c r="L15" s="27" t="str">
        <f>IFERROR(__xludf.DUMMYFUNCTION("""COMPUTED_VALUE"""),"https://drive.google.com/file/d/1DnMlWMEYXftFM426wHs9cynCEoO3XRQ6/view?usp=drive_link")</f>
        <v>https://drive.google.com/file/d/1DnMlWMEYXftFM426wHs9cynCEoO3XRQ6/view?usp=drive_link</v>
      </c>
      <c r="M15" s="26"/>
      <c r="N15" s="26" t="str">
        <f>IFERROR(__xludf.DUMMYFUNCTION("""COMPUTED_VALUE"""),"Fahad")</f>
        <v>Fahad</v>
      </c>
      <c r="O15" s="25" t="s">
        <v>32</v>
      </c>
      <c r="P15" s="26"/>
      <c r="Q15" s="24"/>
      <c r="R15" s="24"/>
      <c r="S15" s="24"/>
      <c r="T15" s="24"/>
      <c r="U15" s="24"/>
      <c r="V15" s="24"/>
      <c r="W15" s="24"/>
      <c r="X15" s="24"/>
      <c r="Y15" s="24"/>
      <c r="Z15" s="24"/>
      <c r="AA15" s="24"/>
    </row>
    <row r="16">
      <c r="A16" s="25" t="s">
        <v>36</v>
      </c>
      <c r="B16" s="26" t="str">
        <f>IFERROR(__xludf.DUMMYFUNCTION("""COMPUTED_VALUE"""),"Generated PDF")</f>
        <v>Generated PDF</v>
      </c>
      <c r="C16" s="26" t="str">
        <f>IFERROR(__xludf.DUMMYFUNCTION("""COMPUTED_VALUE"""),"PDF : 0995-ARE")</f>
        <v>PDF : 0995-ARE</v>
      </c>
      <c r="D16" s="26" t="str">
        <f>IFERROR(__xludf.DUMMYFUNCTION("""COMPUTED_VALUE"""),"Middle name is not formatter")</f>
        <v>Middle name is not formatter</v>
      </c>
      <c r="E16" s="26" t="str">
        <f>IFERROR(__xludf.DUMMYFUNCTION("""COMPUTED_VALUE"""),"User should be in browser")</f>
        <v>User should be in browser</v>
      </c>
      <c r="F16"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6" s="26" t="str">
        <f>IFERROR(__xludf.DUMMYFUNCTION("""COMPUTED_VALUE"""),"Email : tolom65588@roastic.com                
Password : 123456789")</f>
        <v>Email : tolom65588@roastic.com                
Password : 123456789</v>
      </c>
      <c r="H16" s="26" t="str">
        <f>IFERROR(__xludf.DUMMYFUNCTION("""COMPUTED_VALUE"""),"Middle name should be 1 character in pdf")</f>
        <v>Middle name should be 1 character in pdf</v>
      </c>
      <c r="I16" s="26" t="str">
        <f>IFERROR(__xludf.DUMMYFUNCTION("""COMPUTED_VALUE"""),"Full middle name is set")</f>
        <v>Full middle name is set</v>
      </c>
      <c r="J16" s="26" t="str">
        <f>IFERROR(__xludf.DUMMYFUNCTION("""COMPUTED_VALUE"""),"Fail")</f>
        <v>Fail</v>
      </c>
      <c r="K16" s="26" t="str">
        <f>IFERROR(__xludf.DUMMYFUNCTION("""COMPUTED_VALUE"""),"High")</f>
        <v>High</v>
      </c>
      <c r="L16" s="27" t="str">
        <f>IFERROR(__xludf.DUMMYFUNCTION("""COMPUTED_VALUE"""),"https://drive.google.com/file/d/1NccAjGoj7Ar8UFQ9HP-0auHNdBprOAxj/view?usp=drive_link")</f>
        <v>https://drive.google.com/file/d/1NccAjGoj7Ar8UFQ9HP-0auHNdBprOAxj/view?usp=drive_link</v>
      </c>
      <c r="M16" s="26"/>
      <c r="N16" s="26" t="str">
        <f>IFERROR(__xludf.DUMMYFUNCTION("""COMPUTED_VALUE"""),"Fahad")</f>
        <v>Fahad</v>
      </c>
      <c r="O16" s="25" t="s">
        <v>32</v>
      </c>
      <c r="P16" s="26"/>
      <c r="Q16" s="24"/>
      <c r="R16" s="24"/>
      <c r="S16" s="24"/>
      <c r="T16" s="24"/>
      <c r="U16" s="24"/>
      <c r="V16" s="24"/>
      <c r="W16" s="24"/>
      <c r="X16" s="24"/>
      <c r="Y16" s="24"/>
      <c r="Z16" s="24"/>
      <c r="AA16" s="24"/>
    </row>
    <row r="17">
      <c r="A17" s="25" t="s">
        <v>37</v>
      </c>
      <c r="B17" s="26" t="str">
        <f>IFERROR(__xludf.DUMMYFUNCTION("""COMPUTED_VALUE"""),"Generated PDF")</f>
        <v>Generated PDF</v>
      </c>
      <c r="C17" s="26" t="str">
        <f>IFERROR(__xludf.DUMMYFUNCTION("""COMPUTED_VALUE"""),"PDF : 0995-ARE")</f>
        <v>PDF : 0995-ARE</v>
      </c>
      <c r="D17" s="26" t="str">
        <f>IFERROR(__xludf.DUMMYFUNCTION("""COMPUTED_VALUE"""),"data is not filled properly in pdf")</f>
        <v>data is not filled properly in pdf</v>
      </c>
      <c r="E17" s="26" t="str">
        <f>IFERROR(__xludf.DUMMYFUNCTION("""COMPUTED_VALUE"""),"User should be in browser")</f>
        <v>User should be in browser</v>
      </c>
      <c r="F17"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7" s="26" t="str">
        <f>IFERROR(__xludf.DUMMYFUNCTION("""COMPUTED_VALUE"""),"Email : tolom65588@roastic.com                
Password : 123456789")</f>
        <v>Email : tolom65588@roastic.com                
Password : 123456789</v>
      </c>
      <c r="H17" s="26" t="str">
        <f>IFERROR(__xludf.DUMMYFUNCTION("""COMPUTED_VALUE"""),"Only inputed values should displayed in the pdf")</f>
        <v>Only inputed values should displayed in the pdf</v>
      </c>
      <c r="I17" s="26" t="str">
        <f>IFERROR(__xludf.DUMMYFUNCTION("""COMPUTED_VALUE"""),"Grabage value is in the pdf")</f>
        <v>Grabage value is in the pdf</v>
      </c>
      <c r="J17" s="26" t="str">
        <f>IFERROR(__xludf.DUMMYFUNCTION("""COMPUTED_VALUE"""),"Fail")</f>
        <v>Fail</v>
      </c>
      <c r="K17" s="26" t="str">
        <f>IFERROR(__xludf.DUMMYFUNCTION("""COMPUTED_VALUE"""),"High")</f>
        <v>High</v>
      </c>
      <c r="L17" s="27" t="str">
        <f>IFERROR(__xludf.DUMMYFUNCTION("""COMPUTED_VALUE"""),"https://drive.google.com/file/d/1Q2b9pLhkxHTo1wEZ-pzcLaNYy6meqH0C/view?usp=drive_link")</f>
        <v>https://drive.google.com/file/d/1Q2b9pLhkxHTo1wEZ-pzcLaNYy6meqH0C/view?usp=drive_link</v>
      </c>
      <c r="M17" s="26"/>
      <c r="N17" s="26" t="str">
        <f>IFERROR(__xludf.DUMMYFUNCTION("""COMPUTED_VALUE"""),"Fahad")</f>
        <v>Fahad</v>
      </c>
      <c r="O17" s="25" t="s">
        <v>32</v>
      </c>
      <c r="P17" s="26"/>
      <c r="Q17" s="24"/>
      <c r="R17" s="24"/>
      <c r="S17" s="24"/>
      <c r="T17" s="24"/>
      <c r="U17" s="24"/>
      <c r="V17" s="24"/>
      <c r="W17" s="24"/>
      <c r="X17" s="24"/>
      <c r="Y17" s="24"/>
      <c r="Z17" s="24"/>
      <c r="AA17" s="24"/>
    </row>
    <row r="18">
      <c r="A18" s="25" t="s">
        <v>38</v>
      </c>
      <c r="B18" s="26" t="str">
        <f>IFERROR(__xludf.DUMMYFUNCTION("""COMPUTED_VALUE"""),"Generated PDF")</f>
        <v>Generated PDF</v>
      </c>
      <c r="C18" s="26" t="str">
        <f>IFERROR(__xludf.DUMMYFUNCTION("""COMPUTED_VALUE"""),"PDF : 526-EZ")</f>
        <v>PDF : 526-EZ</v>
      </c>
      <c r="D18" s="26" t="str">
        <f>IFERROR(__xludf.DUMMYFUNCTION("""COMPUTED_VALUE"""),"garbage value in pdf")</f>
        <v>garbage value in pdf</v>
      </c>
      <c r="E18" s="26" t="str">
        <f>IFERROR(__xludf.DUMMYFUNCTION("""COMPUTED_VALUE"""),"User should be in browser")</f>
        <v>User should be in browser</v>
      </c>
      <c r="F18"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8" s="26" t="str">
        <f>IFERROR(__xludf.DUMMYFUNCTION("""COMPUTED_VALUE"""),"Email : tolom65588@roastic.com                
Password : 123456789")</f>
        <v>Email : tolom65588@roastic.com                
Password : 123456789</v>
      </c>
      <c r="H18" s="26" t="str">
        <f>IFERROR(__xludf.DUMMYFUNCTION("""COMPUTED_VALUE"""),"Only value from frontend should be placed in pdf")</f>
        <v>Only value from frontend should be placed in pdf</v>
      </c>
      <c r="I18" s="26" t="str">
        <f>IFERROR(__xludf.DUMMYFUNCTION("""COMPUTED_VALUE"""),"Random garbage value has been store in pdf")</f>
        <v>Random garbage value has been store in pdf</v>
      </c>
      <c r="J18" s="26" t="str">
        <f>IFERROR(__xludf.DUMMYFUNCTION("""COMPUTED_VALUE"""),"Fail")</f>
        <v>Fail</v>
      </c>
      <c r="K18" s="26" t="str">
        <f>IFERROR(__xludf.DUMMYFUNCTION("""COMPUTED_VALUE"""),"High")</f>
        <v>High</v>
      </c>
      <c r="L18" s="27" t="str">
        <f>IFERROR(__xludf.DUMMYFUNCTION("""COMPUTED_VALUE"""),"https://drive.google.com/file/d/1iee7Ie3xsjQD_JFK_MepFruRoQb-Xyp-/view?usp=drive_link")</f>
        <v>https://drive.google.com/file/d/1iee7Ie3xsjQD_JFK_MepFruRoQb-Xyp-/view?usp=drive_link</v>
      </c>
      <c r="M18" s="26"/>
      <c r="N18" s="26" t="str">
        <f>IFERROR(__xludf.DUMMYFUNCTION("""COMPUTED_VALUE"""),"Fahad")</f>
        <v>Fahad</v>
      </c>
      <c r="O18" s="25" t="s">
        <v>32</v>
      </c>
      <c r="P18" s="26"/>
      <c r="Q18" s="24"/>
      <c r="R18" s="24"/>
      <c r="S18" s="24"/>
      <c r="T18" s="24"/>
      <c r="U18" s="24"/>
      <c r="V18" s="24"/>
      <c r="W18" s="24"/>
      <c r="X18" s="24"/>
      <c r="Y18" s="24"/>
      <c r="Z18" s="24"/>
      <c r="AA18" s="24"/>
    </row>
    <row r="19">
      <c r="A19" s="25" t="s">
        <v>39</v>
      </c>
      <c r="B19" s="26" t="str">
        <f>IFERROR(__xludf.DUMMYFUNCTION("""COMPUTED_VALUE"""),"Generated PDF")</f>
        <v>Generated PDF</v>
      </c>
      <c r="C19" s="26" t="str">
        <f>IFERROR(__xludf.DUMMYFUNCTION("""COMPUTED_VALUE"""),"PDF : 526-EZ")</f>
        <v>PDF : 526-EZ</v>
      </c>
      <c r="D19" s="26" t="str">
        <f>IFERROR(__xludf.DUMMYFUNCTION("""COMPUTED_VALUE"""),"Select one value from frontend but selected 2 value in pdf")</f>
        <v>Select one value from frontend but selected 2 value in pdf</v>
      </c>
      <c r="E19" s="26" t="str">
        <f>IFERROR(__xludf.DUMMYFUNCTION("""COMPUTED_VALUE"""),"User should be in browser")</f>
        <v>User should be in browser</v>
      </c>
      <c r="F19"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19" s="26" t="str">
        <f>IFERROR(__xludf.DUMMYFUNCTION("""COMPUTED_VALUE"""),"Email : tolom65588@roastic.com                
Password : 123456789")</f>
        <v>Email : tolom65588@roastic.com                
Password : 123456789</v>
      </c>
      <c r="H19" s="26" t="str">
        <f>IFERROR(__xludf.DUMMYFUNCTION("""COMPUTED_VALUE"""),"Only one should select in pdf which was taken input in frontend")</f>
        <v>Only one should select in pdf which was taken input in frontend</v>
      </c>
      <c r="I19" s="26" t="str">
        <f>IFERROR(__xludf.DUMMYFUNCTION("""COMPUTED_VALUE"""),"selecteed ""Marine Corp"" in frontend but ""Air Force"" is also selected in pdf")</f>
        <v>selecteed "Marine Corp" in frontend but "Air Force" is also selected in pdf</v>
      </c>
      <c r="J19" s="26" t="str">
        <f>IFERROR(__xludf.DUMMYFUNCTION("""COMPUTED_VALUE"""),"Fail")</f>
        <v>Fail</v>
      </c>
      <c r="K19" s="26" t="str">
        <f>IFERROR(__xludf.DUMMYFUNCTION("""COMPUTED_VALUE"""),"High")</f>
        <v>High</v>
      </c>
      <c r="L19" s="27" t="str">
        <f>IFERROR(__xludf.DUMMYFUNCTION("""COMPUTED_VALUE"""),"https://drive.google.com/file/d/1AO9Vd6b_Vs6kCPA6Bo8UcoOR3-WjklJY/view?usp=drive_link")</f>
        <v>https://drive.google.com/file/d/1AO9Vd6b_Vs6kCPA6Bo8UcoOR3-WjklJY/view?usp=drive_link</v>
      </c>
      <c r="M19" s="26"/>
      <c r="N19" s="26" t="str">
        <f>IFERROR(__xludf.DUMMYFUNCTION("""COMPUTED_VALUE"""),"Fahad")</f>
        <v>Fahad</v>
      </c>
      <c r="O19" s="25" t="s">
        <v>32</v>
      </c>
      <c r="P19" s="25" t="s">
        <v>40</v>
      </c>
      <c r="Q19" s="24"/>
      <c r="R19" s="24"/>
      <c r="S19" s="24"/>
      <c r="T19" s="24"/>
      <c r="U19" s="24"/>
      <c r="V19" s="24"/>
      <c r="W19" s="24"/>
      <c r="X19" s="24"/>
      <c r="Y19" s="24"/>
      <c r="Z19" s="24"/>
      <c r="AA19" s="24"/>
    </row>
    <row r="20">
      <c r="A20" s="25" t="s">
        <v>41</v>
      </c>
      <c r="B20" s="26" t="str">
        <f>IFERROR(__xludf.DUMMYFUNCTION("""COMPUTED_VALUE"""),"Generated PDF")</f>
        <v>Generated PDF</v>
      </c>
      <c r="C20" s="26" t="str">
        <f>IFERROR(__xludf.DUMMYFUNCTION("""COMPUTED_VALUE"""),"PDF : 526-EZ")</f>
        <v>PDF : 526-EZ</v>
      </c>
      <c r="D20" s="26" t="str">
        <f>IFERROR(__xludf.DUMMYFUNCTION("""COMPUTED_VALUE"""),"Select one value from frontend but selected 2 value in pdf")</f>
        <v>Select one value from frontend but selected 2 value in pdf</v>
      </c>
      <c r="E20" s="26" t="str">
        <f>IFERROR(__xludf.DUMMYFUNCTION("""COMPUTED_VALUE"""),"User should be in browser")</f>
        <v>User should be in browser</v>
      </c>
      <c r="F20"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20" s="26" t="str">
        <f>IFERROR(__xludf.DUMMYFUNCTION("""COMPUTED_VALUE"""),"Email : tolom65588@roastic.com                
Password : 123456789")</f>
        <v>Email : tolom65588@roastic.com                
Password : 123456789</v>
      </c>
      <c r="H20" s="26" t="str">
        <f>IFERROR(__xludf.DUMMYFUNCTION("""COMPUTED_VALUE"""),"Only one should select in pdf which was taken input in frontend")</f>
        <v>Only one should select in pdf which was taken input in frontend</v>
      </c>
      <c r="I20" s="26" t="str">
        <f>IFERROR(__xludf.DUMMYFUNCTION("""COMPUTED_VALUE"""),"Selected ""Active"" in frontend but ""National Guard"" is also selected")</f>
        <v>Selected "Active" in frontend but "National Guard" is also selected</v>
      </c>
      <c r="J20" s="26" t="str">
        <f>IFERROR(__xludf.DUMMYFUNCTION("""COMPUTED_VALUE"""),"Fail")</f>
        <v>Fail</v>
      </c>
      <c r="K20" s="26" t="str">
        <f>IFERROR(__xludf.DUMMYFUNCTION("""COMPUTED_VALUE"""),"High")</f>
        <v>High</v>
      </c>
      <c r="L20" s="27" t="str">
        <f>IFERROR(__xludf.DUMMYFUNCTION("""COMPUTED_VALUE"""),"https://drive.google.com/file/d/12NRqnRWmuuzpnTxDapZpurxcl2A19dqR/view?usp=drive_link")</f>
        <v>https://drive.google.com/file/d/12NRqnRWmuuzpnTxDapZpurxcl2A19dqR/view?usp=drive_link</v>
      </c>
      <c r="M20" s="26"/>
      <c r="N20" s="26" t="str">
        <f>IFERROR(__xludf.DUMMYFUNCTION("""COMPUTED_VALUE"""),"Fahad")</f>
        <v>Fahad</v>
      </c>
      <c r="O20" s="25" t="s">
        <v>32</v>
      </c>
      <c r="P20" s="25" t="s">
        <v>40</v>
      </c>
      <c r="Q20" s="24"/>
      <c r="R20" s="24"/>
      <c r="S20" s="24"/>
      <c r="T20" s="24"/>
      <c r="U20" s="24"/>
      <c r="V20" s="24"/>
      <c r="W20" s="24"/>
      <c r="X20" s="24"/>
      <c r="Y20" s="24"/>
      <c r="Z20" s="24"/>
      <c r="AA20" s="24"/>
    </row>
    <row r="21">
      <c r="A21" s="25" t="s">
        <v>42</v>
      </c>
      <c r="B21" s="26" t="str">
        <f>IFERROR(__xludf.DUMMYFUNCTION("""COMPUTED_VALUE"""),"Generated PDF")</f>
        <v>Generated PDF</v>
      </c>
      <c r="C21" s="26" t="str">
        <f>IFERROR(__xludf.DUMMYFUNCTION("""COMPUTED_VALUE"""),"PDF : 526-EZ")</f>
        <v>PDF : 526-EZ</v>
      </c>
      <c r="D21" s="26" t="str">
        <f>IFERROR(__xludf.DUMMYFUNCTION("""COMPUTED_VALUE"""),"Frontend only took one date (from and to)")</f>
        <v>Frontend only took one date (from and to)</v>
      </c>
      <c r="E21" s="26" t="str">
        <f>IFERROR(__xludf.DUMMYFUNCTION("""COMPUTED_VALUE"""),"User should be in browser")</f>
        <v>User should be in browser</v>
      </c>
      <c r="F21" s="26" t="str">
        <f>IFERROR(__xludf.DUMMYFUNCTION("""COMPUTED_VALUE"""),"1. Goto Link
2. Login using valid credentials
3. buy plan and click on claim now
4 . Fillout form and generate pdf")</f>
        <v>1. Goto Link
2. Login using valid credentials
3. buy plan and click on claim now
4 . Fillout form and generate pdf</v>
      </c>
      <c r="G21" s="26" t="str">
        <f>IFERROR(__xludf.DUMMYFUNCTION("""COMPUTED_VALUE"""),"Email : tolom65588@roastic.com                
Password : 123456789")</f>
        <v>Email : tolom65588@roastic.com                
Password : 123456789</v>
      </c>
      <c r="H21" s="26" t="str">
        <f>IFERROR(__xludf.DUMMYFUNCTION("""COMPUTED_VALUE"""),"Only value from frontend should be placed in pdf")</f>
        <v>Only value from frontend should be placed in pdf</v>
      </c>
      <c r="I21" s="26" t="str">
        <f>IFERROR(__xludf.DUMMYFUNCTION("""COMPUTED_VALUE"""),"Only one date range is taken as input in frontend but displaying 2 date range in pdf")</f>
        <v>Only one date range is taken as input in frontend but displaying 2 date range in pdf</v>
      </c>
      <c r="J21" s="26" t="str">
        <f>IFERROR(__xludf.DUMMYFUNCTION("""COMPUTED_VALUE"""),"Fail")</f>
        <v>Fail</v>
      </c>
      <c r="K21" s="26" t="str">
        <f>IFERROR(__xludf.DUMMYFUNCTION("""COMPUTED_VALUE"""),"High")</f>
        <v>High</v>
      </c>
      <c r="L21" s="27" t="str">
        <f>IFERROR(__xludf.DUMMYFUNCTION("""COMPUTED_VALUE"""),"https://drive.google.com/file/d/1I0Q9qWSBUfETUp5jqW2CATLovqw92jnF/view?usp=drive_link")</f>
        <v>https://drive.google.com/file/d/1I0Q9qWSBUfETUp5jqW2CATLovqw92jnF/view?usp=drive_link</v>
      </c>
      <c r="M21" s="26"/>
      <c r="N21" s="26" t="str">
        <f>IFERROR(__xludf.DUMMYFUNCTION("""COMPUTED_VALUE"""),"Fahad")</f>
        <v>Fahad</v>
      </c>
      <c r="O21" s="25" t="s">
        <v>32</v>
      </c>
      <c r="P21" s="26"/>
      <c r="Q21" s="24"/>
      <c r="R21" s="24"/>
      <c r="S21" s="24"/>
      <c r="T21" s="24"/>
      <c r="U21" s="24"/>
      <c r="V21" s="24"/>
      <c r="W21" s="24"/>
      <c r="X21" s="24"/>
      <c r="Y21" s="24"/>
      <c r="Z21" s="24"/>
      <c r="AA21" s="24"/>
    </row>
    <row r="22">
      <c r="A22" s="25" t="s">
        <v>43</v>
      </c>
      <c r="B22" s="26" t="str">
        <f>IFERROR(__xludf.DUMMYFUNCTION("""COMPUTED_VALUE"""),"Home")</f>
        <v>Home</v>
      </c>
      <c r="C22" s="26" t="str">
        <f>IFERROR(__xludf.DUMMYFUNCTION("""COMPUTED_VALUE"""),"Home")</f>
        <v>Home</v>
      </c>
      <c r="D22" s="26" t="str">
        <f>IFERROR(__xludf.DUMMYFUNCTION("""COMPUTED_VALUE"""),"Subscription package missing in home page")</f>
        <v>Subscription package missing in home page</v>
      </c>
      <c r="E22" s="26" t="str">
        <f>IFERROR(__xludf.DUMMYFUNCTION("""COMPUTED_VALUE"""),"User should be in browser")</f>
        <v>User should be in browser</v>
      </c>
      <c r="F22" s="26" t="str">
        <f>IFERROR(__xludf.DUMMYFUNCTION("""COMPUTED_VALUE"""),"1. Goto Link
2. Login using valid credentials")</f>
        <v>1. Goto Link
2. Login using valid credentials</v>
      </c>
      <c r="G22" s="26" t="str">
        <f>IFERROR(__xludf.DUMMYFUNCTION("""COMPUTED_VALUE"""),"Email : tolom65588@roastic.com                
Password : 123456789")</f>
        <v>Email : tolom65588@roastic.com                
Password : 123456789</v>
      </c>
      <c r="H22" s="26" t="str">
        <f>IFERROR(__xludf.DUMMYFUNCTION("""COMPUTED_VALUE"""),"there are 2 subscription package but one display in first banner")</f>
        <v>there are 2 subscription package but one display in first banner</v>
      </c>
      <c r="I22" s="26" t="str">
        <f>IFERROR(__xludf.DUMMYFUNCTION("""COMPUTED_VALUE"""),"all subscription banners should display all package amount")</f>
        <v>all subscription banners should display all package amount</v>
      </c>
      <c r="J22" s="26" t="str">
        <f>IFERROR(__xludf.DUMMYFUNCTION("""COMPUTED_VALUE"""),"Fail")</f>
        <v>Fail</v>
      </c>
      <c r="K22" s="26" t="str">
        <f>IFERROR(__xludf.DUMMYFUNCTION("""COMPUTED_VALUE"""),"Medium")</f>
        <v>Medium</v>
      </c>
      <c r="L22" s="27" t="str">
        <f>IFERROR(__xludf.DUMMYFUNCTION("""COMPUTED_VALUE"""),"https://drive.google.com/file/d/156HsqIAzHZDlWTb3KCqbc2eM7HsvjfY8/view?usp=drive_link")</f>
        <v>https://drive.google.com/file/d/156HsqIAzHZDlWTb3KCqbc2eM7HsvjfY8/view?usp=drive_link</v>
      </c>
      <c r="M22" s="26"/>
      <c r="N22" s="26" t="str">
        <f>IFERROR(__xludf.DUMMYFUNCTION("""COMPUTED_VALUE"""),"Fahad")</f>
        <v>Fahad</v>
      </c>
      <c r="O22" s="25" t="s">
        <v>32</v>
      </c>
      <c r="P22" s="25" t="s">
        <v>44</v>
      </c>
      <c r="Q22" s="24"/>
      <c r="R22" s="24"/>
      <c r="S22" s="24"/>
      <c r="T22" s="24"/>
      <c r="U22" s="24"/>
      <c r="V22" s="24"/>
      <c r="W22" s="24"/>
      <c r="X22" s="24"/>
      <c r="Y22" s="24"/>
      <c r="Z22" s="24"/>
      <c r="AA22" s="24"/>
    </row>
    <row r="23">
      <c r="A23" s="25" t="s">
        <v>45</v>
      </c>
      <c r="B23" s="26" t="str">
        <f>IFERROR(__xludf.DUMMYFUNCTION("""COMPUTED_VALUE"""),"Home")</f>
        <v>Home</v>
      </c>
      <c r="C23" s="26" t="str">
        <f>IFERROR(__xludf.DUMMYFUNCTION("""COMPUTED_VALUE"""),"Home")</f>
        <v>Home</v>
      </c>
      <c r="D23" s="26" t="str">
        <f>IFERROR(__xludf.DUMMYFUNCTION("""COMPUTED_VALUE"""),"Same descrption use in different title bannaer")</f>
        <v>Same descrption use in different title bannaer</v>
      </c>
      <c r="E23" s="26" t="str">
        <f>IFERROR(__xludf.DUMMYFUNCTION("""COMPUTED_VALUE"""),"User should be in browser")</f>
        <v>User should be in browser</v>
      </c>
      <c r="F23" s="26" t="str">
        <f>IFERROR(__xludf.DUMMYFUNCTION("""COMPUTED_VALUE"""),"1. Goto Link
2. Login using valid credentials
3. Goto benefit playcard")</f>
        <v>1. Goto Link
2. Login using valid credentials
3. Goto benefit playcard</v>
      </c>
      <c r="G23" s="26" t="str">
        <f>IFERROR(__xludf.DUMMYFUNCTION("""COMPUTED_VALUE"""),"Email : tolom65588@roastic.com                
Password : 123456789")</f>
        <v>Email : tolom65588@roastic.com                
Password : 123456789</v>
      </c>
      <c r="H23" s="26" t="str">
        <f>IFERROR(__xludf.DUMMYFUNCTION("""COMPUTED_VALUE"""),"Different title and description should be use in different banner")</f>
        <v>Different title and description should be use in different banner</v>
      </c>
      <c r="I23" s="26" t="str">
        <f>IFERROR(__xludf.DUMMYFUNCTION("""COMPUTED_VALUE"""),"Same description use in different banner")</f>
        <v>Same description use in different banner</v>
      </c>
      <c r="J23" s="26" t="str">
        <f>IFERROR(__xludf.DUMMYFUNCTION("""COMPUTED_VALUE"""),"Fail")</f>
        <v>Fail</v>
      </c>
      <c r="K23" s="26" t="str">
        <f>IFERROR(__xludf.DUMMYFUNCTION("""COMPUTED_VALUE"""),"Low")</f>
        <v>Low</v>
      </c>
      <c r="L23" s="27" t="str">
        <f>IFERROR(__xludf.DUMMYFUNCTION("""COMPUTED_VALUE"""),"https://drive.google.com/file/d/1oy00P69ZYcP54DKVHJFgu-3XKR6NGN2h/view?usp=drive_link")</f>
        <v>https://drive.google.com/file/d/1oy00P69ZYcP54DKVHJFgu-3XKR6NGN2h/view?usp=drive_link</v>
      </c>
      <c r="M23" s="26"/>
      <c r="N23" s="26" t="str">
        <f>IFERROR(__xludf.DUMMYFUNCTION("""COMPUTED_VALUE"""),"Fahad")</f>
        <v>Fahad</v>
      </c>
      <c r="O23" s="25" t="s">
        <v>32</v>
      </c>
      <c r="P23" s="25" t="s">
        <v>46</v>
      </c>
      <c r="Q23" s="24"/>
      <c r="R23" s="24"/>
      <c r="S23" s="24"/>
      <c r="T23" s="24"/>
      <c r="U23" s="24"/>
      <c r="V23" s="24"/>
      <c r="W23" s="24"/>
      <c r="X23" s="24"/>
      <c r="Y23" s="24"/>
      <c r="Z23" s="24"/>
      <c r="AA23" s="24"/>
    </row>
    <row r="24">
      <c r="A24" s="25" t="s">
        <v>47</v>
      </c>
      <c r="B24" s="26" t="str">
        <f>IFERROR(__xludf.DUMMYFUNCTION("""COMPUTED_VALUE"""),"Home")</f>
        <v>Home</v>
      </c>
      <c r="C24" s="26" t="str">
        <f>IFERROR(__xludf.DUMMYFUNCTION("""COMPUTED_VALUE"""),"Home")</f>
        <v>Home</v>
      </c>
      <c r="D24" s="26" t="str">
        <f>IFERROR(__xludf.DUMMYFUNCTION("""COMPUTED_VALUE"""),"Link with home page when it should take to contact us page")</f>
        <v>Link with home page when it should take to contact us page</v>
      </c>
      <c r="E24" s="26" t="str">
        <f>IFERROR(__xludf.DUMMYFUNCTION("""COMPUTED_VALUE"""),"User should be in browser")</f>
        <v>User should be in browser</v>
      </c>
      <c r="F24" s="26" t="str">
        <f>IFERROR(__xludf.DUMMYFUNCTION("""COMPUTED_VALUE"""),"1. Goto Link
2. Login using valid credentials
3. Goto link pages")</f>
        <v>1. Goto Link
2. Login using valid credentials
3. Goto link pages</v>
      </c>
      <c r="G24" s="26" t="str">
        <f>IFERROR(__xludf.DUMMYFUNCTION("""COMPUTED_VALUE"""),"Email : tolom65588@roastic.com                
Password : 123456789")</f>
        <v>Email : tolom65588@roastic.com                
Password : 123456789</v>
      </c>
      <c r="H24" s="26" t="str">
        <f>IFERROR(__xludf.DUMMYFUNCTION("""COMPUTED_VALUE"""),"When select contact us , it should take to contact us page")</f>
        <v>When select contact us , it should take to contact us page</v>
      </c>
      <c r="I24" s="26" t="str">
        <f>IFERROR(__xludf.DUMMYFUNCTION("""COMPUTED_VALUE"""),"Take to home page instead to contact us page")</f>
        <v>Take to home page instead to contact us page</v>
      </c>
      <c r="J24" s="26" t="str">
        <f>IFERROR(__xludf.DUMMYFUNCTION("""COMPUTED_VALUE"""),"Fail")</f>
        <v>Fail</v>
      </c>
      <c r="K24" s="26" t="str">
        <f>IFERROR(__xludf.DUMMYFUNCTION("""COMPUTED_VALUE"""),"High")</f>
        <v>High</v>
      </c>
      <c r="L24" s="27" t="str">
        <f>IFERROR(__xludf.DUMMYFUNCTION("""COMPUTED_VALUE"""),"https://drive.google.com/file/d/1CcAeSoTyEkCrZN_PdMYtipKIyUsB909L/view?usp=drive_link")</f>
        <v>https://drive.google.com/file/d/1CcAeSoTyEkCrZN_PdMYtipKIyUsB909L/view?usp=drive_link</v>
      </c>
      <c r="M24" s="26"/>
      <c r="N24" s="26" t="str">
        <f>IFERROR(__xludf.DUMMYFUNCTION("""COMPUTED_VALUE"""),"Fahad")</f>
        <v>Fahad</v>
      </c>
      <c r="O24" s="25" t="s">
        <v>32</v>
      </c>
      <c r="P24" s="25" t="s">
        <v>48</v>
      </c>
      <c r="Q24" s="24"/>
      <c r="R24" s="24"/>
      <c r="S24" s="24"/>
      <c r="T24" s="24"/>
      <c r="U24" s="24"/>
      <c r="V24" s="24"/>
      <c r="W24" s="24"/>
      <c r="X24" s="24"/>
      <c r="Y24" s="24"/>
      <c r="Z24" s="24"/>
      <c r="AA24" s="24"/>
    </row>
    <row r="25">
      <c r="A25" s="25" t="s">
        <v>49</v>
      </c>
      <c r="B25" s="26" t="str">
        <f>IFERROR(__xludf.DUMMYFUNCTION("""COMPUTED_VALUE"""),"Home")</f>
        <v>Home</v>
      </c>
      <c r="C25" s="26" t="str">
        <f>IFERROR(__xludf.DUMMYFUNCTION("""COMPUTED_VALUE"""),"Home")</f>
        <v>Home</v>
      </c>
      <c r="D25" s="26" t="str">
        <f>IFERROR(__xludf.DUMMYFUNCTION("""COMPUTED_VALUE"""),"link with home page when it should take to FAQ section")</f>
        <v>link with home page when it should take to FAQ section</v>
      </c>
      <c r="E25" s="26" t="str">
        <f>IFERROR(__xludf.DUMMYFUNCTION("""COMPUTED_VALUE"""),"User should be in browser")</f>
        <v>User should be in browser</v>
      </c>
      <c r="F25" s="26" t="str">
        <f>IFERROR(__xludf.DUMMYFUNCTION("""COMPUTED_VALUE"""),"1. Goto Link
2. Login using valid credentials
3. Goto link pages")</f>
        <v>1. Goto Link
2. Login using valid credentials
3. Goto link pages</v>
      </c>
      <c r="G25" s="26" t="str">
        <f>IFERROR(__xludf.DUMMYFUNCTION("""COMPUTED_VALUE"""),"Email : tolom65588@roastic.com                
Password : 123456789")</f>
        <v>Email : tolom65588@roastic.com                
Password : 123456789</v>
      </c>
      <c r="H25" s="26" t="str">
        <f>IFERROR(__xludf.DUMMYFUNCTION("""COMPUTED_VALUE"""),"when select on FAQ section , it should take user to FAQ")</f>
        <v>when select on FAQ section , it should take user to FAQ</v>
      </c>
      <c r="I25" s="26" t="str">
        <f>IFERROR(__xludf.DUMMYFUNCTION("""COMPUTED_VALUE"""),"take to home page instead to FAQ section")</f>
        <v>take to home page instead to FAQ section</v>
      </c>
      <c r="J25" s="26" t="str">
        <f>IFERROR(__xludf.DUMMYFUNCTION("""COMPUTED_VALUE"""),"Fail")</f>
        <v>Fail</v>
      </c>
      <c r="K25" s="26" t="str">
        <f>IFERROR(__xludf.DUMMYFUNCTION("""COMPUTED_VALUE"""),"High")</f>
        <v>High</v>
      </c>
      <c r="L25" s="27" t="str">
        <f>IFERROR(__xludf.DUMMYFUNCTION("""COMPUTED_VALUE"""),"https://drive.google.com/file/d/17d1EWU0TzJyfaE7eF1zeEH2l4YoEbci_/view?usp=drive_link")</f>
        <v>https://drive.google.com/file/d/17d1EWU0TzJyfaE7eF1zeEH2l4YoEbci_/view?usp=drive_link</v>
      </c>
      <c r="M25" s="26"/>
      <c r="N25" s="26" t="str">
        <f>IFERROR(__xludf.DUMMYFUNCTION("""COMPUTED_VALUE"""),"Fahad")</f>
        <v>Fahad</v>
      </c>
      <c r="O25" s="25" t="s">
        <v>32</v>
      </c>
      <c r="P25" s="25" t="s">
        <v>48</v>
      </c>
      <c r="Q25" s="24"/>
      <c r="R25" s="24"/>
      <c r="S25" s="24"/>
      <c r="T25" s="24"/>
      <c r="U25" s="24"/>
      <c r="V25" s="24"/>
      <c r="W25" s="24"/>
      <c r="X25" s="24"/>
      <c r="Y25" s="24"/>
      <c r="Z25" s="24"/>
      <c r="AA25" s="24"/>
    </row>
    <row r="26">
      <c r="A26" s="25" t="s">
        <v>50</v>
      </c>
      <c r="B26" s="26" t="str">
        <f>IFERROR(__xludf.DUMMYFUNCTION("""COMPUTED_VALUE"""),"Notification")</f>
        <v>Notification</v>
      </c>
      <c r="C26" s="26" t="str">
        <f>IFERROR(__xludf.DUMMYFUNCTION("""COMPUTED_VALUE"""),"Notification")</f>
        <v>Notification</v>
      </c>
      <c r="D26" s="26" t="str">
        <f>IFERROR(__xludf.DUMMYFUNCTION("""COMPUTED_VALUE"""),"Notification generate in OTP page but shows in Home Page")</f>
        <v>Notification generate in OTP page but shows in Home Page</v>
      </c>
      <c r="E26" s="26" t="str">
        <f>IFERROR(__xludf.DUMMYFUNCTION("""COMPUTED_VALUE"""),"User should be in browser")</f>
        <v>User should be in browser</v>
      </c>
      <c r="F26" s="26" t="str">
        <f>IFERROR(__xludf.DUMMYFUNCTION("""COMPUTED_VALUE"""),"1. Goto Link
2. Login using valid credentials")</f>
        <v>1. Goto Link
2. Login using valid credentials</v>
      </c>
      <c r="G26" s="26" t="str">
        <f>IFERROR(__xludf.DUMMYFUNCTION("""COMPUTED_VALUE"""),"Email : tolom65588@roastic.com                
Password : 123456789")</f>
        <v>Email : tolom65588@roastic.com                
Password : 123456789</v>
      </c>
      <c r="H26" s="26" t="str">
        <f>IFERROR(__xludf.DUMMYFUNCTION("""COMPUTED_VALUE"""),"Notification should be displayed in accurate place")</f>
        <v>Notification should be displayed in accurate place</v>
      </c>
      <c r="I26" s="26" t="str">
        <f>IFERROR(__xludf.DUMMYFUNCTION("""COMPUTED_VALUE"""),"Notification generate in OTP page of password reset , after all operation complete and login, then in home page , the notification displayed")</f>
        <v>Notification generate in OTP page of password reset , after all operation complete and login, then in home page , the notification displayed</v>
      </c>
      <c r="J26" s="26" t="str">
        <f>IFERROR(__xludf.DUMMYFUNCTION("""COMPUTED_VALUE"""),"Fail")</f>
        <v>Fail</v>
      </c>
      <c r="K26" s="26" t="str">
        <f>IFERROR(__xludf.DUMMYFUNCTION("""COMPUTED_VALUE"""),"High")</f>
        <v>High</v>
      </c>
      <c r="L26" s="27" t="str">
        <f>IFERROR(__xludf.DUMMYFUNCTION("""COMPUTED_VALUE"""),"https://drive.google.com/file/d/1h1qWA3GHwAQAMzxGUVxO6vZtBwup1H1K/view?usp=drive_link")</f>
        <v>https://drive.google.com/file/d/1h1qWA3GHwAQAMzxGUVxO6vZtBwup1H1K/view?usp=drive_link</v>
      </c>
      <c r="M26" s="26"/>
      <c r="N26" s="26" t="str">
        <f>IFERROR(__xludf.DUMMYFUNCTION("""COMPUTED_VALUE"""),"Fahad")</f>
        <v>Fahad</v>
      </c>
      <c r="O26" s="25" t="s">
        <v>32</v>
      </c>
      <c r="P26" s="25" t="s">
        <v>51</v>
      </c>
      <c r="Q26" s="24"/>
      <c r="R26" s="24"/>
      <c r="S26" s="24"/>
      <c r="T26" s="24"/>
      <c r="U26" s="24"/>
      <c r="V26" s="24"/>
      <c r="W26" s="24"/>
      <c r="X26" s="24"/>
      <c r="Y26" s="24"/>
      <c r="Z26" s="24"/>
      <c r="AA26" s="24"/>
    </row>
    <row r="27">
      <c r="A27" s="25" t="s">
        <v>52</v>
      </c>
      <c r="B27" s="26" t="str">
        <f>IFERROR(__xludf.DUMMYFUNCTION("""COMPUTED_VALUE"""),"OTP")</f>
        <v>OTP</v>
      </c>
      <c r="C27" s="26" t="str">
        <f>IFERROR(__xludf.DUMMYFUNCTION("""COMPUTED_VALUE"""),"OTP")</f>
        <v>OTP</v>
      </c>
      <c r="D27" s="26" t="str">
        <f>IFERROR(__xludf.DUMMYFUNCTION("""COMPUTED_VALUE"""),"No OTP page found when user register ")</f>
        <v>No OTP page found when user register </v>
      </c>
      <c r="E27" s="26" t="str">
        <f>IFERROR(__xludf.DUMMYFUNCTION("""COMPUTED_VALUE"""),"User should be in browser")</f>
        <v>User should be in browser</v>
      </c>
      <c r="F27" s="26" t="str">
        <f>IFERROR(__xludf.DUMMYFUNCTION("""COMPUTED_VALUE"""),"1. Goto Link
2. Fillout necessary data and click enter")</f>
        <v>1. Goto Link
2. Fillout necessary data and click enter</v>
      </c>
      <c r="G27" s="26" t="str">
        <f>IFERROR(__xludf.DUMMYFUNCTION("""COMPUTED_VALUE"""),"Email : tolom65588@roastic.com                
Password : 1234567890")</f>
        <v>Email : tolom65588@roastic.com                
Password : 1234567890</v>
      </c>
      <c r="H27" s="26" t="str">
        <f>IFERROR(__xludf.DUMMYFUNCTION("""COMPUTED_VALUE"""),"User need to validate their account by providing OTP which they should receive in the mail when they register")</f>
        <v>User need to validate their account by providing OTP which they should receive in the mail when they register</v>
      </c>
      <c r="I27" s="26" t="str">
        <f>IFERROR(__xludf.DUMMYFUNCTION("""COMPUTED_VALUE"""),"No OTP send to mail and no place to submit OTP")</f>
        <v>No OTP send to mail and no place to submit OTP</v>
      </c>
      <c r="J27" s="26" t="str">
        <f>IFERROR(__xludf.DUMMYFUNCTION("""COMPUTED_VALUE"""),"Fail")</f>
        <v>Fail</v>
      </c>
      <c r="K27" s="26" t="str">
        <f>IFERROR(__xludf.DUMMYFUNCTION("""COMPUTED_VALUE"""),"High")</f>
        <v>High</v>
      </c>
      <c r="L27" s="26"/>
      <c r="M27" s="26"/>
      <c r="N27" s="26" t="str">
        <f>IFERROR(__xludf.DUMMYFUNCTION("""COMPUTED_VALUE"""),"Fahad")</f>
        <v>Fahad</v>
      </c>
      <c r="O27" s="25" t="s">
        <v>32</v>
      </c>
      <c r="P27" s="26"/>
      <c r="Q27" s="24"/>
      <c r="R27" s="24"/>
      <c r="S27" s="24"/>
      <c r="T27" s="24"/>
      <c r="U27" s="24"/>
      <c r="V27" s="24"/>
      <c r="W27" s="24"/>
      <c r="X27" s="24"/>
      <c r="Y27" s="24"/>
      <c r="Z27" s="24"/>
      <c r="AA27" s="24"/>
    </row>
    <row r="28">
      <c r="A28" s="25" t="s">
        <v>53</v>
      </c>
      <c r="B28" s="26" t="str">
        <f>IFERROR(__xludf.DUMMYFUNCTION("""COMPUTED_VALUE"""),"OTP")</f>
        <v>OTP</v>
      </c>
      <c r="C28" s="26" t="str">
        <f>IFERROR(__xludf.DUMMYFUNCTION("""COMPUTED_VALUE"""),"OTP")</f>
        <v>OTP</v>
      </c>
      <c r="D28" s="26" t="str">
        <f>IFERROR(__xludf.DUMMYFUNCTION("""COMPUTED_VALUE"""),"OTP submit timeout is not implemented")</f>
        <v>OTP submit timeout is not implemented</v>
      </c>
      <c r="E28" s="26" t="str">
        <f>IFERROR(__xludf.DUMMYFUNCTION("""COMPUTED_VALUE"""),"User should be in browser")</f>
        <v>User should be in browser</v>
      </c>
      <c r="F28" s="26" t="str">
        <f>IFERROR(__xludf.DUMMYFUNCTION("""COMPUTED_VALUE"""),"1. Goto Link
2. Fillout necessary data and click enter")</f>
        <v>1. Goto Link
2. Fillout necessary data and click enter</v>
      </c>
      <c r="G28" s="26" t="str">
        <f>IFERROR(__xludf.DUMMYFUNCTION("""COMPUTED_VALUE"""),"Email : tolom65588@roastic.com                
Password : 1234567890")</f>
        <v>Email : tolom65588@roastic.com                
Password : 1234567890</v>
      </c>
      <c r="H28" s="26" t="str">
        <f>IFERROR(__xludf.DUMMYFUNCTION("""COMPUTED_VALUE"""),"When user receive OTP , a time limit should be integrated ")</f>
        <v>When user receive OTP , a time limit should be integrated </v>
      </c>
      <c r="I28" s="26" t="str">
        <f>IFERROR(__xludf.DUMMYFUNCTION("""COMPUTED_VALUE"""),"No time limit to submit OTP has integrated")</f>
        <v>No time limit to submit OTP has integrated</v>
      </c>
      <c r="J28" s="26" t="str">
        <f>IFERROR(__xludf.DUMMYFUNCTION("""COMPUTED_VALUE"""),"Fail")</f>
        <v>Fail</v>
      </c>
      <c r="K28" s="26" t="str">
        <f>IFERROR(__xludf.DUMMYFUNCTION("""COMPUTED_VALUE"""),"High")</f>
        <v>High</v>
      </c>
      <c r="L28" s="27" t="str">
        <f>IFERROR(__xludf.DUMMYFUNCTION("""COMPUTED_VALUE"""),"https://drive.google.com/file/d/1WEJmtG53BuRTlfue2ylB_Vd_K_AjMEXp/view?usp=drive_link")</f>
        <v>https://drive.google.com/file/d/1WEJmtG53BuRTlfue2ylB_Vd_K_AjMEXp/view?usp=drive_link</v>
      </c>
      <c r="M28" s="26"/>
      <c r="N28" s="26" t="str">
        <f>IFERROR(__xludf.DUMMYFUNCTION("""COMPUTED_VALUE"""),"Fahad")</f>
        <v>Fahad</v>
      </c>
      <c r="O28" s="25" t="s">
        <v>32</v>
      </c>
      <c r="P28" s="25" t="s">
        <v>48</v>
      </c>
      <c r="Q28" s="24"/>
      <c r="R28" s="24"/>
      <c r="S28" s="24"/>
      <c r="T28" s="24"/>
      <c r="U28" s="24"/>
      <c r="V28" s="24"/>
      <c r="W28" s="24"/>
      <c r="X28" s="24"/>
      <c r="Y28" s="24"/>
      <c r="Z28" s="24"/>
      <c r="AA28" s="24"/>
    </row>
    <row r="29">
      <c r="A29" s="25" t="s">
        <v>54</v>
      </c>
      <c r="B29" s="26" t="str">
        <f>IFERROR(__xludf.DUMMYFUNCTION("""COMPUTED_VALUE"""),"Register")</f>
        <v>Register</v>
      </c>
      <c r="C29" s="26" t="str">
        <f>IFERROR(__xludf.DUMMYFUNCTION("""COMPUTED_VALUE"""),"Register")</f>
        <v>Register</v>
      </c>
      <c r="D29" s="26" t="str">
        <f>IFERROR(__xludf.DUMMYFUNCTION("""COMPUTED_VALUE"""),"User can set symbolic character in their name when they register")</f>
        <v>User can set symbolic character in their name when they register</v>
      </c>
      <c r="E29" s="26" t="str">
        <f>IFERROR(__xludf.DUMMYFUNCTION("""COMPUTED_VALUE"""),"User should be in browser")</f>
        <v>User should be in browser</v>
      </c>
      <c r="F29" s="26" t="str">
        <f>IFERROR(__xludf.DUMMYFUNCTION("""COMPUTED_VALUE"""),"1. Goto Link")</f>
        <v>1. Goto Link</v>
      </c>
      <c r="G29" s="26" t="str">
        <f>IFERROR(__xludf.DUMMYFUNCTION("""COMPUTED_VALUE"""),"Email : tolom65588@roastic.com                
Password : 1234567890")</f>
        <v>Email : tolom65588@roastic.com                
Password : 1234567890</v>
      </c>
      <c r="H29" s="26" t="str">
        <f>IFERROR(__xludf.DUMMYFUNCTION("""COMPUTED_VALUE"""),"User name should only contain alphabetical characters not symbolic characters")</f>
        <v>User name should only contain alphabetical characters not symbolic characters</v>
      </c>
      <c r="I29" s="26" t="str">
        <f>IFERROR(__xludf.DUMMYFUNCTION("""COMPUTED_VALUE"""),"User can add symbolic characters")</f>
        <v>User can add symbolic characters</v>
      </c>
      <c r="J29" s="26" t="str">
        <f>IFERROR(__xludf.DUMMYFUNCTION("""COMPUTED_VALUE"""),"Fail")</f>
        <v>Fail</v>
      </c>
      <c r="K29" s="26" t="str">
        <f>IFERROR(__xludf.DUMMYFUNCTION("""COMPUTED_VALUE"""),"Medium")</f>
        <v>Medium</v>
      </c>
      <c r="L29" s="27" t="str">
        <f>IFERROR(__xludf.DUMMYFUNCTION("""COMPUTED_VALUE"""),"https://drive.google.com/drive/folders/1bY2wuEwm8DI5xbbYxBXRV8lb2JzwDPQE?usp=sharing")</f>
        <v>https://drive.google.com/drive/folders/1bY2wuEwm8DI5xbbYxBXRV8lb2JzwDPQE?usp=sharing</v>
      </c>
      <c r="M29" s="26"/>
      <c r="N29" s="26" t="str">
        <f>IFERROR(__xludf.DUMMYFUNCTION("""COMPUTED_VALUE"""),"Fahad")</f>
        <v>Fahad</v>
      </c>
      <c r="O29" s="26"/>
      <c r="P29" s="28" t="s">
        <v>55</v>
      </c>
      <c r="Q29" s="24"/>
      <c r="R29" s="24"/>
      <c r="S29" s="24"/>
      <c r="T29" s="24"/>
      <c r="U29" s="24"/>
      <c r="V29" s="24"/>
      <c r="W29" s="24"/>
      <c r="X29" s="24"/>
      <c r="Y29" s="24"/>
      <c r="Z29" s="24"/>
      <c r="AA29" s="24"/>
    </row>
    <row r="30">
      <c r="A30" s="25" t="s">
        <v>56</v>
      </c>
      <c r="B30" s="26" t="str">
        <f>IFERROR(__xludf.DUMMYFUNCTION("""COMPUTED_VALUE"""),"Register")</f>
        <v>Register</v>
      </c>
      <c r="C30" s="26" t="str">
        <f>IFERROR(__xludf.DUMMYFUNCTION("""COMPUTED_VALUE"""),"Register")</f>
        <v>Register</v>
      </c>
      <c r="D30" s="26" t="str">
        <f>IFERROR(__xludf.DUMMYFUNCTION("""COMPUTED_VALUE"""),"Strong password generator failed")</f>
        <v>Strong password generator failed</v>
      </c>
      <c r="E30" s="26" t="str">
        <f>IFERROR(__xludf.DUMMYFUNCTION("""COMPUTED_VALUE"""),"User should be in browser")</f>
        <v>User should be in browser</v>
      </c>
      <c r="F30" s="26" t="str">
        <f>IFERROR(__xludf.DUMMYFUNCTION("""COMPUTED_VALUE"""),"1. Goto Link
2. Fillout necessary data and click enter")</f>
        <v>1. Goto Link
2. Fillout necessary data and click enter</v>
      </c>
      <c r="G30" s="26" t="str">
        <f>IFERROR(__xludf.DUMMYFUNCTION("""COMPUTED_VALUE"""),"Email : tolom65588@roastic.com                
Password : 1234567890")</f>
        <v>Email : tolom65588@roastic.com                
Password : 1234567890</v>
      </c>
      <c r="H30" s="26" t="str">
        <f>IFERROR(__xludf.DUMMYFUNCTION("""COMPUTED_VALUE"""),"User need to follow rules to generate password which can not get bypass by other unauthorize user")</f>
        <v>User need to follow rules to generate password which can not get bypass by other unauthorize user</v>
      </c>
      <c r="I30" s="26" t="str">
        <f>IFERROR(__xludf.DUMMYFUNCTION("""COMPUTED_VALUE"""),"Only numeric / alphabe character is enough to register")</f>
        <v>Only numeric / alphabe character is enough to register</v>
      </c>
      <c r="J30" s="26" t="str">
        <f>IFERROR(__xludf.DUMMYFUNCTION("""COMPUTED_VALUE"""),"Fail")</f>
        <v>Fail</v>
      </c>
      <c r="K30" s="26" t="str">
        <f>IFERROR(__xludf.DUMMYFUNCTION("""COMPUTED_VALUE"""),"High")</f>
        <v>High</v>
      </c>
      <c r="L30" s="27" t="str">
        <f>IFERROR(__xludf.DUMMYFUNCTION("""COMPUTED_VALUE"""),"https://drive.google.com/file/d/104l09N5YRNDyg2nbdb40ElbLyWDpVCwb/view?usp=drive_link")</f>
        <v>https://drive.google.com/file/d/104l09N5YRNDyg2nbdb40ElbLyWDpVCwb/view?usp=drive_link</v>
      </c>
      <c r="M30" s="26" t="str">
        <f>IFERROR(__xludf.DUMMYFUNCTION("""COMPUTED_VALUE"""),"Use Strong Passwords | CISA")</f>
        <v>Use Strong Passwords | CISA</v>
      </c>
      <c r="N30" s="26" t="str">
        <f>IFERROR(__xludf.DUMMYFUNCTION("""COMPUTED_VALUE"""),"Fahad")</f>
        <v>Fahad</v>
      </c>
      <c r="O30" s="25" t="s">
        <v>32</v>
      </c>
      <c r="P30" s="25" t="s">
        <v>48</v>
      </c>
      <c r="Q30" s="24"/>
      <c r="R30" s="24"/>
      <c r="S30" s="24"/>
      <c r="T30" s="24"/>
      <c r="U30" s="24"/>
      <c r="V30" s="24"/>
      <c r="W30" s="24"/>
      <c r="X30" s="24"/>
      <c r="Y30" s="24"/>
      <c r="Z30" s="24"/>
      <c r="AA30" s="24"/>
    </row>
    <row r="31">
      <c r="A31" s="25" t="s">
        <v>57</v>
      </c>
      <c r="B31" s="26" t="str">
        <f>IFERROR(__xludf.DUMMYFUNCTION("""COMPUTED_VALUE"""),"VA Form")</f>
        <v>VA Form</v>
      </c>
      <c r="C31" s="26" t="str">
        <f>IFERROR(__xludf.DUMMYFUNCTION("""COMPUTED_VALUE"""),"VA Form")</f>
        <v>VA Form</v>
      </c>
      <c r="D31" s="26" t="str">
        <f>IFERROR(__xludf.DUMMYFUNCTION("""COMPUTED_VALUE"""),"Input box fill color")</f>
        <v>Input box fill color</v>
      </c>
      <c r="E31" s="26" t="str">
        <f>IFERROR(__xludf.DUMMYFUNCTION("""COMPUTED_VALUE"""),"User should be in browser")</f>
        <v>User should be in browser</v>
      </c>
      <c r="F31" s="26" t="str">
        <f>IFERROR(__xludf.DUMMYFUNCTION("""COMPUTED_VALUE"""),"1. Goto Link
2. Login using valid credentials
3. buy plan and click on claim now")</f>
        <v>1. Goto Link
2. Login using valid credentials
3. buy plan and click on claim now</v>
      </c>
      <c r="G31" s="26" t="str">
        <f>IFERROR(__xludf.DUMMYFUNCTION("""COMPUTED_VALUE"""),"Email : tolom65588@roastic.com                
Password : 123456789")</f>
        <v>Email : tolom65588@roastic.com                
Password : 123456789</v>
      </c>
      <c r="H31" s="26" t="str">
        <f>IFERROR(__xludf.DUMMYFUNCTION("""COMPUTED_VALUE"""),"Input box should be all same and not use in different color")</f>
        <v>Input box should be all same and not use in different color</v>
      </c>
      <c r="I31" s="26" t="str">
        <f>IFERROR(__xludf.DUMMYFUNCTION("""COMPUTED_VALUE"""),"Different color is used in inpu field which is not pleaseable to user")</f>
        <v>Different color is used in inpu field which is not pleaseable to user</v>
      </c>
      <c r="J31" s="26" t="str">
        <f>IFERROR(__xludf.DUMMYFUNCTION("""COMPUTED_VALUE"""),"Fail")</f>
        <v>Fail</v>
      </c>
      <c r="K31" s="26" t="str">
        <f>IFERROR(__xludf.DUMMYFUNCTION("""COMPUTED_VALUE"""),"Medium")</f>
        <v>Medium</v>
      </c>
      <c r="L31" s="27" t="str">
        <f>IFERROR(__xludf.DUMMYFUNCTION("""COMPUTED_VALUE"""),"https://drive.google.com/file/d/1rSCapT0_wyhR1qpPsq6vrcmO6ygnxurz/view?usp=drive_link")</f>
        <v>https://drive.google.com/file/d/1rSCapT0_wyhR1qpPsq6vrcmO6ygnxurz/view?usp=drive_link</v>
      </c>
      <c r="M31" s="26"/>
      <c r="N31" s="26" t="str">
        <f>IFERROR(__xludf.DUMMYFUNCTION("""COMPUTED_VALUE"""),"Fahad")</f>
        <v>Fahad</v>
      </c>
      <c r="O31" s="25" t="s">
        <v>32</v>
      </c>
      <c r="P31" s="25" t="s">
        <v>58</v>
      </c>
      <c r="Q31" s="24"/>
      <c r="R31" s="24"/>
      <c r="S31" s="24"/>
      <c r="T31" s="24"/>
      <c r="U31" s="24"/>
      <c r="V31" s="24"/>
      <c r="W31" s="24"/>
      <c r="X31" s="24"/>
      <c r="Y31" s="24"/>
      <c r="Z31" s="24"/>
      <c r="AA31" s="24"/>
    </row>
    <row r="32">
      <c r="A32" s="25" t="s">
        <v>59</v>
      </c>
      <c r="B32" s="26" t="str">
        <f>IFERROR(__xludf.DUMMYFUNCTION("""COMPUTED_VALUE"""),"VA Form")</f>
        <v>VA Form</v>
      </c>
      <c r="C32" s="26" t="str">
        <f>IFERROR(__xludf.DUMMYFUNCTION("""COMPUTED_VALUE"""),"VA Form")</f>
        <v>VA Form</v>
      </c>
      <c r="D32" s="26" t="str">
        <f>IFERROR(__xludf.DUMMYFUNCTION("""COMPUTED_VALUE"""),"Voice still tolds to select permanent or temporary address")</f>
        <v>Voice still tolds to select permanent or temporary address</v>
      </c>
      <c r="E32" s="26" t="str">
        <f>IFERROR(__xludf.DUMMYFUNCTION("""COMPUTED_VALUE"""),"User should be in browser")</f>
        <v>User should be in browser</v>
      </c>
      <c r="F32" s="26" t="str">
        <f>IFERROR(__xludf.DUMMYFUNCTION("""COMPUTED_VALUE"""),"1. Goto Link
2. Login using valid credentials
3. buy plan and click on claim now")</f>
        <v>1. Goto Link
2. Login using valid credentials
3. buy plan and click on claim now</v>
      </c>
      <c r="G32" s="26" t="str">
        <f>IFERROR(__xludf.DUMMYFUNCTION("""COMPUTED_VALUE"""),"Email : tolom65588@roastic.com                
Password : 123456789")</f>
        <v>Email : tolom65588@roastic.com                
Password : 123456789</v>
      </c>
      <c r="H32" s="26" t="str">
        <f>IFERROR(__xludf.DUMMYFUNCTION("""COMPUTED_VALUE"""),"Voice should only narrate the topic exists on page")</f>
        <v>Voice should only narrate the topic exists on page</v>
      </c>
      <c r="I32" s="26" t="str">
        <f>IFERROR(__xludf.DUMMYFUNCTION("""COMPUTED_VALUE"""),"Old voice remains in this page")</f>
        <v>Old voice remains in this page</v>
      </c>
      <c r="J32" s="26" t="str">
        <f>IFERROR(__xludf.DUMMYFUNCTION("""COMPUTED_VALUE"""),"Fail")</f>
        <v>Fail</v>
      </c>
      <c r="K32" s="26" t="str">
        <f>IFERROR(__xludf.DUMMYFUNCTION("""COMPUTED_VALUE"""),"Low")</f>
        <v>Low</v>
      </c>
      <c r="L32" s="27" t="str">
        <f>IFERROR(__xludf.DUMMYFUNCTION("""COMPUTED_VALUE"""),"https://drive.google.com/file/d/1_C1uG-VtDB_jCDCmTUJ8rFbfvSS7L2Rs/view?usp=drive_link")</f>
        <v>https://drive.google.com/file/d/1_C1uG-VtDB_jCDCmTUJ8rFbfvSS7L2Rs/view?usp=drive_link</v>
      </c>
      <c r="M32" s="26"/>
      <c r="N32" s="26" t="str">
        <f>IFERROR(__xludf.DUMMYFUNCTION("""COMPUTED_VALUE"""),"Fahad")</f>
        <v>Fahad</v>
      </c>
      <c r="O32" s="25" t="s">
        <v>32</v>
      </c>
      <c r="P32" s="25" t="s">
        <v>60</v>
      </c>
      <c r="Q32" s="24"/>
      <c r="R32" s="24"/>
      <c r="S32" s="24"/>
      <c r="T32" s="24"/>
      <c r="U32" s="24"/>
      <c r="V32" s="24"/>
      <c r="W32" s="24"/>
      <c r="X32" s="24"/>
      <c r="Y32" s="24"/>
      <c r="Z32" s="24"/>
      <c r="AA32" s="24"/>
    </row>
    <row r="33">
      <c r="A33" s="25" t="s">
        <v>61</v>
      </c>
      <c r="B33" s="26" t="str">
        <f>IFERROR(__xludf.DUMMYFUNCTION("""COMPUTED_VALUE"""),"VA Form")</f>
        <v>VA Form</v>
      </c>
      <c r="C33" s="26" t="str">
        <f>IFERROR(__xludf.DUMMYFUNCTION("""COMPUTED_VALUE"""),"VA Form")</f>
        <v>VA Form</v>
      </c>
      <c r="D33" s="26" t="str">
        <f>IFERROR(__xludf.DUMMYFUNCTION("""COMPUTED_VALUE"""),"Country always set as US")</f>
        <v>Country always set as US</v>
      </c>
      <c r="E33" s="26" t="str">
        <f>IFERROR(__xludf.DUMMYFUNCTION("""COMPUTED_VALUE"""),"User should be in browser")</f>
        <v>User should be in browser</v>
      </c>
      <c r="F33" s="26" t="str">
        <f>IFERROR(__xludf.DUMMYFUNCTION("""COMPUTED_VALUE"""),"1. Goto Link
2. Login using valid credentials
3. buy plan and click on claim now")</f>
        <v>1. Goto Link
2. Login using valid credentials
3. buy plan and click on claim now</v>
      </c>
      <c r="G33" s="26" t="str">
        <f>IFERROR(__xludf.DUMMYFUNCTION("""COMPUTED_VALUE"""),"Email : tolom65588@roastic.com                
Password : 123456789")</f>
        <v>Email : tolom65588@roastic.com                
Password : 123456789</v>
      </c>
      <c r="H33" s="26" t="str">
        <f>IFERROR(__xludf.DUMMYFUNCTION("""COMPUTED_VALUE"""),"Coutry should be taken input from user")</f>
        <v>Coutry should be taken input from user</v>
      </c>
      <c r="I33" s="26" t="str">
        <f>IFERROR(__xludf.DUMMYFUNCTION("""COMPUTED_VALUE"""),"it is best pracice to let user input")</f>
        <v>it is best pracice to let user input</v>
      </c>
      <c r="J33" s="26" t="str">
        <f>IFERROR(__xludf.DUMMYFUNCTION("""COMPUTED_VALUE"""),"Fail")</f>
        <v>Fail</v>
      </c>
      <c r="K33" s="26" t="str">
        <f>IFERROR(__xludf.DUMMYFUNCTION("""COMPUTED_VALUE"""),"Low")</f>
        <v>Low</v>
      </c>
      <c r="L33" s="26"/>
      <c r="M33" s="26"/>
      <c r="N33" s="26" t="str">
        <f>IFERROR(__xludf.DUMMYFUNCTION("""COMPUTED_VALUE"""),"Fahad")</f>
        <v>Fahad</v>
      </c>
      <c r="O33" s="25" t="s">
        <v>32</v>
      </c>
      <c r="P33" s="25" t="s">
        <v>62</v>
      </c>
      <c r="Q33" s="24"/>
      <c r="R33" s="24"/>
      <c r="S33" s="24"/>
      <c r="T33" s="24"/>
      <c r="U33" s="24"/>
      <c r="V33" s="24"/>
      <c r="W33" s="24"/>
      <c r="X33" s="24"/>
      <c r="Y33" s="24"/>
      <c r="Z33" s="24"/>
      <c r="AA33" s="24"/>
    </row>
    <row r="34">
      <c r="A34" s="25" t="s">
        <v>63</v>
      </c>
      <c r="B34" s="26" t="str">
        <f>IFERROR(__xludf.DUMMYFUNCTION("""COMPUTED_VALUE"""),"VA Form")</f>
        <v>VA Form</v>
      </c>
      <c r="C34" s="26" t="str">
        <f>IFERROR(__xludf.DUMMYFUNCTION("""COMPUTED_VALUE"""),"VA Form")</f>
        <v>VA Form</v>
      </c>
      <c r="D34" s="26" t="str">
        <f>IFERROR(__xludf.DUMMYFUNCTION("""COMPUTED_VALUE"""),"Same question asked in different page")</f>
        <v>Same question asked in different page</v>
      </c>
      <c r="E34" s="26" t="str">
        <f>IFERROR(__xludf.DUMMYFUNCTION("""COMPUTED_VALUE"""),"User should be in browser")</f>
        <v>User should be in browser</v>
      </c>
      <c r="F34" s="26" t="str">
        <f>IFERROR(__xludf.DUMMYFUNCTION("""COMPUTED_VALUE"""),"1. Goto Link
2. Login using valid credentials
3. buy plan and click on claim now")</f>
        <v>1. Goto Link
2. Login using valid credentials
3. buy plan and click on claim now</v>
      </c>
      <c r="G34" s="26" t="str">
        <f>IFERROR(__xludf.DUMMYFUNCTION("""COMPUTED_VALUE"""),"Email : tolom65588@roastic.com                
Password : 123456789")</f>
        <v>Email : tolom65588@roastic.com                
Password : 123456789</v>
      </c>
      <c r="H34" s="26" t="str">
        <f>IFERROR(__xludf.DUMMYFUNCTION("""COMPUTED_VALUE"""),"Repeated question should not be asked in different page")</f>
        <v>Repeated question should not be asked in different page</v>
      </c>
      <c r="I34" s="26" t="str">
        <f>IFERROR(__xludf.DUMMYFUNCTION("""COMPUTED_VALUE"""),"repeated questions in asked in different pages")</f>
        <v>repeated questions in asked in different pages</v>
      </c>
      <c r="J34" s="26" t="str">
        <f>IFERROR(__xludf.DUMMYFUNCTION("""COMPUTED_VALUE"""),"Fail")</f>
        <v>Fail</v>
      </c>
      <c r="K34" s="26" t="str">
        <f>IFERROR(__xludf.DUMMYFUNCTION("""COMPUTED_VALUE"""),"Medium")</f>
        <v>Medium</v>
      </c>
      <c r="L34" s="27" t="str">
        <f>IFERROR(__xludf.DUMMYFUNCTION("""COMPUTED_VALUE"""),"https://drive.google.com/file/d/1PVq3J7jrNLw54ZnHiqhjWjOzHidJCOaG/view?usp=drive_link")</f>
        <v>https://drive.google.com/file/d/1PVq3J7jrNLw54ZnHiqhjWjOzHidJCOaG/view?usp=drive_link</v>
      </c>
      <c r="M34" s="26"/>
      <c r="N34" s="26" t="str">
        <f>IFERROR(__xludf.DUMMYFUNCTION("""COMPUTED_VALUE"""),"Fahad")</f>
        <v>Fahad</v>
      </c>
      <c r="O34" s="26"/>
      <c r="P34" s="28" t="s">
        <v>55</v>
      </c>
      <c r="Q34" s="24"/>
      <c r="R34" s="24"/>
      <c r="S34" s="24"/>
      <c r="T34" s="24"/>
      <c r="U34" s="24"/>
      <c r="V34" s="24"/>
      <c r="W34" s="24"/>
      <c r="X34" s="24"/>
      <c r="Y34" s="24"/>
      <c r="Z34" s="24"/>
      <c r="AA34" s="24"/>
    </row>
    <row r="35">
      <c r="A35" s="25" t="s">
        <v>64</v>
      </c>
      <c r="B35" s="26" t="str">
        <f>IFERROR(__xludf.DUMMYFUNCTION("""COMPUTED_VALUE"""),"VA Form")</f>
        <v>VA Form</v>
      </c>
      <c r="C35" s="26" t="str">
        <f>IFERROR(__xludf.DUMMYFUNCTION("""COMPUTED_VALUE"""),"VA Form")</f>
        <v>VA Form</v>
      </c>
      <c r="D35" s="26" t="str">
        <f>IFERROR(__xludf.DUMMYFUNCTION("""COMPUTED_VALUE"""),"Prison war data takes 2 different date in pdf but in frontend it takes only 1 input")</f>
        <v>Prison war data takes 2 different date in pdf but in frontend it takes only 1 input</v>
      </c>
      <c r="E35" s="26" t="str">
        <f>IFERROR(__xludf.DUMMYFUNCTION("""COMPUTED_VALUE"""),"User should be in browser")</f>
        <v>User should be in browser</v>
      </c>
      <c r="F35" s="26" t="str">
        <f>IFERROR(__xludf.DUMMYFUNCTION("""COMPUTED_VALUE"""),"1. Goto Link
2. Login using valid credentials
3. buy plan and click on claim now")</f>
        <v>1. Goto Link
2. Login using valid credentials
3. buy plan and click on claim now</v>
      </c>
      <c r="G35" s="26" t="str">
        <f>IFERROR(__xludf.DUMMYFUNCTION("""COMPUTED_VALUE"""),"Email : tolom65588@roastic.com                
Password : 123456789")</f>
        <v>Email : tolom65588@roastic.com                
Password : 123456789</v>
      </c>
      <c r="H35" s="26" t="str">
        <f>IFERROR(__xludf.DUMMYFUNCTION("""COMPUTED_VALUE"""),"Should be took accurate data in frontend which should placed perfectly in pdf")</f>
        <v>Should be took accurate data in frontend which should placed perfectly in pdf</v>
      </c>
      <c r="I35" s="26" t="str">
        <f>IFERROR(__xludf.DUMMYFUNCTION("""COMPUTED_VALUE"""),"only take one confinement date range in frontend but pdf can store 2 date")</f>
        <v>only take one confinement date range in frontend but pdf can store 2 date</v>
      </c>
      <c r="J35" s="26" t="str">
        <f>IFERROR(__xludf.DUMMYFUNCTION("""COMPUTED_VALUE"""),"Fail")</f>
        <v>Fail</v>
      </c>
      <c r="K35" s="26" t="str">
        <f>IFERROR(__xludf.DUMMYFUNCTION("""COMPUTED_VALUE"""),"High")</f>
        <v>High</v>
      </c>
      <c r="L35" s="27" t="str">
        <f>IFERROR(__xludf.DUMMYFUNCTION("""COMPUTED_VALUE"""),"https://drive.google.com/file/d/1q70SiB9PWG3WMT8cl0GWGdR8_Xpg5iBR/view?usp=drive_link")</f>
        <v>https://drive.google.com/file/d/1q70SiB9PWG3WMT8cl0GWGdR8_Xpg5iBR/view?usp=drive_link</v>
      </c>
      <c r="M35" s="26"/>
      <c r="N35" s="26" t="str">
        <f>IFERROR(__xludf.DUMMYFUNCTION("""COMPUTED_VALUE"""),"Fahad")</f>
        <v>Fahad</v>
      </c>
      <c r="O35" s="25" t="s">
        <v>32</v>
      </c>
      <c r="P35" s="26"/>
      <c r="Q35" s="24"/>
      <c r="R35" s="24"/>
      <c r="S35" s="24"/>
      <c r="T35" s="24"/>
      <c r="U35" s="24"/>
      <c r="V35" s="24"/>
      <c r="W35" s="24"/>
      <c r="X35" s="24"/>
      <c r="Y35" s="24"/>
      <c r="Z35" s="24"/>
      <c r="AA35" s="24"/>
    </row>
    <row r="36">
      <c r="A36" s="25" t="s">
        <v>65</v>
      </c>
      <c r="B36" s="26" t="str">
        <f>IFERROR(__xludf.DUMMYFUNCTION("""COMPUTED_VALUE"""),"VA Form")</f>
        <v>VA Form</v>
      </c>
      <c r="C36" s="26" t="str">
        <f>IFERROR(__xludf.DUMMYFUNCTION("""COMPUTED_VALUE"""),"VA Form")</f>
        <v>VA Form</v>
      </c>
      <c r="D36" s="26" t="str">
        <f>IFERROR(__xludf.DUMMYFUNCTION("""COMPUTED_VALUE"""),"Voice is not updated")</f>
        <v>Voice is not updated</v>
      </c>
      <c r="E36" s="26" t="str">
        <f>IFERROR(__xludf.DUMMYFUNCTION("""COMPUTED_VALUE"""),"User should be in browser")</f>
        <v>User should be in browser</v>
      </c>
      <c r="F36" s="26" t="str">
        <f>IFERROR(__xludf.DUMMYFUNCTION("""COMPUTED_VALUE"""),"1. Goto Link
2. Login using valid credentials
3. buy plan and click on claim now")</f>
        <v>1. Goto Link
2. Login using valid credentials
3. buy plan and click on claim now</v>
      </c>
      <c r="G36" s="26" t="str">
        <f>IFERROR(__xludf.DUMMYFUNCTION("""COMPUTED_VALUE"""),"Email : tolom65588@roastic.com                
Password : 123456789")</f>
        <v>Email : tolom65588@roastic.com                
Password : 123456789</v>
      </c>
      <c r="H36" s="26" t="str">
        <f>IFERROR(__xludf.DUMMYFUNCTION("""COMPUTED_VALUE"""),"voice should be updated")</f>
        <v>voice should be updated</v>
      </c>
      <c r="I36" s="26" t="str">
        <f>IFERROR(__xludf.DUMMYFUNCTION("""COMPUTED_VALUE"""),"old voice remains")</f>
        <v>old voice remains</v>
      </c>
      <c r="J36" s="26" t="str">
        <f>IFERROR(__xludf.DUMMYFUNCTION("""COMPUTED_VALUE"""),"Fail")</f>
        <v>Fail</v>
      </c>
      <c r="K36" s="26" t="str">
        <f>IFERROR(__xludf.DUMMYFUNCTION("""COMPUTED_VALUE"""),"Medium")</f>
        <v>Medium</v>
      </c>
      <c r="L36" s="27" t="str">
        <f>IFERROR(__xludf.DUMMYFUNCTION("""COMPUTED_VALUE"""),"https://drive.google.com/file/d/1IQAwQTR2_961GDEivDxIHXjVUpqUsv7e/view?usp=drive_link")</f>
        <v>https://drive.google.com/file/d/1IQAwQTR2_961GDEivDxIHXjVUpqUsv7e/view?usp=drive_link</v>
      </c>
      <c r="M36" s="26"/>
      <c r="N36" s="26" t="str">
        <f>IFERROR(__xludf.DUMMYFUNCTION("""COMPUTED_VALUE"""),"Fahad")</f>
        <v>Fahad</v>
      </c>
      <c r="O36" s="25" t="s">
        <v>32</v>
      </c>
      <c r="P36" s="25" t="s">
        <v>66</v>
      </c>
      <c r="Q36" s="24"/>
      <c r="R36" s="24"/>
      <c r="S36" s="24"/>
      <c r="T36" s="24"/>
      <c r="U36" s="24"/>
      <c r="V36" s="24"/>
      <c r="W36" s="24"/>
      <c r="X36" s="24"/>
      <c r="Y36" s="24"/>
      <c r="Z36" s="24"/>
      <c r="AA36" s="24"/>
    </row>
    <row r="37">
      <c r="A37" s="25" t="s">
        <v>67</v>
      </c>
      <c r="B37" s="26" t="str">
        <f>IFERROR(__xludf.DUMMYFUNCTION("""COMPUTED_VALUE"""),"VA Form")</f>
        <v>VA Form</v>
      </c>
      <c r="C37" s="26" t="str">
        <f>IFERROR(__xludf.DUMMYFUNCTION("""COMPUTED_VALUE"""),"VA Form")</f>
        <v>VA Form</v>
      </c>
      <c r="D37" s="26" t="str">
        <f>IFERROR(__xludf.DUMMYFUNCTION("""COMPUTED_VALUE"""),"Voice is repeating after complete")</f>
        <v>Voice is repeating after complete</v>
      </c>
      <c r="E37" s="26" t="str">
        <f>IFERROR(__xludf.DUMMYFUNCTION("""COMPUTED_VALUE"""),"User should be in browser")</f>
        <v>User should be in browser</v>
      </c>
      <c r="F37" s="26" t="str">
        <f>IFERROR(__xludf.DUMMYFUNCTION("""COMPUTED_VALUE"""),"1. Goto Link
2. Login using valid credentials
3. buy plan and click on claim now")</f>
        <v>1. Goto Link
2. Login using valid credentials
3. buy plan and click on claim now</v>
      </c>
      <c r="G37" s="26" t="str">
        <f>IFERROR(__xludf.DUMMYFUNCTION("""COMPUTED_VALUE"""),"Email : tolom65588@roastic.com                
Password : 123456789")</f>
        <v>Email : tolom65588@roastic.com                
Password : 123456789</v>
      </c>
      <c r="H37" s="26" t="str">
        <f>IFERROR(__xludf.DUMMYFUNCTION("""COMPUTED_VALUE"""),"Voice should be turn off after it completes")</f>
        <v>Voice should be turn off after it completes</v>
      </c>
      <c r="I37" s="26" t="str">
        <f>IFERROR(__xludf.DUMMYFUNCTION("""COMPUTED_VALUE"""),"repeating ")</f>
        <v>repeating </v>
      </c>
      <c r="J37" s="26" t="str">
        <f>IFERROR(__xludf.DUMMYFUNCTION("""COMPUTED_VALUE"""),"Fail")</f>
        <v>Fail</v>
      </c>
      <c r="K37" s="26" t="str">
        <f>IFERROR(__xludf.DUMMYFUNCTION("""COMPUTED_VALUE"""),"Medium")</f>
        <v>Medium</v>
      </c>
      <c r="L37" s="27" t="str">
        <f>IFERROR(__xludf.DUMMYFUNCTION("""COMPUTED_VALUE"""),"https://drive.google.com/file/d/1IQAwQTR2_961GDEivDxIHXjVUpqUsv7e/view?usp=drive_link")</f>
        <v>https://drive.google.com/file/d/1IQAwQTR2_961GDEivDxIHXjVUpqUsv7e/view?usp=drive_link</v>
      </c>
      <c r="M37" s="26"/>
      <c r="N37" s="26" t="str">
        <f>IFERROR(__xludf.DUMMYFUNCTION("""COMPUTED_VALUE"""),"Fahad")</f>
        <v>Fahad</v>
      </c>
      <c r="O37" s="25" t="s">
        <v>32</v>
      </c>
      <c r="P37" s="25" t="s">
        <v>48</v>
      </c>
      <c r="Q37" s="24"/>
      <c r="R37" s="24"/>
      <c r="S37" s="24"/>
      <c r="T37" s="24"/>
      <c r="U37" s="24"/>
      <c r="V37" s="24"/>
      <c r="W37" s="24"/>
      <c r="X37" s="24"/>
      <c r="Y37" s="24"/>
      <c r="Z37" s="24"/>
      <c r="AA37" s="24"/>
    </row>
    <row r="38">
      <c r="A38" s="25" t="s">
        <v>68</v>
      </c>
      <c r="B38" s="26" t="str">
        <f>IFERROR(__xludf.DUMMYFUNCTION("""COMPUTED_VALUE"""),"VA Form")</f>
        <v>VA Form</v>
      </c>
      <c r="C38" s="26" t="str">
        <f>IFERROR(__xludf.DUMMYFUNCTION("""COMPUTED_VALUE"""),"VA Form")</f>
        <v>VA Form</v>
      </c>
      <c r="D38" s="26" t="str">
        <f>IFERROR(__xludf.DUMMYFUNCTION("""COMPUTED_VALUE"""),"client request to add another option name ""combat""")</f>
        <v>client request to add another option name "combat"</v>
      </c>
      <c r="E38" s="26" t="str">
        <f>IFERROR(__xludf.DUMMYFUNCTION("""COMPUTED_VALUE"""),"User should be in browser")</f>
        <v>User should be in browser</v>
      </c>
      <c r="F38" s="26" t="str">
        <f>IFERROR(__xludf.DUMMYFUNCTION("""COMPUTED_VALUE"""),"1. Goto Link
2. Login using valid credentials
3. buy plan and click on claim now")</f>
        <v>1. Goto Link
2. Login using valid credentials
3. buy plan and click on claim now</v>
      </c>
      <c r="G38" s="26" t="str">
        <f>IFERROR(__xludf.DUMMYFUNCTION("""COMPUTED_VALUE"""),"Email : tolom65588@roastic.com                
Password : 123456789")</f>
        <v>Email : tolom65588@roastic.com                
Password : 123456789</v>
      </c>
      <c r="H38" s="26" t="str">
        <f>IFERROR(__xludf.DUMMYFUNCTION("""COMPUTED_VALUE"""),"""combat "" option should be placed which was requested by client")</f>
        <v>"combat " option should be placed which was requested by client</v>
      </c>
      <c r="I38" s="26" t="str">
        <f>IFERROR(__xludf.DUMMYFUNCTION("""COMPUTED_VALUE"""),"option is not in the dropdown menu")</f>
        <v>option is not in the dropdown menu</v>
      </c>
      <c r="J38" s="26" t="str">
        <f>IFERROR(__xludf.DUMMYFUNCTION("""COMPUTED_VALUE"""),"Fail")</f>
        <v>Fail</v>
      </c>
      <c r="K38" s="26" t="str">
        <f>IFERROR(__xludf.DUMMYFUNCTION("""COMPUTED_VALUE"""),"High")</f>
        <v>High</v>
      </c>
      <c r="L38" s="27" t="str">
        <f>IFERROR(__xludf.DUMMYFUNCTION("""COMPUTED_VALUE"""),"https://drive.google.com/file/d/1MBsJR6f9RfE2g98xXDJm251txPJF1123/view?usp=drive_link")</f>
        <v>https://drive.google.com/file/d/1MBsJR6f9RfE2g98xXDJm251txPJF1123/view?usp=drive_link</v>
      </c>
      <c r="M38" s="26"/>
      <c r="N38" s="26" t="str">
        <f>IFERROR(__xludf.DUMMYFUNCTION("""COMPUTED_VALUE"""),"Fahad")</f>
        <v>Fahad</v>
      </c>
      <c r="O38" s="26"/>
      <c r="P38" s="28" t="s">
        <v>55</v>
      </c>
      <c r="Q38" s="24"/>
      <c r="R38" s="24"/>
      <c r="S38" s="24"/>
      <c r="T38" s="24"/>
      <c r="U38" s="24"/>
      <c r="V38" s="24"/>
      <c r="W38" s="24"/>
      <c r="X38" s="24"/>
      <c r="Y38" s="24"/>
      <c r="Z38" s="24"/>
      <c r="AA38" s="24"/>
    </row>
    <row r="39">
      <c r="A39" s="25" t="s">
        <v>69</v>
      </c>
      <c r="B39" s="26" t="str">
        <f>IFERROR(__xludf.DUMMYFUNCTION("""COMPUTED_VALUE"""),"VA Form")</f>
        <v>VA Form</v>
      </c>
      <c r="C39" s="26" t="str">
        <f>IFERROR(__xludf.DUMMYFUNCTION("""COMPUTED_VALUE"""),"VA Form")</f>
        <v>VA Form</v>
      </c>
      <c r="D39" s="26" t="str">
        <f>IFERROR(__xludf.DUMMYFUNCTION("""COMPUTED_VALUE"""),"option set by default")</f>
        <v>option set by default</v>
      </c>
      <c r="E39" s="26" t="str">
        <f>IFERROR(__xludf.DUMMYFUNCTION("""COMPUTED_VALUE"""),"User should be in browser")</f>
        <v>User should be in browser</v>
      </c>
      <c r="F39" s="26" t="str">
        <f>IFERROR(__xludf.DUMMYFUNCTION("""COMPUTED_VALUE"""),"1. Goto Link
2. Login using valid credentials
3. buy plan and click on claim now")</f>
        <v>1. Goto Link
2. Login using valid credentials
3. buy plan and click on claim now</v>
      </c>
      <c r="G39" s="26" t="str">
        <f>IFERROR(__xludf.DUMMYFUNCTION("""COMPUTED_VALUE"""),"Email : tolom65588@roastic.com                
Password : 123456789")</f>
        <v>Email : tolom65588@roastic.com                
Password : 123456789</v>
      </c>
      <c r="H39" s="26" t="str">
        <f>IFERROR(__xludf.DUMMYFUNCTION("""COMPUTED_VALUE"""),"no option should be set bydefault")</f>
        <v>no option should be set bydefault</v>
      </c>
      <c r="I39" s="26" t="str">
        <f>IFERROR(__xludf.DUMMYFUNCTION("""COMPUTED_VALUE"""),"divorce is set by default")</f>
        <v>divorce is set by default</v>
      </c>
      <c r="J39" s="26" t="str">
        <f>IFERROR(__xludf.DUMMYFUNCTION("""COMPUTED_VALUE"""),"Fail")</f>
        <v>Fail</v>
      </c>
      <c r="K39" s="26" t="str">
        <f>IFERROR(__xludf.DUMMYFUNCTION("""COMPUTED_VALUE"""),"Medium")</f>
        <v>Medium</v>
      </c>
      <c r="L39" s="27" t="str">
        <f>IFERROR(__xludf.DUMMYFUNCTION("""COMPUTED_VALUE"""),"https://drive.google.com/file/d/18vdTilU5R3B01Ha5VQHnp8wtDVicsFut/view?usp=drive_link")</f>
        <v>https://drive.google.com/file/d/18vdTilU5R3B01Ha5VQHnp8wtDVicsFut/view?usp=drive_link</v>
      </c>
      <c r="M39" s="26"/>
      <c r="N39" s="26" t="str">
        <f>IFERROR(__xludf.DUMMYFUNCTION("""COMPUTED_VALUE"""),"Fahad")</f>
        <v>Fahad</v>
      </c>
      <c r="O39" s="25" t="s">
        <v>32</v>
      </c>
      <c r="P39" s="26"/>
      <c r="Q39" s="24"/>
      <c r="R39" s="24"/>
      <c r="S39" s="24"/>
      <c r="T39" s="24"/>
      <c r="U39" s="24"/>
      <c r="V39" s="24"/>
      <c r="W39" s="24"/>
      <c r="X39" s="24"/>
      <c r="Y39" s="24"/>
      <c r="Z39" s="24"/>
      <c r="AA39" s="24"/>
    </row>
    <row r="40">
      <c r="A40" s="25" t="s">
        <v>70</v>
      </c>
      <c r="B40" s="26" t="str">
        <f>IFERROR(__xludf.DUMMYFUNCTION("""COMPUTED_VALUE"""),"VA Form")</f>
        <v>VA Form</v>
      </c>
      <c r="C40" s="26" t="str">
        <f>IFERROR(__xludf.DUMMYFUNCTION("""COMPUTED_VALUE"""),"VA Form")</f>
        <v>VA Form</v>
      </c>
      <c r="D40" s="26" t="str">
        <f>IFERROR(__xludf.DUMMYFUNCTION("""COMPUTED_VALUE"""),"Voice is not updated")</f>
        <v>Voice is not updated</v>
      </c>
      <c r="E40" s="26" t="str">
        <f>IFERROR(__xludf.DUMMYFUNCTION("""COMPUTED_VALUE"""),"User should be in browser")</f>
        <v>User should be in browser</v>
      </c>
      <c r="F40" s="26" t="str">
        <f>IFERROR(__xludf.DUMMYFUNCTION("""COMPUTED_VALUE"""),"1. Goto Link
2. Login using valid credentials
3. buy plan and click on claim now")</f>
        <v>1. Goto Link
2. Login using valid credentials
3. buy plan and click on claim now</v>
      </c>
      <c r="G40" s="26" t="str">
        <f>IFERROR(__xludf.DUMMYFUNCTION("""COMPUTED_VALUE"""),"Email : tolom65588@roastic.com                
Password : 123456789")</f>
        <v>Email : tolom65588@roastic.com                
Password : 123456789</v>
      </c>
      <c r="H40" s="26" t="str">
        <f>IFERROR(__xludf.DUMMYFUNCTION("""COMPUTED_VALUE"""),"voice should be updated")</f>
        <v>voice should be updated</v>
      </c>
      <c r="I40" s="26" t="str">
        <f>IFERROR(__xludf.DUMMYFUNCTION("""COMPUTED_VALUE"""),"old voice remains")</f>
        <v>old voice remains</v>
      </c>
      <c r="J40" s="26" t="str">
        <f>IFERROR(__xludf.DUMMYFUNCTION("""COMPUTED_VALUE"""),"Fail")</f>
        <v>Fail</v>
      </c>
      <c r="K40" s="26" t="str">
        <f>IFERROR(__xludf.DUMMYFUNCTION("""COMPUTED_VALUE"""),"High")</f>
        <v>High</v>
      </c>
      <c r="L40" s="27" t="str">
        <f>IFERROR(__xludf.DUMMYFUNCTION("""COMPUTED_VALUE"""),"https://drive.google.com/file/d/1BQUVYYemNxmRd-5ePGVIj9mRdd3kwT3k/view?usp=drive_link")</f>
        <v>https://drive.google.com/file/d/1BQUVYYemNxmRd-5ePGVIj9mRdd3kwT3k/view?usp=drive_link</v>
      </c>
      <c r="M40" s="26"/>
      <c r="N40" s="26" t="str">
        <f>IFERROR(__xludf.DUMMYFUNCTION("""COMPUTED_VALUE"""),"Fahad")</f>
        <v>Fahad</v>
      </c>
      <c r="O40" s="25" t="s">
        <v>32</v>
      </c>
      <c r="P40" s="25" t="s">
        <v>71</v>
      </c>
      <c r="Q40" s="24"/>
      <c r="R40" s="24"/>
      <c r="S40" s="24"/>
      <c r="T40" s="24"/>
      <c r="U40" s="24"/>
      <c r="V40" s="24"/>
      <c r="W40" s="24"/>
      <c r="X40" s="24"/>
      <c r="Y40" s="24"/>
      <c r="Z40" s="24"/>
      <c r="AA40" s="24"/>
    </row>
    <row r="41">
      <c r="A41" s="25" t="s">
        <v>72</v>
      </c>
      <c r="B41" s="26" t="str">
        <f>IFERROR(__xludf.DUMMYFUNCTION("""COMPUTED_VALUE"""),"VA Form")</f>
        <v>VA Form</v>
      </c>
      <c r="C41" s="26" t="str">
        <f>IFERROR(__xludf.DUMMYFUNCTION("""COMPUTED_VALUE"""),"VA Form")</f>
        <v>VA Form</v>
      </c>
      <c r="D41" s="26" t="str">
        <f>IFERROR(__xludf.DUMMYFUNCTION("""COMPUTED_VALUE"""),"Voice is repeating after complete")</f>
        <v>Voice is repeating after complete</v>
      </c>
      <c r="E41" s="26" t="str">
        <f>IFERROR(__xludf.DUMMYFUNCTION("""COMPUTED_VALUE"""),"User should be in browser")</f>
        <v>User should be in browser</v>
      </c>
      <c r="F41" s="26" t="str">
        <f>IFERROR(__xludf.DUMMYFUNCTION("""COMPUTED_VALUE"""),"1. Goto Link
2. Login using valid credentials
3. buy plan and click on claim now")</f>
        <v>1. Goto Link
2. Login using valid credentials
3. buy plan and click on claim now</v>
      </c>
      <c r="G41" s="26" t="str">
        <f>IFERROR(__xludf.DUMMYFUNCTION("""COMPUTED_VALUE"""),"Email : tolom65588@roastic.com                
Password : 123456789")</f>
        <v>Email : tolom65588@roastic.com                
Password : 123456789</v>
      </c>
      <c r="H41" s="26" t="str">
        <f>IFERROR(__xludf.DUMMYFUNCTION("""COMPUTED_VALUE"""),"Voice should be turn off after it completes")</f>
        <v>Voice should be turn off after it completes</v>
      </c>
      <c r="I41" s="26" t="str">
        <f>IFERROR(__xludf.DUMMYFUNCTION("""COMPUTED_VALUE"""),"repeating ")</f>
        <v>repeating </v>
      </c>
      <c r="J41" s="26" t="str">
        <f>IFERROR(__xludf.DUMMYFUNCTION("""COMPUTED_VALUE"""),"Fail")</f>
        <v>Fail</v>
      </c>
      <c r="K41" s="26" t="str">
        <f>IFERROR(__xludf.DUMMYFUNCTION("""COMPUTED_VALUE"""),"High")</f>
        <v>High</v>
      </c>
      <c r="L41" s="27" t="str">
        <f>IFERROR(__xludf.DUMMYFUNCTION("""COMPUTED_VALUE"""),"https://drive.google.com/file/d/1BQUVYYemNxmRd-5ePGVIj9mRdd3kwT3k/view?usp=drive_link")</f>
        <v>https://drive.google.com/file/d/1BQUVYYemNxmRd-5ePGVIj9mRdd3kwT3k/view?usp=drive_link</v>
      </c>
      <c r="M41" s="26"/>
      <c r="N41" s="26" t="str">
        <f>IFERROR(__xludf.DUMMYFUNCTION("""COMPUTED_VALUE"""),"Fahad")</f>
        <v>Fahad</v>
      </c>
      <c r="O41" s="25" t="s">
        <v>32</v>
      </c>
      <c r="P41" s="26"/>
      <c r="Q41" s="24"/>
      <c r="R41" s="24"/>
      <c r="S41" s="24"/>
      <c r="T41" s="24"/>
      <c r="U41" s="24"/>
      <c r="V41" s="24"/>
      <c r="W41" s="24"/>
      <c r="X41" s="24"/>
      <c r="Y41" s="24"/>
      <c r="Z41" s="24"/>
      <c r="AA41" s="24"/>
    </row>
    <row r="42">
      <c r="A42" s="25" t="s">
        <v>73</v>
      </c>
      <c r="B42" s="26" t="str">
        <f>IFERROR(__xludf.DUMMYFUNCTION("""COMPUTED_VALUE"""),"VA Form")</f>
        <v>VA Form</v>
      </c>
      <c r="C42" s="26" t="str">
        <f>IFERROR(__xludf.DUMMYFUNCTION("""COMPUTED_VALUE"""),"VA Form")</f>
        <v>VA Form</v>
      </c>
      <c r="D42" s="26" t="str">
        <f>IFERROR(__xludf.DUMMYFUNCTION("""COMPUTED_VALUE"""),"Input data validation failed")</f>
        <v>Input data validation failed</v>
      </c>
      <c r="E42" s="26" t="str">
        <f>IFERROR(__xludf.DUMMYFUNCTION("""COMPUTED_VALUE"""),"User should be in browser")</f>
        <v>User should be in browser</v>
      </c>
      <c r="F42" s="26" t="str">
        <f>IFERROR(__xludf.DUMMYFUNCTION("""COMPUTED_VALUE"""),"1. Goto Link
2. Login using valid credentials
3. buy plan and click on claim now")</f>
        <v>1. Goto Link
2. Login using valid credentials
3. buy plan and click on claim now</v>
      </c>
      <c r="G42" s="26" t="str">
        <f>IFERROR(__xludf.DUMMYFUNCTION("""COMPUTED_VALUE"""),"Email : tolom65588@roastic.com                
Password : 123456789")</f>
        <v>Email : tolom65588@roastic.com                
Password : 123456789</v>
      </c>
      <c r="H42" s="26" t="str">
        <f>IFERROR(__xludf.DUMMYFUNCTION("""COMPUTED_VALUE"""),"all input field values should be positive")</f>
        <v>all input field values should be positive</v>
      </c>
      <c r="I42" s="26" t="str">
        <f>IFERROR(__xludf.DUMMYFUNCTION("""COMPUTED_VALUE"""),"can placed negetive input by droparrow")</f>
        <v>can placed negetive input by droparrow</v>
      </c>
      <c r="J42" s="26" t="str">
        <f>IFERROR(__xludf.DUMMYFUNCTION("""COMPUTED_VALUE"""),"Fail")</f>
        <v>Fail</v>
      </c>
      <c r="K42" s="26" t="str">
        <f>IFERROR(__xludf.DUMMYFUNCTION("""COMPUTED_VALUE"""),"High")</f>
        <v>High</v>
      </c>
      <c r="L42" s="27" t="str">
        <f>IFERROR(__xludf.DUMMYFUNCTION("""COMPUTED_VALUE"""),"https://drive.google.com/file/d/16QakETcMBv2Pes9XMyv3l9fNJcY2N10a/view?usp=drive_link")</f>
        <v>https://drive.google.com/file/d/16QakETcMBv2Pes9XMyv3l9fNJcY2N10a/view?usp=drive_link</v>
      </c>
      <c r="M42" s="26"/>
      <c r="N42" s="26" t="str">
        <f>IFERROR(__xludf.DUMMYFUNCTION("""COMPUTED_VALUE"""),"Fahad")</f>
        <v>Fahad</v>
      </c>
      <c r="O42" s="25" t="s">
        <v>32</v>
      </c>
      <c r="P42" s="26"/>
      <c r="Q42" s="24"/>
      <c r="R42" s="24"/>
      <c r="S42" s="24"/>
      <c r="T42" s="24"/>
      <c r="U42" s="24"/>
      <c r="V42" s="24"/>
      <c r="W42" s="24"/>
      <c r="X42" s="24"/>
      <c r="Y42" s="24"/>
      <c r="Z42" s="24"/>
      <c r="AA42" s="24"/>
    </row>
    <row r="43">
      <c r="A43" s="25" t="s">
        <v>74</v>
      </c>
      <c r="B43" s="26" t="str">
        <f>IFERROR(__xludf.DUMMYFUNCTION("""COMPUTED_VALUE"""),"VA Form")</f>
        <v>VA Form</v>
      </c>
      <c r="C43" s="26" t="str">
        <f>IFERROR(__xludf.DUMMYFUNCTION("""COMPUTED_VALUE"""),"VA Form")</f>
        <v>VA Form</v>
      </c>
      <c r="D43" s="26" t="str">
        <f>IFERROR(__xludf.DUMMYFUNCTION("""COMPUTED_VALUE"""),"Voice is not updated")</f>
        <v>Voice is not updated</v>
      </c>
      <c r="E43" s="26" t="str">
        <f>IFERROR(__xludf.DUMMYFUNCTION("""COMPUTED_VALUE"""),"User should be in browser")</f>
        <v>User should be in browser</v>
      </c>
      <c r="F43" s="26" t="str">
        <f>IFERROR(__xludf.DUMMYFUNCTION("""COMPUTED_VALUE"""),"1. Goto Link
2. Login using valid credentials
3. buy plan and click on claim now")</f>
        <v>1. Goto Link
2. Login using valid credentials
3. buy plan and click on claim now</v>
      </c>
      <c r="G43" s="26" t="str">
        <f>IFERROR(__xludf.DUMMYFUNCTION("""COMPUTED_VALUE"""),"Email : tolom65588@roastic.com                
Password : 123456789")</f>
        <v>Email : tolom65588@roastic.com                
Password : 123456789</v>
      </c>
      <c r="H43" s="26" t="str">
        <f>IFERROR(__xludf.DUMMYFUNCTION("""COMPUTED_VALUE"""),"voice should be updated")</f>
        <v>voice should be updated</v>
      </c>
      <c r="I43" s="26" t="str">
        <f>IFERROR(__xludf.DUMMYFUNCTION("""COMPUTED_VALUE"""),"old voice remains")</f>
        <v>old voice remains</v>
      </c>
      <c r="J43" s="26" t="str">
        <f>IFERROR(__xludf.DUMMYFUNCTION("""COMPUTED_VALUE"""),"Fail")</f>
        <v>Fail</v>
      </c>
      <c r="K43" s="26" t="str">
        <f>IFERROR(__xludf.DUMMYFUNCTION("""COMPUTED_VALUE"""),"High")</f>
        <v>High</v>
      </c>
      <c r="L43" s="27" t="str">
        <f>IFERROR(__xludf.DUMMYFUNCTION("""COMPUTED_VALUE"""),"https://drive.google.com/file/d/1fUt8LL32FA8YqJ690xOf1yOGj3esmuF1/view?usp=drive_link")</f>
        <v>https://drive.google.com/file/d/1fUt8LL32FA8YqJ690xOf1yOGj3esmuF1/view?usp=drive_link</v>
      </c>
      <c r="M43" s="26"/>
      <c r="N43" s="26" t="str">
        <f>IFERROR(__xludf.DUMMYFUNCTION("""COMPUTED_VALUE"""),"Fahad")</f>
        <v>Fahad</v>
      </c>
      <c r="O43" s="25" t="s">
        <v>32</v>
      </c>
      <c r="P43" s="25" t="s">
        <v>75</v>
      </c>
      <c r="Q43" s="24"/>
      <c r="R43" s="24"/>
      <c r="S43" s="24"/>
      <c r="T43" s="24"/>
      <c r="U43" s="24"/>
      <c r="V43" s="24"/>
      <c r="W43" s="24"/>
      <c r="X43" s="24"/>
      <c r="Y43" s="24"/>
      <c r="Z43" s="24"/>
      <c r="AA43" s="24"/>
    </row>
    <row r="44">
      <c r="A44" s="25" t="s">
        <v>76</v>
      </c>
      <c r="B44" s="26" t="str">
        <f>IFERROR(__xludf.DUMMYFUNCTION("""COMPUTED_VALUE"""),"VA Form")</f>
        <v>VA Form</v>
      </c>
      <c r="C44" s="26" t="str">
        <f>IFERROR(__xludf.DUMMYFUNCTION("""COMPUTED_VALUE"""),"VA Form")</f>
        <v>VA Form</v>
      </c>
      <c r="D44" s="26" t="str">
        <f>IFERROR(__xludf.DUMMYFUNCTION("""COMPUTED_VALUE"""),"Voice is repeating after complete")</f>
        <v>Voice is repeating after complete</v>
      </c>
      <c r="E44" s="26" t="str">
        <f>IFERROR(__xludf.DUMMYFUNCTION("""COMPUTED_VALUE"""),"User should be in browser")</f>
        <v>User should be in browser</v>
      </c>
      <c r="F44" s="26" t="str">
        <f>IFERROR(__xludf.DUMMYFUNCTION("""COMPUTED_VALUE"""),"1. Goto Link
2. Login using valid credentials
3. buy plan and click on claim now")</f>
        <v>1. Goto Link
2. Login using valid credentials
3. buy plan and click on claim now</v>
      </c>
      <c r="G44" s="26" t="str">
        <f>IFERROR(__xludf.DUMMYFUNCTION("""COMPUTED_VALUE"""),"Email : tolom65588@roastic.com                
Password : 123456789")</f>
        <v>Email : tolom65588@roastic.com                
Password : 123456789</v>
      </c>
      <c r="H44" s="26" t="str">
        <f>IFERROR(__xludf.DUMMYFUNCTION("""COMPUTED_VALUE"""),"Voice should be turn off after it completes")</f>
        <v>Voice should be turn off after it completes</v>
      </c>
      <c r="I44" s="26" t="str">
        <f>IFERROR(__xludf.DUMMYFUNCTION("""COMPUTED_VALUE"""),"repeating ")</f>
        <v>repeating </v>
      </c>
      <c r="J44" s="26" t="str">
        <f>IFERROR(__xludf.DUMMYFUNCTION("""COMPUTED_VALUE"""),"Fail")</f>
        <v>Fail</v>
      </c>
      <c r="K44" s="26" t="str">
        <f>IFERROR(__xludf.DUMMYFUNCTION("""COMPUTED_VALUE"""),"High")</f>
        <v>High</v>
      </c>
      <c r="L44" s="27" t="str">
        <f>IFERROR(__xludf.DUMMYFUNCTION("""COMPUTED_VALUE"""),"https://drive.google.com/file/d/1fUt8LL32FA8YqJ690xOf1yOGj3esmuF1/view?usp=drive_link")</f>
        <v>https://drive.google.com/file/d/1fUt8LL32FA8YqJ690xOf1yOGj3esmuF1/view?usp=drive_link</v>
      </c>
      <c r="M44" s="26"/>
      <c r="N44" s="26" t="str">
        <f>IFERROR(__xludf.DUMMYFUNCTION("""COMPUTED_VALUE"""),"Fahad")</f>
        <v>Fahad</v>
      </c>
      <c r="O44" s="25" t="s">
        <v>32</v>
      </c>
      <c r="P44" s="26"/>
      <c r="Q44" s="24"/>
      <c r="R44" s="24"/>
      <c r="S44" s="24"/>
      <c r="T44" s="24"/>
      <c r="U44" s="24"/>
      <c r="V44" s="24"/>
      <c r="W44" s="24"/>
      <c r="X44" s="24"/>
      <c r="Y44" s="24"/>
      <c r="Z44" s="24"/>
      <c r="AA44" s="24"/>
    </row>
    <row r="45">
      <c r="A45" s="25" t="s">
        <v>77</v>
      </c>
      <c r="B45" s="26" t="str">
        <f>IFERROR(__xludf.DUMMYFUNCTION("""COMPUTED_VALUE"""),"VA Form")</f>
        <v>VA Form</v>
      </c>
      <c r="C45" s="26" t="str">
        <f>IFERROR(__xludf.DUMMYFUNCTION("""COMPUTED_VALUE"""),"VA Form")</f>
        <v>VA Form</v>
      </c>
      <c r="D45" s="26" t="str">
        <f>IFERROR(__xludf.DUMMYFUNCTION("""COMPUTED_VALUE"""),"Voice is not updated")</f>
        <v>Voice is not updated</v>
      </c>
      <c r="E45" s="26" t="str">
        <f>IFERROR(__xludf.DUMMYFUNCTION("""COMPUTED_VALUE"""),"User should be in browser")</f>
        <v>User should be in browser</v>
      </c>
      <c r="F45" s="26" t="str">
        <f>IFERROR(__xludf.DUMMYFUNCTION("""COMPUTED_VALUE"""),"1. Goto Link
2. Login using valid credentials
3. buy plan and click on claim now")</f>
        <v>1. Goto Link
2. Login using valid credentials
3. buy plan and click on claim now</v>
      </c>
      <c r="G45" s="26" t="str">
        <f>IFERROR(__xludf.DUMMYFUNCTION("""COMPUTED_VALUE"""),"Email : tolom65588@roastic.com                
Password : 123456789")</f>
        <v>Email : tolom65588@roastic.com                
Password : 123456789</v>
      </c>
      <c r="H45" s="26" t="str">
        <f>IFERROR(__xludf.DUMMYFUNCTION("""COMPUTED_VALUE"""),"voice should be updated")</f>
        <v>voice should be updated</v>
      </c>
      <c r="I45" s="26" t="str">
        <f>IFERROR(__xludf.DUMMYFUNCTION("""COMPUTED_VALUE"""),"old voice remains")</f>
        <v>old voice remains</v>
      </c>
      <c r="J45" s="26" t="str">
        <f>IFERROR(__xludf.DUMMYFUNCTION("""COMPUTED_VALUE"""),"Fail")</f>
        <v>Fail</v>
      </c>
      <c r="K45" s="26" t="str">
        <f>IFERROR(__xludf.DUMMYFUNCTION("""COMPUTED_VALUE"""),"High")</f>
        <v>High</v>
      </c>
      <c r="L45" s="27" t="str">
        <f>IFERROR(__xludf.DUMMYFUNCTION("""COMPUTED_VALUE"""),"https://drive.google.com/file/d/1rGDiPED7fuXWZrDQJXZxD37gblDpaNMK/view?usp=drive_link")</f>
        <v>https://drive.google.com/file/d/1rGDiPED7fuXWZrDQJXZxD37gblDpaNMK/view?usp=drive_link</v>
      </c>
      <c r="M45" s="26"/>
      <c r="N45" s="26" t="str">
        <f>IFERROR(__xludf.DUMMYFUNCTION("""COMPUTED_VALUE"""),"Fahad")</f>
        <v>Fahad</v>
      </c>
      <c r="O45" s="25" t="s">
        <v>32</v>
      </c>
      <c r="P45" s="25" t="s">
        <v>78</v>
      </c>
      <c r="Q45" s="24"/>
      <c r="R45" s="24"/>
      <c r="S45" s="24"/>
      <c r="T45" s="24"/>
      <c r="U45" s="24"/>
      <c r="V45" s="24"/>
      <c r="W45" s="24"/>
      <c r="X45" s="24"/>
      <c r="Y45" s="24"/>
      <c r="Z45" s="24"/>
      <c r="AA45" s="24"/>
    </row>
    <row r="46">
      <c r="A46" s="25" t="s">
        <v>79</v>
      </c>
      <c r="B46" s="26" t="str">
        <f>IFERROR(__xludf.DUMMYFUNCTION("""COMPUTED_VALUE"""),"VA Form")</f>
        <v>VA Form</v>
      </c>
      <c r="C46" s="26" t="str">
        <f>IFERROR(__xludf.DUMMYFUNCTION("""COMPUTED_VALUE"""),"VA Form")</f>
        <v>VA Form</v>
      </c>
      <c r="D46" s="26" t="str">
        <f>IFERROR(__xludf.DUMMYFUNCTION("""COMPUTED_VALUE"""),"Voice is repeating after complete")</f>
        <v>Voice is repeating after complete</v>
      </c>
      <c r="E46" s="26" t="str">
        <f>IFERROR(__xludf.DUMMYFUNCTION("""COMPUTED_VALUE"""),"User should be in browser")</f>
        <v>User should be in browser</v>
      </c>
      <c r="F46" s="26" t="str">
        <f>IFERROR(__xludf.DUMMYFUNCTION("""COMPUTED_VALUE"""),"1. Goto Link
2. Login using valid credentials
3. buy plan and click on claim now")</f>
        <v>1. Goto Link
2. Login using valid credentials
3. buy plan and click on claim now</v>
      </c>
      <c r="G46" s="26" t="str">
        <f>IFERROR(__xludf.DUMMYFUNCTION("""COMPUTED_VALUE"""),"Email : tolom65588@roastic.com                
Password : 123456789")</f>
        <v>Email : tolom65588@roastic.com                
Password : 123456789</v>
      </c>
      <c r="H46" s="26" t="str">
        <f>IFERROR(__xludf.DUMMYFUNCTION("""COMPUTED_VALUE"""),"Voice should be turn off after it completes")</f>
        <v>Voice should be turn off after it completes</v>
      </c>
      <c r="I46" s="26" t="str">
        <f>IFERROR(__xludf.DUMMYFUNCTION("""COMPUTED_VALUE"""),"repeating ")</f>
        <v>repeating </v>
      </c>
      <c r="J46" s="26" t="str">
        <f>IFERROR(__xludf.DUMMYFUNCTION("""COMPUTED_VALUE"""),"Fail")</f>
        <v>Fail</v>
      </c>
      <c r="K46" s="26" t="str">
        <f>IFERROR(__xludf.DUMMYFUNCTION("""COMPUTED_VALUE"""),"High")</f>
        <v>High</v>
      </c>
      <c r="L46" s="27" t="str">
        <f>IFERROR(__xludf.DUMMYFUNCTION("""COMPUTED_VALUE"""),"https://drive.google.com/file/d/1rGDiPED7fuXWZrDQJXZxD37gblDpaNMK/view?usp=drive_link")</f>
        <v>https://drive.google.com/file/d/1rGDiPED7fuXWZrDQJXZxD37gblDpaNMK/view?usp=drive_link</v>
      </c>
      <c r="M46" s="26"/>
      <c r="N46" s="26" t="str">
        <f>IFERROR(__xludf.DUMMYFUNCTION("""COMPUTED_VALUE"""),"Fahad")</f>
        <v>Fahad</v>
      </c>
      <c r="O46" s="25" t="s">
        <v>32</v>
      </c>
      <c r="P46" s="25"/>
      <c r="Q46" s="24"/>
      <c r="R46" s="24"/>
      <c r="S46" s="24"/>
      <c r="T46" s="24"/>
      <c r="U46" s="24"/>
      <c r="V46" s="24"/>
      <c r="W46" s="24"/>
      <c r="X46" s="24"/>
      <c r="Y46" s="24"/>
      <c r="Z46" s="24"/>
      <c r="AA46" s="24"/>
    </row>
    <row r="47">
      <c r="A47" s="25" t="s">
        <v>80</v>
      </c>
      <c r="B47" s="26" t="str">
        <f>IFERROR(__xludf.DUMMYFUNCTION("""COMPUTED_VALUE"""),"VA Form")</f>
        <v>VA Form</v>
      </c>
      <c r="C47" s="26" t="str">
        <f>IFERROR(__xludf.DUMMYFUNCTION("""COMPUTED_VALUE"""),"VA Form")</f>
        <v>VA Form</v>
      </c>
      <c r="D47" s="26" t="str">
        <f>IFERROR(__xludf.DUMMYFUNCTION("""COMPUTED_VALUE"""),"Voice is not updated")</f>
        <v>Voice is not updated</v>
      </c>
      <c r="E47" s="26" t="str">
        <f>IFERROR(__xludf.DUMMYFUNCTION("""COMPUTED_VALUE"""),"User should be in browser")</f>
        <v>User should be in browser</v>
      </c>
      <c r="F47" s="26" t="str">
        <f>IFERROR(__xludf.DUMMYFUNCTION("""COMPUTED_VALUE"""),"1. Goto Link
2. Login using valid credentials
3. buy plan and click on claim now")</f>
        <v>1. Goto Link
2. Login using valid credentials
3. buy plan and click on claim now</v>
      </c>
      <c r="G47" s="26" t="str">
        <f>IFERROR(__xludf.DUMMYFUNCTION("""COMPUTED_VALUE"""),"Email : tolom65588@roastic.com                
Password : 123456789")</f>
        <v>Email : tolom65588@roastic.com                
Password : 123456789</v>
      </c>
      <c r="H47" s="26" t="str">
        <f>IFERROR(__xludf.DUMMYFUNCTION("""COMPUTED_VALUE"""),"voice should be updated")</f>
        <v>voice should be updated</v>
      </c>
      <c r="I47" s="26" t="str">
        <f>IFERROR(__xludf.DUMMYFUNCTION("""COMPUTED_VALUE"""),"old voice remains")</f>
        <v>old voice remains</v>
      </c>
      <c r="J47" s="26" t="str">
        <f>IFERROR(__xludf.DUMMYFUNCTION("""COMPUTED_VALUE"""),"Fail")</f>
        <v>Fail</v>
      </c>
      <c r="K47" s="26" t="str">
        <f>IFERROR(__xludf.DUMMYFUNCTION("""COMPUTED_VALUE"""),"High")</f>
        <v>High</v>
      </c>
      <c r="L47" s="27" t="str">
        <f>IFERROR(__xludf.DUMMYFUNCTION("""COMPUTED_VALUE"""),"https://drive.google.com/file/d/1uqrOhCchIEakKXQdIGmwd3HvPkJv5mFr/view?usp=drive_link")</f>
        <v>https://drive.google.com/file/d/1uqrOhCchIEakKXQdIGmwd3HvPkJv5mFr/view?usp=drive_link</v>
      </c>
      <c r="M47" s="26"/>
      <c r="N47" s="26" t="str">
        <f>IFERROR(__xludf.DUMMYFUNCTION("""COMPUTED_VALUE"""),"Fahad")</f>
        <v>Fahad</v>
      </c>
      <c r="O47" s="25" t="s">
        <v>32</v>
      </c>
      <c r="P47" s="25" t="s">
        <v>81</v>
      </c>
      <c r="Q47" s="24"/>
      <c r="R47" s="24"/>
      <c r="S47" s="24"/>
      <c r="T47" s="24"/>
      <c r="U47" s="24"/>
      <c r="V47" s="24"/>
      <c r="W47" s="24"/>
      <c r="X47" s="24"/>
      <c r="Y47" s="24"/>
      <c r="Z47" s="24"/>
      <c r="AA47" s="24"/>
    </row>
    <row r="48">
      <c r="A48" s="25" t="s">
        <v>82</v>
      </c>
      <c r="B48" s="26" t="str">
        <f>IFERROR(__xludf.DUMMYFUNCTION("""COMPUTED_VALUE"""),"VA Form")</f>
        <v>VA Form</v>
      </c>
      <c r="C48" s="26" t="str">
        <f>IFERROR(__xludf.DUMMYFUNCTION("""COMPUTED_VALUE"""),"VA Form")</f>
        <v>VA Form</v>
      </c>
      <c r="D48" s="26" t="str">
        <f>IFERROR(__xludf.DUMMYFUNCTION("""COMPUTED_VALUE"""),"Voice is repeating after complete")</f>
        <v>Voice is repeating after complete</v>
      </c>
      <c r="E48" s="26" t="str">
        <f>IFERROR(__xludf.DUMMYFUNCTION("""COMPUTED_VALUE"""),"User should be in browser")</f>
        <v>User should be in browser</v>
      </c>
      <c r="F48" s="26" t="str">
        <f>IFERROR(__xludf.DUMMYFUNCTION("""COMPUTED_VALUE"""),"1. Goto Link
2. Login using valid credentials
3. buy plan and click on claim now")</f>
        <v>1. Goto Link
2. Login using valid credentials
3. buy plan and click on claim now</v>
      </c>
      <c r="G48" s="26" t="str">
        <f>IFERROR(__xludf.DUMMYFUNCTION("""COMPUTED_VALUE"""),"Email : tolom65588@roastic.com                
Password : 123456789")</f>
        <v>Email : tolom65588@roastic.com                
Password : 123456789</v>
      </c>
      <c r="H48" s="26" t="str">
        <f>IFERROR(__xludf.DUMMYFUNCTION("""COMPUTED_VALUE"""),"Voice should be turn off after it completes")</f>
        <v>Voice should be turn off after it completes</v>
      </c>
      <c r="I48" s="26" t="str">
        <f>IFERROR(__xludf.DUMMYFUNCTION("""COMPUTED_VALUE"""),"repeating ")</f>
        <v>repeating </v>
      </c>
      <c r="J48" s="26" t="str">
        <f>IFERROR(__xludf.DUMMYFUNCTION("""COMPUTED_VALUE"""),"Fail")</f>
        <v>Fail</v>
      </c>
      <c r="K48" s="26" t="str">
        <f>IFERROR(__xludf.DUMMYFUNCTION("""COMPUTED_VALUE"""),"High")</f>
        <v>High</v>
      </c>
      <c r="L48" s="27" t="str">
        <f>IFERROR(__xludf.DUMMYFUNCTION("""COMPUTED_VALUE"""),"https://drive.google.com/file/d/1uqrOhCchIEakKXQdIGmwd3HvPkJv5mFr/view?usp=drive_link")</f>
        <v>https://drive.google.com/file/d/1uqrOhCchIEakKXQdIGmwd3HvPkJv5mFr/view?usp=drive_link</v>
      </c>
      <c r="M48" s="26"/>
      <c r="N48" s="26" t="str">
        <f>IFERROR(__xludf.DUMMYFUNCTION("""COMPUTED_VALUE"""),"Fahad")</f>
        <v>Fahad</v>
      </c>
      <c r="O48" s="25" t="s">
        <v>32</v>
      </c>
      <c r="P48" s="26"/>
      <c r="Q48" s="24"/>
      <c r="R48" s="24"/>
      <c r="S48" s="24"/>
      <c r="T48" s="24"/>
      <c r="U48" s="24"/>
      <c r="V48" s="24"/>
      <c r="W48" s="24"/>
      <c r="X48" s="24"/>
      <c r="Y48" s="24"/>
      <c r="Z48" s="24"/>
      <c r="AA48" s="24"/>
    </row>
    <row r="49">
      <c r="A49" s="25" t="s">
        <v>83</v>
      </c>
      <c r="B49" s="26" t="str">
        <f>IFERROR(__xludf.DUMMYFUNCTION("""COMPUTED_VALUE"""),"VA Form")</f>
        <v>VA Form</v>
      </c>
      <c r="C49" s="26" t="str">
        <f>IFERROR(__xludf.DUMMYFUNCTION("""COMPUTED_VALUE"""),"VA Form")</f>
        <v>VA Form</v>
      </c>
      <c r="D49" s="26" t="str">
        <f>IFERROR(__xludf.DUMMYFUNCTION("""COMPUTED_VALUE"""),"account number limit failed")</f>
        <v>account number limit failed</v>
      </c>
      <c r="E49" s="26" t="str">
        <f>IFERROR(__xludf.DUMMYFUNCTION("""COMPUTED_VALUE"""),"User should be in browser")</f>
        <v>User should be in browser</v>
      </c>
      <c r="F49" s="26" t="str">
        <f>IFERROR(__xludf.DUMMYFUNCTION("""COMPUTED_VALUE"""),"1. Goto Link
2. Login using valid credentials
3. buy plan and click on claim now")</f>
        <v>1. Goto Link
2. Login using valid credentials
3. buy plan and click on claim now</v>
      </c>
      <c r="G49" s="26" t="str">
        <f>IFERROR(__xludf.DUMMYFUNCTION("""COMPUTED_VALUE"""),"Email : tolom65588@roastic.com                
Password : 123456789")</f>
        <v>Email : tolom65588@roastic.com                
Password : 123456789</v>
      </c>
      <c r="H49" s="26" t="str">
        <f>IFERROR(__xludf.DUMMYFUNCTION("""COMPUTED_VALUE"""),"Account number limit fixed on 15 digit")</f>
        <v>Account number limit fixed on 15 digit</v>
      </c>
      <c r="I49" s="26" t="str">
        <f>IFERROR(__xludf.DUMMYFUNCTION("""COMPUTED_VALUE"""),"Can take infinite digit input")</f>
        <v>Can take infinite digit input</v>
      </c>
      <c r="J49" s="26" t="str">
        <f>IFERROR(__xludf.DUMMYFUNCTION("""COMPUTED_VALUE"""),"Fail")</f>
        <v>Fail</v>
      </c>
      <c r="K49" s="26" t="str">
        <f>IFERROR(__xludf.DUMMYFUNCTION("""COMPUTED_VALUE"""),"High")</f>
        <v>High</v>
      </c>
      <c r="L49" s="27" t="str">
        <f>IFERROR(__xludf.DUMMYFUNCTION("""COMPUTED_VALUE"""),"https://drive.google.com/file/d/18vJR5_HxaRlWMhyr-vhEeanNAtI6gPie/view?usp=drive_link")</f>
        <v>https://drive.google.com/file/d/18vJR5_HxaRlWMhyr-vhEeanNAtI6gPie/view?usp=drive_link</v>
      </c>
      <c r="M49" s="26"/>
      <c r="N49" s="26" t="str">
        <f>IFERROR(__xludf.DUMMYFUNCTION("""COMPUTED_VALUE"""),"Fahad")</f>
        <v>Fahad</v>
      </c>
      <c r="O49" s="25" t="s">
        <v>32</v>
      </c>
      <c r="P49" s="26"/>
      <c r="Q49" s="24"/>
      <c r="R49" s="24"/>
      <c r="S49" s="24"/>
      <c r="T49" s="24"/>
      <c r="U49" s="24"/>
      <c r="V49" s="24"/>
      <c r="W49" s="24"/>
      <c r="X49" s="24"/>
      <c r="Y49" s="24"/>
      <c r="Z49" s="24"/>
      <c r="AA49" s="24"/>
    </row>
    <row r="50">
      <c r="A50" s="25" t="s">
        <v>84</v>
      </c>
      <c r="B50" s="26" t="str">
        <f>IFERROR(__xludf.DUMMYFUNCTION("""COMPUTED_VALUE"""),"VA Form")</f>
        <v>VA Form</v>
      </c>
      <c r="C50" s="26" t="str">
        <f>IFERROR(__xludf.DUMMYFUNCTION("""COMPUTED_VALUE"""),"VA Form")</f>
        <v>VA Form</v>
      </c>
      <c r="D50" s="26" t="str">
        <f>IFERROR(__xludf.DUMMYFUNCTION("""COMPUTED_VALUE"""),"Submission failed when upload statement")</f>
        <v>Submission failed when upload statement</v>
      </c>
      <c r="E50" s="26" t="str">
        <f>IFERROR(__xludf.DUMMYFUNCTION("""COMPUTED_VALUE"""),"User should be in browser")</f>
        <v>User should be in browser</v>
      </c>
      <c r="F50" s="26" t="str">
        <f>IFERROR(__xludf.DUMMYFUNCTION("""COMPUTED_VALUE"""),"1. Goto Link
2. Login using valid credentials
3. buy plan and click on claim now")</f>
        <v>1. Goto Link
2. Login using valid credentials
3. buy plan and click on claim now</v>
      </c>
      <c r="G50" s="26" t="str">
        <f>IFERROR(__xludf.DUMMYFUNCTION("""COMPUTED_VALUE"""),"Email : tolom65588@roastic.com                
Password : 123456789")</f>
        <v>Email : tolom65588@roastic.com                
Password : 123456789</v>
      </c>
      <c r="H50" s="26" t="str">
        <f>IFERROR(__xludf.DUMMYFUNCTION("""COMPUTED_VALUE"""),"User statement upload operation should not be cause system failure and the app should not crash")</f>
        <v>User statement upload operation should not be cause system failure and the app should not crash</v>
      </c>
      <c r="I50" s="26" t="str">
        <f>IFERROR(__xludf.DUMMYFUNCTION("""COMPUTED_VALUE"""),"Crash when upload statement")</f>
        <v>Crash when upload statement</v>
      </c>
      <c r="J50" s="26" t="str">
        <f>IFERROR(__xludf.DUMMYFUNCTION("""COMPUTED_VALUE"""),"Fail")</f>
        <v>Fail</v>
      </c>
      <c r="K50" s="26" t="str">
        <f>IFERROR(__xludf.DUMMYFUNCTION("""COMPUTED_VALUE"""),"High")</f>
        <v>High</v>
      </c>
      <c r="L50" s="27" t="str">
        <f>IFERROR(__xludf.DUMMYFUNCTION("""COMPUTED_VALUE"""),"https://drive.google.com/file/d/19OBPrJeLu9R4J2EHMFswnXDoV-P8JxLX/view?usp=drive_link")</f>
        <v>https://drive.google.com/file/d/19OBPrJeLu9R4J2EHMFswnXDoV-P8JxLX/view?usp=drive_link</v>
      </c>
      <c r="M50" s="26"/>
      <c r="N50" s="26" t="str">
        <f>IFERROR(__xludf.DUMMYFUNCTION("""COMPUTED_VALUE"""),"Fahad")</f>
        <v>Fahad</v>
      </c>
      <c r="O50" s="25"/>
      <c r="P50" s="26"/>
      <c r="Q50" s="24"/>
      <c r="R50" s="24"/>
      <c r="S50" s="24"/>
      <c r="T50" s="24"/>
      <c r="U50" s="24"/>
      <c r="V50" s="24"/>
      <c r="W50" s="24"/>
      <c r="X50" s="24"/>
      <c r="Y50" s="24"/>
      <c r="Z50" s="24"/>
      <c r="AA50" s="24"/>
    </row>
    <row r="51">
      <c r="A51" s="25" t="s">
        <v>85</v>
      </c>
      <c r="B51" s="26"/>
      <c r="C51" s="26"/>
      <c r="D51" s="26"/>
      <c r="E51" s="26"/>
      <c r="F51" s="26"/>
      <c r="G51" s="26"/>
      <c r="H51" s="26"/>
      <c r="I51" s="26"/>
      <c r="J51" s="26"/>
      <c r="K51" s="26"/>
      <c r="L51" s="26"/>
      <c r="M51" s="26"/>
      <c r="N51" s="26"/>
      <c r="O51" s="26"/>
      <c r="P51" s="26"/>
      <c r="Q51" s="24"/>
      <c r="R51" s="24"/>
      <c r="S51" s="24"/>
      <c r="T51" s="24"/>
      <c r="U51" s="24"/>
      <c r="V51" s="24"/>
      <c r="W51" s="24"/>
      <c r="X51" s="24"/>
      <c r="Y51" s="24"/>
      <c r="Z51" s="24"/>
      <c r="AA51" s="24"/>
    </row>
    <row r="52">
      <c r="A52" s="25" t="s">
        <v>85</v>
      </c>
      <c r="B52" s="26"/>
      <c r="C52" s="26"/>
      <c r="D52" s="26"/>
      <c r="E52" s="26"/>
      <c r="F52" s="26"/>
      <c r="G52" s="26"/>
      <c r="H52" s="26"/>
      <c r="I52" s="26"/>
      <c r="J52" s="26"/>
      <c r="K52" s="26"/>
      <c r="L52" s="26"/>
      <c r="M52" s="26"/>
      <c r="N52" s="26"/>
      <c r="O52" s="26"/>
      <c r="P52" s="26"/>
      <c r="Q52" s="24"/>
      <c r="R52" s="24"/>
      <c r="S52" s="24"/>
      <c r="T52" s="24"/>
      <c r="U52" s="24"/>
      <c r="V52" s="24"/>
      <c r="W52" s="24"/>
      <c r="X52" s="24"/>
      <c r="Y52" s="24"/>
      <c r="Z52" s="24"/>
      <c r="AA52" s="24"/>
    </row>
    <row r="53">
      <c r="A53" s="25" t="s">
        <v>85</v>
      </c>
      <c r="B53" s="26"/>
      <c r="C53" s="26"/>
      <c r="D53" s="26"/>
      <c r="E53" s="26"/>
      <c r="F53" s="26"/>
      <c r="G53" s="26"/>
      <c r="H53" s="26"/>
      <c r="I53" s="26"/>
      <c r="J53" s="26"/>
      <c r="K53" s="26"/>
      <c r="L53" s="26"/>
      <c r="M53" s="26"/>
      <c r="N53" s="26"/>
      <c r="O53" s="26"/>
      <c r="P53" s="26"/>
      <c r="Q53" s="24"/>
      <c r="R53" s="24"/>
      <c r="S53" s="24"/>
      <c r="T53" s="24"/>
      <c r="U53" s="24"/>
      <c r="V53" s="24"/>
      <c r="W53" s="24"/>
      <c r="X53" s="24"/>
      <c r="Y53" s="24"/>
      <c r="Z53" s="24"/>
      <c r="AA53" s="24"/>
    </row>
    <row r="54">
      <c r="A54" s="25" t="s">
        <v>85</v>
      </c>
      <c r="B54" s="26"/>
      <c r="C54" s="26"/>
      <c r="D54" s="26"/>
      <c r="E54" s="26"/>
      <c r="F54" s="26"/>
      <c r="G54" s="26"/>
      <c r="H54" s="26"/>
      <c r="I54" s="26"/>
      <c r="J54" s="26"/>
      <c r="K54" s="26"/>
      <c r="L54" s="26"/>
      <c r="M54" s="26"/>
      <c r="N54" s="26"/>
      <c r="O54" s="26"/>
      <c r="P54" s="26"/>
      <c r="Q54" s="24"/>
      <c r="R54" s="24"/>
      <c r="S54" s="24"/>
      <c r="T54" s="24"/>
      <c r="U54" s="24"/>
      <c r="V54" s="24"/>
      <c r="W54" s="24"/>
      <c r="X54" s="24"/>
      <c r="Y54" s="24"/>
      <c r="Z54" s="24"/>
      <c r="AA54" s="24"/>
    </row>
    <row r="55">
      <c r="A55" s="25" t="s">
        <v>85</v>
      </c>
      <c r="B55" s="26"/>
      <c r="C55" s="26"/>
      <c r="D55" s="26"/>
      <c r="E55" s="26"/>
      <c r="F55" s="26"/>
      <c r="G55" s="26"/>
      <c r="H55" s="26"/>
      <c r="I55" s="26"/>
      <c r="J55" s="26"/>
      <c r="K55" s="26"/>
      <c r="L55" s="26"/>
      <c r="M55" s="26"/>
      <c r="N55" s="26"/>
      <c r="O55" s="26"/>
      <c r="P55" s="26"/>
      <c r="Q55" s="24"/>
      <c r="R55" s="24"/>
      <c r="S55" s="24"/>
      <c r="T55" s="24"/>
      <c r="U55" s="24"/>
      <c r="V55" s="24"/>
      <c r="W55" s="24"/>
      <c r="X55" s="24"/>
      <c r="Y55" s="24"/>
      <c r="Z55" s="24"/>
      <c r="AA55" s="24"/>
    </row>
    <row r="56">
      <c r="A56" s="25" t="s">
        <v>85</v>
      </c>
      <c r="B56" s="26"/>
      <c r="C56" s="26"/>
      <c r="D56" s="26"/>
      <c r="E56" s="26"/>
      <c r="F56" s="26"/>
      <c r="G56" s="26"/>
      <c r="H56" s="26"/>
      <c r="I56" s="26"/>
      <c r="J56" s="26"/>
      <c r="K56" s="26"/>
      <c r="L56" s="26"/>
      <c r="M56" s="26"/>
      <c r="N56" s="26"/>
      <c r="O56" s="26"/>
      <c r="P56" s="26"/>
      <c r="Q56" s="24"/>
      <c r="R56" s="24"/>
      <c r="S56" s="24"/>
      <c r="T56" s="24"/>
      <c r="U56" s="24"/>
      <c r="V56" s="24"/>
      <c r="W56" s="24"/>
      <c r="X56" s="24"/>
      <c r="Y56" s="24"/>
      <c r="Z56" s="24"/>
      <c r="AA56" s="24"/>
    </row>
    <row r="57">
      <c r="A57" s="25" t="s">
        <v>85</v>
      </c>
      <c r="B57" s="26"/>
      <c r="C57" s="26"/>
      <c r="D57" s="26"/>
      <c r="E57" s="26"/>
      <c r="F57" s="26"/>
      <c r="G57" s="26"/>
      <c r="H57" s="26"/>
      <c r="I57" s="26"/>
      <c r="J57" s="26"/>
      <c r="K57" s="26"/>
      <c r="L57" s="26"/>
      <c r="M57" s="26"/>
      <c r="N57" s="26"/>
      <c r="O57" s="26"/>
      <c r="P57" s="26"/>
      <c r="Q57" s="24"/>
      <c r="R57" s="24"/>
      <c r="S57" s="24"/>
      <c r="T57" s="24"/>
      <c r="U57" s="24"/>
      <c r="V57" s="24"/>
      <c r="W57" s="24"/>
      <c r="X57" s="24"/>
      <c r="Y57" s="24"/>
      <c r="Z57" s="24"/>
      <c r="AA57" s="24"/>
    </row>
    <row r="58">
      <c r="A58" s="25" t="s">
        <v>85</v>
      </c>
      <c r="B58" s="26"/>
      <c r="C58" s="26"/>
      <c r="D58" s="26"/>
      <c r="E58" s="26"/>
      <c r="F58" s="26"/>
      <c r="G58" s="26"/>
      <c r="H58" s="26"/>
      <c r="I58" s="26"/>
      <c r="J58" s="26"/>
      <c r="K58" s="26"/>
      <c r="L58" s="26"/>
      <c r="M58" s="26"/>
      <c r="N58" s="26"/>
      <c r="O58" s="26"/>
      <c r="P58" s="26"/>
      <c r="Q58" s="24"/>
      <c r="R58" s="24"/>
      <c r="S58" s="24"/>
      <c r="T58" s="24"/>
      <c r="U58" s="24"/>
      <c r="V58" s="24"/>
      <c r="W58" s="24"/>
      <c r="X58" s="24"/>
      <c r="Y58" s="24"/>
      <c r="Z58" s="24"/>
      <c r="AA58" s="24"/>
    </row>
    <row r="59">
      <c r="A59" s="25" t="s">
        <v>85</v>
      </c>
      <c r="B59" s="26"/>
      <c r="C59" s="26"/>
      <c r="D59" s="26"/>
      <c r="E59" s="26"/>
      <c r="F59" s="26"/>
      <c r="G59" s="26"/>
      <c r="H59" s="26"/>
      <c r="I59" s="26"/>
      <c r="J59" s="26"/>
      <c r="K59" s="26"/>
      <c r="L59" s="26"/>
      <c r="M59" s="26"/>
      <c r="N59" s="26"/>
      <c r="O59" s="26"/>
      <c r="P59" s="26"/>
      <c r="Q59" s="24"/>
      <c r="R59" s="24"/>
      <c r="S59" s="24"/>
      <c r="T59" s="24"/>
      <c r="U59" s="24"/>
      <c r="V59" s="24"/>
      <c r="W59" s="24"/>
      <c r="X59" s="24"/>
      <c r="Y59" s="24"/>
      <c r="Z59" s="24"/>
      <c r="AA59" s="24"/>
    </row>
    <row r="60">
      <c r="A60" s="25" t="s">
        <v>85</v>
      </c>
      <c r="B60" s="26"/>
      <c r="C60" s="26"/>
      <c r="D60" s="26"/>
      <c r="E60" s="26"/>
      <c r="F60" s="26"/>
      <c r="G60" s="26"/>
      <c r="H60" s="26"/>
      <c r="I60" s="26"/>
      <c r="J60" s="26"/>
      <c r="K60" s="26"/>
      <c r="L60" s="26"/>
      <c r="M60" s="26"/>
      <c r="N60" s="26"/>
      <c r="O60" s="26"/>
      <c r="P60" s="26"/>
      <c r="Q60" s="24"/>
      <c r="R60" s="24"/>
      <c r="S60" s="24"/>
      <c r="T60" s="24"/>
      <c r="U60" s="24"/>
      <c r="V60" s="24"/>
      <c r="W60" s="24"/>
      <c r="X60" s="24"/>
      <c r="Y60" s="24"/>
      <c r="Z60" s="24"/>
      <c r="AA60" s="24"/>
    </row>
    <row r="61">
      <c r="A61" s="25" t="s">
        <v>85</v>
      </c>
      <c r="B61" s="26"/>
      <c r="C61" s="26"/>
      <c r="D61" s="26"/>
      <c r="E61" s="26"/>
      <c r="F61" s="26"/>
      <c r="G61" s="26"/>
      <c r="H61" s="26"/>
      <c r="I61" s="26"/>
      <c r="J61" s="26"/>
      <c r="K61" s="26"/>
      <c r="L61" s="26"/>
      <c r="M61" s="26"/>
      <c r="N61" s="26"/>
      <c r="O61" s="26"/>
      <c r="P61" s="26"/>
      <c r="Q61" s="24"/>
      <c r="R61" s="24"/>
      <c r="S61" s="24"/>
      <c r="T61" s="24"/>
      <c r="U61" s="24"/>
      <c r="V61" s="24"/>
      <c r="W61" s="24"/>
      <c r="X61" s="24"/>
      <c r="Y61" s="24"/>
      <c r="Z61" s="24"/>
      <c r="AA61" s="24"/>
    </row>
    <row r="62">
      <c r="A62" s="25" t="s">
        <v>85</v>
      </c>
      <c r="B62" s="26"/>
      <c r="C62" s="26"/>
      <c r="D62" s="26"/>
      <c r="E62" s="26"/>
      <c r="F62" s="26"/>
      <c r="G62" s="26"/>
      <c r="H62" s="26"/>
      <c r="I62" s="26"/>
      <c r="J62" s="26"/>
      <c r="K62" s="26"/>
      <c r="L62" s="26"/>
      <c r="M62" s="26"/>
      <c r="N62" s="26"/>
      <c r="O62" s="26"/>
      <c r="P62" s="26"/>
      <c r="Q62" s="24"/>
      <c r="R62" s="24"/>
      <c r="S62" s="24"/>
      <c r="T62" s="24"/>
      <c r="U62" s="24"/>
      <c r="V62" s="24"/>
      <c r="W62" s="24"/>
      <c r="X62" s="24"/>
      <c r="Y62" s="24"/>
      <c r="Z62" s="24"/>
      <c r="AA62" s="24"/>
    </row>
    <row r="63">
      <c r="A63" s="25" t="s">
        <v>85</v>
      </c>
      <c r="B63" s="26"/>
      <c r="C63" s="26"/>
      <c r="D63" s="26"/>
      <c r="E63" s="26"/>
      <c r="F63" s="26"/>
      <c r="G63" s="26"/>
      <c r="H63" s="26"/>
      <c r="I63" s="26"/>
      <c r="J63" s="26"/>
      <c r="K63" s="26"/>
      <c r="L63" s="26"/>
      <c r="M63" s="26"/>
      <c r="N63" s="26"/>
      <c r="O63" s="26"/>
      <c r="P63" s="26"/>
      <c r="Q63" s="24"/>
      <c r="R63" s="24"/>
      <c r="S63" s="24"/>
      <c r="T63" s="24"/>
      <c r="U63" s="24"/>
      <c r="V63" s="24"/>
      <c r="W63" s="24"/>
      <c r="X63" s="24"/>
      <c r="Y63" s="24"/>
      <c r="Z63" s="24"/>
      <c r="AA63" s="24"/>
    </row>
    <row r="64">
      <c r="A64" s="25" t="s">
        <v>85</v>
      </c>
      <c r="B64" s="26"/>
      <c r="C64" s="26"/>
      <c r="D64" s="26"/>
      <c r="E64" s="26"/>
      <c r="F64" s="26"/>
      <c r="G64" s="26"/>
      <c r="H64" s="26"/>
      <c r="I64" s="26"/>
      <c r="J64" s="26"/>
      <c r="K64" s="26"/>
      <c r="L64" s="26"/>
      <c r="M64" s="26"/>
      <c r="N64" s="26"/>
      <c r="O64" s="26"/>
      <c r="P64" s="26"/>
      <c r="Q64" s="24"/>
      <c r="R64" s="24"/>
      <c r="S64" s="24"/>
      <c r="T64" s="24"/>
      <c r="U64" s="24"/>
      <c r="V64" s="24"/>
      <c r="W64" s="24"/>
      <c r="X64" s="24"/>
      <c r="Y64" s="24"/>
      <c r="Z64" s="24"/>
      <c r="AA64" s="24"/>
    </row>
    <row r="65">
      <c r="A65" s="29" t="s">
        <v>85</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9" t="s">
        <v>85</v>
      </c>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9" t="s">
        <v>85</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9" t="s">
        <v>85</v>
      </c>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9" t="s">
        <v>85</v>
      </c>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9" t="s">
        <v>85</v>
      </c>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9" t="s">
        <v>85</v>
      </c>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9" t="s">
        <v>85</v>
      </c>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9" t="s">
        <v>85</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9" t="s">
        <v>85</v>
      </c>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9" t="s">
        <v>85</v>
      </c>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9" t="s">
        <v>85</v>
      </c>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9" t="s">
        <v>85</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9" t="s">
        <v>85</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9" t="s">
        <v>85</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9" t="s">
        <v>85</v>
      </c>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9" t="s">
        <v>85</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9" t="s">
        <v>85</v>
      </c>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9" t="s">
        <v>85</v>
      </c>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9" t="s">
        <v>85</v>
      </c>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9" t="s">
        <v>85</v>
      </c>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9" t="s">
        <v>85</v>
      </c>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9" t="s">
        <v>85</v>
      </c>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9" t="s">
        <v>85</v>
      </c>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9" t="s">
        <v>85</v>
      </c>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9" t="s">
        <v>85</v>
      </c>
    </row>
    <row r="91">
      <c r="A91" s="29" t="s">
        <v>85</v>
      </c>
    </row>
    <row r="92">
      <c r="A92" s="29" t="s">
        <v>85</v>
      </c>
    </row>
    <row r="93">
      <c r="A93" s="29" t="s">
        <v>85</v>
      </c>
    </row>
    <row r="94">
      <c r="A94" s="29" t="s">
        <v>85</v>
      </c>
    </row>
    <row r="95">
      <c r="A95" s="29" t="s">
        <v>85</v>
      </c>
    </row>
    <row r="96">
      <c r="A96" s="29" t="s">
        <v>85</v>
      </c>
    </row>
    <row r="97">
      <c r="A97" s="29" t="s">
        <v>85</v>
      </c>
    </row>
    <row r="98">
      <c r="A98" s="29" t="s">
        <v>85</v>
      </c>
    </row>
    <row r="99">
      <c r="A99" s="29" t="s">
        <v>85</v>
      </c>
    </row>
    <row r="100">
      <c r="A100" s="30" t="s">
        <v>85</v>
      </c>
    </row>
  </sheetData>
  <dataValidations>
    <dataValidation type="list" allowBlank="1" showErrorMessage="1" sqref="J11:J64">
      <formula1>"Fail,Pass"</formula1>
    </dataValidation>
    <dataValidation type="list" allowBlank="1" showErrorMessage="1" sqref="K11:K64">
      <formula1>"Low,Medium,High"</formula1>
    </dataValidation>
    <dataValidation type="list" allowBlank="1" showErrorMessage="1" sqref="O11:O64">
      <formula1>"Solved,Unsolved,frontend"</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8"/>
    <hyperlink r:id="rId18" ref="L29"/>
    <hyperlink r:id="rId19" ref="L30"/>
    <hyperlink r:id="rId20" ref="L31"/>
    <hyperlink r:id="rId21" ref="L32"/>
    <hyperlink r:id="rId22" ref="L34"/>
    <hyperlink r:id="rId23" ref="L35"/>
    <hyperlink r:id="rId24" ref="L36"/>
    <hyperlink r:id="rId25" ref="L37"/>
    <hyperlink r:id="rId26" ref="L38"/>
    <hyperlink r:id="rId27" ref="L39"/>
    <hyperlink r:id="rId28" ref="L40"/>
    <hyperlink r:id="rId29" ref="L41"/>
    <hyperlink r:id="rId30" ref="L42"/>
    <hyperlink r:id="rId31" ref="L43"/>
    <hyperlink r:id="rId32" ref="L44"/>
    <hyperlink r:id="rId33" ref="L45"/>
    <hyperlink r:id="rId34" ref="L46"/>
    <hyperlink r:id="rId35" ref="L47"/>
    <hyperlink r:id="rId36" ref="L48"/>
    <hyperlink r:id="rId37" ref="L49"/>
    <hyperlink r:id="rId38" ref="L50"/>
  </hyperlinks>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22.13"/>
    <col customWidth="1" min="8" max="8" width="17.63"/>
    <col customWidth="1" min="9" max="9" width="16.5"/>
    <col customWidth="1" min="10" max="10" width="11.13"/>
    <col customWidth="1" min="11" max="11" width="13.25"/>
    <col customWidth="1" min="12" max="12" width="14.63"/>
    <col customWidth="1" min="13" max="13" width="12.25"/>
    <col customWidth="1" min="14" max="14" width="14.38"/>
  </cols>
  <sheetData>
    <row r="1">
      <c r="A1" s="31" t="s">
        <v>0</v>
      </c>
      <c r="B1" s="32" t="s">
        <v>1</v>
      </c>
      <c r="C1" s="33"/>
      <c r="D1" s="33"/>
      <c r="E1" s="33"/>
      <c r="F1" s="33"/>
      <c r="G1" s="33"/>
      <c r="H1" s="33"/>
      <c r="I1" s="33"/>
      <c r="J1" s="33"/>
      <c r="K1" s="33"/>
      <c r="L1" s="33"/>
      <c r="M1" s="33"/>
      <c r="N1" s="33"/>
      <c r="O1" s="33"/>
      <c r="P1" s="33"/>
      <c r="Q1" s="33"/>
      <c r="R1" s="33"/>
      <c r="S1" s="33"/>
      <c r="T1" s="33"/>
      <c r="U1" s="33"/>
      <c r="V1" s="33"/>
      <c r="W1" s="33"/>
      <c r="X1" s="33"/>
      <c r="Y1" s="33"/>
      <c r="Z1" s="33"/>
    </row>
    <row r="2">
      <c r="A2" s="31" t="s">
        <v>4</v>
      </c>
      <c r="B2" s="34"/>
      <c r="C2" s="33"/>
      <c r="D2" s="33"/>
      <c r="E2" s="33"/>
      <c r="F2" s="33"/>
      <c r="G2" s="33"/>
      <c r="H2" s="33"/>
      <c r="I2" s="33"/>
      <c r="J2" s="32" t="s">
        <v>86</v>
      </c>
      <c r="K2" s="35" t="s">
        <v>87</v>
      </c>
      <c r="L2" s="36"/>
      <c r="M2" s="37"/>
      <c r="N2" s="33"/>
      <c r="O2" s="33"/>
      <c r="P2" s="33"/>
      <c r="Q2" s="33"/>
      <c r="R2" s="33"/>
      <c r="S2" s="33"/>
      <c r="T2" s="33"/>
      <c r="U2" s="33"/>
      <c r="V2" s="33"/>
      <c r="W2" s="33"/>
      <c r="X2" s="33"/>
      <c r="Y2" s="33"/>
      <c r="Z2" s="33"/>
    </row>
    <row r="3">
      <c r="A3" s="31" t="s">
        <v>8</v>
      </c>
      <c r="B3" s="32"/>
      <c r="C3" s="33"/>
      <c r="D3" s="33"/>
      <c r="E3" s="33"/>
      <c r="F3" s="33"/>
      <c r="G3" s="33"/>
      <c r="H3" s="33"/>
      <c r="I3" s="33"/>
      <c r="J3" s="32" t="s">
        <v>88</v>
      </c>
      <c r="K3" s="35">
        <v>1.23456789E8</v>
      </c>
      <c r="L3" s="36"/>
      <c r="M3" s="37"/>
      <c r="N3" s="33"/>
      <c r="O3" s="33"/>
      <c r="P3" s="33"/>
      <c r="Q3" s="33"/>
      <c r="R3" s="33"/>
      <c r="S3" s="33"/>
      <c r="T3" s="33"/>
      <c r="U3" s="33"/>
      <c r="V3" s="33"/>
      <c r="W3" s="33"/>
      <c r="X3" s="33"/>
      <c r="Y3" s="33"/>
      <c r="Z3" s="33"/>
    </row>
    <row r="4">
      <c r="A4" s="31" t="s">
        <v>10</v>
      </c>
      <c r="B4" s="38" t="s">
        <v>89</v>
      </c>
      <c r="C4" s="33"/>
      <c r="D4" s="33"/>
      <c r="E4" s="33"/>
      <c r="F4" s="33"/>
      <c r="G4" s="33"/>
      <c r="H4" s="33"/>
      <c r="I4" s="33"/>
      <c r="J4" s="33"/>
      <c r="K4" s="33"/>
      <c r="L4" s="33"/>
      <c r="M4" s="33"/>
      <c r="N4" s="33"/>
      <c r="O4" s="33"/>
      <c r="P4" s="33"/>
      <c r="Q4" s="33"/>
      <c r="R4" s="33"/>
      <c r="S4" s="33"/>
      <c r="T4" s="33"/>
      <c r="U4" s="33"/>
      <c r="V4" s="33"/>
      <c r="W4" s="33"/>
      <c r="X4" s="33"/>
      <c r="Y4" s="33"/>
      <c r="Z4" s="33"/>
    </row>
    <row r="5">
      <c r="A5" s="39" t="s">
        <v>90</v>
      </c>
      <c r="B5" s="38" t="s">
        <v>91</v>
      </c>
      <c r="C5" s="33"/>
      <c r="D5" s="33"/>
      <c r="E5" s="33"/>
      <c r="F5" s="33"/>
      <c r="G5" s="33"/>
      <c r="H5" s="33"/>
      <c r="I5" s="33"/>
      <c r="J5" s="33"/>
      <c r="K5" s="33"/>
      <c r="L5" s="33"/>
      <c r="M5" s="33"/>
      <c r="N5" s="33"/>
      <c r="O5" s="33"/>
      <c r="P5" s="33"/>
      <c r="Q5" s="33"/>
      <c r="R5" s="33"/>
      <c r="S5" s="33"/>
      <c r="T5" s="33"/>
      <c r="U5" s="33"/>
      <c r="V5" s="33"/>
      <c r="W5" s="33"/>
      <c r="X5" s="33"/>
      <c r="Y5" s="33"/>
      <c r="Z5" s="33"/>
    </row>
    <row r="6">
      <c r="A6" s="33"/>
      <c r="B6" s="33"/>
      <c r="C6" s="33"/>
      <c r="D6" s="33"/>
      <c r="E6" s="33"/>
      <c r="F6" s="33"/>
      <c r="G6" s="33"/>
      <c r="H6" s="33"/>
      <c r="I6" s="33"/>
      <c r="J6" s="33"/>
      <c r="K6" s="33"/>
      <c r="L6" s="33"/>
      <c r="M6" s="33"/>
      <c r="N6" s="33"/>
      <c r="O6" s="33"/>
      <c r="P6" s="33"/>
      <c r="Q6" s="33"/>
      <c r="R6" s="33"/>
      <c r="S6" s="33"/>
      <c r="T6" s="33"/>
      <c r="U6" s="33"/>
      <c r="V6" s="33"/>
      <c r="W6" s="33"/>
      <c r="X6" s="33"/>
      <c r="Y6" s="33"/>
      <c r="Z6" s="33"/>
    </row>
    <row r="7">
      <c r="A7" s="40" t="s">
        <v>92</v>
      </c>
      <c r="B7" s="40" t="s">
        <v>15</v>
      </c>
      <c r="C7" s="40" t="s">
        <v>16</v>
      </c>
      <c r="D7" s="40" t="s">
        <v>17</v>
      </c>
      <c r="E7" s="40" t="s">
        <v>18</v>
      </c>
      <c r="F7" s="40" t="s">
        <v>19</v>
      </c>
      <c r="G7" s="40" t="s">
        <v>20</v>
      </c>
      <c r="H7" s="40" t="s">
        <v>21</v>
      </c>
      <c r="I7" s="40" t="s">
        <v>22</v>
      </c>
      <c r="J7" s="40" t="s">
        <v>23</v>
      </c>
      <c r="K7" s="40" t="s">
        <v>2</v>
      </c>
      <c r="L7" s="40" t="s">
        <v>24</v>
      </c>
      <c r="M7" s="40" t="s">
        <v>25</v>
      </c>
      <c r="N7" s="40" t="s">
        <v>27</v>
      </c>
      <c r="O7" s="33"/>
      <c r="P7" s="33"/>
      <c r="Q7" s="33"/>
      <c r="R7" s="33"/>
      <c r="S7" s="33"/>
      <c r="T7" s="33"/>
      <c r="U7" s="33"/>
      <c r="V7" s="33"/>
      <c r="W7" s="33"/>
      <c r="X7" s="33"/>
      <c r="Y7" s="33"/>
      <c r="Z7" s="33"/>
    </row>
    <row r="8">
      <c r="A8" s="41" t="s">
        <v>93</v>
      </c>
      <c r="B8" s="32" t="s">
        <v>94</v>
      </c>
      <c r="C8" s="32" t="s">
        <v>94</v>
      </c>
      <c r="D8" s="41" t="s">
        <v>95</v>
      </c>
      <c r="E8" s="41" t="s">
        <v>96</v>
      </c>
      <c r="F8" s="42" t="s">
        <v>97</v>
      </c>
      <c r="G8" s="41" t="s">
        <v>98</v>
      </c>
      <c r="H8" s="41" t="s">
        <v>99</v>
      </c>
      <c r="I8" s="41" t="s">
        <v>100</v>
      </c>
      <c r="J8" s="41" t="s">
        <v>101</v>
      </c>
      <c r="K8" s="41" t="s">
        <v>7</v>
      </c>
      <c r="L8" s="43" t="s">
        <v>102</v>
      </c>
      <c r="M8" s="41"/>
      <c r="N8" s="41"/>
      <c r="O8" s="33"/>
      <c r="P8" s="33"/>
      <c r="Q8" s="33"/>
      <c r="R8" s="33"/>
      <c r="S8" s="33"/>
      <c r="T8" s="33"/>
      <c r="U8" s="33"/>
      <c r="V8" s="33"/>
      <c r="W8" s="33"/>
      <c r="X8" s="33"/>
      <c r="Y8" s="33"/>
      <c r="Z8" s="33"/>
    </row>
    <row r="9">
      <c r="A9" s="33"/>
      <c r="B9" s="33"/>
      <c r="C9" s="33"/>
      <c r="D9" s="33"/>
      <c r="E9" s="33"/>
      <c r="F9" s="33"/>
      <c r="G9" s="33"/>
      <c r="H9" s="33"/>
      <c r="I9" s="33"/>
      <c r="J9" s="33"/>
      <c r="K9" s="33"/>
      <c r="L9" s="33"/>
      <c r="M9" s="33"/>
      <c r="N9" s="33"/>
      <c r="O9" s="33"/>
      <c r="P9" s="33"/>
      <c r="Q9" s="33"/>
      <c r="R9" s="33"/>
      <c r="S9" s="33"/>
      <c r="T9" s="33"/>
      <c r="U9" s="33"/>
      <c r="V9" s="33"/>
      <c r="W9" s="33"/>
      <c r="X9" s="33"/>
      <c r="Y9" s="33"/>
      <c r="Z9" s="33"/>
    </row>
    <row r="10">
      <c r="A10" s="32" t="s">
        <v>103</v>
      </c>
      <c r="B10" s="32" t="s">
        <v>104</v>
      </c>
      <c r="C10" s="32" t="s">
        <v>104</v>
      </c>
      <c r="D10" s="32" t="s">
        <v>105</v>
      </c>
      <c r="E10" s="32" t="s">
        <v>96</v>
      </c>
      <c r="F10" s="44" t="s">
        <v>106</v>
      </c>
      <c r="G10" s="32" t="s">
        <v>98</v>
      </c>
      <c r="H10" s="32" t="s">
        <v>107</v>
      </c>
      <c r="I10" s="32" t="s">
        <v>108</v>
      </c>
      <c r="J10" s="32" t="s">
        <v>101</v>
      </c>
      <c r="K10" s="32" t="s">
        <v>5</v>
      </c>
      <c r="L10" s="45"/>
      <c r="M10" s="32"/>
      <c r="N10" s="32"/>
      <c r="O10" s="33"/>
      <c r="P10" s="33"/>
      <c r="Q10" s="33"/>
      <c r="R10" s="33"/>
      <c r="S10" s="33"/>
      <c r="T10" s="33"/>
      <c r="U10" s="33"/>
      <c r="V10" s="33"/>
      <c r="W10" s="33"/>
      <c r="X10" s="33"/>
      <c r="Y10" s="33"/>
      <c r="Z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2" t="s">
        <v>109</v>
      </c>
      <c r="B12" s="32" t="s">
        <v>94</v>
      </c>
      <c r="C12" s="32" t="s">
        <v>94</v>
      </c>
      <c r="D12" s="32" t="s">
        <v>110</v>
      </c>
      <c r="E12" s="32" t="s">
        <v>96</v>
      </c>
      <c r="F12" s="44" t="s">
        <v>111</v>
      </c>
      <c r="G12" s="32" t="s">
        <v>98</v>
      </c>
      <c r="H12" s="32" t="s">
        <v>112</v>
      </c>
      <c r="I12" s="32" t="s">
        <v>113</v>
      </c>
      <c r="J12" s="32" t="s">
        <v>101</v>
      </c>
      <c r="K12" s="32" t="s">
        <v>5</v>
      </c>
      <c r="L12" s="46" t="s">
        <v>114</v>
      </c>
      <c r="M12" s="44" t="s">
        <v>115</v>
      </c>
      <c r="N12" s="32"/>
      <c r="O12" s="33"/>
      <c r="P12" s="33"/>
      <c r="Q12" s="33"/>
      <c r="R12" s="33"/>
      <c r="S12" s="33"/>
      <c r="T12" s="33"/>
      <c r="U12" s="33"/>
      <c r="V12" s="33"/>
      <c r="W12" s="33"/>
      <c r="X12" s="33"/>
      <c r="Y12" s="33"/>
      <c r="Z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c r="A14" s="32" t="s">
        <v>116</v>
      </c>
      <c r="B14" s="32" t="s">
        <v>104</v>
      </c>
      <c r="C14" s="32" t="s">
        <v>104</v>
      </c>
      <c r="D14" s="32" t="s">
        <v>117</v>
      </c>
      <c r="E14" s="32" t="s">
        <v>96</v>
      </c>
      <c r="F14" s="44" t="s">
        <v>118</v>
      </c>
      <c r="G14" s="32" t="s">
        <v>98</v>
      </c>
      <c r="H14" s="32" t="s">
        <v>119</v>
      </c>
      <c r="I14" s="32" t="s">
        <v>120</v>
      </c>
      <c r="J14" s="32" t="s">
        <v>101</v>
      </c>
      <c r="K14" s="32" t="s">
        <v>5</v>
      </c>
      <c r="L14" s="45" t="s">
        <v>121</v>
      </c>
      <c r="M14" s="34"/>
      <c r="N14" s="32"/>
      <c r="O14" s="33"/>
      <c r="P14" s="33"/>
      <c r="Q14" s="33"/>
      <c r="R14" s="33"/>
      <c r="S14" s="33"/>
      <c r="T14" s="33"/>
      <c r="U14" s="33"/>
      <c r="V14" s="33"/>
      <c r="W14" s="33"/>
      <c r="X14" s="33"/>
      <c r="Y14" s="33"/>
      <c r="Z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2" t="s">
        <v>122</v>
      </c>
      <c r="B16" s="32" t="s">
        <v>123</v>
      </c>
      <c r="C16" s="32" t="s">
        <v>123</v>
      </c>
      <c r="D16" s="32" t="s">
        <v>124</v>
      </c>
      <c r="E16" s="32" t="s">
        <v>96</v>
      </c>
      <c r="F16" s="44" t="s">
        <v>125</v>
      </c>
      <c r="G16" s="32" t="s">
        <v>126</v>
      </c>
      <c r="H16" s="32" t="s">
        <v>127</v>
      </c>
      <c r="I16" s="32" t="s">
        <v>128</v>
      </c>
      <c r="J16" s="32" t="s">
        <v>101</v>
      </c>
      <c r="K16" s="32" t="s">
        <v>5</v>
      </c>
      <c r="L16" s="45" t="s">
        <v>129</v>
      </c>
      <c r="M16" s="47"/>
      <c r="N16" s="32"/>
      <c r="O16" s="33"/>
      <c r="P16" s="33"/>
      <c r="Q16" s="33"/>
      <c r="R16" s="33"/>
      <c r="S16" s="33"/>
      <c r="T16" s="33"/>
      <c r="U16" s="33"/>
      <c r="V16" s="33"/>
      <c r="W16" s="33"/>
      <c r="X16" s="33"/>
      <c r="Y16" s="33"/>
      <c r="Z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2" t="s">
        <v>130</v>
      </c>
      <c r="B18" s="32" t="s">
        <v>131</v>
      </c>
      <c r="C18" s="32" t="s">
        <v>131</v>
      </c>
      <c r="D18" s="32" t="s">
        <v>132</v>
      </c>
      <c r="E18" s="32" t="s">
        <v>96</v>
      </c>
      <c r="F18" s="44" t="s">
        <v>133</v>
      </c>
      <c r="G18" s="32" t="s">
        <v>126</v>
      </c>
      <c r="H18" s="32" t="s">
        <v>134</v>
      </c>
      <c r="I18" s="32" t="s">
        <v>135</v>
      </c>
      <c r="J18" s="32" t="s">
        <v>101</v>
      </c>
      <c r="K18" s="32" t="s">
        <v>7</v>
      </c>
      <c r="L18" s="45" t="s">
        <v>136</v>
      </c>
      <c r="M18" s="47"/>
      <c r="N18" s="32"/>
      <c r="O18" s="33"/>
      <c r="P18" s="33"/>
      <c r="Q18" s="33"/>
      <c r="R18" s="33"/>
      <c r="S18" s="33"/>
      <c r="T18" s="33"/>
      <c r="U18" s="33"/>
      <c r="V18" s="33"/>
      <c r="W18" s="33"/>
      <c r="X18" s="33"/>
      <c r="Y18" s="33"/>
      <c r="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2" t="s">
        <v>137</v>
      </c>
      <c r="B20" s="32" t="s">
        <v>131</v>
      </c>
      <c r="C20" s="32" t="s">
        <v>131</v>
      </c>
      <c r="D20" s="32" t="s">
        <v>138</v>
      </c>
      <c r="E20" s="32" t="s">
        <v>96</v>
      </c>
      <c r="F20" s="44" t="s">
        <v>139</v>
      </c>
      <c r="G20" s="32" t="s">
        <v>126</v>
      </c>
      <c r="H20" s="32" t="s">
        <v>140</v>
      </c>
      <c r="I20" s="32" t="s">
        <v>141</v>
      </c>
      <c r="J20" s="32" t="s">
        <v>101</v>
      </c>
      <c r="K20" s="32" t="s">
        <v>9</v>
      </c>
      <c r="L20" s="45" t="s">
        <v>142</v>
      </c>
      <c r="M20" s="47"/>
      <c r="N20" s="32"/>
      <c r="O20" s="33"/>
      <c r="P20" s="33"/>
      <c r="Q20" s="33"/>
      <c r="R20" s="33"/>
      <c r="S20" s="33"/>
      <c r="T20" s="33"/>
      <c r="U20" s="33"/>
      <c r="V20" s="33"/>
      <c r="W20" s="33"/>
      <c r="X20" s="33"/>
      <c r="Y20" s="33"/>
      <c r="Z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32" t="s">
        <v>143</v>
      </c>
      <c r="B22" s="32" t="s">
        <v>131</v>
      </c>
      <c r="C22" s="32" t="s">
        <v>131</v>
      </c>
      <c r="D22" s="32" t="s">
        <v>144</v>
      </c>
      <c r="E22" s="32" t="s">
        <v>96</v>
      </c>
      <c r="F22" s="44" t="s">
        <v>145</v>
      </c>
      <c r="G22" s="32" t="s">
        <v>126</v>
      </c>
      <c r="H22" s="32" t="s">
        <v>146</v>
      </c>
      <c r="I22" s="32" t="s">
        <v>147</v>
      </c>
      <c r="J22" s="32" t="s">
        <v>101</v>
      </c>
      <c r="K22" s="32" t="s">
        <v>5</v>
      </c>
      <c r="L22" s="45" t="s">
        <v>148</v>
      </c>
      <c r="M22" s="47"/>
      <c r="N22" s="32"/>
      <c r="O22" s="33"/>
      <c r="P22" s="33"/>
      <c r="Q22" s="33"/>
      <c r="R22" s="33"/>
      <c r="S22" s="33"/>
      <c r="T22" s="33"/>
      <c r="U22" s="33"/>
      <c r="V22" s="33"/>
      <c r="W22" s="33"/>
      <c r="X22" s="33"/>
      <c r="Y22" s="33"/>
      <c r="Z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2" t="s">
        <v>149</v>
      </c>
      <c r="B24" s="32" t="s">
        <v>131</v>
      </c>
      <c r="C24" s="32" t="s">
        <v>131</v>
      </c>
      <c r="D24" s="32" t="s">
        <v>150</v>
      </c>
      <c r="E24" s="32" t="s">
        <v>96</v>
      </c>
      <c r="F24" s="44" t="s">
        <v>151</v>
      </c>
      <c r="G24" s="32" t="s">
        <v>126</v>
      </c>
      <c r="H24" s="32" t="s">
        <v>152</v>
      </c>
      <c r="I24" s="32" t="s">
        <v>153</v>
      </c>
      <c r="J24" s="32" t="s">
        <v>101</v>
      </c>
      <c r="K24" s="32" t="s">
        <v>5</v>
      </c>
      <c r="L24" s="45" t="s">
        <v>154</v>
      </c>
      <c r="M24" s="47"/>
      <c r="N24" s="47"/>
      <c r="O24" s="33"/>
      <c r="P24" s="33"/>
      <c r="Q24" s="33"/>
      <c r="R24" s="33"/>
      <c r="S24" s="33"/>
      <c r="T24" s="33"/>
      <c r="U24" s="33"/>
      <c r="V24" s="33"/>
      <c r="W24" s="33"/>
      <c r="X24" s="33"/>
      <c r="Y24" s="33"/>
      <c r="Z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2" t="s">
        <v>155</v>
      </c>
      <c r="B26" s="32" t="s">
        <v>156</v>
      </c>
      <c r="C26" s="32" t="s">
        <v>156</v>
      </c>
      <c r="D26" s="32" t="s">
        <v>157</v>
      </c>
      <c r="E26" s="32" t="s">
        <v>96</v>
      </c>
      <c r="F26" s="44" t="s">
        <v>158</v>
      </c>
      <c r="G26" s="32" t="s">
        <v>126</v>
      </c>
      <c r="H26" s="32" t="s">
        <v>159</v>
      </c>
      <c r="I26" s="32" t="s">
        <v>160</v>
      </c>
      <c r="J26" s="32" t="s">
        <v>101</v>
      </c>
      <c r="K26" s="32" t="s">
        <v>5</v>
      </c>
      <c r="L26" s="46" t="s">
        <v>161</v>
      </c>
      <c r="M26" s="47"/>
      <c r="N26" s="47"/>
      <c r="O26" s="33"/>
      <c r="P26" s="33"/>
      <c r="Q26" s="33"/>
      <c r="R26" s="33"/>
      <c r="S26" s="33"/>
      <c r="T26" s="33"/>
      <c r="U26" s="33"/>
      <c r="V26" s="33"/>
      <c r="W26" s="33"/>
      <c r="X26" s="33"/>
      <c r="Y26" s="33"/>
      <c r="Z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2" t="s">
        <v>162</v>
      </c>
      <c r="B28" s="32" t="s">
        <v>163</v>
      </c>
      <c r="C28" s="32" t="s">
        <v>163</v>
      </c>
      <c r="D28" s="32" t="s">
        <v>164</v>
      </c>
      <c r="E28" s="32" t="s">
        <v>96</v>
      </c>
      <c r="F28" s="44" t="s">
        <v>165</v>
      </c>
      <c r="G28" s="32" t="s">
        <v>126</v>
      </c>
      <c r="H28" s="32" t="s">
        <v>166</v>
      </c>
      <c r="I28" s="32" t="s">
        <v>167</v>
      </c>
      <c r="J28" s="32" t="s">
        <v>101</v>
      </c>
      <c r="K28" s="32" t="s">
        <v>7</v>
      </c>
      <c r="L28" s="45" t="s">
        <v>168</v>
      </c>
      <c r="M28" s="47"/>
      <c r="N28" s="47"/>
      <c r="O28" s="33"/>
      <c r="P28" s="33"/>
      <c r="Q28" s="33"/>
      <c r="R28" s="33"/>
      <c r="S28" s="33"/>
      <c r="T28" s="33"/>
      <c r="U28" s="33"/>
      <c r="V28" s="33"/>
      <c r="W28" s="33"/>
      <c r="X28" s="33"/>
      <c r="Y28" s="33"/>
      <c r="Z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2" t="s">
        <v>169</v>
      </c>
      <c r="B30" s="32" t="s">
        <v>163</v>
      </c>
      <c r="C30" s="32" t="s">
        <v>163</v>
      </c>
      <c r="D30" s="32" t="s">
        <v>170</v>
      </c>
      <c r="E30" s="32" t="s">
        <v>96</v>
      </c>
      <c r="F30" s="44" t="s">
        <v>171</v>
      </c>
      <c r="G30" s="32" t="s">
        <v>126</v>
      </c>
      <c r="H30" s="32" t="s">
        <v>172</v>
      </c>
      <c r="I30" s="32" t="s">
        <v>173</v>
      </c>
      <c r="J30" s="32" t="s">
        <v>101</v>
      </c>
      <c r="K30" s="32" t="s">
        <v>9</v>
      </c>
      <c r="L30" s="45" t="s">
        <v>174</v>
      </c>
      <c r="M30" s="47"/>
      <c r="N30" s="47"/>
      <c r="O30" s="33"/>
      <c r="P30" s="33"/>
      <c r="Q30" s="33"/>
      <c r="R30" s="33"/>
      <c r="S30" s="33"/>
      <c r="T30" s="33"/>
      <c r="U30" s="33"/>
      <c r="V30" s="33"/>
      <c r="W30" s="33"/>
      <c r="X30" s="33"/>
      <c r="Y30" s="33"/>
      <c r="Z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2" t="s">
        <v>175</v>
      </c>
      <c r="B32" s="32" t="s">
        <v>163</v>
      </c>
      <c r="C32" s="32" t="s">
        <v>163</v>
      </c>
      <c r="D32" s="32" t="s">
        <v>176</v>
      </c>
      <c r="E32" s="32" t="s">
        <v>96</v>
      </c>
      <c r="F32" s="44" t="s">
        <v>177</v>
      </c>
      <c r="G32" s="32" t="s">
        <v>126</v>
      </c>
      <c r="H32" s="32" t="s">
        <v>178</v>
      </c>
      <c r="I32" s="32" t="s">
        <v>179</v>
      </c>
      <c r="J32" s="32" t="s">
        <v>101</v>
      </c>
      <c r="K32" s="32" t="s">
        <v>9</v>
      </c>
      <c r="L32" s="45"/>
      <c r="M32" s="47"/>
      <c r="N32" s="47"/>
      <c r="O32" s="33"/>
      <c r="P32" s="33"/>
      <c r="Q32" s="33"/>
      <c r="R32" s="33"/>
      <c r="S32" s="33"/>
      <c r="T32" s="33"/>
      <c r="U32" s="33"/>
      <c r="V32" s="33"/>
      <c r="W32" s="33"/>
      <c r="X32" s="33"/>
      <c r="Y32" s="33"/>
      <c r="Z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2" t="s">
        <v>180</v>
      </c>
      <c r="B34" s="32" t="s">
        <v>163</v>
      </c>
      <c r="C34" s="32" t="s">
        <v>163</v>
      </c>
      <c r="D34" s="32" t="s">
        <v>181</v>
      </c>
      <c r="E34" s="32" t="s">
        <v>96</v>
      </c>
      <c r="F34" s="44" t="s">
        <v>182</v>
      </c>
      <c r="G34" s="32" t="s">
        <v>126</v>
      </c>
      <c r="H34" s="32" t="s">
        <v>183</v>
      </c>
      <c r="I34" s="32" t="s">
        <v>184</v>
      </c>
      <c r="J34" s="32" t="s">
        <v>101</v>
      </c>
      <c r="K34" s="32" t="s">
        <v>7</v>
      </c>
      <c r="L34" s="45" t="s">
        <v>185</v>
      </c>
      <c r="M34" s="47"/>
      <c r="N34" s="47"/>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2" t="s">
        <v>186</v>
      </c>
      <c r="B36" s="32" t="s">
        <v>163</v>
      </c>
      <c r="C36" s="32" t="s">
        <v>163</v>
      </c>
      <c r="D36" s="32" t="s">
        <v>187</v>
      </c>
      <c r="E36" s="32" t="s">
        <v>96</v>
      </c>
      <c r="F36" s="44" t="s">
        <v>188</v>
      </c>
      <c r="G36" s="32" t="s">
        <v>126</v>
      </c>
      <c r="H36" s="32" t="s">
        <v>189</v>
      </c>
      <c r="I36" s="32" t="s">
        <v>190</v>
      </c>
      <c r="J36" s="32" t="s">
        <v>101</v>
      </c>
      <c r="K36" s="32" t="s">
        <v>5</v>
      </c>
      <c r="L36" s="45" t="s">
        <v>191</v>
      </c>
      <c r="M36" s="47"/>
      <c r="N36" s="47"/>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2" t="s">
        <v>192</v>
      </c>
      <c r="B38" s="32" t="s">
        <v>163</v>
      </c>
      <c r="C38" s="32" t="s">
        <v>163</v>
      </c>
      <c r="D38" s="32" t="s">
        <v>193</v>
      </c>
      <c r="E38" s="32" t="s">
        <v>96</v>
      </c>
      <c r="F38" s="44" t="s">
        <v>194</v>
      </c>
      <c r="G38" s="32" t="s">
        <v>126</v>
      </c>
      <c r="H38" s="32" t="s">
        <v>195</v>
      </c>
      <c r="I38" s="32" t="s">
        <v>196</v>
      </c>
      <c r="J38" s="32" t="s">
        <v>101</v>
      </c>
      <c r="K38" s="32" t="s">
        <v>7</v>
      </c>
      <c r="L38" s="45" t="s">
        <v>197</v>
      </c>
      <c r="M38" s="47"/>
      <c r="N38" s="47"/>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2" t="s">
        <v>198</v>
      </c>
      <c r="B40" s="32" t="s">
        <v>163</v>
      </c>
      <c r="C40" s="32" t="s">
        <v>163</v>
      </c>
      <c r="D40" s="32" t="s">
        <v>199</v>
      </c>
      <c r="E40" s="32" t="s">
        <v>96</v>
      </c>
      <c r="F40" s="44" t="s">
        <v>200</v>
      </c>
      <c r="G40" s="32" t="s">
        <v>126</v>
      </c>
      <c r="H40" s="32" t="s">
        <v>201</v>
      </c>
      <c r="I40" s="32" t="s">
        <v>202</v>
      </c>
      <c r="J40" s="32" t="s">
        <v>101</v>
      </c>
      <c r="K40" s="32" t="s">
        <v>7</v>
      </c>
      <c r="L40" s="45" t="s">
        <v>197</v>
      </c>
      <c r="M40" s="47"/>
      <c r="N40" s="47"/>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2" t="s">
        <v>203</v>
      </c>
      <c r="B42" s="32" t="s">
        <v>163</v>
      </c>
      <c r="C42" s="32" t="s">
        <v>163</v>
      </c>
      <c r="D42" s="32" t="s">
        <v>204</v>
      </c>
      <c r="E42" s="32" t="s">
        <v>96</v>
      </c>
      <c r="F42" s="44" t="s">
        <v>205</v>
      </c>
      <c r="G42" s="32" t="s">
        <v>126</v>
      </c>
      <c r="H42" s="32" t="s">
        <v>206</v>
      </c>
      <c r="I42" s="32" t="s">
        <v>207</v>
      </c>
      <c r="J42" s="32" t="s">
        <v>101</v>
      </c>
      <c r="K42" s="32" t="s">
        <v>5</v>
      </c>
      <c r="L42" s="45" t="s">
        <v>208</v>
      </c>
      <c r="M42" s="47"/>
      <c r="N42" s="47"/>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2" t="s">
        <v>209</v>
      </c>
      <c r="B44" s="32" t="s">
        <v>163</v>
      </c>
      <c r="C44" s="32" t="s">
        <v>163</v>
      </c>
      <c r="D44" s="32" t="s">
        <v>210</v>
      </c>
      <c r="E44" s="32" t="s">
        <v>96</v>
      </c>
      <c r="F44" s="44" t="s">
        <v>211</v>
      </c>
      <c r="G44" s="32" t="s">
        <v>126</v>
      </c>
      <c r="H44" s="32" t="s">
        <v>212</v>
      </c>
      <c r="I44" s="32" t="s">
        <v>213</v>
      </c>
      <c r="J44" s="32" t="s">
        <v>101</v>
      </c>
      <c r="K44" s="32" t="s">
        <v>7</v>
      </c>
      <c r="L44" s="45" t="s">
        <v>214</v>
      </c>
      <c r="M44" s="47"/>
      <c r="N44" s="47"/>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2" t="s">
        <v>215</v>
      </c>
      <c r="B46" s="32" t="s">
        <v>163</v>
      </c>
      <c r="C46" s="32" t="s">
        <v>163</v>
      </c>
      <c r="D46" s="32" t="s">
        <v>193</v>
      </c>
      <c r="E46" s="32" t="s">
        <v>96</v>
      </c>
      <c r="F46" s="44" t="s">
        <v>216</v>
      </c>
      <c r="G46" s="32" t="s">
        <v>126</v>
      </c>
      <c r="H46" s="32" t="s">
        <v>195</v>
      </c>
      <c r="I46" s="32" t="s">
        <v>196</v>
      </c>
      <c r="J46" s="32" t="s">
        <v>101</v>
      </c>
      <c r="K46" s="32" t="s">
        <v>5</v>
      </c>
      <c r="L46" s="45" t="s">
        <v>217</v>
      </c>
      <c r="M46" s="47"/>
      <c r="N46" s="47"/>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2" t="s">
        <v>218</v>
      </c>
      <c r="B48" s="32" t="s">
        <v>163</v>
      </c>
      <c r="C48" s="32" t="s">
        <v>163</v>
      </c>
      <c r="D48" s="32" t="s">
        <v>199</v>
      </c>
      <c r="E48" s="32" t="s">
        <v>96</v>
      </c>
      <c r="F48" s="44" t="s">
        <v>219</v>
      </c>
      <c r="G48" s="32" t="s">
        <v>126</v>
      </c>
      <c r="H48" s="32" t="s">
        <v>201</v>
      </c>
      <c r="I48" s="32" t="s">
        <v>202</v>
      </c>
      <c r="J48" s="32" t="s">
        <v>101</v>
      </c>
      <c r="K48" s="32" t="s">
        <v>5</v>
      </c>
      <c r="L48" s="45" t="s">
        <v>217</v>
      </c>
      <c r="M48" s="32"/>
      <c r="N48" s="47"/>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2" t="s">
        <v>220</v>
      </c>
      <c r="B50" s="32" t="s">
        <v>163</v>
      </c>
      <c r="C50" s="32" t="s">
        <v>163</v>
      </c>
      <c r="D50" s="32" t="s">
        <v>221</v>
      </c>
      <c r="E50" s="32" t="s">
        <v>96</v>
      </c>
      <c r="F50" s="44" t="s">
        <v>222</v>
      </c>
      <c r="G50" s="32" t="s">
        <v>126</v>
      </c>
      <c r="H50" s="32" t="s">
        <v>223</v>
      </c>
      <c r="I50" s="32" t="s">
        <v>224</v>
      </c>
      <c r="J50" s="32" t="s">
        <v>101</v>
      </c>
      <c r="K50" s="32" t="s">
        <v>5</v>
      </c>
      <c r="L50" s="45" t="s">
        <v>225</v>
      </c>
      <c r="M50" s="47"/>
      <c r="N50" s="47"/>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2" t="s">
        <v>226</v>
      </c>
      <c r="B52" s="32" t="s">
        <v>163</v>
      </c>
      <c r="C52" s="32" t="s">
        <v>163</v>
      </c>
      <c r="D52" s="32" t="s">
        <v>193</v>
      </c>
      <c r="E52" s="32" t="s">
        <v>96</v>
      </c>
      <c r="F52" s="44" t="s">
        <v>227</v>
      </c>
      <c r="G52" s="32" t="s">
        <v>126</v>
      </c>
      <c r="H52" s="32" t="s">
        <v>195</v>
      </c>
      <c r="I52" s="32" t="s">
        <v>196</v>
      </c>
      <c r="J52" s="32" t="s">
        <v>101</v>
      </c>
      <c r="K52" s="32" t="s">
        <v>5</v>
      </c>
      <c r="L52" s="46" t="s">
        <v>228</v>
      </c>
      <c r="M52" s="47"/>
      <c r="N52" s="47"/>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2" t="s">
        <v>229</v>
      </c>
      <c r="B54" s="32" t="s">
        <v>163</v>
      </c>
      <c r="C54" s="32" t="s">
        <v>163</v>
      </c>
      <c r="D54" s="32" t="s">
        <v>199</v>
      </c>
      <c r="E54" s="32" t="s">
        <v>96</v>
      </c>
      <c r="F54" s="44" t="s">
        <v>230</v>
      </c>
      <c r="G54" s="32" t="s">
        <v>126</v>
      </c>
      <c r="H54" s="32" t="s">
        <v>201</v>
      </c>
      <c r="I54" s="32" t="s">
        <v>202</v>
      </c>
      <c r="J54" s="32" t="s">
        <v>101</v>
      </c>
      <c r="K54" s="32" t="s">
        <v>5</v>
      </c>
      <c r="L54" s="46" t="s">
        <v>228</v>
      </c>
      <c r="M54" s="47"/>
      <c r="N54" s="47"/>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2" t="s">
        <v>231</v>
      </c>
      <c r="B56" s="32" t="s">
        <v>163</v>
      </c>
      <c r="C56" s="32" t="s">
        <v>163</v>
      </c>
      <c r="D56" s="32" t="s">
        <v>193</v>
      </c>
      <c r="E56" s="32" t="s">
        <v>96</v>
      </c>
      <c r="F56" s="44" t="s">
        <v>232</v>
      </c>
      <c r="G56" s="32" t="s">
        <v>126</v>
      </c>
      <c r="H56" s="32" t="s">
        <v>195</v>
      </c>
      <c r="I56" s="32" t="s">
        <v>196</v>
      </c>
      <c r="J56" s="32" t="s">
        <v>101</v>
      </c>
      <c r="K56" s="32" t="s">
        <v>5</v>
      </c>
      <c r="L56" s="45" t="s">
        <v>233</v>
      </c>
      <c r="M56" s="47"/>
      <c r="N56" s="47"/>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2" t="s">
        <v>234</v>
      </c>
      <c r="B58" s="32" t="s">
        <v>163</v>
      </c>
      <c r="C58" s="32" t="s">
        <v>163</v>
      </c>
      <c r="D58" s="32" t="s">
        <v>199</v>
      </c>
      <c r="E58" s="32" t="s">
        <v>96</v>
      </c>
      <c r="F58" s="44" t="s">
        <v>235</v>
      </c>
      <c r="G58" s="32" t="s">
        <v>126</v>
      </c>
      <c r="H58" s="32" t="s">
        <v>201</v>
      </c>
      <c r="I58" s="32" t="s">
        <v>202</v>
      </c>
      <c r="J58" s="32" t="s">
        <v>101</v>
      </c>
      <c r="K58" s="32" t="s">
        <v>5</v>
      </c>
      <c r="L58" s="45" t="s">
        <v>233</v>
      </c>
      <c r="M58" s="47"/>
      <c r="N58" s="47"/>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2" t="s">
        <v>236</v>
      </c>
      <c r="B60" s="32" t="s">
        <v>163</v>
      </c>
      <c r="C60" s="32" t="s">
        <v>163</v>
      </c>
      <c r="D60" s="32" t="s">
        <v>193</v>
      </c>
      <c r="E60" s="32" t="s">
        <v>96</v>
      </c>
      <c r="F60" s="44" t="s">
        <v>237</v>
      </c>
      <c r="G60" s="32" t="s">
        <v>126</v>
      </c>
      <c r="H60" s="32" t="s">
        <v>195</v>
      </c>
      <c r="I60" s="32" t="s">
        <v>196</v>
      </c>
      <c r="J60" s="32" t="s">
        <v>101</v>
      </c>
      <c r="K60" s="32" t="s">
        <v>5</v>
      </c>
      <c r="L60" s="45" t="s">
        <v>238</v>
      </c>
      <c r="M60" s="47"/>
      <c r="N60" s="47"/>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2" t="s">
        <v>239</v>
      </c>
      <c r="B62" s="32" t="s">
        <v>163</v>
      </c>
      <c r="C62" s="32" t="s">
        <v>163</v>
      </c>
      <c r="D62" s="32" t="s">
        <v>199</v>
      </c>
      <c r="E62" s="32" t="s">
        <v>96</v>
      </c>
      <c r="F62" s="44" t="s">
        <v>240</v>
      </c>
      <c r="G62" s="32" t="s">
        <v>126</v>
      </c>
      <c r="H62" s="32" t="s">
        <v>201</v>
      </c>
      <c r="I62" s="32" t="s">
        <v>202</v>
      </c>
      <c r="J62" s="32" t="s">
        <v>101</v>
      </c>
      <c r="K62" s="32" t="s">
        <v>5</v>
      </c>
      <c r="L62" s="45" t="s">
        <v>238</v>
      </c>
      <c r="M62" s="47"/>
      <c r="N62" s="47"/>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2" t="s">
        <v>241</v>
      </c>
      <c r="B64" s="32" t="s">
        <v>163</v>
      </c>
      <c r="C64" s="32" t="s">
        <v>163</v>
      </c>
      <c r="D64" s="32" t="s">
        <v>242</v>
      </c>
      <c r="E64" s="32" t="s">
        <v>96</v>
      </c>
      <c r="F64" s="44" t="s">
        <v>243</v>
      </c>
      <c r="G64" s="32" t="s">
        <v>126</v>
      </c>
      <c r="H64" s="32" t="s">
        <v>244</v>
      </c>
      <c r="I64" s="32" t="s">
        <v>245</v>
      </c>
      <c r="J64" s="32" t="s">
        <v>101</v>
      </c>
      <c r="K64" s="32" t="s">
        <v>5</v>
      </c>
      <c r="L64" s="45" t="s">
        <v>246</v>
      </c>
      <c r="M64" s="47"/>
      <c r="N64" s="47"/>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2" t="s">
        <v>247</v>
      </c>
      <c r="B66" s="32" t="s">
        <v>163</v>
      </c>
      <c r="C66" s="32" t="s">
        <v>163</v>
      </c>
      <c r="D66" s="32" t="s">
        <v>248</v>
      </c>
      <c r="E66" s="32" t="s">
        <v>96</v>
      </c>
      <c r="F66" s="44" t="s">
        <v>249</v>
      </c>
      <c r="G66" s="32" t="s">
        <v>126</v>
      </c>
      <c r="H66" s="32" t="s">
        <v>250</v>
      </c>
      <c r="I66" s="32" t="s">
        <v>251</v>
      </c>
      <c r="J66" s="32" t="s">
        <v>101</v>
      </c>
      <c r="K66" s="32" t="s">
        <v>5</v>
      </c>
      <c r="L66" s="45" t="s">
        <v>252</v>
      </c>
      <c r="M66" s="47"/>
      <c r="N66" s="47"/>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2" t="s">
        <v>253</v>
      </c>
      <c r="B68" s="32" t="s">
        <v>254</v>
      </c>
      <c r="C68" s="32" t="s">
        <v>255</v>
      </c>
      <c r="D68" s="32" t="s">
        <v>256</v>
      </c>
      <c r="E68" s="32" t="s">
        <v>96</v>
      </c>
      <c r="F68" s="44" t="s">
        <v>257</v>
      </c>
      <c r="G68" s="32" t="s">
        <v>126</v>
      </c>
      <c r="H68" s="32" t="s">
        <v>258</v>
      </c>
      <c r="I68" s="32" t="s">
        <v>259</v>
      </c>
      <c r="J68" s="32" t="s">
        <v>101</v>
      </c>
      <c r="K68" s="32" t="s">
        <v>5</v>
      </c>
      <c r="L68" s="45" t="s">
        <v>260</v>
      </c>
      <c r="M68" s="47"/>
      <c r="N68" s="47"/>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2" t="s">
        <v>261</v>
      </c>
      <c r="B70" s="32" t="s">
        <v>254</v>
      </c>
      <c r="C70" s="32" t="s">
        <v>255</v>
      </c>
      <c r="D70" s="32" t="s">
        <v>262</v>
      </c>
      <c r="E70" s="32" t="s">
        <v>96</v>
      </c>
      <c r="F70" s="44" t="s">
        <v>263</v>
      </c>
      <c r="G70" s="32" t="s">
        <v>126</v>
      </c>
      <c r="H70" s="32" t="s">
        <v>264</v>
      </c>
      <c r="I70" s="32" t="s">
        <v>265</v>
      </c>
      <c r="J70" s="32" t="s">
        <v>101</v>
      </c>
      <c r="K70" s="32" t="s">
        <v>5</v>
      </c>
      <c r="L70" s="45" t="s">
        <v>266</v>
      </c>
      <c r="M70" s="47"/>
      <c r="N70" s="47"/>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2" t="s">
        <v>267</v>
      </c>
      <c r="B72" s="32" t="s">
        <v>254</v>
      </c>
      <c r="C72" s="32" t="s">
        <v>255</v>
      </c>
      <c r="D72" s="32" t="s">
        <v>262</v>
      </c>
      <c r="E72" s="32" t="s">
        <v>96</v>
      </c>
      <c r="F72" s="44" t="s">
        <v>268</v>
      </c>
      <c r="G72" s="32" t="s">
        <v>126</v>
      </c>
      <c r="H72" s="32" t="s">
        <v>264</v>
      </c>
      <c r="I72" s="32" t="s">
        <v>269</v>
      </c>
      <c r="J72" s="32" t="s">
        <v>101</v>
      </c>
      <c r="K72" s="32" t="s">
        <v>5</v>
      </c>
      <c r="L72" s="45" t="s">
        <v>270</v>
      </c>
      <c r="M72" s="47"/>
      <c r="N72" s="47"/>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2" t="s">
        <v>271</v>
      </c>
      <c r="B74" s="32" t="s">
        <v>254</v>
      </c>
      <c r="C74" s="32" t="s">
        <v>255</v>
      </c>
      <c r="D74" s="32" t="s">
        <v>272</v>
      </c>
      <c r="E74" s="32" t="s">
        <v>96</v>
      </c>
      <c r="F74" s="44" t="s">
        <v>273</v>
      </c>
      <c r="G74" s="32" t="s">
        <v>126</v>
      </c>
      <c r="H74" s="32" t="s">
        <v>258</v>
      </c>
      <c r="I74" s="32" t="s">
        <v>274</v>
      </c>
      <c r="J74" s="32" t="s">
        <v>101</v>
      </c>
      <c r="K74" s="32" t="s">
        <v>5</v>
      </c>
      <c r="L74" s="45" t="s">
        <v>275</v>
      </c>
      <c r="M74" s="47"/>
      <c r="N74" s="47"/>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2" t="s">
        <v>276</v>
      </c>
      <c r="B76" s="32" t="s">
        <v>254</v>
      </c>
      <c r="C76" s="32" t="s">
        <v>277</v>
      </c>
      <c r="D76" s="32" t="s">
        <v>278</v>
      </c>
      <c r="E76" s="32" t="s">
        <v>96</v>
      </c>
      <c r="F76" s="44" t="s">
        <v>279</v>
      </c>
      <c r="G76" s="32" t="s">
        <v>126</v>
      </c>
      <c r="H76" s="32" t="s">
        <v>258</v>
      </c>
      <c r="I76" s="32" t="s">
        <v>280</v>
      </c>
      <c r="J76" s="32" t="s">
        <v>101</v>
      </c>
      <c r="K76" s="32" t="s">
        <v>5</v>
      </c>
      <c r="L76" s="45" t="s">
        <v>281</v>
      </c>
      <c r="M76" s="47"/>
      <c r="N76" s="47"/>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2" t="s">
        <v>282</v>
      </c>
      <c r="B78" s="32" t="s">
        <v>254</v>
      </c>
      <c r="C78" s="32" t="s">
        <v>277</v>
      </c>
      <c r="D78" s="32" t="s">
        <v>283</v>
      </c>
      <c r="E78" s="32" t="s">
        <v>96</v>
      </c>
      <c r="F78" s="44" t="s">
        <v>284</v>
      </c>
      <c r="G78" s="32" t="s">
        <v>126</v>
      </c>
      <c r="H78" s="32" t="s">
        <v>258</v>
      </c>
      <c r="I78" s="32" t="s">
        <v>285</v>
      </c>
      <c r="J78" s="32" t="s">
        <v>101</v>
      </c>
      <c r="K78" s="32" t="s">
        <v>5</v>
      </c>
      <c r="L78" s="45" t="s">
        <v>286</v>
      </c>
      <c r="M78" s="47"/>
      <c r="N78" s="47"/>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2" t="s">
        <v>287</v>
      </c>
      <c r="B80" s="32" t="s">
        <v>254</v>
      </c>
      <c r="C80" s="32" t="s">
        <v>277</v>
      </c>
      <c r="D80" s="32" t="s">
        <v>288</v>
      </c>
      <c r="E80" s="32" t="s">
        <v>96</v>
      </c>
      <c r="F80" s="44" t="s">
        <v>289</v>
      </c>
      <c r="G80" s="32" t="s">
        <v>126</v>
      </c>
      <c r="H80" s="32" t="s">
        <v>264</v>
      </c>
      <c r="I80" s="32" t="s">
        <v>290</v>
      </c>
      <c r="J80" s="32" t="s">
        <v>101</v>
      </c>
      <c r="K80" s="32" t="s">
        <v>5</v>
      </c>
      <c r="L80" s="45" t="s">
        <v>291</v>
      </c>
      <c r="M80" s="47"/>
      <c r="N80" s="47"/>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2" t="s">
        <v>292</v>
      </c>
      <c r="B82" s="32" t="s">
        <v>254</v>
      </c>
      <c r="C82" s="32" t="s">
        <v>277</v>
      </c>
      <c r="D82" s="32" t="s">
        <v>293</v>
      </c>
      <c r="E82" s="32" t="s">
        <v>96</v>
      </c>
      <c r="F82" s="44" t="s">
        <v>294</v>
      </c>
      <c r="G82" s="32" t="s">
        <v>126</v>
      </c>
      <c r="H82" s="32" t="s">
        <v>295</v>
      </c>
      <c r="I82" s="32" t="s">
        <v>296</v>
      </c>
      <c r="J82" s="32" t="s">
        <v>101</v>
      </c>
      <c r="K82" s="32" t="s">
        <v>5</v>
      </c>
      <c r="L82" s="45" t="s">
        <v>297</v>
      </c>
      <c r="M82" s="47"/>
      <c r="N82" s="47"/>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2" t="s">
        <v>298</v>
      </c>
      <c r="B84" s="32" t="s">
        <v>254</v>
      </c>
      <c r="C84" s="32" t="s">
        <v>299</v>
      </c>
      <c r="D84" s="32" t="s">
        <v>300</v>
      </c>
      <c r="E84" s="32" t="s">
        <v>96</v>
      </c>
      <c r="F84" s="44" t="s">
        <v>301</v>
      </c>
      <c r="G84" s="32" t="s">
        <v>126</v>
      </c>
      <c r="H84" s="32" t="s">
        <v>302</v>
      </c>
      <c r="I84" s="32" t="s">
        <v>303</v>
      </c>
      <c r="J84" s="32" t="s">
        <v>101</v>
      </c>
      <c r="K84" s="32" t="s">
        <v>5</v>
      </c>
      <c r="L84" s="45" t="s">
        <v>304</v>
      </c>
      <c r="M84" s="47"/>
      <c r="N84" s="47"/>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2" t="s">
        <v>305</v>
      </c>
      <c r="B86" s="32" t="s">
        <v>254</v>
      </c>
      <c r="C86" s="32" t="s">
        <v>299</v>
      </c>
      <c r="D86" s="32" t="s">
        <v>306</v>
      </c>
      <c r="E86" s="32" t="s">
        <v>96</v>
      </c>
      <c r="F86" s="44" t="s">
        <v>307</v>
      </c>
      <c r="G86" s="32" t="s">
        <v>126</v>
      </c>
      <c r="H86" s="32" t="s">
        <v>295</v>
      </c>
      <c r="I86" s="32" t="s">
        <v>296</v>
      </c>
      <c r="J86" s="32" t="s">
        <v>101</v>
      </c>
      <c r="K86" s="32" t="s">
        <v>5</v>
      </c>
      <c r="L86" s="45" t="s">
        <v>308</v>
      </c>
      <c r="M86" s="47"/>
      <c r="N86" s="47"/>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2" t="s">
        <v>309</v>
      </c>
      <c r="B88" s="47"/>
      <c r="C88" s="47"/>
      <c r="D88" s="47"/>
      <c r="E88" s="47"/>
      <c r="F88" s="47"/>
      <c r="G88" s="47"/>
      <c r="H88" s="47"/>
      <c r="I88" s="47"/>
      <c r="J88" s="47"/>
      <c r="K88" s="47"/>
      <c r="L88" s="48"/>
      <c r="M88" s="47"/>
      <c r="N88" s="47"/>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2"/>
      <c r="B90" s="47"/>
      <c r="C90" s="47"/>
      <c r="D90" s="47"/>
      <c r="E90" s="47"/>
      <c r="F90" s="47"/>
      <c r="G90" s="47"/>
      <c r="H90" s="47"/>
      <c r="I90" s="47"/>
      <c r="J90" s="47"/>
      <c r="K90" s="47"/>
      <c r="L90" s="48"/>
      <c r="M90" s="47"/>
      <c r="N90" s="47"/>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2"/>
      <c r="B92" s="47"/>
      <c r="C92" s="47"/>
      <c r="D92" s="47"/>
      <c r="E92" s="47"/>
      <c r="F92" s="47"/>
      <c r="G92" s="47"/>
      <c r="H92" s="47"/>
      <c r="I92" s="47"/>
      <c r="J92" s="47"/>
      <c r="K92" s="47"/>
      <c r="L92" s="48"/>
      <c r="M92" s="47"/>
      <c r="N92" s="47"/>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2"/>
      <c r="B94" s="47"/>
      <c r="C94" s="47"/>
      <c r="D94" s="47"/>
      <c r="E94" s="47"/>
      <c r="F94" s="47"/>
      <c r="G94" s="47"/>
      <c r="H94" s="47"/>
      <c r="I94" s="47"/>
      <c r="J94" s="47"/>
      <c r="K94" s="47"/>
      <c r="L94" s="48"/>
      <c r="M94" s="47"/>
      <c r="N94" s="47"/>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2"/>
      <c r="B96" s="47"/>
      <c r="C96" s="47"/>
      <c r="D96" s="47"/>
      <c r="E96" s="47"/>
      <c r="F96" s="47"/>
      <c r="G96" s="47"/>
      <c r="H96" s="47"/>
      <c r="I96" s="47"/>
      <c r="J96" s="47"/>
      <c r="K96" s="47"/>
      <c r="L96" s="48"/>
      <c r="M96" s="47"/>
      <c r="N96" s="47"/>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2"/>
      <c r="B98" s="47"/>
      <c r="C98" s="47"/>
      <c r="D98" s="47"/>
      <c r="E98" s="47"/>
      <c r="F98" s="47"/>
      <c r="G98" s="47"/>
      <c r="H98" s="47"/>
      <c r="I98" s="47"/>
      <c r="J98" s="47"/>
      <c r="K98" s="47"/>
      <c r="L98" s="48"/>
      <c r="M98" s="47"/>
      <c r="N98" s="47"/>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2"/>
      <c r="B100" s="47"/>
      <c r="C100" s="47"/>
      <c r="D100" s="47"/>
      <c r="E100" s="47"/>
      <c r="F100" s="47"/>
      <c r="G100" s="47"/>
      <c r="H100" s="47"/>
      <c r="I100" s="47"/>
      <c r="J100" s="47"/>
      <c r="K100" s="47"/>
      <c r="L100" s="48"/>
      <c r="M100" s="47"/>
      <c r="N100" s="47"/>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sheetData>
  <mergeCells count="2">
    <mergeCell ref="K2:M2"/>
    <mergeCell ref="K3:M3"/>
  </mergeCells>
  <dataValidations>
    <dataValidation type="list" allowBlank="1" showErrorMessage="1" sqref="N8 N10 N12 N14 N16 N18 N20 N22 N24 N26 N28 N30 N32 N34 N36 N38 N40 N42 N44 N46 N48 N50 N52 N54 N56 N58 N60 N62 N64 N66 N68 N70 N72 N74 N76 N78 N80 N82 N84 N86 N88">
      <formula1>"Solved,Unsolve"</formula1>
    </dataValidation>
    <dataValidation type="list" allowBlank="1" showErrorMessage="1" sqref="J8 J10 J12 J14 J16 J18 J20 J22 J24 J26 J28 J30 J32 J34 J36 J38 J40 J42 J44 J46 J48 J50 J52 J54 J56 J58 J60 J62 J64 J66 J68 J70 J72 J74 J76 J78 J80 J82 J84 J86 J88">
      <formula1>"Pass,Fail"</formula1>
    </dataValidation>
    <dataValidation type="list" allowBlank="1" showErrorMessage="1" sqref="K8 K10 K12 K14 K16 K18 K20 K22 K24 K26 K28 K30 K32 K34 K36 K38 K40 K42 K44 K46 K48 K50 K52 K54 K56 K58 K60 K62 K64 K66 K68 K70 K72 K74 K76 K78 K80 K82 K84 K86 K88">
      <formula1>"High,Medium,Low"</formula1>
    </dataValidation>
  </dataValidations>
  <hyperlinks>
    <hyperlink r:id="rId1" ref="F8"/>
    <hyperlink r:id="rId2" ref="L8"/>
    <hyperlink r:id="rId3" ref="F10"/>
    <hyperlink r:id="rId4" ref="F12"/>
    <hyperlink r:id="rId5" ref="L12"/>
    <hyperlink r:id="rId6" location=":~:text=1.%20Make%20them%20long,Bank:%20k8dfh8c@Pfv0gB2" ref="M12"/>
    <hyperlink r:id="rId7" ref="F14"/>
    <hyperlink r:id="rId8" ref="L14"/>
    <hyperlink r:id="rId9" ref="F16"/>
    <hyperlink r:id="rId10" ref="L16"/>
    <hyperlink r:id="rId11" ref="F18"/>
    <hyperlink r:id="rId12" ref="L18"/>
    <hyperlink r:id="rId13" ref="F20"/>
    <hyperlink r:id="rId14" ref="L20"/>
    <hyperlink r:id="rId15" ref="F22"/>
    <hyperlink r:id="rId16" ref="L22"/>
    <hyperlink r:id="rId17" ref="F24"/>
    <hyperlink r:id="rId18" ref="L24"/>
    <hyperlink r:id="rId19" ref="F26"/>
    <hyperlink r:id="rId20" ref="L26"/>
    <hyperlink r:id="rId21" ref="F28"/>
    <hyperlink r:id="rId22" ref="L28"/>
    <hyperlink r:id="rId23" ref="F30"/>
    <hyperlink r:id="rId24" ref="L30"/>
    <hyperlink r:id="rId25" ref="F32"/>
    <hyperlink r:id="rId26" ref="F34"/>
    <hyperlink r:id="rId27" ref="L34"/>
    <hyperlink r:id="rId28" ref="F36"/>
    <hyperlink r:id="rId29" ref="L36"/>
    <hyperlink r:id="rId30" ref="F38"/>
    <hyperlink r:id="rId31" ref="L38"/>
    <hyperlink r:id="rId32" ref="F40"/>
    <hyperlink r:id="rId33" ref="L40"/>
    <hyperlink r:id="rId34" ref="F42"/>
    <hyperlink r:id="rId35" ref="L42"/>
    <hyperlink r:id="rId36" ref="F44"/>
    <hyperlink r:id="rId37" ref="L44"/>
    <hyperlink r:id="rId38" ref="F46"/>
    <hyperlink r:id="rId39" ref="L46"/>
    <hyperlink r:id="rId40" ref="F48"/>
    <hyperlink r:id="rId41" ref="L48"/>
    <hyperlink r:id="rId42" ref="F50"/>
    <hyperlink r:id="rId43" ref="L50"/>
    <hyperlink r:id="rId44" ref="F52"/>
    <hyperlink r:id="rId45" ref="L52"/>
    <hyperlink r:id="rId46" ref="F54"/>
    <hyperlink r:id="rId47" ref="L54"/>
    <hyperlink r:id="rId48" ref="F56"/>
    <hyperlink r:id="rId49" ref="L56"/>
    <hyperlink r:id="rId50" ref="F58"/>
    <hyperlink r:id="rId51" ref="L58"/>
    <hyperlink r:id="rId52" ref="F60"/>
    <hyperlink r:id="rId53" ref="L60"/>
    <hyperlink r:id="rId54" ref="F62"/>
    <hyperlink r:id="rId55" ref="L62"/>
    <hyperlink r:id="rId56" ref="F64"/>
    <hyperlink r:id="rId57" ref="L64"/>
    <hyperlink r:id="rId58" ref="F66"/>
    <hyperlink r:id="rId59" ref="L66"/>
    <hyperlink r:id="rId60" ref="F68"/>
    <hyperlink r:id="rId61" ref="L68"/>
    <hyperlink r:id="rId62" ref="F70"/>
    <hyperlink r:id="rId63" ref="L70"/>
    <hyperlink r:id="rId64" ref="F72"/>
    <hyperlink r:id="rId65" ref="L72"/>
    <hyperlink r:id="rId66" ref="F74"/>
    <hyperlink r:id="rId67" ref="L74"/>
    <hyperlink r:id="rId68" ref="F76"/>
    <hyperlink r:id="rId69" ref="L76"/>
    <hyperlink r:id="rId70" ref="F78"/>
    <hyperlink r:id="rId71" ref="L78"/>
    <hyperlink r:id="rId72" ref="F80"/>
    <hyperlink r:id="rId73" ref="L80"/>
    <hyperlink r:id="rId74" ref="F82"/>
    <hyperlink r:id="rId75" ref="L82"/>
    <hyperlink r:id="rId76" ref="F84"/>
    <hyperlink r:id="rId77" ref="L84"/>
    <hyperlink r:id="rId78" ref="F86"/>
    <hyperlink r:id="rId79" ref="L86"/>
  </hyperlinks>
  <drawing r:id="rId8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49"/>
      <c r="B1" s="49"/>
      <c r="C1" s="49"/>
      <c r="D1" s="49"/>
      <c r="E1" s="1"/>
      <c r="F1" s="1"/>
      <c r="G1" s="49"/>
      <c r="H1" s="49"/>
      <c r="I1" s="49"/>
      <c r="J1" s="49"/>
      <c r="K1" s="49"/>
      <c r="L1" s="49"/>
      <c r="M1" s="49"/>
      <c r="N1" s="49"/>
      <c r="O1" s="49"/>
      <c r="P1" s="49"/>
    </row>
    <row r="2">
      <c r="A2" s="50" t="s">
        <v>0</v>
      </c>
      <c r="B2" s="51"/>
      <c r="C2" s="49"/>
      <c r="D2" s="4" t="s">
        <v>2</v>
      </c>
      <c r="E2" s="4" t="s">
        <v>3</v>
      </c>
      <c r="F2" s="49"/>
      <c r="G2" s="49"/>
      <c r="H2" s="49"/>
      <c r="I2" s="49"/>
      <c r="J2" s="49"/>
      <c r="K2" s="49"/>
      <c r="L2" s="49"/>
      <c r="M2" s="49"/>
      <c r="N2" s="49"/>
      <c r="O2" s="49"/>
      <c r="P2" s="49"/>
    </row>
    <row r="3">
      <c r="A3" s="50" t="s">
        <v>4</v>
      </c>
      <c r="B3" s="52"/>
      <c r="C3" s="49"/>
      <c r="D3" s="53" t="s">
        <v>5</v>
      </c>
      <c r="E3" s="54">
        <f>COUNTIF(K14:K1005, "High")</f>
        <v>0</v>
      </c>
      <c r="F3" s="49"/>
      <c r="G3" s="49"/>
      <c r="H3" s="49"/>
      <c r="I3" s="49"/>
      <c r="J3" s="49"/>
      <c r="K3" s="49"/>
      <c r="L3" s="49"/>
      <c r="M3" s="49"/>
      <c r="N3" s="49"/>
      <c r="O3" s="49"/>
      <c r="P3" s="49"/>
    </row>
    <row r="4">
      <c r="A4" s="50" t="s">
        <v>6</v>
      </c>
      <c r="B4" s="55"/>
      <c r="C4" s="49"/>
      <c r="D4" s="53" t="s">
        <v>7</v>
      </c>
      <c r="E4" s="54">
        <f>COUNTIF(K14:K1006, "Medium")</f>
        <v>0</v>
      </c>
      <c r="F4" s="49"/>
      <c r="G4" s="49"/>
      <c r="H4" s="49"/>
      <c r="I4" s="49"/>
      <c r="J4" s="49"/>
      <c r="K4" s="49"/>
      <c r="L4" s="49"/>
      <c r="M4" s="49"/>
      <c r="N4" s="49"/>
      <c r="O4" s="49"/>
      <c r="P4" s="49"/>
    </row>
    <row r="5">
      <c r="A5" s="50" t="s">
        <v>8</v>
      </c>
      <c r="B5" s="56"/>
      <c r="C5" s="49"/>
      <c r="D5" s="53" t="s">
        <v>9</v>
      </c>
      <c r="E5" s="54">
        <f>COUNTIF(K14:K1007, "Low") </f>
        <v>0</v>
      </c>
      <c r="F5" s="49"/>
      <c r="G5" s="49"/>
      <c r="H5" s="49"/>
      <c r="I5" s="49"/>
      <c r="J5" s="49"/>
      <c r="K5" s="49"/>
      <c r="L5" s="49"/>
      <c r="M5" s="49"/>
      <c r="N5" s="49"/>
      <c r="O5" s="49"/>
      <c r="P5" s="49"/>
    </row>
    <row r="6">
      <c r="A6" s="50" t="s">
        <v>10</v>
      </c>
      <c r="B6" s="56"/>
      <c r="C6" s="49"/>
      <c r="D6" s="49"/>
      <c r="E6" s="49"/>
      <c r="F6" s="49"/>
      <c r="G6" s="49"/>
      <c r="H6" s="49"/>
      <c r="I6" s="49"/>
      <c r="J6" s="49"/>
      <c r="K6" s="49"/>
      <c r="L6" s="49"/>
      <c r="M6" s="49"/>
      <c r="N6" s="49"/>
      <c r="O6" s="49"/>
      <c r="P6" s="49"/>
    </row>
    <row r="7">
      <c r="A7" s="57" t="s">
        <v>11</v>
      </c>
      <c r="B7" s="56"/>
      <c r="C7" s="49"/>
      <c r="D7" s="58" t="s">
        <v>12</v>
      </c>
      <c r="E7" s="59">
        <f>SUM(E3:E5)</f>
        <v>0</v>
      </c>
      <c r="F7" s="49"/>
      <c r="G7" s="49"/>
      <c r="H7" s="49"/>
      <c r="I7" s="49"/>
      <c r="J7" s="49"/>
      <c r="K7" s="49"/>
      <c r="L7" s="49"/>
      <c r="M7" s="49"/>
      <c r="N7" s="49"/>
      <c r="O7" s="49"/>
      <c r="P7" s="49"/>
    </row>
    <row r="8">
      <c r="A8" s="49"/>
      <c r="B8" s="49"/>
      <c r="C8" s="49"/>
      <c r="D8" s="58" t="s">
        <v>13</v>
      </c>
      <c r="E8" s="56"/>
      <c r="F8" s="49"/>
      <c r="G8" s="49"/>
      <c r="H8" s="49"/>
      <c r="I8" s="49"/>
      <c r="J8" s="49"/>
      <c r="K8" s="49"/>
      <c r="L8" s="49"/>
      <c r="M8" s="49"/>
      <c r="N8" s="49"/>
      <c r="O8" s="49"/>
      <c r="P8" s="49"/>
    </row>
    <row r="9">
      <c r="A9" s="49"/>
      <c r="B9" s="49"/>
      <c r="C9" s="49"/>
      <c r="D9" s="49"/>
      <c r="E9" s="49"/>
      <c r="F9" s="49"/>
      <c r="G9" s="49"/>
      <c r="H9" s="49"/>
      <c r="I9" s="49"/>
      <c r="J9" s="49"/>
      <c r="K9" s="49"/>
      <c r="L9" s="49"/>
      <c r="M9" s="49"/>
      <c r="N9" s="49"/>
      <c r="O9" s="49"/>
      <c r="P9" s="49"/>
    </row>
    <row r="10">
      <c r="A10" s="49"/>
      <c r="B10" s="49"/>
      <c r="C10" s="49"/>
      <c r="D10" s="49"/>
      <c r="E10" s="49"/>
      <c r="F10" s="49"/>
      <c r="G10" s="49"/>
      <c r="H10" s="49"/>
      <c r="I10" s="49"/>
      <c r="J10" s="49"/>
      <c r="K10" s="49"/>
      <c r="L10" s="49"/>
      <c r="M10" s="49"/>
      <c r="N10" s="49"/>
      <c r="O10" s="49"/>
      <c r="P10" s="49"/>
    </row>
    <row r="11">
      <c r="A11" s="49"/>
      <c r="B11" s="49"/>
      <c r="C11" s="49"/>
      <c r="D11" s="49"/>
      <c r="E11" s="49"/>
      <c r="F11" s="49"/>
      <c r="G11" s="49"/>
      <c r="H11" s="49"/>
      <c r="I11" s="49"/>
      <c r="J11" s="49"/>
      <c r="K11" s="49"/>
      <c r="L11" s="49"/>
      <c r="M11" s="49"/>
      <c r="N11" s="49"/>
      <c r="O11" s="49"/>
      <c r="P11" s="49"/>
    </row>
    <row r="12">
      <c r="A12" s="49"/>
      <c r="B12" s="49"/>
      <c r="C12" s="49"/>
      <c r="D12" s="49"/>
      <c r="E12" s="49"/>
      <c r="F12" s="49"/>
      <c r="G12" s="49"/>
      <c r="H12" s="49"/>
      <c r="I12" s="49"/>
      <c r="J12" s="49"/>
      <c r="K12" s="49"/>
      <c r="L12" s="49"/>
      <c r="M12" s="49"/>
      <c r="N12" s="49"/>
      <c r="O12" s="49"/>
      <c r="P12" s="49"/>
    </row>
    <row r="13">
      <c r="A13" s="49"/>
      <c r="B13" s="49"/>
      <c r="C13" s="49"/>
      <c r="D13" s="49"/>
      <c r="E13" s="49"/>
      <c r="F13" s="49"/>
      <c r="G13" s="49"/>
      <c r="H13" s="49"/>
      <c r="I13" s="49"/>
      <c r="J13" s="49"/>
      <c r="K13" s="49"/>
      <c r="L13" s="49"/>
      <c r="M13" s="49"/>
      <c r="N13" s="49"/>
      <c r="O13" s="49"/>
      <c r="P13" s="49"/>
    </row>
    <row r="14">
      <c r="A14" s="60" t="s">
        <v>14</v>
      </c>
      <c r="B14" s="60" t="s">
        <v>15</v>
      </c>
      <c r="C14" s="60" t="s">
        <v>16</v>
      </c>
      <c r="D14" s="60" t="s">
        <v>17</v>
      </c>
      <c r="E14" s="60" t="s">
        <v>18</v>
      </c>
      <c r="F14" s="60" t="s">
        <v>19</v>
      </c>
      <c r="G14" s="60" t="s">
        <v>20</v>
      </c>
      <c r="H14" s="60" t="s">
        <v>21</v>
      </c>
      <c r="I14" s="60" t="s">
        <v>22</v>
      </c>
      <c r="J14" s="60" t="s">
        <v>23</v>
      </c>
      <c r="K14" s="60" t="s">
        <v>2</v>
      </c>
      <c r="L14" s="60" t="s">
        <v>24</v>
      </c>
      <c r="M14" s="60" t="s">
        <v>25</v>
      </c>
      <c r="N14" s="60" t="s">
        <v>27</v>
      </c>
      <c r="O14" s="49"/>
      <c r="P14" s="49"/>
    </row>
    <row r="15">
      <c r="A15" s="61"/>
      <c r="B15" s="61"/>
      <c r="C15" s="61"/>
      <c r="D15" s="61"/>
      <c r="E15" s="61"/>
      <c r="F15" s="61"/>
      <c r="G15" s="61"/>
      <c r="H15" s="61"/>
      <c r="I15" s="61"/>
      <c r="J15" s="61"/>
      <c r="K15" s="61"/>
      <c r="L15" s="62"/>
      <c r="M15" s="63"/>
      <c r="N15" s="63"/>
      <c r="O15" s="49"/>
      <c r="P15" s="49"/>
    </row>
    <row r="16">
      <c r="A16" s="61"/>
      <c r="B16" s="61"/>
      <c r="C16" s="61"/>
      <c r="D16" s="61"/>
      <c r="E16" s="61"/>
      <c r="F16" s="61"/>
      <c r="G16" s="61"/>
      <c r="H16" s="61"/>
      <c r="I16" s="61"/>
      <c r="J16" s="61"/>
      <c r="K16" s="61"/>
      <c r="L16" s="62"/>
      <c r="M16" s="63"/>
      <c r="N16" s="64"/>
      <c r="O16" s="49"/>
      <c r="P16" s="49"/>
    </row>
    <row r="17">
      <c r="A17" s="61"/>
      <c r="B17" s="61"/>
      <c r="C17" s="61"/>
      <c r="D17" s="61"/>
      <c r="E17" s="61"/>
      <c r="F17" s="61"/>
      <c r="G17" s="61"/>
      <c r="H17" s="61"/>
      <c r="I17" s="61"/>
      <c r="J17" s="61"/>
      <c r="K17" s="61"/>
      <c r="L17" s="62"/>
      <c r="M17" s="63"/>
      <c r="N17" s="63"/>
      <c r="O17" s="49"/>
      <c r="P17" s="49"/>
    </row>
    <row r="18">
      <c r="A18" s="61"/>
      <c r="B18" s="61"/>
      <c r="C18" s="61"/>
      <c r="D18" s="61"/>
      <c r="E18" s="61"/>
      <c r="F18" s="61"/>
      <c r="G18" s="65"/>
      <c r="H18" s="61"/>
      <c r="I18" s="61"/>
      <c r="J18" s="61"/>
      <c r="K18" s="61"/>
      <c r="L18" s="62"/>
      <c r="M18" s="63"/>
      <c r="N18" s="64"/>
      <c r="O18" s="49"/>
      <c r="P18" s="49"/>
    </row>
    <row r="19">
      <c r="A19" s="61"/>
      <c r="B19" s="61"/>
      <c r="C19" s="61"/>
      <c r="D19" s="61"/>
      <c r="E19" s="61"/>
      <c r="F19" s="61"/>
      <c r="G19" s="61"/>
      <c r="H19" s="61"/>
      <c r="I19" s="61"/>
      <c r="J19" s="61"/>
      <c r="K19" s="61"/>
      <c r="L19" s="62"/>
      <c r="M19" s="63"/>
      <c r="N19" s="63"/>
      <c r="O19" s="49"/>
      <c r="P19" s="49"/>
    </row>
    <row r="20">
      <c r="A20" s="61"/>
      <c r="B20" s="61"/>
      <c r="C20" s="61"/>
      <c r="D20" s="61"/>
      <c r="E20" s="61"/>
      <c r="F20" s="61"/>
      <c r="G20" s="61"/>
      <c r="H20" s="61"/>
      <c r="I20" s="61"/>
      <c r="J20" s="61"/>
      <c r="K20" s="61"/>
      <c r="L20" s="62"/>
      <c r="M20" s="63"/>
      <c r="N20" s="64"/>
      <c r="O20" s="49"/>
      <c r="P20" s="49"/>
    </row>
    <row r="21">
      <c r="A21" s="61"/>
      <c r="B21" s="61"/>
      <c r="C21" s="61"/>
      <c r="D21" s="61"/>
      <c r="E21" s="61"/>
      <c r="F21" s="61"/>
      <c r="G21" s="61"/>
      <c r="H21" s="61"/>
      <c r="I21" s="61"/>
      <c r="J21" s="61"/>
      <c r="K21" s="61"/>
      <c r="L21" s="62"/>
      <c r="M21" s="63"/>
      <c r="N21" s="63"/>
      <c r="O21" s="49"/>
      <c r="P21" s="49"/>
    </row>
    <row r="22">
      <c r="A22" s="61"/>
      <c r="B22" s="61"/>
      <c r="C22" s="61"/>
      <c r="D22" s="61"/>
      <c r="E22" s="61"/>
      <c r="F22" s="61"/>
      <c r="G22" s="61"/>
      <c r="H22" s="61"/>
      <c r="I22" s="61"/>
      <c r="J22" s="61"/>
      <c r="K22" s="61"/>
      <c r="L22" s="62"/>
      <c r="M22" s="63"/>
      <c r="N22" s="64"/>
      <c r="O22" s="49"/>
      <c r="P22" s="49"/>
    </row>
    <row r="23">
      <c r="A23" s="61"/>
      <c r="B23" s="61"/>
      <c r="C23" s="61"/>
      <c r="D23" s="61"/>
      <c r="E23" s="61"/>
      <c r="F23" s="61"/>
      <c r="G23" s="61"/>
      <c r="H23" s="61"/>
      <c r="I23" s="61"/>
      <c r="J23" s="61"/>
      <c r="K23" s="61"/>
      <c r="L23" s="61"/>
      <c r="M23" s="66"/>
      <c r="N23" s="63"/>
      <c r="O23" s="49"/>
      <c r="P23" s="49"/>
    </row>
    <row r="24">
      <c r="A24" s="61"/>
      <c r="B24" s="61"/>
      <c r="C24" s="61"/>
      <c r="D24" s="61"/>
      <c r="E24" s="61"/>
      <c r="F24" s="61"/>
      <c r="G24" s="61"/>
      <c r="H24" s="61"/>
      <c r="I24" s="61"/>
      <c r="J24" s="61"/>
      <c r="K24" s="61"/>
      <c r="L24" s="61"/>
      <c r="M24" s="66"/>
      <c r="N24" s="64"/>
      <c r="O24" s="49"/>
      <c r="P24" s="49"/>
    </row>
    <row r="25">
      <c r="A25" s="61"/>
      <c r="B25" s="61"/>
      <c r="C25" s="61"/>
      <c r="D25" s="61"/>
      <c r="E25" s="61"/>
      <c r="F25" s="61"/>
      <c r="G25" s="61"/>
      <c r="H25" s="61"/>
      <c r="I25" s="61"/>
      <c r="J25" s="61"/>
      <c r="K25" s="61"/>
      <c r="L25" s="61"/>
      <c r="M25" s="66"/>
      <c r="N25" s="63"/>
      <c r="O25" s="49"/>
      <c r="P25" s="49"/>
    </row>
    <row r="26">
      <c r="A26" s="61"/>
      <c r="B26" s="61"/>
      <c r="C26" s="61"/>
      <c r="D26" s="61"/>
      <c r="E26" s="61"/>
      <c r="F26" s="61"/>
      <c r="G26" s="61"/>
      <c r="H26" s="61"/>
      <c r="I26" s="61"/>
      <c r="J26" s="61"/>
      <c r="K26" s="61"/>
      <c r="L26" s="61"/>
      <c r="M26" s="66"/>
      <c r="N26" s="64"/>
      <c r="O26" s="49"/>
      <c r="P26" s="49"/>
    </row>
    <row r="27">
      <c r="A27" s="61"/>
      <c r="B27" s="61"/>
      <c r="C27" s="61"/>
      <c r="D27" s="61"/>
      <c r="E27" s="61"/>
      <c r="F27" s="61"/>
      <c r="G27" s="61"/>
      <c r="H27" s="61"/>
      <c r="I27" s="61"/>
      <c r="J27" s="61"/>
      <c r="K27" s="61"/>
      <c r="L27" s="61"/>
      <c r="M27" s="66"/>
      <c r="N27" s="63"/>
      <c r="O27" s="49"/>
      <c r="P27" s="49"/>
    </row>
    <row r="28">
      <c r="A28" s="61"/>
      <c r="B28" s="61"/>
      <c r="C28" s="61"/>
      <c r="D28" s="61"/>
      <c r="E28" s="61"/>
      <c r="F28" s="61"/>
      <c r="G28" s="61"/>
      <c r="H28" s="61"/>
      <c r="I28" s="61"/>
      <c r="J28" s="61"/>
      <c r="K28" s="61"/>
      <c r="L28" s="61"/>
      <c r="M28" s="66"/>
      <c r="N28" s="64"/>
      <c r="O28" s="49"/>
      <c r="P28" s="49"/>
    </row>
    <row r="29">
      <c r="A29" s="61"/>
      <c r="B29" s="61"/>
      <c r="C29" s="61"/>
      <c r="D29" s="61"/>
      <c r="E29" s="61"/>
      <c r="F29" s="61"/>
      <c r="G29" s="61"/>
      <c r="H29" s="61"/>
      <c r="I29" s="61"/>
      <c r="J29" s="61"/>
      <c r="K29" s="61"/>
      <c r="L29" s="61"/>
      <c r="M29" s="66"/>
      <c r="N29" s="63"/>
      <c r="O29" s="49"/>
      <c r="P29" s="49"/>
    </row>
    <row r="30">
      <c r="A30" s="61"/>
      <c r="B30" s="66"/>
      <c r="C30" s="66"/>
      <c r="D30" s="66"/>
      <c r="E30" s="66"/>
      <c r="F30" s="66"/>
      <c r="G30" s="66"/>
      <c r="H30" s="66"/>
      <c r="I30" s="66"/>
      <c r="J30" s="66"/>
      <c r="K30" s="66"/>
      <c r="L30" s="66"/>
      <c r="M30" s="66"/>
      <c r="N30" s="64"/>
      <c r="O30" s="49"/>
      <c r="P30" s="49"/>
    </row>
    <row r="31">
      <c r="A31" s="61"/>
      <c r="B31" s="66"/>
      <c r="C31" s="66"/>
      <c r="D31" s="66"/>
      <c r="E31" s="66"/>
      <c r="F31" s="66"/>
      <c r="G31" s="66"/>
      <c r="H31" s="66"/>
      <c r="I31" s="66"/>
      <c r="J31" s="66"/>
      <c r="K31" s="66"/>
      <c r="L31" s="66"/>
      <c r="M31" s="66"/>
      <c r="N31" s="63"/>
      <c r="O31" s="49"/>
      <c r="P31" s="49"/>
    </row>
    <row r="32">
      <c r="A32" s="61"/>
      <c r="B32" s="66"/>
      <c r="C32" s="66"/>
      <c r="D32" s="66"/>
      <c r="E32" s="66"/>
      <c r="F32" s="66"/>
      <c r="G32" s="66"/>
      <c r="H32" s="66"/>
      <c r="I32" s="66"/>
      <c r="J32" s="66"/>
      <c r="K32" s="66"/>
      <c r="L32" s="66"/>
      <c r="M32" s="66"/>
      <c r="N32" s="64"/>
      <c r="O32" s="49"/>
      <c r="P32" s="49"/>
    </row>
    <row r="33">
      <c r="A33" s="61"/>
      <c r="B33" s="66"/>
      <c r="C33" s="66"/>
      <c r="D33" s="66"/>
      <c r="E33" s="66"/>
      <c r="F33" s="66"/>
      <c r="G33" s="66"/>
      <c r="H33" s="66"/>
      <c r="I33" s="66"/>
      <c r="J33" s="66"/>
      <c r="K33" s="66"/>
      <c r="L33" s="66"/>
      <c r="M33" s="66"/>
      <c r="N33" s="63"/>
      <c r="O33" s="49"/>
      <c r="P33" s="49"/>
    </row>
    <row r="34">
      <c r="A34" s="61"/>
      <c r="B34" s="66"/>
      <c r="C34" s="66"/>
      <c r="D34" s="66"/>
      <c r="E34" s="66"/>
      <c r="F34" s="66"/>
      <c r="G34" s="66"/>
      <c r="H34" s="66"/>
      <c r="I34" s="66"/>
      <c r="J34" s="66"/>
      <c r="K34" s="66"/>
      <c r="L34" s="66"/>
      <c r="M34" s="66"/>
      <c r="N34" s="64"/>
      <c r="O34" s="49"/>
      <c r="P34" s="49"/>
    </row>
    <row r="35">
      <c r="A35" s="61"/>
      <c r="B35" s="66"/>
      <c r="C35" s="66"/>
      <c r="D35" s="66"/>
      <c r="E35" s="66"/>
      <c r="F35" s="66"/>
      <c r="G35" s="66"/>
      <c r="H35" s="66"/>
      <c r="I35" s="66"/>
      <c r="J35" s="66"/>
      <c r="K35" s="66"/>
      <c r="L35" s="66"/>
      <c r="M35" s="66"/>
      <c r="N35" s="63"/>
      <c r="O35" s="49"/>
      <c r="P35" s="49"/>
    </row>
    <row r="36">
      <c r="A36" s="61"/>
      <c r="B36" s="66"/>
      <c r="C36" s="66"/>
      <c r="D36" s="66"/>
      <c r="E36" s="66"/>
      <c r="F36" s="66"/>
      <c r="G36" s="66"/>
      <c r="H36" s="66"/>
      <c r="I36" s="66"/>
      <c r="J36" s="66"/>
      <c r="K36" s="66"/>
      <c r="L36" s="66"/>
      <c r="M36" s="66"/>
      <c r="N36" s="64"/>
      <c r="O36" s="49"/>
      <c r="P36" s="49"/>
    </row>
    <row r="37">
      <c r="A37" s="61"/>
      <c r="B37" s="66"/>
      <c r="C37" s="66"/>
      <c r="D37" s="66"/>
      <c r="E37" s="66"/>
      <c r="F37" s="66"/>
      <c r="G37" s="66"/>
      <c r="H37" s="66"/>
      <c r="I37" s="66"/>
      <c r="J37" s="66"/>
      <c r="K37" s="66"/>
      <c r="L37" s="66"/>
      <c r="M37" s="66"/>
      <c r="N37" s="63"/>
      <c r="O37" s="49"/>
      <c r="P37" s="49"/>
    </row>
    <row r="38">
      <c r="A38" s="61"/>
      <c r="B38" s="66"/>
      <c r="C38" s="66"/>
      <c r="D38" s="66"/>
      <c r="E38" s="66"/>
      <c r="F38" s="66"/>
      <c r="G38" s="66"/>
      <c r="H38" s="66"/>
      <c r="I38" s="66"/>
      <c r="J38" s="66"/>
      <c r="K38" s="66"/>
      <c r="L38" s="66"/>
      <c r="M38" s="66"/>
      <c r="N38" s="64"/>
      <c r="O38" s="49"/>
      <c r="P38" s="49"/>
    </row>
    <row r="39">
      <c r="A39" s="61"/>
      <c r="B39" s="66"/>
      <c r="C39" s="66"/>
      <c r="D39" s="66"/>
      <c r="E39" s="66"/>
      <c r="F39" s="66"/>
      <c r="G39" s="66"/>
      <c r="H39" s="66"/>
      <c r="I39" s="66"/>
      <c r="J39" s="66"/>
      <c r="K39" s="66"/>
      <c r="L39" s="66"/>
      <c r="M39" s="66"/>
      <c r="N39" s="63"/>
      <c r="O39" s="49"/>
      <c r="P39" s="49"/>
    </row>
    <row r="40">
      <c r="A40" s="61"/>
      <c r="B40" s="66"/>
      <c r="C40" s="66"/>
      <c r="D40" s="66"/>
      <c r="E40" s="66"/>
      <c r="F40" s="66"/>
      <c r="G40" s="66"/>
      <c r="H40" s="66"/>
      <c r="I40" s="66"/>
      <c r="J40" s="66"/>
      <c r="K40" s="66"/>
      <c r="L40" s="66"/>
      <c r="M40" s="66"/>
      <c r="N40" s="64"/>
      <c r="O40" s="49"/>
      <c r="P40" s="49"/>
    </row>
    <row r="41">
      <c r="A41" s="61"/>
      <c r="B41" s="66"/>
      <c r="C41" s="66"/>
      <c r="D41" s="66"/>
      <c r="E41" s="66"/>
      <c r="F41" s="66"/>
      <c r="G41" s="66"/>
      <c r="H41" s="66"/>
      <c r="I41" s="66"/>
      <c r="J41" s="66"/>
      <c r="K41" s="66"/>
      <c r="L41" s="66"/>
      <c r="M41" s="66"/>
      <c r="N41" s="63"/>
      <c r="O41" s="49"/>
      <c r="P41" s="49"/>
    </row>
    <row r="42">
      <c r="A42" s="61"/>
      <c r="B42" s="66"/>
      <c r="C42" s="66"/>
      <c r="D42" s="66"/>
      <c r="E42" s="66"/>
      <c r="F42" s="66"/>
      <c r="G42" s="66"/>
      <c r="H42" s="66"/>
      <c r="I42" s="66"/>
      <c r="J42" s="66"/>
      <c r="K42" s="66"/>
      <c r="L42" s="66"/>
      <c r="M42" s="66"/>
      <c r="N42" s="64"/>
      <c r="O42" s="49"/>
      <c r="P42" s="49"/>
    </row>
    <row r="43">
      <c r="A43" s="61"/>
      <c r="B43" s="66"/>
      <c r="C43" s="66"/>
      <c r="D43" s="66"/>
      <c r="E43" s="66"/>
      <c r="F43" s="66"/>
      <c r="G43" s="66"/>
      <c r="H43" s="66"/>
      <c r="I43" s="66"/>
      <c r="J43" s="66"/>
      <c r="K43" s="66"/>
      <c r="L43" s="66"/>
      <c r="M43" s="66"/>
      <c r="N43" s="63"/>
      <c r="O43" s="49"/>
      <c r="P43" s="49"/>
    </row>
    <row r="44">
      <c r="A44" s="61"/>
      <c r="B44" s="66"/>
      <c r="C44" s="66"/>
      <c r="D44" s="66"/>
      <c r="E44" s="66"/>
      <c r="F44" s="66"/>
      <c r="G44" s="66"/>
      <c r="H44" s="66"/>
      <c r="I44" s="66"/>
      <c r="J44" s="66"/>
      <c r="K44" s="66"/>
      <c r="L44" s="66"/>
      <c r="M44" s="66"/>
      <c r="N44" s="64"/>
      <c r="O44" s="49"/>
      <c r="P44" s="49"/>
    </row>
    <row r="45">
      <c r="A45" s="61"/>
      <c r="B45" s="66"/>
      <c r="C45" s="66"/>
      <c r="D45" s="66"/>
      <c r="E45" s="66"/>
      <c r="F45" s="66"/>
      <c r="G45" s="66"/>
      <c r="H45" s="66"/>
      <c r="I45" s="66"/>
      <c r="J45" s="66"/>
      <c r="K45" s="66"/>
      <c r="L45" s="66"/>
      <c r="M45" s="66"/>
      <c r="N45" s="63"/>
      <c r="O45" s="49"/>
      <c r="P45" s="49"/>
    </row>
    <row r="46">
      <c r="A46" s="61"/>
      <c r="B46" s="66"/>
      <c r="C46" s="66"/>
      <c r="D46" s="66"/>
      <c r="E46" s="66"/>
      <c r="F46" s="66"/>
      <c r="G46" s="66"/>
      <c r="H46" s="66"/>
      <c r="I46" s="66"/>
      <c r="J46" s="66"/>
      <c r="K46" s="66"/>
      <c r="L46" s="66"/>
      <c r="M46" s="66"/>
      <c r="N46" s="64"/>
      <c r="O46" s="49"/>
      <c r="P46" s="49"/>
    </row>
    <row r="47">
      <c r="A47" s="61"/>
      <c r="B47" s="66"/>
      <c r="C47" s="66"/>
      <c r="D47" s="66"/>
      <c r="E47" s="66"/>
      <c r="F47" s="66"/>
      <c r="G47" s="66"/>
      <c r="H47" s="66"/>
      <c r="I47" s="66"/>
      <c r="J47" s="66"/>
      <c r="K47" s="66"/>
      <c r="L47" s="66"/>
      <c r="M47" s="66"/>
      <c r="N47" s="63"/>
      <c r="O47" s="49"/>
      <c r="P47" s="49"/>
    </row>
    <row r="48">
      <c r="A48" s="61"/>
      <c r="B48" s="66"/>
      <c r="C48" s="66"/>
      <c r="D48" s="66"/>
      <c r="E48" s="66"/>
      <c r="F48" s="66"/>
      <c r="G48" s="66"/>
      <c r="H48" s="66"/>
      <c r="I48" s="66"/>
      <c r="J48" s="66"/>
      <c r="K48" s="66"/>
      <c r="L48" s="66"/>
      <c r="M48" s="66"/>
      <c r="N48" s="64"/>
      <c r="O48" s="49"/>
      <c r="P48" s="49"/>
    </row>
    <row r="49">
      <c r="A49" s="61"/>
      <c r="B49" s="66"/>
      <c r="C49" s="66"/>
      <c r="D49" s="66"/>
      <c r="E49" s="66"/>
      <c r="F49" s="66"/>
      <c r="G49" s="66"/>
      <c r="H49" s="66"/>
      <c r="I49" s="66"/>
      <c r="J49" s="66"/>
      <c r="K49" s="66"/>
      <c r="L49" s="66"/>
      <c r="M49" s="66"/>
      <c r="N49" s="63"/>
      <c r="O49" s="49"/>
      <c r="P49" s="49"/>
    </row>
    <row r="50">
      <c r="A50" s="61"/>
      <c r="B50" s="66"/>
      <c r="C50" s="66"/>
      <c r="D50" s="66"/>
      <c r="E50" s="66"/>
      <c r="F50" s="66"/>
      <c r="G50" s="66"/>
      <c r="H50" s="66"/>
      <c r="I50" s="66"/>
      <c r="J50" s="66"/>
      <c r="K50" s="66"/>
      <c r="L50" s="66"/>
      <c r="M50" s="66"/>
      <c r="N50" s="64"/>
      <c r="O50" s="49"/>
      <c r="P50" s="49"/>
    </row>
    <row r="51">
      <c r="A51" s="61"/>
      <c r="B51" s="66"/>
      <c r="C51" s="66"/>
      <c r="D51" s="66"/>
      <c r="E51" s="66"/>
      <c r="F51" s="66"/>
      <c r="G51" s="66"/>
      <c r="H51" s="66"/>
      <c r="I51" s="66"/>
      <c r="J51" s="66"/>
      <c r="K51" s="66"/>
      <c r="L51" s="66"/>
      <c r="M51" s="66"/>
      <c r="N51" s="63"/>
      <c r="O51" s="49"/>
      <c r="P51" s="49"/>
    </row>
    <row r="52">
      <c r="A52" s="61"/>
      <c r="B52" s="66"/>
      <c r="C52" s="66"/>
      <c r="D52" s="66"/>
      <c r="E52" s="66"/>
      <c r="F52" s="66"/>
      <c r="G52" s="66"/>
      <c r="H52" s="66"/>
      <c r="I52" s="66"/>
      <c r="J52" s="66"/>
      <c r="K52" s="66"/>
      <c r="L52" s="66"/>
      <c r="M52" s="66"/>
      <c r="N52" s="64"/>
      <c r="O52" s="49"/>
      <c r="P52" s="49"/>
    </row>
    <row r="53">
      <c r="A53" s="61"/>
      <c r="B53" s="66"/>
      <c r="C53" s="66"/>
      <c r="D53" s="66"/>
      <c r="E53" s="66"/>
      <c r="F53" s="66"/>
      <c r="G53" s="66"/>
      <c r="H53" s="66"/>
      <c r="I53" s="66"/>
      <c r="J53" s="66"/>
      <c r="K53" s="66"/>
      <c r="L53" s="66"/>
      <c r="M53" s="66"/>
      <c r="N53" s="63"/>
      <c r="O53" s="49"/>
      <c r="P53" s="49"/>
    </row>
    <row r="54">
      <c r="A54" s="61"/>
      <c r="B54" s="66"/>
      <c r="C54" s="66"/>
      <c r="D54" s="66"/>
      <c r="E54" s="66"/>
      <c r="F54" s="66"/>
      <c r="G54" s="66"/>
      <c r="H54" s="66"/>
      <c r="I54" s="66"/>
      <c r="J54" s="66"/>
      <c r="K54" s="66"/>
      <c r="L54" s="66"/>
      <c r="M54" s="66"/>
      <c r="N54" s="64"/>
      <c r="O54" s="49"/>
      <c r="P54" s="49"/>
    </row>
    <row r="55">
      <c r="A55" s="61"/>
      <c r="B55" s="66"/>
      <c r="C55" s="66"/>
      <c r="D55" s="66"/>
      <c r="E55" s="66"/>
      <c r="F55" s="66"/>
      <c r="G55" s="66"/>
      <c r="H55" s="66"/>
      <c r="I55" s="66"/>
      <c r="J55" s="66"/>
      <c r="K55" s="66"/>
      <c r="L55" s="66"/>
      <c r="M55" s="66"/>
      <c r="N55" s="63"/>
      <c r="O55" s="49"/>
      <c r="P55" s="49"/>
    </row>
    <row r="56">
      <c r="A56" s="61"/>
      <c r="B56" s="66"/>
      <c r="C56" s="66"/>
      <c r="D56" s="66"/>
      <c r="E56" s="66"/>
      <c r="F56" s="66"/>
      <c r="G56" s="66"/>
      <c r="H56" s="66"/>
      <c r="I56" s="66"/>
      <c r="J56" s="66"/>
      <c r="K56" s="66"/>
      <c r="L56" s="66"/>
      <c r="M56" s="66"/>
      <c r="N56" s="64"/>
      <c r="O56" s="49"/>
      <c r="P56" s="49"/>
    </row>
    <row r="57">
      <c r="A57" s="61"/>
      <c r="B57" s="66"/>
      <c r="C57" s="66"/>
      <c r="D57" s="66"/>
      <c r="E57" s="66"/>
      <c r="F57" s="66"/>
      <c r="G57" s="66"/>
      <c r="H57" s="66"/>
      <c r="I57" s="66"/>
      <c r="J57" s="66"/>
      <c r="K57" s="66"/>
      <c r="L57" s="66"/>
      <c r="M57" s="66"/>
      <c r="N57" s="63"/>
      <c r="O57" s="49"/>
      <c r="P57" s="49"/>
    </row>
    <row r="58">
      <c r="A58" s="61"/>
      <c r="B58" s="66"/>
      <c r="C58" s="66"/>
      <c r="D58" s="66"/>
      <c r="E58" s="66"/>
      <c r="F58" s="66"/>
      <c r="G58" s="66"/>
      <c r="H58" s="66"/>
      <c r="I58" s="66"/>
      <c r="J58" s="66"/>
      <c r="K58" s="66"/>
      <c r="L58" s="66"/>
      <c r="M58" s="66"/>
      <c r="N58" s="64"/>
      <c r="O58" s="49"/>
      <c r="P58" s="49"/>
    </row>
    <row r="59">
      <c r="A59" s="61"/>
      <c r="B59" s="66"/>
      <c r="C59" s="66"/>
      <c r="D59" s="66"/>
      <c r="E59" s="66"/>
      <c r="F59" s="66"/>
      <c r="G59" s="66"/>
      <c r="H59" s="66"/>
      <c r="I59" s="66"/>
      <c r="J59" s="66"/>
      <c r="K59" s="66"/>
      <c r="L59" s="66"/>
      <c r="M59" s="66"/>
      <c r="N59" s="63"/>
      <c r="O59" s="49"/>
      <c r="P59" s="49"/>
    </row>
    <row r="60">
      <c r="A60" s="61"/>
      <c r="B60" s="66"/>
      <c r="C60" s="66"/>
      <c r="D60" s="66"/>
      <c r="E60" s="66"/>
      <c r="F60" s="66"/>
      <c r="G60" s="66"/>
      <c r="H60" s="66"/>
      <c r="I60" s="66"/>
      <c r="J60" s="66"/>
      <c r="K60" s="66"/>
      <c r="L60" s="66"/>
      <c r="M60" s="66"/>
      <c r="N60" s="64"/>
      <c r="O60" s="49"/>
      <c r="P60" s="49"/>
    </row>
    <row r="61">
      <c r="A61" s="61"/>
      <c r="B61" s="66"/>
      <c r="C61" s="66"/>
      <c r="D61" s="66"/>
      <c r="E61" s="66"/>
      <c r="F61" s="66"/>
      <c r="G61" s="66"/>
      <c r="H61" s="66"/>
      <c r="I61" s="66"/>
      <c r="J61" s="66"/>
      <c r="K61" s="66"/>
      <c r="L61" s="66"/>
      <c r="M61" s="66"/>
      <c r="N61" s="63"/>
      <c r="O61" s="49"/>
      <c r="P61" s="49"/>
    </row>
    <row r="62">
      <c r="A62" s="61"/>
      <c r="B62" s="66"/>
      <c r="C62" s="66"/>
      <c r="D62" s="66"/>
      <c r="E62" s="66"/>
      <c r="F62" s="66"/>
      <c r="G62" s="66"/>
      <c r="H62" s="66"/>
      <c r="I62" s="66"/>
      <c r="J62" s="66"/>
      <c r="K62" s="66"/>
      <c r="L62" s="66"/>
      <c r="M62" s="66"/>
      <c r="N62" s="64"/>
      <c r="O62" s="49"/>
      <c r="P62" s="49"/>
    </row>
    <row r="63">
      <c r="A63" s="61"/>
      <c r="B63" s="66"/>
      <c r="C63" s="66"/>
      <c r="D63" s="66"/>
      <c r="E63" s="66"/>
      <c r="F63" s="66"/>
      <c r="G63" s="66"/>
      <c r="H63" s="66"/>
      <c r="I63" s="66"/>
      <c r="J63" s="66"/>
      <c r="K63" s="66"/>
      <c r="L63" s="66"/>
      <c r="M63" s="66"/>
      <c r="N63" s="63"/>
      <c r="O63" s="49"/>
      <c r="P63" s="49"/>
    </row>
    <row r="64">
      <c r="A64" s="61"/>
      <c r="B64" s="66"/>
      <c r="C64" s="66"/>
      <c r="D64" s="66"/>
      <c r="E64" s="66"/>
      <c r="F64" s="66"/>
      <c r="G64" s="66"/>
      <c r="H64" s="66"/>
      <c r="I64" s="66"/>
      <c r="J64" s="66"/>
      <c r="K64" s="66"/>
      <c r="L64" s="66"/>
      <c r="M64" s="66"/>
      <c r="N64" s="64"/>
      <c r="O64" s="49"/>
      <c r="P64" s="49"/>
    </row>
    <row r="65">
      <c r="A65" s="61"/>
      <c r="B65" s="63"/>
      <c r="C65" s="63"/>
      <c r="D65" s="63"/>
      <c r="E65" s="63"/>
      <c r="F65" s="63"/>
      <c r="G65" s="63"/>
      <c r="H65" s="63"/>
      <c r="I65" s="63"/>
      <c r="J65" s="63"/>
      <c r="K65" s="63"/>
      <c r="L65" s="63"/>
      <c r="M65" s="63"/>
      <c r="N65" s="63"/>
      <c r="O65" s="49"/>
      <c r="P65" s="49"/>
    </row>
    <row r="66">
      <c r="A66" s="61"/>
      <c r="B66" s="63"/>
      <c r="C66" s="63"/>
      <c r="D66" s="63"/>
      <c r="E66" s="63"/>
      <c r="F66" s="63"/>
      <c r="G66" s="63"/>
      <c r="H66" s="63"/>
      <c r="I66" s="63"/>
      <c r="J66" s="63"/>
      <c r="K66" s="63"/>
      <c r="L66" s="63"/>
      <c r="M66" s="63"/>
      <c r="N66" s="64"/>
      <c r="O66" s="49"/>
      <c r="P66" s="49"/>
    </row>
    <row r="67">
      <c r="A67" s="61"/>
      <c r="B67" s="63"/>
      <c r="C67" s="63"/>
      <c r="D67" s="63"/>
      <c r="E67" s="63"/>
      <c r="F67" s="63"/>
      <c r="G67" s="63"/>
      <c r="H67" s="63"/>
      <c r="I67" s="63"/>
      <c r="J67" s="63"/>
      <c r="K67" s="63"/>
      <c r="L67" s="63"/>
      <c r="M67" s="63"/>
      <c r="N67" s="63"/>
      <c r="O67" s="49"/>
      <c r="P67" s="49"/>
    </row>
    <row r="68">
      <c r="A68" s="61"/>
      <c r="B68" s="63"/>
      <c r="C68" s="63"/>
      <c r="D68" s="63"/>
      <c r="E68" s="63"/>
      <c r="F68" s="63"/>
      <c r="G68" s="63"/>
      <c r="H68" s="63"/>
      <c r="I68" s="63"/>
      <c r="J68" s="63"/>
      <c r="K68" s="63"/>
      <c r="L68" s="63"/>
      <c r="M68" s="63"/>
      <c r="N68" s="64"/>
      <c r="O68" s="49"/>
      <c r="P68" s="49"/>
    </row>
    <row r="69">
      <c r="A69" s="61"/>
      <c r="B69" s="63"/>
      <c r="C69" s="63"/>
      <c r="D69" s="63"/>
      <c r="E69" s="63"/>
      <c r="F69" s="63"/>
      <c r="G69" s="63"/>
      <c r="H69" s="63"/>
      <c r="I69" s="63"/>
      <c r="J69" s="63"/>
      <c r="K69" s="63"/>
      <c r="L69" s="63"/>
      <c r="M69" s="63"/>
      <c r="N69" s="63"/>
      <c r="O69" s="49"/>
      <c r="P69" s="49"/>
    </row>
    <row r="70">
      <c r="A70" s="61"/>
      <c r="B70" s="63"/>
      <c r="C70" s="63"/>
      <c r="D70" s="63"/>
      <c r="E70" s="63"/>
      <c r="F70" s="63"/>
      <c r="G70" s="63"/>
      <c r="H70" s="63"/>
      <c r="I70" s="63"/>
      <c r="J70" s="63"/>
      <c r="K70" s="63"/>
      <c r="L70" s="63"/>
      <c r="M70" s="63"/>
      <c r="N70" s="64"/>
      <c r="O70" s="49"/>
      <c r="P70" s="49"/>
    </row>
    <row r="71">
      <c r="A71" s="61"/>
      <c r="B71" s="63"/>
      <c r="C71" s="63"/>
      <c r="D71" s="63"/>
      <c r="E71" s="63"/>
      <c r="F71" s="63"/>
      <c r="G71" s="63"/>
      <c r="H71" s="63"/>
      <c r="I71" s="63"/>
      <c r="J71" s="63"/>
      <c r="K71" s="63"/>
      <c r="L71" s="63"/>
      <c r="M71" s="63"/>
      <c r="N71" s="63"/>
      <c r="O71" s="49"/>
      <c r="P71" s="49"/>
    </row>
    <row r="72">
      <c r="A72" s="61"/>
      <c r="B72" s="63"/>
      <c r="C72" s="63"/>
      <c r="D72" s="63"/>
      <c r="E72" s="63"/>
      <c r="F72" s="63"/>
      <c r="G72" s="63"/>
      <c r="H72" s="63"/>
      <c r="I72" s="63"/>
      <c r="J72" s="63"/>
      <c r="K72" s="63"/>
      <c r="L72" s="63"/>
      <c r="M72" s="63"/>
      <c r="N72" s="64"/>
      <c r="O72" s="49"/>
      <c r="P72" s="49"/>
    </row>
    <row r="73">
      <c r="A73" s="61"/>
      <c r="B73" s="63"/>
      <c r="C73" s="63"/>
      <c r="D73" s="63"/>
      <c r="E73" s="63"/>
      <c r="F73" s="63"/>
      <c r="G73" s="63"/>
      <c r="H73" s="63"/>
      <c r="I73" s="63"/>
      <c r="J73" s="63"/>
      <c r="K73" s="63"/>
      <c r="L73" s="63"/>
      <c r="M73" s="63"/>
      <c r="N73" s="63"/>
      <c r="O73" s="49"/>
      <c r="P73" s="49"/>
    </row>
    <row r="74">
      <c r="A74" s="61"/>
      <c r="B74" s="63"/>
      <c r="C74" s="63"/>
      <c r="D74" s="63"/>
      <c r="E74" s="63"/>
      <c r="F74" s="63"/>
      <c r="G74" s="63"/>
      <c r="H74" s="63"/>
      <c r="I74" s="63"/>
      <c r="J74" s="63"/>
      <c r="K74" s="63"/>
      <c r="L74" s="63"/>
      <c r="M74" s="63"/>
      <c r="N74" s="64"/>
      <c r="O74" s="49"/>
      <c r="P74" s="49"/>
    </row>
    <row r="75">
      <c r="A75" s="61"/>
      <c r="B75" s="63"/>
      <c r="C75" s="63"/>
      <c r="D75" s="63"/>
      <c r="E75" s="63"/>
      <c r="F75" s="63"/>
      <c r="G75" s="63"/>
      <c r="H75" s="63"/>
      <c r="I75" s="63"/>
      <c r="J75" s="63"/>
      <c r="K75" s="63"/>
      <c r="L75" s="63"/>
      <c r="M75" s="63"/>
      <c r="N75" s="63"/>
      <c r="O75" s="49"/>
      <c r="P75" s="49"/>
    </row>
    <row r="76">
      <c r="A76" s="61"/>
      <c r="B76" s="63"/>
      <c r="C76" s="63"/>
      <c r="D76" s="63"/>
      <c r="E76" s="63"/>
      <c r="F76" s="63"/>
      <c r="G76" s="63"/>
      <c r="H76" s="63"/>
      <c r="I76" s="63"/>
      <c r="J76" s="63"/>
      <c r="K76" s="63"/>
      <c r="L76" s="63"/>
      <c r="M76" s="63"/>
      <c r="N76" s="64"/>
      <c r="O76" s="49"/>
      <c r="P76" s="49"/>
    </row>
    <row r="77">
      <c r="A77" s="61"/>
      <c r="B77" s="63"/>
      <c r="C77" s="63"/>
      <c r="D77" s="63"/>
      <c r="E77" s="63"/>
      <c r="F77" s="63"/>
      <c r="G77" s="63"/>
      <c r="H77" s="63"/>
      <c r="I77" s="63"/>
      <c r="J77" s="63"/>
      <c r="K77" s="63"/>
      <c r="L77" s="63"/>
      <c r="M77" s="63"/>
      <c r="N77" s="63"/>
      <c r="O77" s="49"/>
      <c r="P77" s="49"/>
    </row>
    <row r="78">
      <c r="A78" s="61"/>
      <c r="B78" s="63"/>
      <c r="C78" s="63"/>
      <c r="D78" s="63"/>
      <c r="E78" s="63"/>
      <c r="F78" s="63"/>
      <c r="G78" s="63"/>
      <c r="H78" s="63"/>
      <c r="I78" s="63"/>
      <c r="J78" s="63"/>
      <c r="K78" s="63"/>
      <c r="L78" s="63"/>
      <c r="M78" s="63"/>
      <c r="N78" s="64"/>
      <c r="O78" s="49"/>
      <c r="P78" s="49"/>
    </row>
    <row r="79">
      <c r="A79" s="66"/>
      <c r="B79" s="63"/>
      <c r="C79" s="63"/>
      <c r="D79" s="63"/>
      <c r="E79" s="63"/>
      <c r="F79" s="63"/>
      <c r="G79" s="63"/>
      <c r="H79" s="63"/>
      <c r="I79" s="63"/>
      <c r="J79" s="63"/>
      <c r="K79" s="63"/>
      <c r="L79" s="63"/>
      <c r="M79" s="63"/>
      <c r="N79" s="63"/>
      <c r="O79" s="49"/>
      <c r="P79" s="49"/>
    </row>
    <row r="80">
      <c r="A80" s="63"/>
      <c r="B80" s="63"/>
      <c r="C80" s="63"/>
      <c r="D80" s="63"/>
      <c r="E80" s="63"/>
      <c r="F80" s="63"/>
      <c r="G80" s="63"/>
      <c r="H80" s="63"/>
      <c r="I80" s="63"/>
      <c r="J80" s="63"/>
      <c r="K80" s="63"/>
      <c r="L80" s="63"/>
      <c r="M80" s="63"/>
      <c r="N80" s="64"/>
      <c r="O80" s="49"/>
      <c r="P80" s="49"/>
    </row>
    <row r="81">
      <c r="A81" s="63"/>
      <c r="B81" s="63"/>
      <c r="C81" s="63"/>
      <c r="D81" s="63"/>
      <c r="E81" s="63"/>
      <c r="F81" s="63"/>
      <c r="G81" s="63"/>
      <c r="H81" s="63"/>
      <c r="I81" s="63"/>
      <c r="J81" s="63"/>
      <c r="K81" s="63"/>
      <c r="L81" s="63"/>
      <c r="M81" s="63"/>
      <c r="N81" s="63"/>
      <c r="O81" s="49"/>
      <c r="P81" s="49"/>
    </row>
    <row r="82">
      <c r="A82" s="63"/>
      <c r="B82" s="63"/>
      <c r="C82" s="63"/>
      <c r="D82" s="63"/>
      <c r="E82" s="63"/>
      <c r="F82" s="63"/>
      <c r="G82" s="63"/>
      <c r="H82" s="63"/>
      <c r="I82" s="63"/>
      <c r="J82" s="63"/>
      <c r="K82" s="63"/>
      <c r="L82" s="63"/>
      <c r="M82" s="63"/>
      <c r="N82" s="64"/>
      <c r="O82" s="49"/>
      <c r="P82" s="49"/>
    </row>
    <row r="83">
      <c r="A83" s="63"/>
      <c r="B83" s="63"/>
      <c r="C83" s="63"/>
      <c r="D83" s="63"/>
      <c r="E83" s="63"/>
      <c r="F83" s="63"/>
      <c r="G83" s="63"/>
      <c r="H83" s="63"/>
      <c r="I83" s="63"/>
      <c r="J83" s="63"/>
      <c r="K83" s="63"/>
      <c r="L83" s="63"/>
      <c r="M83" s="63"/>
      <c r="N83" s="63"/>
      <c r="O83" s="49"/>
      <c r="P83" s="49"/>
    </row>
    <row r="84">
      <c r="A84" s="63"/>
      <c r="B84" s="63"/>
      <c r="C84" s="63"/>
      <c r="D84" s="63"/>
      <c r="E84" s="63"/>
      <c r="F84" s="63"/>
      <c r="G84" s="63"/>
      <c r="H84" s="63"/>
      <c r="I84" s="63"/>
      <c r="J84" s="63"/>
      <c r="K84" s="63"/>
      <c r="L84" s="63"/>
      <c r="M84" s="63"/>
      <c r="N84" s="64"/>
      <c r="O84" s="49"/>
      <c r="P84" s="49"/>
    </row>
    <row r="85">
      <c r="A85" s="63"/>
      <c r="B85" s="63"/>
      <c r="C85" s="63"/>
      <c r="D85" s="63"/>
      <c r="E85" s="63"/>
      <c r="F85" s="63"/>
      <c r="G85" s="63"/>
      <c r="H85" s="63"/>
      <c r="I85" s="63"/>
      <c r="J85" s="63"/>
      <c r="K85" s="63"/>
      <c r="L85" s="63"/>
      <c r="M85" s="63"/>
      <c r="N85" s="63"/>
      <c r="O85" s="49"/>
      <c r="P85" s="49"/>
    </row>
    <row r="86">
      <c r="A86" s="63"/>
      <c r="B86" s="63"/>
      <c r="C86" s="63"/>
      <c r="D86" s="63"/>
      <c r="E86" s="63"/>
      <c r="F86" s="63"/>
      <c r="G86" s="63"/>
      <c r="H86" s="63"/>
      <c r="I86" s="63"/>
      <c r="J86" s="63"/>
      <c r="K86" s="63"/>
      <c r="L86" s="63"/>
      <c r="M86" s="63"/>
      <c r="N86" s="64"/>
      <c r="O86" s="49"/>
      <c r="P86" s="49"/>
    </row>
    <row r="87">
      <c r="A87" s="63"/>
      <c r="B87" s="63"/>
      <c r="C87" s="63"/>
      <c r="D87" s="63"/>
      <c r="E87" s="63"/>
      <c r="F87" s="63"/>
      <c r="G87" s="63"/>
      <c r="H87" s="63"/>
      <c r="I87" s="63"/>
      <c r="J87" s="63"/>
      <c r="K87" s="63"/>
      <c r="L87" s="63"/>
      <c r="M87" s="63"/>
      <c r="N87" s="63"/>
      <c r="O87" s="49"/>
      <c r="P87" s="49"/>
    </row>
    <row r="88">
      <c r="A88" s="63"/>
      <c r="B88" s="63"/>
      <c r="C88" s="63"/>
      <c r="D88" s="63"/>
      <c r="E88" s="63"/>
      <c r="F88" s="63"/>
      <c r="G88" s="63"/>
      <c r="H88" s="63"/>
      <c r="I88" s="63"/>
      <c r="J88" s="63"/>
      <c r="K88" s="63"/>
      <c r="L88" s="63"/>
      <c r="M88" s="63"/>
      <c r="N88" s="64"/>
      <c r="O88" s="49"/>
      <c r="P88" s="49"/>
    </row>
    <row r="89">
      <c r="A89" s="63"/>
      <c r="B89" s="63"/>
      <c r="C89" s="63"/>
      <c r="D89" s="63"/>
      <c r="E89" s="63"/>
      <c r="F89" s="63"/>
      <c r="G89" s="63"/>
      <c r="H89" s="63"/>
      <c r="I89" s="63"/>
      <c r="J89" s="63"/>
      <c r="K89" s="63"/>
      <c r="L89" s="63"/>
      <c r="M89" s="63"/>
      <c r="N89" s="63"/>
      <c r="O89" s="49"/>
      <c r="P89" s="49"/>
    </row>
    <row r="90">
      <c r="A90" s="63"/>
      <c r="B90" s="63"/>
      <c r="C90" s="63"/>
      <c r="D90" s="63"/>
      <c r="E90" s="63"/>
      <c r="F90" s="63"/>
      <c r="G90" s="63"/>
      <c r="H90" s="63"/>
      <c r="I90" s="63"/>
      <c r="J90" s="63"/>
      <c r="K90" s="63"/>
      <c r="L90" s="63"/>
      <c r="M90" s="63"/>
      <c r="N90" s="64"/>
      <c r="O90" s="49"/>
      <c r="P90" s="49"/>
    </row>
    <row r="91">
      <c r="A91" s="63"/>
      <c r="B91" s="63"/>
      <c r="C91" s="63"/>
      <c r="D91" s="63"/>
      <c r="E91" s="63"/>
      <c r="F91" s="63"/>
      <c r="G91" s="63"/>
      <c r="H91" s="63"/>
      <c r="I91" s="63"/>
      <c r="J91" s="63"/>
      <c r="K91" s="63"/>
      <c r="L91" s="63"/>
      <c r="M91" s="63"/>
      <c r="N91" s="63"/>
      <c r="O91" s="49"/>
      <c r="P91" s="49"/>
    </row>
    <row r="92">
      <c r="A92" s="63"/>
      <c r="B92" s="63"/>
      <c r="C92" s="63"/>
      <c r="D92" s="63"/>
      <c r="E92" s="63"/>
      <c r="F92" s="63"/>
      <c r="G92" s="63"/>
      <c r="H92" s="63"/>
      <c r="I92" s="63"/>
      <c r="J92" s="63"/>
      <c r="K92" s="63"/>
      <c r="L92" s="63"/>
      <c r="M92" s="63"/>
      <c r="N92" s="64"/>
      <c r="O92" s="49"/>
      <c r="P92" s="49"/>
    </row>
    <row r="93">
      <c r="A93" s="63"/>
      <c r="B93" s="63"/>
      <c r="C93" s="63"/>
      <c r="D93" s="63"/>
      <c r="E93" s="63"/>
      <c r="F93" s="63"/>
      <c r="G93" s="63"/>
      <c r="H93" s="63"/>
      <c r="I93" s="63"/>
      <c r="J93" s="63"/>
      <c r="K93" s="63"/>
      <c r="L93" s="63"/>
      <c r="M93" s="63"/>
      <c r="N93" s="63"/>
      <c r="O93" s="49"/>
      <c r="P93" s="49"/>
    </row>
    <row r="94">
      <c r="A94" s="63"/>
      <c r="B94" s="63"/>
      <c r="C94" s="63"/>
      <c r="D94" s="63"/>
      <c r="E94" s="63"/>
      <c r="F94" s="63"/>
      <c r="G94" s="63"/>
      <c r="H94" s="63"/>
      <c r="I94" s="63"/>
      <c r="J94" s="63"/>
      <c r="K94" s="63"/>
      <c r="L94" s="63"/>
      <c r="M94" s="63"/>
      <c r="N94" s="64"/>
      <c r="O94" s="49"/>
      <c r="P94" s="49"/>
    </row>
    <row r="95">
      <c r="A95" s="67"/>
      <c r="B95" s="61"/>
      <c r="C95" s="61"/>
      <c r="D95" s="61"/>
      <c r="E95" s="61"/>
      <c r="F95" s="61"/>
      <c r="G95" s="61"/>
      <c r="H95" s="61"/>
      <c r="I95" s="61"/>
      <c r="J95" s="61"/>
      <c r="K95" s="61"/>
      <c r="L95" s="68"/>
      <c r="M95" s="61"/>
      <c r="N95" s="61"/>
      <c r="O95" s="49"/>
      <c r="P95" s="49"/>
    </row>
    <row r="96">
      <c r="A96" s="61"/>
      <c r="B96" s="69"/>
      <c r="C96" s="69"/>
      <c r="D96" s="69"/>
      <c r="E96" s="69"/>
      <c r="F96" s="69"/>
      <c r="G96" s="69"/>
      <c r="H96" s="69"/>
      <c r="I96" s="69"/>
      <c r="J96" s="69"/>
      <c r="K96" s="69"/>
      <c r="L96" s="70"/>
      <c r="M96" s="69"/>
      <c r="N96" s="71"/>
      <c r="O96" s="49"/>
      <c r="P96" s="49"/>
    </row>
    <row r="97">
      <c r="A97" s="72"/>
      <c r="B97" s="73"/>
      <c r="C97" s="73"/>
      <c r="D97" s="73"/>
      <c r="E97" s="73"/>
      <c r="F97" s="73"/>
      <c r="G97" s="73"/>
      <c r="H97" s="73"/>
      <c r="I97" s="73"/>
      <c r="J97" s="73"/>
      <c r="K97" s="73"/>
      <c r="L97" s="74"/>
      <c r="M97" s="73"/>
      <c r="N97" s="73"/>
      <c r="O97" s="49"/>
      <c r="P97" s="49"/>
    </row>
    <row r="98">
      <c r="A98" s="75"/>
      <c r="B98" s="72"/>
      <c r="C98" s="72"/>
      <c r="D98" s="72"/>
      <c r="E98" s="72"/>
      <c r="F98" s="72"/>
      <c r="G98" s="72"/>
      <c r="H98" s="72"/>
      <c r="I98" s="72"/>
      <c r="J98" s="72"/>
      <c r="K98" s="72"/>
      <c r="L98" s="76"/>
      <c r="M98" s="72"/>
      <c r="N98" s="77"/>
      <c r="O98" s="49"/>
      <c r="P98" s="49"/>
    </row>
    <row r="99">
      <c r="A99" s="73"/>
      <c r="B99" s="73"/>
      <c r="C99" s="73"/>
      <c r="D99" s="73"/>
      <c r="E99" s="73"/>
      <c r="F99" s="73"/>
      <c r="G99" s="73"/>
      <c r="H99" s="73"/>
      <c r="I99" s="73"/>
      <c r="J99" s="73"/>
      <c r="K99" s="73"/>
      <c r="L99" s="74"/>
      <c r="M99" s="73"/>
      <c r="N99" s="73"/>
      <c r="O99" s="49"/>
      <c r="P99" s="49"/>
    </row>
    <row r="100">
      <c r="A100" s="49"/>
      <c r="B100" s="49"/>
      <c r="C100" s="49"/>
      <c r="D100" s="49"/>
      <c r="E100" s="49"/>
      <c r="F100" s="49"/>
      <c r="G100" s="49"/>
      <c r="H100" s="49"/>
      <c r="I100" s="49"/>
      <c r="J100" s="49"/>
      <c r="K100" s="49"/>
      <c r="L100" s="49"/>
      <c r="M100" s="49"/>
      <c r="N100" s="49"/>
      <c r="O100" s="49"/>
      <c r="P100" s="49"/>
    </row>
    <row r="101">
      <c r="A101" s="49"/>
      <c r="B101" s="49"/>
      <c r="C101" s="49"/>
      <c r="D101" s="49"/>
      <c r="E101" s="49"/>
      <c r="F101" s="49"/>
      <c r="G101" s="49"/>
      <c r="H101" s="49"/>
      <c r="I101" s="49"/>
      <c r="J101" s="49"/>
      <c r="K101" s="49"/>
      <c r="L101" s="49"/>
      <c r="M101" s="49"/>
      <c r="N101" s="49"/>
      <c r="O101" s="49"/>
      <c r="P101" s="49"/>
    </row>
    <row r="102">
      <c r="A102" s="49"/>
      <c r="B102" s="49"/>
      <c r="C102" s="49"/>
      <c r="D102" s="49"/>
      <c r="E102" s="49"/>
      <c r="F102" s="49"/>
      <c r="G102" s="49"/>
      <c r="H102" s="49"/>
      <c r="I102" s="49"/>
      <c r="J102" s="49"/>
      <c r="K102" s="49"/>
      <c r="L102" s="49"/>
      <c r="M102" s="49"/>
      <c r="N102" s="49"/>
      <c r="O102" s="49"/>
      <c r="P102" s="49"/>
    </row>
    <row r="103">
      <c r="A103" s="49"/>
      <c r="B103" s="49"/>
      <c r="C103" s="49"/>
      <c r="D103" s="49"/>
      <c r="E103" s="49"/>
      <c r="F103" s="49"/>
      <c r="G103" s="49"/>
      <c r="H103" s="49"/>
      <c r="I103" s="49"/>
      <c r="J103" s="49"/>
      <c r="K103" s="49"/>
      <c r="L103" s="49"/>
      <c r="M103" s="49"/>
      <c r="N103" s="49"/>
      <c r="O103" s="49"/>
      <c r="P103" s="49"/>
    </row>
    <row r="104">
      <c r="A104" s="49"/>
      <c r="B104" s="49"/>
      <c r="C104" s="49"/>
      <c r="D104" s="49"/>
      <c r="E104" s="49"/>
      <c r="F104" s="49"/>
      <c r="G104" s="49"/>
      <c r="H104" s="49"/>
      <c r="I104" s="49"/>
      <c r="J104" s="49"/>
      <c r="K104" s="49"/>
      <c r="L104" s="49"/>
      <c r="M104" s="49"/>
      <c r="N104" s="49"/>
      <c r="O104" s="49"/>
      <c r="P104" s="49"/>
    </row>
    <row r="105">
      <c r="A105" s="49"/>
      <c r="B105" s="49"/>
      <c r="C105" s="49"/>
      <c r="D105" s="49"/>
      <c r="E105" s="49"/>
      <c r="F105" s="49"/>
      <c r="G105" s="49"/>
      <c r="H105" s="49"/>
      <c r="I105" s="49"/>
      <c r="J105" s="49"/>
      <c r="K105" s="49"/>
      <c r="L105" s="49"/>
      <c r="M105" s="49"/>
      <c r="N105" s="49"/>
      <c r="O105" s="49"/>
      <c r="P105" s="49"/>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78" t="s">
        <v>15</v>
      </c>
      <c r="B1" s="78" t="s">
        <v>16</v>
      </c>
      <c r="C1" s="79" t="s">
        <v>14</v>
      </c>
      <c r="D1" s="78" t="s">
        <v>310</v>
      </c>
      <c r="E1" s="78" t="s">
        <v>311</v>
      </c>
      <c r="F1" s="80" t="s">
        <v>312</v>
      </c>
      <c r="G1" s="81"/>
      <c r="H1" s="81"/>
      <c r="I1" s="81"/>
      <c r="J1" s="81"/>
      <c r="K1" s="81"/>
      <c r="L1" s="81"/>
      <c r="M1" s="81"/>
      <c r="N1" s="81"/>
      <c r="O1" s="81"/>
      <c r="P1" s="81"/>
      <c r="Q1" s="81"/>
      <c r="R1" s="81"/>
      <c r="S1" s="81"/>
      <c r="T1" s="81"/>
      <c r="U1" s="81"/>
      <c r="V1" s="81"/>
      <c r="W1" s="81"/>
      <c r="X1" s="81"/>
      <c r="Y1" s="81"/>
      <c r="Z1" s="81"/>
      <c r="AA1" s="81"/>
    </row>
    <row r="2">
      <c r="A2" s="82" t="str">
        <f>IFERROR(__xludf.DUMMYFUNCTION("SORT(
  SPLIT(
    UNIQUE(
      FILTER('Main Report'!B11:B100 &amp; ""♦"" &amp; 'Main Report'!C11:C100, LEN('Main Report'!C11:C100))
    ),
    ""♦""
  ),
  1, TRUE, 2, TRUE
)
"),"Chat")</f>
        <v>Chat</v>
      </c>
      <c r="B2" s="82" t="str">
        <f>IFERROR(__xludf.DUMMYFUNCTION("""COMPUTED_VALUE"""),"Chat")</f>
        <v>Chat</v>
      </c>
      <c r="C2" s="82" t="str">
        <f>IFERROR(__xludf.DUMMYFUNCTION("TEXTJOIN("", "", TRUE, 
  FILTER('Main Report'!A11:A100, 
    ('Main Report'!B11:B100=A2) * ('Main Report'!C11:C100=B2)
  )
)
"),"BR-001")</f>
        <v>BR-001</v>
      </c>
      <c r="D2" s="82">
        <f>IFERROR(__xludf.DUMMYFUNCTION("COUNTA(UNIQUE(TRANSPOSE(SPLIT(C2, "", ""))))
"),1.0)</f>
        <v>1</v>
      </c>
      <c r="E2" s="82" t="str">
        <f>IF(D2="", "", TEXT((D2 / 'Main Report'!$E$7), "0.00%"))
</f>
        <v>2.50%</v>
      </c>
      <c r="F2" s="83"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0
Low: 0")</f>
        <v>High: 1
Medium: 0
Low: 0</v>
      </c>
      <c r="G2" s="81"/>
      <c r="H2" s="81"/>
      <c r="I2" s="81"/>
      <c r="J2" s="81"/>
      <c r="K2" s="81"/>
      <c r="L2" s="81"/>
      <c r="M2" s="81"/>
      <c r="N2" s="81"/>
      <c r="O2" s="81"/>
      <c r="P2" s="81"/>
      <c r="Q2" s="81"/>
      <c r="R2" s="81"/>
      <c r="S2" s="81"/>
      <c r="T2" s="81"/>
      <c r="U2" s="81"/>
      <c r="V2" s="81"/>
      <c r="W2" s="81"/>
      <c r="X2" s="81"/>
      <c r="Y2" s="81"/>
      <c r="Z2" s="81"/>
      <c r="AA2" s="81"/>
    </row>
    <row r="3">
      <c r="A3" s="84" t="str">
        <f>IFERROR(__xludf.DUMMYFUNCTION("""COMPUTED_VALUE"""),"Generated PDF")</f>
        <v>Generated PDF</v>
      </c>
      <c r="B3" s="84" t="str">
        <f>IFERROR(__xludf.DUMMYFUNCTION("""COMPUTED_VALUE"""),"PDF : 0781-ARE")</f>
        <v>PDF : 0781-ARE</v>
      </c>
      <c r="C3" s="84" t="str">
        <f>IFERROR(__xludf.DUMMYFUNCTION("TEXTJOIN("", "", TRUE, 
  FILTER('Main Report'!A12:A101, 
    ('Main Report'!B12:B101=A3) * ('Main Report'!C12:C101=B3)
  )
)
"),"BR-002, BR-003, BR-004, BR-005")</f>
        <v>BR-002, BR-003, BR-004, BR-005</v>
      </c>
      <c r="D3" s="82">
        <f>IFERROR(__xludf.DUMMYFUNCTION("COUNTA(UNIQUE(TRANSPOSE(SPLIT(C3, "", ""))))
"),4.0)</f>
        <v>4</v>
      </c>
      <c r="E3" s="84" t="str">
        <f>IF(D3="", "", TEXT((D3 / 'Main Report'!$E$7), "0.00%"))
</f>
        <v>10.00%</v>
      </c>
      <c r="F3" s="85"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4
Medium: 0
Low: 0")</f>
        <v>High: 4
Medium: 0
Low: 0</v>
      </c>
      <c r="G3" s="81"/>
      <c r="H3" s="81"/>
      <c r="I3" s="81"/>
      <c r="J3" s="81"/>
      <c r="K3" s="81"/>
      <c r="L3" s="81"/>
      <c r="M3" s="81"/>
      <c r="N3" s="81"/>
      <c r="O3" s="81"/>
      <c r="P3" s="81"/>
      <c r="Q3" s="81"/>
      <c r="R3" s="81"/>
      <c r="S3" s="81"/>
      <c r="T3" s="81"/>
      <c r="U3" s="81"/>
      <c r="V3" s="81"/>
      <c r="W3" s="81"/>
      <c r="X3" s="81"/>
      <c r="Y3" s="81"/>
      <c r="Z3" s="81"/>
      <c r="AA3" s="81"/>
    </row>
    <row r="4">
      <c r="A4" s="84" t="str">
        <f>IFERROR(__xludf.DUMMYFUNCTION("""COMPUTED_VALUE"""),"Generated PDF")</f>
        <v>Generated PDF</v>
      </c>
      <c r="B4" s="84" t="str">
        <f>IFERROR(__xludf.DUMMYFUNCTION("""COMPUTED_VALUE"""),"PDF : 0995-ARE")</f>
        <v>PDF : 0995-ARE</v>
      </c>
      <c r="C4" s="84" t="str">
        <f>IFERROR(__xludf.DUMMYFUNCTION("TEXTJOIN("", "", TRUE, 
  FILTER('Main Report'!A13:A102, 
    ('Main Report'!B13:B102=A4) * ('Main Report'!C13:C102=B4)
  )
)
"),"BR-006, BR-007")</f>
        <v>BR-006, BR-007</v>
      </c>
      <c r="D4" s="82">
        <f>IFERROR(__xludf.DUMMYFUNCTION("COUNTA(UNIQUE(TRANSPOSE(SPLIT(C4, "", ""))))
"),2.0)</f>
        <v>2</v>
      </c>
      <c r="E4" s="84" t="str">
        <f>IF(D4="", "", TEXT((D4 / 'Main Report'!$E$7), "0.00%"))
</f>
        <v>5.00%</v>
      </c>
      <c r="F4" s="85"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2
Medium: 0
Low: 0")</f>
        <v>High: 2
Medium: 0
Low: 0</v>
      </c>
      <c r="G4" s="81"/>
      <c r="H4" s="81"/>
      <c r="I4" s="81"/>
      <c r="J4" s="81"/>
      <c r="K4" s="81"/>
      <c r="L4" s="81"/>
      <c r="M4" s="81"/>
      <c r="N4" s="81"/>
      <c r="O4" s="81"/>
      <c r="P4" s="81"/>
      <c r="Q4" s="81"/>
      <c r="R4" s="81"/>
      <c r="S4" s="81"/>
      <c r="T4" s="81"/>
      <c r="U4" s="81"/>
      <c r="V4" s="81"/>
      <c r="W4" s="81"/>
      <c r="X4" s="81"/>
      <c r="Y4" s="81"/>
      <c r="Z4" s="81"/>
      <c r="AA4" s="81"/>
    </row>
    <row r="5">
      <c r="A5" s="84" t="str">
        <f>IFERROR(__xludf.DUMMYFUNCTION("""COMPUTED_VALUE"""),"Generated PDF")</f>
        <v>Generated PDF</v>
      </c>
      <c r="B5" s="84" t="str">
        <f>IFERROR(__xludf.DUMMYFUNCTION("""COMPUTED_VALUE"""),"PDF : 526-EZ")</f>
        <v>PDF : 526-EZ</v>
      </c>
      <c r="C5" s="84" t="str">
        <f>IFERROR(__xludf.DUMMYFUNCTION("TEXTJOIN("", "", TRUE, 
  FILTER('Main Report'!A14:A103, 
    ('Main Report'!B14:B103=A5) * ('Main Report'!C14:C103=B5)
  )
)
"),"BR-008, BR-009, BR-010, BR-011")</f>
        <v>BR-008, BR-009, BR-010, BR-011</v>
      </c>
      <c r="D5" s="82">
        <f>IFERROR(__xludf.DUMMYFUNCTION("COUNTA(UNIQUE(TRANSPOSE(SPLIT(C5, "", ""))))
"),4.0)</f>
        <v>4</v>
      </c>
      <c r="E5" s="84" t="str">
        <f>IF(D5="", "", TEXT((D5 / 'Main Report'!$E$7), "0.00%"))
</f>
        <v>10.00%</v>
      </c>
      <c r="F5" s="85"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4
Medium: 0
Low: 0")</f>
        <v>High: 4
Medium: 0
Low: 0</v>
      </c>
      <c r="G5" s="81"/>
      <c r="H5" s="81"/>
      <c r="I5" s="81"/>
      <c r="J5" s="81"/>
      <c r="K5" s="81"/>
      <c r="L5" s="81"/>
      <c r="M5" s="81"/>
      <c r="N5" s="81"/>
      <c r="O5" s="81"/>
      <c r="P5" s="81"/>
      <c r="Q5" s="81"/>
      <c r="R5" s="81"/>
      <c r="S5" s="81"/>
      <c r="T5" s="81"/>
      <c r="U5" s="81"/>
      <c r="V5" s="81"/>
      <c r="W5" s="81"/>
      <c r="X5" s="81"/>
      <c r="Y5" s="81"/>
      <c r="Z5" s="81"/>
      <c r="AA5" s="81"/>
    </row>
    <row r="6">
      <c r="A6" s="84" t="str">
        <f>IFERROR(__xludf.DUMMYFUNCTION("""COMPUTED_VALUE"""),"Home")</f>
        <v>Home</v>
      </c>
      <c r="B6" s="84" t="str">
        <f>IFERROR(__xludf.DUMMYFUNCTION("""COMPUTED_VALUE"""),"Home")</f>
        <v>Home</v>
      </c>
      <c r="C6" s="84" t="str">
        <f>IFERROR(__xludf.DUMMYFUNCTION("TEXTJOIN("", "", TRUE, 
  FILTER('Main Report'!A15:A104, 
    ('Main Report'!B15:B104=A6) * ('Main Report'!C15:C104=B6)
  )
)
"),"BR-012, BR-013, BR-014, BR-015")</f>
        <v>BR-012, BR-013, BR-014, BR-015</v>
      </c>
      <c r="D6" s="82">
        <f>IFERROR(__xludf.DUMMYFUNCTION("COUNTA(UNIQUE(TRANSPOSE(SPLIT(C6, "", ""))))
"),4.0)</f>
        <v>4</v>
      </c>
      <c r="E6" s="84" t="str">
        <f>IF(D6="", "", TEXT((D6 / 'Main Report'!$E$7), "0.00%"))
</f>
        <v>10.00%</v>
      </c>
      <c r="F6" s="85"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2
Medium: 1
Low: 1")</f>
        <v>High: 2
Medium: 1
Low: 1</v>
      </c>
      <c r="G6" s="81"/>
      <c r="H6" s="81"/>
      <c r="I6" s="81"/>
      <c r="J6" s="81"/>
      <c r="K6" s="81"/>
      <c r="L6" s="81"/>
      <c r="M6" s="81"/>
      <c r="N6" s="81"/>
      <c r="O6" s="81"/>
      <c r="P6" s="81"/>
      <c r="Q6" s="81"/>
      <c r="R6" s="81"/>
      <c r="S6" s="81"/>
      <c r="T6" s="81"/>
      <c r="U6" s="81"/>
      <c r="V6" s="81"/>
      <c r="W6" s="81"/>
      <c r="X6" s="81"/>
      <c r="Y6" s="81"/>
      <c r="Z6" s="81"/>
      <c r="AA6" s="81"/>
    </row>
    <row r="7">
      <c r="A7" s="84" t="str">
        <f>IFERROR(__xludf.DUMMYFUNCTION("""COMPUTED_VALUE"""),"Notification")</f>
        <v>Notification</v>
      </c>
      <c r="B7" s="84" t="str">
        <f>IFERROR(__xludf.DUMMYFUNCTION("""COMPUTED_VALUE"""),"Notification")</f>
        <v>Notification</v>
      </c>
      <c r="C7" s="84" t="str">
        <f>IFERROR(__xludf.DUMMYFUNCTION("TEXTJOIN("", "", TRUE, 
  FILTER('Main Report'!A16:A105, 
    ('Main Report'!B16:B105=A7) * ('Main Report'!C16:C105=B7)
  )
)
"),"BR-016")</f>
        <v>BR-016</v>
      </c>
      <c r="D7" s="82">
        <f>IFERROR(__xludf.DUMMYFUNCTION("COUNTA(UNIQUE(TRANSPOSE(SPLIT(C7, "", ""))))
"),1.0)</f>
        <v>1</v>
      </c>
      <c r="E7" s="84" t="str">
        <f>IF(D7="", "", TEXT((D7 / 'Main Report'!$E$7), "0.00%"))
</f>
        <v>2.50%</v>
      </c>
      <c r="F7" s="85"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1
Medium: 0
Low: 0")</f>
        <v>High: 1
Medium: 0
Low: 0</v>
      </c>
      <c r="G7" s="81"/>
      <c r="H7" s="81"/>
      <c r="I7" s="81"/>
      <c r="J7" s="81"/>
      <c r="K7" s="81"/>
      <c r="L7" s="81"/>
      <c r="M7" s="81"/>
      <c r="N7" s="81"/>
      <c r="O7" s="81"/>
      <c r="P7" s="81"/>
      <c r="Q7" s="81"/>
      <c r="R7" s="81"/>
      <c r="S7" s="81"/>
      <c r="T7" s="81"/>
      <c r="U7" s="81"/>
      <c r="V7" s="81"/>
      <c r="W7" s="81"/>
      <c r="X7" s="81"/>
      <c r="Y7" s="81"/>
      <c r="Z7" s="81"/>
      <c r="AA7" s="81"/>
    </row>
    <row r="8">
      <c r="A8" s="84" t="str">
        <f>IFERROR(__xludf.DUMMYFUNCTION("""COMPUTED_VALUE"""),"OTP")</f>
        <v>OTP</v>
      </c>
      <c r="B8" s="84" t="str">
        <f>IFERROR(__xludf.DUMMYFUNCTION("""COMPUTED_VALUE"""),"OTP")</f>
        <v>OTP</v>
      </c>
      <c r="C8" s="84" t="str">
        <f>IFERROR(__xludf.DUMMYFUNCTION("TEXTJOIN("", "", TRUE, 
  FILTER('Main Report'!A17:A106, 
    ('Main Report'!B17:B106=A8) * ('Main Report'!C17:C106=B8)
  )
)
"),"BR-017, BR-018")</f>
        <v>BR-017, BR-018</v>
      </c>
      <c r="D8" s="82">
        <f>IFERROR(__xludf.DUMMYFUNCTION("COUNTA(UNIQUE(TRANSPOSE(SPLIT(C8, "", ""))))
"),2.0)</f>
        <v>2</v>
      </c>
      <c r="E8" s="84" t="str">
        <f>IF(D8="", "", TEXT((D8 / 'Main Report'!$E$7), "0.00%"))
</f>
        <v>5.00%</v>
      </c>
      <c r="F8" s="85"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0
Low: 0")</f>
        <v>High: 2
Medium: 0
Low: 0</v>
      </c>
      <c r="G8" s="81"/>
      <c r="H8" s="81"/>
      <c r="I8" s="81"/>
      <c r="J8" s="81"/>
      <c r="K8" s="81"/>
      <c r="L8" s="81"/>
      <c r="M8" s="81"/>
      <c r="N8" s="81"/>
      <c r="O8" s="81"/>
      <c r="P8" s="81"/>
      <c r="Q8" s="81"/>
      <c r="R8" s="81"/>
      <c r="S8" s="81"/>
      <c r="T8" s="81"/>
      <c r="U8" s="81"/>
      <c r="V8" s="81"/>
      <c r="W8" s="81"/>
      <c r="X8" s="81"/>
      <c r="Y8" s="81"/>
      <c r="Z8" s="81"/>
      <c r="AA8" s="81"/>
    </row>
    <row r="9">
      <c r="A9" s="84" t="str">
        <f>IFERROR(__xludf.DUMMYFUNCTION("""COMPUTED_VALUE"""),"Register")</f>
        <v>Register</v>
      </c>
      <c r="B9" s="84" t="str">
        <f>IFERROR(__xludf.DUMMYFUNCTION("""COMPUTED_VALUE"""),"Register")</f>
        <v>Register</v>
      </c>
      <c r="C9" s="84" t="str">
        <f>IFERROR(__xludf.DUMMYFUNCTION("TEXTJOIN("", "", TRUE, 
  FILTER('Main Report'!A18:A107, 
    ('Main Report'!B18:B107=A9) * ('Main Report'!C18:C107=B9)
  )
)
"),"BR-019, BR-020")</f>
        <v>BR-019, BR-020</v>
      </c>
      <c r="D9" s="82">
        <f>IFERROR(__xludf.DUMMYFUNCTION("COUNTA(UNIQUE(TRANSPOSE(SPLIT(C9, "", ""))))
"),2.0)</f>
        <v>2</v>
      </c>
      <c r="E9" s="84" t="str">
        <f>IF(D9="", "", TEXT((D9 / 'Main Report'!$E$7), "0.00%"))
</f>
        <v>5.00%</v>
      </c>
      <c r="F9" s="85"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1
Medium: 1
Low: 0")</f>
        <v>High: 1
Medium: 1
Low: 0</v>
      </c>
      <c r="G9" s="81"/>
      <c r="H9" s="81"/>
      <c r="I9" s="81"/>
      <c r="J9" s="81"/>
      <c r="K9" s="81"/>
      <c r="L9" s="81"/>
      <c r="M9" s="81"/>
      <c r="N9" s="81"/>
      <c r="O9" s="81"/>
      <c r="P9" s="81"/>
      <c r="Q9" s="81"/>
      <c r="R9" s="81"/>
      <c r="S9" s="81"/>
      <c r="T9" s="81"/>
      <c r="U9" s="81"/>
      <c r="V9" s="81"/>
      <c r="W9" s="81"/>
      <c r="X9" s="81"/>
      <c r="Y9" s="81"/>
      <c r="Z9" s="81"/>
      <c r="AA9" s="81"/>
    </row>
    <row r="10">
      <c r="A10" s="84" t="str">
        <f>IFERROR(__xludf.DUMMYFUNCTION("""COMPUTED_VALUE"""),"VA Form")</f>
        <v>VA Form</v>
      </c>
      <c r="B10" s="84" t="str">
        <f>IFERROR(__xludf.DUMMYFUNCTION("""COMPUTED_VALUE"""),"VA Form")</f>
        <v>VA Form</v>
      </c>
      <c r="C10" s="84" t="str">
        <f>IFERROR(__xludf.DUMMYFUNCTION("TEXTJOIN("", "", TRUE, 
  FILTER('Main Report'!A19:A108, 
    ('Main Report'!B19:B108=A10) * ('Main Report'!C19:C108=B10)
  )
)
"),"BR-021, BR-022, BR-023, BR-024, BR-025, BR-026, BR-027, BR-028, BR-029, BR-030, BR-031, BR-032, BR-033, BR-034, BR-035, BR-036, BR-037, BR-038, BR-039, BR-040")</f>
        <v>BR-021, BR-022, BR-023, BR-024, BR-025, BR-026, BR-027, BR-028, BR-029, BR-030, BR-031, BR-032, BR-033, BR-034, BR-035, BR-036, BR-037, BR-038, BR-039, BR-040</v>
      </c>
      <c r="D10" s="82">
        <f>IFERROR(__xludf.DUMMYFUNCTION("COUNTA(UNIQUE(TRANSPOSE(SPLIT(C10, "", ""))))
"),20.0)</f>
        <v>20</v>
      </c>
      <c r="E10" s="84" t="str">
        <f>IF(D10="", "", TEXT((D10 / 'Main Report'!$E$7), "0.00%"))
</f>
        <v>50.00%</v>
      </c>
      <c r="F10" s="85"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13
Medium: 5
Low: 2")</f>
        <v>High: 13
Medium: 5
Low: 2</v>
      </c>
      <c r="G10" s="81"/>
      <c r="H10" s="81"/>
      <c r="I10" s="81"/>
      <c r="J10" s="81"/>
      <c r="K10" s="81"/>
      <c r="L10" s="81"/>
      <c r="M10" s="81"/>
      <c r="N10" s="81"/>
      <c r="O10" s="81"/>
      <c r="P10" s="81"/>
      <c r="Q10" s="81"/>
      <c r="R10" s="81"/>
      <c r="S10" s="81"/>
      <c r="T10" s="81"/>
      <c r="U10" s="81"/>
      <c r="V10" s="81"/>
      <c r="W10" s="81"/>
      <c r="X10" s="81"/>
      <c r="Y10" s="81"/>
      <c r="Z10" s="81"/>
      <c r="AA10" s="81"/>
    </row>
    <row r="11">
      <c r="A11" s="84"/>
      <c r="B11" s="84"/>
      <c r="C11" s="84" t="str">
        <f>IFERROR(__xludf.DUMMYFUNCTION("TEXTJOIN("", "", TRUE, 
  FILTER('Main Report'!A20:A109, 
    ('Main Report'!B20:B109=A11) * ('Main Report'!C20:C109=B11)
  )
)
"),"")</f>
        <v/>
      </c>
      <c r="D11" s="84"/>
      <c r="E11" s="84" t="str">
        <f>IF(D11="", "", TEXT((D11 / 'Main Report'!$E$7), "0.00%"))
</f>
        <v/>
      </c>
      <c r="F11" s="85"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81"/>
      <c r="H11" s="81"/>
      <c r="I11" s="81"/>
      <c r="J11" s="81"/>
      <c r="K11" s="81"/>
      <c r="L11" s="81"/>
      <c r="M11" s="81"/>
      <c r="N11" s="81"/>
      <c r="O11" s="81"/>
      <c r="P11" s="81"/>
      <c r="Q11" s="81"/>
      <c r="R11" s="81"/>
      <c r="S11" s="81"/>
      <c r="T11" s="81"/>
      <c r="U11" s="81"/>
      <c r="V11" s="81"/>
      <c r="W11" s="81"/>
      <c r="X11" s="81"/>
      <c r="Y11" s="81"/>
      <c r="Z11" s="81"/>
      <c r="AA11" s="81"/>
    </row>
    <row r="12">
      <c r="A12" s="84"/>
      <c r="B12" s="84"/>
      <c r="C12" s="84" t="str">
        <f>IFERROR(__xludf.DUMMYFUNCTION("TEXTJOIN("", "", TRUE, 
  FILTER('Main Report'!A21:A110, 
    ('Main Report'!B21:B110=A12) * ('Main Report'!C21:C110=B12)
  )
)
"),"")</f>
        <v/>
      </c>
      <c r="D12" s="84"/>
      <c r="E12" s="84" t="str">
        <f>IF(D12="", "", TEXT((D12 / 'Main Report'!$E$7), "0.00%"))
</f>
        <v/>
      </c>
      <c r="F12" s="85"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81"/>
      <c r="H12" s="81"/>
      <c r="I12" s="81"/>
      <c r="J12" s="81"/>
      <c r="K12" s="81"/>
      <c r="L12" s="81"/>
      <c r="M12" s="81"/>
      <c r="N12" s="81"/>
      <c r="O12" s="81"/>
      <c r="P12" s="81"/>
      <c r="Q12" s="81"/>
      <c r="R12" s="81"/>
      <c r="S12" s="81"/>
      <c r="T12" s="81"/>
      <c r="U12" s="81"/>
      <c r="V12" s="81"/>
      <c r="W12" s="81"/>
      <c r="X12" s="81"/>
      <c r="Y12" s="81"/>
      <c r="Z12" s="81"/>
      <c r="AA12" s="81"/>
    </row>
    <row r="13">
      <c r="A13" s="84"/>
      <c r="B13" s="84"/>
      <c r="C13" s="84" t="str">
        <f>IFERROR(__xludf.DUMMYFUNCTION("TEXTJOIN("", "", TRUE, 
  FILTER('Main Report'!A22:A111, 
    ('Main Report'!B22:B111=A13) * ('Main Report'!C22:C111=B13)
  )
)
"),"")</f>
        <v/>
      </c>
      <c r="D13" s="84"/>
      <c r="E13" s="84" t="str">
        <f>IF(D13="", "", TEXT((D13 / 'Main Report'!$E$7), "0.00%"))
</f>
        <v/>
      </c>
      <c r="F13" s="85"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81"/>
      <c r="H13" s="81"/>
      <c r="I13" s="81"/>
      <c r="J13" s="81"/>
      <c r="K13" s="81"/>
      <c r="L13" s="81"/>
      <c r="M13" s="81"/>
      <c r="N13" s="81"/>
      <c r="O13" s="81"/>
      <c r="P13" s="81"/>
      <c r="Q13" s="81"/>
      <c r="R13" s="81"/>
      <c r="S13" s="81"/>
      <c r="T13" s="81"/>
      <c r="U13" s="81"/>
      <c r="V13" s="81"/>
      <c r="W13" s="81"/>
      <c r="X13" s="81"/>
      <c r="Y13" s="81"/>
      <c r="Z13" s="81"/>
      <c r="AA13" s="81"/>
    </row>
    <row r="14">
      <c r="A14" s="84"/>
      <c r="B14" s="84"/>
      <c r="C14" s="84" t="str">
        <f>IFERROR(__xludf.DUMMYFUNCTION("TEXTJOIN("", "", TRUE, 
  FILTER('Main Report'!A23:A112, 
    ('Main Report'!B23:B112=A14) * ('Main Report'!C23:C112=B14)
  )
)
"),"")</f>
        <v/>
      </c>
      <c r="D14" s="84"/>
      <c r="E14" s="84" t="str">
        <f>IF(D14="", "", TEXT((D14 / 'Main Report'!$E$7), "0.00%"))
</f>
        <v/>
      </c>
      <c r="F14" s="85"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81"/>
      <c r="H14" s="81"/>
      <c r="I14" s="81"/>
      <c r="J14" s="81"/>
      <c r="K14" s="81"/>
      <c r="L14" s="81"/>
      <c r="M14" s="81"/>
      <c r="N14" s="81"/>
      <c r="O14" s="81"/>
      <c r="P14" s="81"/>
      <c r="Q14" s="81"/>
      <c r="R14" s="81"/>
      <c r="S14" s="81"/>
      <c r="T14" s="81"/>
      <c r="U14" s="81"/>
      <c r="V14" s="81"/>
      <c r="W14" s="81"/>
      <c r="X14" s="81"/>
      <c r="Y14" s="81"/>
      <c r="Z14" s="81"/>
      <c r="AA14" s="81"/>
    </row>
    <row r="15">
      <c r="A15" s="84"/>
      <c r="B15" s="84"/>
      <c r="C15" s="84" t="str">
        <f>IFERROR(__xludf.DUMMYFUNCTION("TEXTJOIN("", "", TRUE, 
  FILTER('Main Report'!A24:A113, 
    ('Main Report'!B24:B113=A15) * ('Main Report'!C24:C113=B15)
  )
)
"),"")</f>
        <v/>
      </c>
      <c r="D15" s="84"/>
      <c r="E15" s="84" t="str">
        <f>IF(D15="", "", TEXT((D15 / 'Main Report'!$E$7), "0.00%"))
</f>
        <v/>
      </c>
      <c r="F15" s="85"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81"/>
      <c r="H15" s="81"/>
      <c r="I15" s="81"/>
      <c r="J15" s="81"/>
      <c r="K15" s="81"/>
      <c r="L15" s="81"/>
      <c r="M15" s="81"/>
      <c r="N15" s="81"/>
      <c r="O15" s="81"/>
      <c r="P15" s="81"/>
      <c r="Q15" s="81"/>
      <c r="R15" s="81"/>
      <c r="S15" s="81"/>
      <c r="T15" s="81"/>
      <c r="U15" s="81"/>
      <c r="V15" s="81"/>
      <c r="W15" s="81"/>
      <c r="X15" s="81"/>
      <c r="Y15" s="81"/>
      <c r="Z15" s="81"/>
      <c r="AA15" s="81"/>
    </row>
    <row r="16">
      <c r="A16" s="84"/>
      <c r="B16" s="84"/>
      <c r="C16" s="84" t="str">
        <f>IFERROR(__xludf.DUMMYFUNCTION("TEXTJOIN("", "", TRUE, 
  FILTER('Main Report'!A25:A114, 
    ('Main Report'!B25:B114=A16) * ('Main Report'!C25:C114=B16)
  )
)
"),"")</f>
        <v/>
      </c>
      <c r="D16" s="84"/>
      <c r="E16" s="84" t="str">
        <f>IF(D16="", "", TEXT((D16 / 'Main Report'!$E$7), "0.00%"))
</f>
        <v/>
      </c>
      <c r="F16" s="85"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1"/>
      <c r="H16" s="81"/>
      <c r="I16" s="81"/>
      <c r="J16" s="81"/>
      <c r="K16" s="81"/>
      <c r="L16" s="81"/>
      <c r="M16" s="81"/>
      <c r="N16" s="81"/>
      <c r="O16" s="81"/>
      <c r="P16" s="81"/>
      <c r="Q16" s="81"/>
      <c r="R16" s="81"/>
      <c r="S16" s="81"/>
      <c r="T16" s="81"/>
      <c r="U16" s="81"/>
      <c r="V16" s="81"/>
      <c r="W16" s="81"/>
      <c r="X16" s="81"/>
      <c r="Y16" s="81"/>
      <c r="Z16" s="81"/>
      <c r="AA16" s="81"/>
    </row>
    <row r="17">
      <c r="A17" s="84"/>
      <c r="B17" s="84"/>
      <c r="C17" s="84" t="str">
        <f>IFERROR(__xludf.DUMMYFUNCTION("TEXTJOIN("", "", TRUE, 
  FILTER('Main Report'!A26:A115, 
    ('Main Report'!B26:B115=A17) * ('Main Report'!C26:C115=B17)
  )
)
"),"")</f>
        <v/>
      </c>
      <c r="D17" s="84"/>
      <c r="E17" s="84" t="str">
        <f>IF(D17="", "", TEXT((D17 / 'Main Report'!$E$7), "0.00%"))
</f>
        <v/>
      </c>
      <c r="F17" s="85"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1"/>
      <c r="H17" s="81"/>
      <c r="I17" s="81"/>
      <c r="J17" s="81"/>
      <c r="K17" s="81"/>
      <c r="L17" s="81"/>
      <c r="M17" s="81"/>
      <c r="N17" s="81"/>
      <c r="O17" s="81"/>
      <c r="P17" s="81"/>
      <c r="Q17" s="81"/>
      <c r="R17" s="81"/>
      <c r="S17" s="81"/>
      <c r="T17" s="81"/>
      <c r="U17" s="81"/>
      <c r="V17" s="81"/>
      <c r="W17" s="81"/>
      <c r="X17" s="81"/>
      <c r="Y17" s="81"/>
      <c r="Z17" s="81"/>
      <c r="AA17" s="81"/>
    </row>
    <row r="18">
      <c r="A18" s="84"/>
      <c r="B18" s="84"/>
      <c r="C18" s="84" t="str">
        <f>IFERROR(__xludf.DUMMYFUNCTION("TEXTJOIN("", "", TRUE, 
  FILTER('Main Report'!A27:A116, 
    ('Main Report'!B27:B116=A18) * ('Main Report'!C27:C116=B18)
  )
)
"),"")</f>
        <v/>
      </c>
      <c r="D18" s="84"/>
      <c r="E18" s="84" t="str">
        <f>IF(D18="", "", TEXT((D18 / 'Main Report'!$E$7), "0.00%"))
</f>
        <v/>
      </c>
      <c r="F18" s="85"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1"/>
      <c r="H18" s="81"/>
      <c r="I18" s="81"/>
      <c r="J18" s="81"/>
      <c r="K18" s="81"/>
      <c r="L18" s="81"/>
      <c r="M18" s="81"/>
      <c r="N18" s="81"/>
      <c r="O18" s="81"/>
      <c r="P18" s="81"/>
      <c r="Q18" s="81"/>
      <c r="R18" s="81"/>
      <c r="S18" s="81"/>
      <c r="T18" s="81"/>
      <c r="U18" s="81"/>
      <c r="V18" s="81"/>
      <c r="W18" s="81"/>
      <c r="X18" s="81"/>
      <c r="Y18" s="81"/>
      <c r="Z18" s="81"/>
      <c r="AA18" s="81"/>
    </row>
    <row r="19">
      <c r="A19" s="84"/>
      <c r="B19" s="84"/>
      <c r="C19" s="84" t="str">
        <f>IFERROR(__xludf.DUMMYFUNCTION("TEXTJOIN("", "", TRUE, 
  FILTER('Main Report'!A28:A117, 
    ('Main Report'!B28:B117=A19) * ('Main Report'!C28:C117=B19)
  )
)
"),"")</f>
        <v/>
      </c>
      <c r="D19" s="84"/>
      <c r="E19" s="84" t="str">
        <f>IF(D19="", "", TEXT((D19 / 'Main Report'!$E$7), "0.00%"))
</f>
        <v/>
      </c>
      <c r="F19" s="85"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1"/>
      <c r="H19" s="81"/>
      <c r="I19" s="81"/>
      <c r="J19" s="81"/>
      <c r="K19" s="81"/>
      <c r="L19" s="81"/>
      <c r="M19" s="81"/>
      <c r="N19" s="81"/>
      <c r="O19" s="81"/>
      <c r="P19" s="81"/>
      <c r="Q19" s="81"/>
      <c r="R19" s="81"/>
      <c r="S19" s="81"/>
      <c r="T19" s="81"/>
      <c r="U19" s="81"/>
      <c r="V19" s="81"/>
      <c r="W19" s="81"/>
      <c r="X19" s="81"/>
      <c r="Y19" s="81"/>
      <c r="Z19" s="81"/>
      <c r="AA19" s="81"/>
    </row>
    <row r="20">
      <c r="A20" s="82"/>
      <c r="B20" s="82"/>
      <c r="C20" s="84" t="str">
        <f>IFERROR(__xludf.DUMMYFUNCTION("TEXTJOIN("", "", TRUE, 
  FILTER('Main Report'!A29:A118, 
    ('Main Report'!B29:B118=A20) * ('Main Report'!C29:C118=B20)
  )
)
"),"")</f>
        <v/>
      </c>
      <c r="D20" s="84"/>
      <c r="E20" s="84" t="str">
        <f>IF(D20="", "", TEXT((D20 / 'Main Report'!$E$7), "0.00%"))
</f>
        <v/>
      </c>
      <c r="F20" s="85"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1"/>
      <c r="H20" s="81"/>
      <c r="I20" s="81"/>
      <c r="J20" s="81"/>
      <c r="K20" s="81"/>
      <c r="L20" s="81"/>
      <c r="M20" s="81"/>
      <c r="N20" s="81"/>
      <c r="O20" s="81"/>
      <c r="P20" s="81"/>
      <c r="Q20" s="81"/>
      <c r="R20" s="81"/>
      <c r="S20" s="81"/>
      <c r="T20" s="81"/>
      <c r="U20" s="81"/>
      <c r="V20" s="81"/>
      <c r="W20" s="81"/>
      <c r="X20" s="81"/>
      <c r="Y20" s="81"/>
      <c r="Z20" s="81"/>
      <c r="AA20" s="81"/>
    </row>
    <row r="21">
      <c r="A21" s="84"/>
      <c r="B21" s="84"/>
      <c r="C21" s="84" t="str">
        <f>IFERROR(__xludf.DUMMYFUNCTION("TEXTJOIN("", "", TRUE, 
  FILTER('Main Report'!A30:A119, 
    ('Main Report'!B30:B119=A21) * ('Main Report'!C30:C119=B21)
  )
)
"),"")</f>
        <v/>
      </c>
      <c r="D21" s="84"/>
      <c r="E21" s="84" t="str">
        <f>IF(D21="", "", TEXT((D21 / 'Main Report'!$E$7), "0.00%"))
</f>
        <v/>
      </c>
      <c r="F21" s="85"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1"/>
      <c r="H21" s="81"/>
      <c r="I21" s="81"/>
      <c r="J21" s="81"/>
      <c r="K21" s="81"/>
      <c r="L21" s="81"/>
      <c r="M21" s="81"/>
      <c r="N21" s="81"/>
      <c r="O21" s="81"/>
      <c r="P21" s="81"/>
      <c r="Q21" s="81"/>
      <c r="R21" s="81"/>
      <c r="S21" s="81"/>
      <c r="T21" s="81"/>
      <c r="U21" s="81"/>
      <c r="V21" s="81"/>
      <c r="W21" s="81"/>
      <c r="X21" s="81"/>
      <c r="Y21" s="81"/>
      <c r="Z21" s="81"/>
      <c r="AA21" s="81"/>
    </row>
    <row r="22">
      <c r="A22" s="84"/>
      <c r="B22" s="84"/>
      <c r="C22" s="84"/>
      <c r="D22" s="84"/>
      <c r="E22" s="84"/>
      <c r="F22" s="84"/>
      <c r="G22" s="81"/>
      <c r="H22" s="81"/>
      <c r="I22" s="81"/>
      <c r="J22" s="81"/>
      <c r="K22" s="81"/>
      <c r="L22" s="81"/>
      <c r="M22" s="81"/>
      <c r="N22" s="81"/>
      <c r="O22" s="81"/>
      <c r="P22" s="81"/>
      <c r="Q22" s="81"/>
      <c r="R22" s="81"/>
      <c r="S22" s="81"/>
      <c r="T22" s="81"/>
      <c r="U22" s="81"/>
      <c r="V22" s="81"/>
      <c r="W22" s="81"/>
      <c r="X22" s="81"/>
      <c r="Y22" s="81"/>
      <c r="Z22" s="81"/>
      <c r="AA22" s="81"/>
    </row>
    <row r="23">
      <c r="A23" s="84"/>
      <c r="B23" s="84"/>
      <c r="C23" s="84"/>
      <c r="D23" s="84"/>
      <c r="E23" s="84"/>
      <c r="F23" s="84"/>
      <c r="G23" s="81"/>
      <c r="H23" s="81"/>
      <c r="I23" s="81"/>
      <c r="J23" s="81"/>
      <c r="K23" s="81"/>
      <c r="L23" s="81"/>
      <c r="M23" s="81"/>
      <c r="N23" s="81"/>
      <c r="O23" s="81"/>
      <c r="P23" s="81"/>
      <c r="Q23" s="81"/>
      <c r="R23" s="81"/>
      <c r="S23" s="81"/>
      <c r="T23" s="81"/>
      <c r="U23" s="81"/>
      <c r="V23" s="81"/>
      <c r="W23" s="81"/>
      <c r="X23" s="81"/>
      <c r="Y23" s="81"/>
      <c r="Z23" s="81"/>
      <c r="AA23" s="81"/>
    </row>
    <row r="24">
      <c r="A24" s="84"/>
      <c r="B24" s="84"/>
      <c r="C24" s="84"/>
      <c r="D24" s="84"/>
      <c r="E24" s="84"/>
      <c r="F24" s="84"/>
      <c r="G24" s="81"/>
      <c r="H24" s="81"/>
      <c r="I24" s="81"/>
      <c r="J24" s="81"/>
      <c r="K24" s="81"/>
      <c r="L24" s="81"/>
      <c r="M24" s="81"/>
      <c r="N24" s="81"/>
      <c r="O24" s="81"/>
      <c r="P24" s="81"/>
      <c r="Q24" s="81"/>
      <c r="R24" s="81"/>
      <c r="S24" s="81"/>
      <c r="T24" s="81"/>
      <c r="U24" s="81"/>
      <c r="V24" s="81"/>
      <c r="W24" s="81"/>
      <c r="X24" s="81"/>
      <c r="Y24" s="81"/>
      <c r="Z24" s="81"/>
      <c r="AA24" s="81"/>
    </row>
    <row r="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c r="AA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c r="AA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c r="AA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c r="AA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c r="AA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c r="AA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c r="AA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c r="AA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c r="AA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c r="AA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c r="AA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c r="AA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c r="AA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c r="AA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c r="AA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c r="AA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c r="AA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c r="AA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c r="AA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c r="AA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c r="AA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c r="AA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c r="AA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c r="AA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c r="AA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c r="AA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c r="AA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c r="AA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c r="AA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c r="AA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c r="AA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c r="AA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c r="AA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c r="AA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c r="AA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c r="AA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c r="AA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c r="AA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c r="AA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c r="AA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c r="AA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c r="AA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c r="AA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c r="AA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c r="AA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c r="AA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c r="AA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c r="AA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c r="AA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c r="AA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c r="AA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c r="AA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c r="AA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c r="AA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c r="AA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c r="AA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c r="AA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c r="AA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c r="AA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c r="AA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c r="AA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c r="AA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c r="AA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c r="AA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c r="AA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c r="AA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c r="AA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c r="AA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c r="AA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c r="AA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c r="AA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c r="AA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c r="AA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c r="AA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c r="AA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c r="AA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c r="AA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c r="AA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c r="AA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c r="AA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c r="AA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c r="AA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c r="AA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c r="AA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c r="AA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c r="AA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c r="AA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c r="AA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c r="AA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c r="AA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c r="AA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c r="AA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c r="AA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c r="AA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c r="AA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c r="AA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c r="AA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c r="AA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c r="AA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c r="AA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c r="AA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c r="AA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c r="AA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c r="AA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c r="AA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c r="AA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c r="AA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c r="AA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c r="AA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c r="AA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c r="AA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c r="AA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c r="AA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c r="AA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c r="AA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c r="AA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c r="AA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c r="AA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c r="AA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c r="AA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c r="AA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c r="AA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c r="AA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c r="AA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c r="AA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c r="AA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c r="AA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c r="AA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c r="AA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c r="AA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c r="AA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c r="AA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c r="AA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c r="AA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c r="AA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c r="AA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c r="AA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c r="AA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c r="AA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c r="AA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c r="AA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c r="AA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c r="AA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c r="AA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c r="AA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c r="AA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c r="AA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c r="AA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c r="AA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c r="AA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c r="AA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c r="AA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c r="AA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c r="AA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c r="AA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c r="AA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c r="AA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c r="AA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c r="AA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c r="AA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c r="AA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c r="AA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c r="AA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c r="AA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c r="AA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c r="AA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c r="AA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c r="AA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c r="AA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c r="AA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c r="AA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c r="AA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c r="AA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c r="AA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c r="AA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c r="AA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c r="AA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c r="AA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c r="AA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c r="AA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c r="AA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c r="AA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c r="AA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c r="AA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c r="AA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c r="AA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c r="AA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c r="AA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c r="AA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c r="AA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c r="AA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c r="AA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c r="AA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c r="AA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c r="AA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c r="AA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c r="AA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c r="AA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c r="AA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c r="AA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c r="AA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c r="AA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c r="AA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c r="AA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c r="AA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c r="AA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c r="AA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c r="AA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c r="AA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c r="AA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c r="AA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c r="AA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c r="AA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c r="AA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c r="AA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c r="AA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c r="AA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c r="AA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c r="AA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c r="AA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c r="AA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c r="AA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c r="AA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c r="AA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c r="AA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c r="AA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c r="AA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c r="AA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c r="AA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c r="AA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c r="AA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c r="AA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c r="AA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c r="AA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c r="AA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c r="AA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c r="AA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c r="AA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c r="AA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c r="AA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c r="AA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c r="AA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c r="AA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c r="AA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c r="AA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c r="AA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c r="AA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c r="AA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c r="AA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c r="AA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c r="AA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c r="AA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c r="AA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c r="AA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c r="AA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c r="AA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c r="AA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c r="AA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c r="AA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c r="AA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c r="AA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c r="AA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c r="AA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c r="AA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c r="AA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c r="AA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c r="AA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c r="AA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c r="AA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c r="AA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c r="AA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c r="AA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c r="AA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c r="AA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c r="AA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c r="AA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c r="AA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c r="AA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c r="AA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c r="AA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c r="AA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c r="AA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c r="AA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c r="AA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c r="AA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c r="AA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c r="AA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c r="AA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c r="AA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c r="AA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c r="AA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c r="AA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c r="AA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c r="AA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c r="AA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c r="AA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c r="AA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c r="AA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c r="AA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c r="AA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c r="AA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c r="AA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c r="AA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c r="AA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c r="AA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c r="AA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c r="AA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c r="AA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c r="AA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c r="AA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c r="AA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c r="AA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c r="AA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c r="AA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c r="AA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c r="AA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c r="AA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c r="AA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c r="AA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c r="AA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c r="AA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c r="AA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c r="AA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c r="AA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c r="AA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c r="AA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c r="AA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c r="AA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c r="AA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c r="AA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c r="AA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c r="AA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c r="AA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c r="AA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c r="AA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c r="AA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c r="AA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c r="AA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c r="AA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c r="AA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c r="AA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c r="AA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c r="AA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c r="AA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c r="AA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c r="AA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c r="AA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c r="AA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c r="AA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c r="AA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c r="AA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c r="AA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c r="AA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c r="AA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c r="AA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c r="AA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c r="AA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c r="AA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c r="AA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c r="AA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c r="AA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c r="AA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c r="AA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c r="AA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c r="AA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c r="AA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c r="AA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c r="AA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c r="AA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c r="AA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c r="AA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c r="AA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c r="AA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c r="AA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c r="AA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c r="AA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c r="AA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c r="AA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c r="AA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c r="AA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c r="AA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c r="AA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c r="AA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c r="AA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c r="AA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c r="AA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c r="AA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c r="AA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c r="AA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c r="AA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c r="AA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c r="AA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c r="AA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c r="AA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c r="AA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c r="AA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c r="AA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c r="AA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c r="AA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c r="AA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c r="AA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c r="AA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c r="AA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c r="AA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c r="AA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c r="AA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c r="AA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c r="AA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c r="AA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c r="AA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c r="AA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c r="AA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c r="AA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c r="AA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c r="AA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c r="AA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c r="AA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c r="AA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c r="AA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c r="AA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c r="AA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c r="AA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c r="AA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c r="AA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c r="AA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c r="AA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c r="AA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c r="AA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c r="AA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c r="AA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c r="AA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c r="AA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c r="AA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c r="AA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c r="AA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c r="AA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c r="AA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c r="AA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c r="AA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c r="AA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c r="AA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c r="AA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c r="AA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c r="AA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c r="AA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c r="AA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c r="AA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c r="AA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c r="AA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c r="AA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c r="AA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c r="AA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c r="AA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c r="AA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c r="AA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c r="AA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c r="AA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c r="AA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c r="AA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c r="AA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c r="AA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c r="AA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c r="AA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c r="AA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c r="AA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c r="AA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c r="AA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c r="AA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c r="AA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c r="AA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c r="AA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c r="AA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c r="AA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c r="AA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c r="AA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c r="AA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c r="AA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c r="AA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c r="AA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c r="AA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c r="AA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c r="AA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c r="AA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c r="AA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c r="AA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c r="AA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c r="AA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c r="AA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c r="AA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c r="AA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c r="AA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c r="AA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c r="AA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c r="AA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c r="AA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c r="AA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c r="AA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c r="AA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c r="AA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c r="AA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c r="AA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c r="AA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c r="AA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c r="AA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c r="AA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c r="AA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c r="AA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c r="AA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c r="AA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c r="AA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c r="AA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c r="AA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c r="AA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c r="AA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c r="AA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c r="AA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c r="AA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c r="AA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c r="AA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c r="AA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c r="AA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c r="AA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c r="AA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c r="AA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c r="AA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c r="AA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c r="AA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c r="AA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c r="AA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c r="AA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c r="AA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c r="AA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c r="AA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c r="AA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c r="AA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c r="AA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c r="AA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c r="AA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c r="AA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c r="AA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c r="AA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c r="AA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c r="AA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c r="AA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c r="AA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c r="AA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c r="AA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c r="AA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c r="AA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c r="AA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c r="AA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c r="AA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c r="AA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c r="AA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c r="AA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c r="AA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c r="AA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c r="AA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c r="AA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c r="AA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c r="AA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c r="AA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c r="AA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c r="AA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c r="AA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c r="AA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c r="AA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c r="AA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c r="AA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c r="AA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c r="AA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c r="AA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c r="AA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c r="AA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c r="AA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c r="AA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c r="AA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c r="AA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c r="AA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c r="AA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c r="AA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c r="AA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c r="AA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c r="AA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c r="AA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c r="AA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c r="AA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c r="AA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c r="AA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c r="AA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c r="AA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c r="AA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c r="AA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c r="AA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c r="AA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c r="AA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c r="AA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c r="AA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c r="AA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c r="AA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c r="AA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c r="AA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c r="AA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c r="AA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c r="AA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c r="AA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c r="AA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c r="AA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c r="AA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c r="AA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c r="AA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c r="AA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c r="AA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c r="AA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c r="AA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c r="AA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c r="AA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c r="AA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c r="AA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c r="AA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c r="AA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c r="AA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c r="AA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c r="AA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c r="AA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c r="AA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c r="AA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c r="AA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c r="AA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c r="AA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c r="AA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c r="AA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c r="AA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c r="AA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c r="AA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c r="AA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c r="AA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c r="AA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c r="AA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c r="AA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c r="AA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c r="AA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c r="AA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c r="AA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c r="AA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c r="AA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c r="AA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c r="AA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c r="AA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c r="AA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c r="AA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c r="AA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c r="AA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c r="AA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c r="AA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c r="AA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c r="AA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c r="AA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c r="AA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c r="AA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c r="AA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c r="AA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c r="AA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c r="AA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c r="AA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c r="AA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c r="AA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c r="AA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c r="AA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c r="AA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c r="AA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c r="AA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c r="AA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c r="AA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c r="AA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c r="AA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c r="AA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c r="AA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c r="AA1000" s="81"/>
    </row>
  </sheetData>
  <drawing r:id="rId1"/>
</worksheet>
</file>