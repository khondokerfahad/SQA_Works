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4"/>
    <sheet state="visible" name="Fahad" sheetId="2" r:id="rId5"/>
    <sheet state="visible" name="Tahsin" sheetId="3" r:id="rId6"/>
    <sheet state="visible" name="Summary Report" sheetId="4" r:id="rId7"/>
  </sheets>
  <definedNames/>
  <calcPr/>
</workbook>
</file>

<file path=xl/sharedStrings.xml><?xml version="1.0" encoding="utf-8"?>
<sst xmlns="http://schemas.openxmlformats.org/spreadsheetml/2006/main" count="673" uniqueCount="342">
  <si>
    <t xml:space="preserve">Tester : </t>
  </si>
  <si>
    <t>Mohammed Fahad Faisal
Tahsin Ahmmed</t>
  </si>
  <si>
    <t>Severity</t>
  </si>
  <si>
    <t>Issues</t>
  </si>
  <si>
    <t>Project Name:</t>
  </si>
  <si>
    <t>VALR</t>
  </si>
  <si>
    <t>High</t>
  </si>
  <si>
    <t>Project URL:</t>
  </si>
  <si>
    <t>Medium</t>
  </si>
  <si>
    <t>Developer:</t>
  </si>
  <si>
    <t>AI-Hunter</t>
  </si>
  <si>
    <t>Low</t>
  </si>
  <si>
    <t xml:space="preserve">OS: </t>
  </si>
  <si>
    <t>Environment</t>
  </si>
  <si>
    <t>Total Test Cases:</t>
  </si>
  <si>
    <t>Test Case Solved :</t>
  </si>
  <si>
    <t>Test Case ID</t>
  </si>
  <si>
    <t>Module</t>
  </si>
  <si>
    <t>Sub Module</t>
  </si>
  <si>
    <t>Test Case Description</t>
  </si>
  <si>
    <t>Preconditions</t>
  </si>
  <si>
    <t>Test Steps</t>
  </si>
  <si>
    <t>Test Data</t>
  </si>
  <si>
    <t>Expected Result</t>
  </si>
  <si>
    <t>Actual Result</t>
  </si>
  <si>
    <t>Status</t>
  </si>
  <si>
    <t>Screen Shots</t>
  </si>
  <si>
    <t>Suggestion</t>
  </si>
  <si>
    <t>Tester</t>
  </si>
  <si>
    <t>Feedback</t>
  </si>
  <si>
    <t>Comment</t>
  </si>
  <si>
    <t>BR-002</t>
  </si>
  <si>
    <t>Solved</t>
  </si>
  <si>
    <t>BR-003</t>
  </si>
  <si>
    <t>BR-004</t>
  </si>
  <si>
    <t>BR-005</t>
  </si>
  <si>
    <t>BR-006</t>
  </si>
  <si>
    <t>BR-007</t>
  </si>
  <si>
    <t>BR-008</t>
  </si>
  <si>
    <t>BR-009</t>
  </si>
  <si>
    <t>This is not an AI ChatBot</t>
  </si>
  <si>
    <t>BR-010</t>
  </si>
  <si>
    <t>BR-011</t>
  </si>
  <si>
    <t>BR-012</t>
  </si>
  <si>
    <t>BR-013</t>
  </si>
  <si>
    <t>BR-014</t>
  </si>
  <si>
    <t>Unsolved</t>
  </si>
  <si>
    <t xml:space="preserve">Backend </t>
  </si>
  <si>
    <t>BR-015</t>
  </si>
  <si>
    <t>BR-016</t>
  </si>
  <si>
    <t>BR-017</t>
  </si>
  <si>
    <t>BR-018</t>
  </si>
  <si>
    <t>BR-019</t>
  </si>
  <si>
    <t>BR-020</t>
  </si>
  <si>
    <t>BR-021</t>
  </si>
  <si>
    <t>BR-022</t>
  </si>
  <si>
    <t>Same as BR-019</t>
  </si>
  <si>
    <t>BR-023</t>
  </si>
  <si>
    <t>Same as BR-013</t>
  </si>
  <si>
    <t>BR-024</t>
  </si>
  <si>
    <t>BR-025</t>
  </si>
  <si>
    <t>BR-026</t>
  </si>
  <si>
    <t>Backend</t>
  </si>
  <si>
    <t>BR-027</t>
  </si>
  <si>
    <t>BR-028</t>
  </si>
  <si>
    <t>BR-029</t>
  </si>
  <si>
    <t>BR-030</t>
  </si>
  <si>
    <t>BR-031</t>
  </si>
  <si>
    <t>BR-032</t>
  </si>
  <si>
    <t>BR-033</t>
  </si>
  <si>
    <t>BR-034</t>
  </si>
  <si>
    <t>BR-035</t>
  </si>
  <si>
    <t>BR-036</t>
  </si>
  <si>
    <t>BR-037</t>
  </si>
  <si>
    <t/>
  </si>
  <si>
    <t>Mohammed Fahad Faisal</t>
  </si>
  <si>
    <t>AI-Hunters</t>
  </si>
  <si>
    <t>Windows 11 Pro 
Version:24H2 
OS build:26100.4946</t>
  </si>
  <si>
    <t>Environment:</t>
  </si>
  <si>
    <t>Redmi Note 14 
Xiomi Hyper OS (2.0.205.0)
Android Version 
15 AP3A.240905.015.A2</t>
  </si>
  <si>
    <t>Test ID</t>
  </si>
  <si>
    <t>TC_001</t>
  </si>
  <si>
    <t>Registration</t>
  </si>
  <si>
    <t>The password visibility icon is not dynamic; it remains fixed on a single option.</t>
  </si>
  <si>
    <t>User need to install the apk in their phone</t>
  </si>
  <si>
    <t>1. Open app
2. Click on Signup</t>
  </si>
  <si>
    <t>N/A</t>
  </si>
  <si>
    <t>The password visibility icon should update accordingly.</t>
  </si>
  <si>
    <t>It's icon set to hide password option only</t>
  </si>
  <si>
    <t>Fail</t>
  </si>
  <si>
    <t>https://drive.google.com/file/d/1Sk1eaL56DxGmBcusnsAxmiA18ygmic_4/view?usp=drive_link</t>
  </si>
  <si>
    <t>TC_002</t>
  </si>
  <si>
    <t>Email body contain user email not username</t>
  </si>
  <si>
    <t>email : misak59277@foxroids.com
pass : 123456abcdef</t>
  </si>
  <si>
    <t>In the main body, the user's name should be written instead of mentioning their primary address.</t>
  </si>
  <si>
    <t>mentioning them by their email address</t>
  </si>
  <si>
    <t>https://drive.google.com/file/d/1gFAa4qdDuAUpQ4Sd-7yED0Otklc6UZam/view?usp=drive_link</t>
  </si>
  <si>
    <t>TC_003</t>
  </si>
  <si>
    <t>The email subject doesn't have an appropriate heading.</t>
  </si>
  <si>
    <t>1. Open app
2. Click on Signup
3. Fillup necessary information and click next to get OTP</t>
  </si>
  <si>
    <t>Email subject name should be written properly</t>
  </si>
  <si>
    <t>Simply state that an OTP has been received without specifying the reason for receiving it.</t>
  </si>
  <si>
    <t>https://drive.google.com/file/d/1VCzTvg_PIgpJa2oGxuA9W2J_oN9yPufZ/view?usp=drive_link</t>
  </si>
  <si>
    <t>Mention it's VALR registration OTP code as OTP subject</t>
  </si>
  <si>
    <t>TC_004</t>
  </si>
  <si>
    <t>OTP submission error</t>
  </si>
  <si>
    <t>user should be able to submit their OTP without any issue</t>
  </si>
  <si>
    <t>Failed to submit OTP , but user can submit it when they 2nd click on OTP box</t>
  </si>
  <si>
    <t>https://drive.google.com/file/d/1000xgJujcIX7K8eQfPfwTdVThR6JRpqG/view?usp=drive_link</t>
  </si>
  <si>
    <t>when click on one time, they can not submit it and after that, 2nd time click on OTP , user can write their OTP</t>
  </si>
  <si>
    <t>TC_005</t>
  </si>
  <si>
    <t>OTP expiration time is not added in the OTP page</t>
  </si>
  <si>
    <t>OTP expiration count down time should be added in the OTP page</t>
  </si>
  <si>
    <t>No countdown time has been noticed in the OTP page</t>
  </si>
  <si>
    <t>https://drive.google.com/file/d/1gwFdvneV24O9Xekc1-CCCYnuBWBRji0n/view?usp=drive_link</t>
  </si>
  <si>
    <t>TC_006</t>
  </si>
  <si>
    <t>Overlay mixed aligned</t>
  </si>
  <si>
    <t>No overlay should overlapped</t>
  </si>
  <si>
    <t>Overlapped has been noticed</t>
  </si>
  <si>
    <t>https://drive.google.com/file/d/1k1Vdg_I-TyuwUJz23tc86AbiNzWi7dNw/view?usp=drive_link</t>
  </si>
  <si>
    <t>TC_007</t>
  </si>
  <si>
    <t>Strong password validation failed</t>
  </si>
  <si>
    <t>Password should be validated and password indicator should be implemented</t>
  </si>
  <si>
    <t>User can give poor level 8 characted password to create account</t>
  </si>
  <si>
    <t>https://drive.google.com/file/d/1tPoLrLk6gfDF0esxWgqf_pANwo7deJtS/view?usp=drive_link</t>
  </si>
  <si>
    <t>TC_008</t>
  </si>
  <si>
    <t>OTP digit can not be cancel when it is not fully inputed</t>
  </si>
  <si>
    <t>Users can edit their incorrect OTP midway; they don't need to enter it completely again.</t>
  </si>
  <si>
    <t>Unable to fix an incorrect OTP without fully entering it.</t>
  </si>
  <si>
    <t>https://drive.google.com/file/d/1YsR3cZ6babF8oE0BEzRWJcn7bFVOzL8-/view?usp=drive_link</t>
  </si>
  <si>
    <t>TC_009</t>
  </si>
  <si>
    <t>Login</t>
  </si>
  <si>
    <t>Failed to login</t>
  </si>
  <si>
    <t>1. Open app
2. Click on SignIn</t>
  </si>
  <si>
    <t>User can login to app without any issue</t>
  </si>
  <si>
    <t>Failed to login by valid credentials</t>
  </si>
  <si>
    <t>https://drive.google.com/file/d/1Ci9kFRKVy5VBTVboR0fy0ArvSwheuSvr/view?usp=drive_link</t>
  </si>
  <si>
    <t>User can login on 2nd attempt by those credentials but not in 1st attempt</t>
  </si>
  <si>
    <t>TC_010</t>
  </si>
  <si>
    <t>Forget Password</t>
  </si>
  <si>
    <t>OTP page failed to load</t>
  </si>
  <si>
    <t>1. Open app
2. Click on SignIn
3. Click on Forget Password</t>
  </si>
  <si>
    <t>User should be able to navigate to the OTP page after entering their email and then click on "Send".</t>
  </si>
  <si>
    <t>Failed to load the OTP page, but the OTP was sent to the registered email.</t>
  </si>
  <si>
    <t>https://drive.google.com/file/d/1VESCJdD9F7mHvgbacoa6uvf8QUV8dCcm/view?usp=drive_link</t>
  </si>
  <si>
    <t>TC_011</t>
  </si>
  <si>
    <t>Subscription</t>
  </si>
  <si>
    <t>Choose Your Plan</t>
  </si>
  <si>
    <t>Failed to purchase plan</t>
  </si>
  <si>
    <t>1. Open app
2. Signin using valid credentials
3. Click on Payment on $195 or $50</t>
  </si>
  <si>
    <t>email : misak59277@foxroids.com
pass : 123456abcde</t>
  </si>
  <si>
    <t xml:space="preserve">User should be able to clearly purchase a plan when click on one </t>
  </si>
  <si>
    <t>failed to purchase plan</t>
  </si>
  <si>
    <t>https://drive.google.com/file/d/19HXqAZdbvpGy2VTUlpJDlRATviuo1WXW/view?usp=drive_link</t>
  </si>
  <si>
    <t>TC_012</t>
  </si>
  <si>
    <t>Profile</t>
  </si>
  <si>
    <t>Profile picture automatically set.</t>
  </si>
  <si>
    <t>1. Open app
2. Signin using valid credentials
3. Goto Profile</t>
  </si>
  <si>
    <t>A blank image should be displayed on the profile when a user creates a new account.</t>
  </si>
  <si>
    <t>An automatic profile picture has been noticed, and it seems appropriate.</t>
  </si>
  <si>
    <t>https://drive.google.com/file/d/1lRM5FYW3Up-I7mwXq0VUVC6GF27kAvrp/view?usp=drive_link</t>
  </si>
  <si>
    <t>TC_013</t>
  </si>
  <si>
    <t>Failed to update form information</t>
  </si>
  <si>
    <t>Users should be able to update their profiles without any issues.</t>
  </si>
  <si>
    <t>An error from the backend has been noticed while updating profile information.</t>
  </si>
  <si>
    <t>https://drive.google.com/file/d/1iP_bJ1pY2S2ztNFaUdlBMzO6pivTYK31/view?usp=drive_link</t>
  </si>
  <si>
    <t>TC_014</t>
  </si>
  <si>
    <t>Mental Health</t>
  </si>
  <si>
    <t>Page flow missing</t>
  </si>
  <si>
    <t>1. Open app
2. Signin using valid credentials
3. Subscribe and click on claim
4. Fill form with necessary information</t>
  </si>
  <si>
    <t>After submitting all the questions, then by clicking on continue, body health question should appear</t>
  </si>
  <si>
    <t xml:space="preserve">Failed to load body health questions </t>
  </si>
  <si>
    <t>https://drive.google.com/file/d/1ql7xDdzIV0kFcbZyo_zAFJHrA8RN74KL/view?usp=drive_link</t>
  </si>
  <si>
    <t>TC_015</t>
  </si>
  <si>
    <t>Claim Form</t>
  </si>
  <si>
    <t>Darft is not functioning properly</t>
  </si>
  <si>
    <t>The draft system should be implemented in its complete form.</t>
  </si>
  <si>
    <t>Only the data from the first 7 pages can be saved as a draft, while the remaining data is not stored correctly.</t>
  </si>
  <si>
    <t>https://drive.google.com/file/d/1hfjRYWtx56grOZvxa7Mk-osFuIBctrwV/view?usp=drive_link</t>
  </si>
  <si>
    <t>TC_016</t>
  </si>
  <si>
    <t>After purchasing a subscription, the page redirects to the subscription page.</t>
  </si>
  <si>
    <t>email: deleri6454@haotuwu.com
pass: 12345Abcdef@</t>
  </si>
  <si>
    <t>After successfull purchase a plan, it should take to Home page</t>
  </si>
  <si>
    <t>After successfully purchasing a plan, the page redirects back to the subscription page.</t>
  </si>
  <si>
    <t>https://drive.google.com/file/d/1RsEZyI--GutBT1nB1liFrTgH5LRcU8my/view?usp=drive_link</t>
  </si>
  <si>
    <t>TC_017</t>
  </si>
  <si>
    <t>Failed to update profile picture</t>
  </si>
  <si>
    <t>1. Open app
2. Goto profile
3. Select image for profile picture</t>
  </si>
  <si>
    <t>User should be able to update their profile picture</t>
  </si>
  <si>
    <t>https://drive.google.com/file/d/1VIQjtXn7Qea_bnKM9izsTzcAZ6p8l3Dy/view?usp=drive_link</t>
  </si>
  <si>
    <t>TC_018</t>
  </si>
  <si>
    <t>Settings</t>
  </si>
  <si>
    <t>Failed to show subscribe package in the subscription</t>
  </si>
  <si>
    <t>1. Open app
2. Goto settings
3. Click on subscription</t>
  </si>
  <si>
    <t>User should be able to see which subscription they brought</t>
  </si>
  <si>
    <t>Failed to show the subscription package they brought</t>
  </si>
  <si>
    <t>https://drive.google.com/file/d/1zvVD-oA6FPcuc9CuLAuFOuljrY7H6i5M/view?usp=drive_link</t>
  </si>
  <si>
    <t>TC_019</t>
  </si>
  <si>
    <t>Contact us</t>
  </si>
  <si>
    <t>Support</t>
  </si>
  <si>
    <t>Missing back button in the contact us page</t>
  </si>
  <si>
    <t>1. Open app
2. Goto settings
3. Click on contact us</t>
  </si>
  <si>
    <t>After getting support, user should be able to use back button to go previous page or home page</t>
  </si>
  <si>
    <t>Failed to back due to missing back button</t>
  </si>
  <si>
    <t>https://drive.google.com/file/d/105rCPxfDdEAZ02Qnw84gjSIzklP4lRzM/view?usp=drive_link</t>
  </si>
  <si>
    <t>TC_020</t>
  </si>
  <si>
    <t>Narration</t>
  </si>
  <si>
    <t>Data mismatch</t>
  </si>
  <si>
    <t>1. Open app
2. Purchase subscription
3. Click on Claim now
4. Fillup form</t>
  </si>
  <si>
    <t>Data should be accurate in the naration which was fetch from the form record</t>
  </si>
  <si>
    <t>Data overwrite has been noticed.</t>
  </si>
  <si>
    <t>https://drive.google.com/file/d/1ZPInnDyIXdDRacW3cZSTPQcngwBsqERk/view?usp=drive_link</t>
  </si>
  <si>
    <t>A rank might change during the service year.</t>
  </si>
  <si>
    <t>TC_021</t>
  </si>
  <si>
    <t>Data missing in the narration</t>
  </si>
  <si>
    <t>All the data in the narration should match the form data.</t>
  </si>
  <si>
    <t>Some information is missing from the narration.</t>
  </si>
  <si>
    <t>https://drive.google.com/file/d/1T_ykRfbG70t1AaluRRxZf4OUtwAiIUBu/view?usp=drive_link</t>
  </si>
  <si>
    <t>TC_022</t>
  </si>
  <si>
    <t>Generated PDF</t>
  </si>
  <si>
    <t>Unable to display the submitted date.</t>
  </si>
  <si>
    <t>The submission data should appear in the form after it is generated.</t>
  </si>
  <si>
    <t>The generated PDF date is missing in the submission form.</t>
  </si>
  <si>
    <t>https://drive.google.com/file/d/10Em3R92lXlh1lD6g-j9jvDq9BroejUmg/view?usp=drive_link</t>
  </si>
  <si>
    <t>TC_023</t>
  </si>
  <si>
    <t>TC_024</t>
  </si>
  <si>
    <t>TC_025</t>
  </si>
  <si>
    <t>TC_026</t>
  </si>
  <si>
    <t>TC_027</t>
  </si>
  <si>
    <t>TC_028</t>
  </si>
  <si>
    <t>TC_029</t>
  </si>
  <si>
    <t>Validate that name field does not accept numbers or special characters</t>
  </si>
  <si>
    <t>User is on Registration screen</t>
  </si>
  <si>
    <t>1) Open the app 
2) Navigate to Registration page 
3) Tap on Name field 
4) Enter alphanumeric/special characters</t>
  </si>
  <si>
    <t>Name: 123 / John@#</t>
  </si>
  <si>
    <t>The field should only allow alphabetic characters (A–Z, a–z) or Space and reject numbers or special characters</t>
  </si>
  <si>
    <t>The field accepts numbers and special characters</t>
  </si>
  <si>
    <t>Reg page.mp4</t>
  </si>
  <si>
    <t>Validate that password field enforces strong password rules</t>
  </si>
  <si>
    <t>1) Open the app 
2) Navigate to Registration page 
3) Tap on Password field 
4) Enter password with only numbers like “12345678” 
5) Attempt to submit the form</t>
  </si>
  <si>
    <t>Password: 12345678</t>
  </si>
  <si>
    <t>The system should enforce strong password validation — requiring at least one uppercase letter, one number, and one special character (minimum 8 characters)</t>
  </si>
  <si>
    <t>The field accepts weak passwords with only numbers (no uppercase, number, or special character)</t>
  </si>
  <si>
    <t>Validate that password visibility toggle icon changes dynamically</t>
  </si>
  <si>
    <t>1) Open the app 
2) Navigate to Registration page 
3) Tap on Password field 
4) Tap on eye icon to toggle password visibility multiple times</t>
  </si>
  <si>
    <t>The eye icon should change dynamically — show “open eye” when password is visible and “closed eye” when hidden</t>
  </si>
  <si>
    <t>The icon remains the same (closed eye) regardless of visibility toggle</t>
  </si>
  <si>
    <t>https://jam.dev/c/6e192a78-56dc-4cd3-9d56-e6043e22abe0</t>
  </si>
  <si>
    <t>Home Page</t>
  </si>
  <si>
    <t>Menu Button</t>
  </si>
  <si>
    <t>Validate that menu button labels are fully visible in 3-button navigation mode</t>
  </si>
  <si>
    <t>User is on Home screen with device set to 3-button navigation mode</t>
  </si>
  <si>
    <t>1) Open the app 
2) Ensure system navigation mode is set to 3-button navigation 
3) Observe menu button labels at the bottom of the home screen</t>
  </si>
  <si>
    <t>Menu button labels should be fully visible and not cut off regardless of navigation mode</t>
  </si>
  <si>
    <t>Menu button labels appear cut off or partially hidden in 3-button navigation mode</t>
  </si>
  <si>
    <t>https://jam.dev/c/2a594fde-28d0-4558-b2f6-62229c282228</t>
  </si>
  <si>
    <t>FAQ Section</t>
  </si>
  <si>
    <t>Validate that FAQ section is displayed on the Home page</t>
  </si>
  <si>
    <t>User is on Home screen with app successfully loaded</t>
  </si>
  <si>
    <t>1) Open the app 
2) Navigate to Home page 
3) Scroll through the page and look for the FAQ section</t>
  </si>
  <si>
    <t>FAQ section should be visible and accessible from the Home page</t>
  </si>
  <si>
    <t>The FAQ section is missing from the Home page</t>
  </si>
  <si>
    <t>Validate that subscription completes successfully after entering valid card information</t>
  </si>
  <si>
    <t>User is on Choose Your Plan screen with stable internet connection</t>
  </si>
  <si>
    <t>1) Open the app 
2) Navigate to Choose Your Plan section 
3) Select any plan 
4) Enter valid card information 
5) Tap on “Subscribe” button</t>
  </si>
  <si>
    <t>The subscription process should complete successfully within a few seconds and display a confirmation message</t>
  </si>
  <si>
    <t>The app takes around 3 minutes to respond and then shows an error message “HTTP Connection timeout”</t>
  </si>
  <si>
    <t>Screenshot_20251023_100007.jpg</t>
  </si>
  <si>
    <t>Message</t>
  </si>
  <si>
    <t>Message Prifile Image</t>
  </si>
  <si>
    <t>Validate that updated profile image is displayed in chat section</t>
  </si>
  <si>
    <t>User has already updated profile image successfully (visible in Profile section)</t>
  </si>
  <si>
    <t>1) Open the app 
2) Update profile image in Profile section (if not already) 
3) Navigate to Chat page 
4) Observe the displayed user image in chat messages</t>
  </si>
  <si>
    <t>The chat page should display the user’s updated profile image instead of the default image</t>
  </si>
  <si>
    <t>The chat page still shows the default image even after updating the profile picture</t>
  </si>
  <si>
    <t>image in profile.jpg
image in chat.jpg</t>
  </si>
  <si>
    <t>Claim Now</t>
  </si>
  <si>
    <t>First Page</t>
  </si>
  <si>
    <t>Validate that the Back button functions correctly on “Have you ever applied for VA benefits” page</t>
  </si>
  <si>
    <t>Paid user is logged in and on the “Have you ever applied for VA benefits” page under Claim Now section</t>
  </si>
  <si>
    <t>1) Open the app 
2) Log in as a paid user 
3) Navigate to Claim Now section 
4) Proceed to “Have you ever applied for VA benefits” page 
5) Tap on the Back button</t>
  </si>
  <si>
    <t>User should be navigated to the previous page when tapping the Back button</t>
  </si>
  <si>
    <t>Back button is unresponsive and does not navigate to the previous page</t>
  </si>
  <si>
    <t>Claim Now Back Button.mp4</t>
  </si>
  <si>
    <t>Edit Profile</t>
  </si>
  <si>
    <t>Validate that phone number field accepts only numeric input</t>
  </si>
  <si>
    <t>User is logged in and on Edit Profile screen</t>
  </si>
  <si>
    <t>1) Open the app 
2) Navigate to Profile section 
3) Tap on Edit Profile 
4) Tap on Phone Number field 
5) Enter alphabets or special characters like “abc@#”</t>
  </si>
  <si>
    <t>Phone Number: abc@#</t>
  </si>
  <si>
    <t>The field should accept only numeric values (0–9) and reject alphabets or special characters</t>
  </si>
  <si>
    <t>The field accepts characters and special symbols instead of restricting to numeric input</t>
  </si>
  <si>
    <t>Phone number.mp4</t>
  </si>
  <si>
    <t>Page</t>
  </si>
  <si>
    <t>Validate that AI assistant responds properly in chat section</t>
  </si>
  <si>
    <t>User is logged in and on Chat page with stable internet connection</t>
  </si>
  <si>
    <t>1) Open the app 
2) Navigate to Chat page 
3) Type a message to the AI assistant 
4) Wait for a response</t>
  </si>
  <si>
    <t>Message: “Hello”</t>
  </si>
  <si>
    <t>The AI assistant should respond promptly with a relevant reply indicating it’s an automated AI system</t>
  </si>
  <si>
    <t>The chat shows no response or confusion whether it’s an AI or Admin panel</t>
  </si>
  <si>
    <t>message respone.jpg</t>
  </si>
  <si>
    <t>My Subscription</t>
  </si>
  <si>
    <t>Validate that correct subscription type duration is displayed after successful payment</t>
  </si>
  <si>
    <t>User has successfully subscribed for a 6-month plan ($195) and is logged in</t>
  </si>
  <si>
    <t>1) Open the app 
2) Navigate to Setting -&gt; Subscription page 
3) Observe the displayed subscription details (type, amount, expiry date)</t>
  </si>
  <si>
    <t>The Subscription Type field should correctly display “6 Months” as per the purchased plan</t>
  </si>
  <si>
    <t>The Subscription Type field incorrectly shows “30 Days” instead of “6 Months”</t>
  </si>
  <si>
    <t>https://jam.dev/c/eaf729ee-e9fd-42ab-bb08-a3c7f08ba41f</t>
  </si>
  <si>
    <t>Claim</t>
  </si>
  <si>
    <t>Accessibility (Screen Reader)</t>
  </si>
  <si>
    <t>Verify Screen Reader stops reading when the user navigates back from the 'Claim' flow.</t>
  </si>
  <si>
    <t>User is logged in to the Valr application.</t>
  </si>
  <si>
    <t>1) Tap the 'Claim' button to initiate the flow. 
2) While the screen reader is actively speaking, tap the **Back** button (device or in-app).</t>
  </si>
  <si>
    <t>N/A (Functional Test)</t>
  </si>
  <si>
    <t>The screen reader/TalkBack readout **must stop immediately** upon navigating away from the 'Claim' screen.</t>
  </si>
  <si>
    <t>The screen reader continues to read the entire question/text until the portion is ended, even after navigating back.</t>
  </si>
  <si>
    <t>Sound .mp4</t>
  </si>
  <si>
    <t>Narrative Page</t>
  </si>
  <si>
    <t>Text Editor/Edit Narrative</t>
  </si>
  <si>
    <t>Verify cursor positioning via tap/click works correctly in the Narrative Edit screen.</t>
  </si>
  <si>
    <t>A narrative has been successfully generated.</t>
  </si>
  <si>
    <t xml:space="preserve">1. Navigate to the generated narrative screen. 
2. Tap the 'Edit' icon (or button) to enter the editing mode. 
3. Tap on a word of the narrative text. 
</t>
  </si>
  <si>
    <t>Upon tapping any word in the narrative text, the cursor should instantly move to the tapped position, allowing for immediate text insertion or deletion.</t>
  </si>
  <si>
    <t>The cursor does not move to the tapped word; the user must manually scroll/slide the cursor using the pointer control handles to reach the desired word.</t>
  </si>
  <si>
    <t>cursor issue.mp4</t>
  </si>
  <si>
    <t>Iconography/Functionality</t>
  </si>
  <si>
    <t>Verify the icon used for 'Copy Text' accurately reflects its clipboard functionality.</t>
  </si>
  <si>
    <t xml:space="preserve">1. Tap the icon (currently a 'Download' icon). </t>
  </si>
  <si>
    <t>N/A (Functional/UI Test)</t>
  </si>
  <si>
    <t xml:space="preserve">The icon displayed should be a standard 'Copy' icon instead of a 'Download' icon. 
</t>
  </si>
  <si>
    <t>The page uses a 'Download' icon to initiate the 'Copy Text' function, leading to user confusion.</t>
  </si>
  <si>
    <t>copy test.mp4</t>
  </si>
  <si>
    <t>Claim/Narrative</t>
  </si>
  <si>
    <t>Session Management</t>
  </si>
  <si>
    <t>Verify that generated narratives and intermediate claim data are saved and persist across application restarts.</t>
  </si>
  <si>
    <t>A narrative has been successfully generated and then Reopen the Apps</t>
  </si>
  <si>
    <t>1. Complete the claim process, ending with the Narrative Generation screen. 
2. Close the Valr application. 
3. Re-open the Valr application. 
4. Navigate back to the 'Claim' section/flow.</t>
  </si>
  <si>
    <t>N/A (Data Persistence Test)</t>
  </si>
  <si>
    <t>The application should resume the claim process from the point where the narrative was generated, or the generated narrative should be viewable in a 'Drafts' or 'History' section. **All previously entered information must be retained.**</t>
  </si>
  <si>
    <t>Upon re-opening the application and navigating back to the Claim section, the process starts from the beginning, and all previously entered information and the generated narrative are lost.</t>
  </si>
  <si>
    <t>Bug Count</t>
  </si>
  <si>
    <t>Bug Rate %</t>
  </si>
  <si>
    <t>Bug Severity</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</si>
</sst>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color theme="1"/>
      <name val="Arial"/>
    </font>
    <font>
      <b/>
      <sz val="12.0"/>
      <color theme="1"/>
      <name val="Calibri"/>
    </font>
    <font>
      <sz val="11.0"/>
      <color theme="1"/>
      <name val="Calibri"/>
    </font>
    <font>
      <b/>
      <sz val="12.0"/>
      <color theme="1"/>
      <name val="Arial"/>
    </font>
    <font>
      <b/>
      <color rgb="FF000000"/>
      <name val="Arial"/>
      <scheme val="minor"/>
    </font>
    <font>
      <b/>
      <color theme="1"/>
      <name val="Arial"/>
    </font>
    <font>
      <color theme="1"/>
      <name val="Arial"/>
      <scheme val="minor"/>
    </font>
    <font>
      <b/>
      <sz val="11.0"/>
      <color theme="1"/>
      <name val="Calibri"/>
    </font>
    <font>
      <b/>
      <sz val="15.0"/>
      <color theme="1"/>
      <name val="Calibri"/>
    </font>
    <font>
      <sz val="15.0"/>
      <color theme="1"/>
      <name val="Arial"/>
      <scheme val="minor"/>
    </font>
    <font>
      <u/>
      <color theme="1"/>
      <name val="Arial"/>
      <scheme val="minor"/>
    </font>
    <font>
      <u/>
      <color rgb="FF0000FF"/>
    </font>
    <font>
      <u/>
      <color theme="1"/>
      <name val="Arial"/>
      <scheme val="minor"/>
    </font>
    <font>
      <b/>
      <sz val="11.0"/>
      <color theme="1"/>
      <name val="Times New Roman"/>
    </font>
    <font>
      <sz val="11.0"/>
      <color theme="1"/>
      <name val="Times New Roman"/>
    </font>
    <font>
      <color theme="1"/>
      <name val="Times New Roman"/>
    </font>
    <font>
      <color rgb="FF1E2624"/>
      <name val="Times New Roman"/>
    </font>
    <font>
      <b/>
      <sz val="13.0"/>
      <color theme="1"/>
      <name val="Times New Roman"/>
    </font>
    <font>
      <sz val="13.0"/>
      <color theme="1"/>
      <name val="Times New Roman"/>
    </font>
    <font>
      <sz val="12.0"/>
      <color theme="1"/>
      <name val="Times New Roman"/>
    </font>
    <font>
      <u/>
      <sz val="12.0"/>
      <color rgb="FF0000FF"/>
      <name val="Times New Roman"/>
    </font>
    <font>
      <u/>
      <sz val="12.0"/>
      <color rgb="FF1155CC"/>
      <name val="Times New Roman"/>
    </font>
    <font>
      <u/>
      <sz val="12.0"/>
      <color rgb="FF0000FF"/>
      <name val="Times New Roman"/>
    </font>
    <font>
      <u/>
      <sz val="12.0"/>
      <color rgb="FF1155CC"/>
      <name val="Times New Roman"/>
    </font>
    <font>
      <u/>
      <color rgb="FF1155CC"/>
      <name val="Arial"/>
    </font>
    <font>
      <b/>
      <sz val="16.0"/>
      <color theme="1"/>
      <name val="Calibri"/>
    </font>
    <font>
      <sz val="12.0"/>
      <color theme="1"/>
      <name val="Calibri"/>
    </font>
    <font>
      <u/>
      <sz val="12.0"/>
      <color rgb="FF1155CC"/>
      <name val="Calibri"/>
    </font>
    <font>
      <u/>
      <sz val="12.0"/>
      <color rgb="FF1155CC"/>
      <name val="Calibri"/>
    </font>
    <font>
      <u/>
      <sz val="12.0"/>
      <color theme="1"/>
      <name val="Calibri"/>
    </font>
    <font>
      <u/>
      <sz val="12.0"/>
      <color rgb="FF0000FF"/>
      <name val="Calibri"/>
    </font>
  </fonts>
  <fills count="8">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s>
  <borders count="7">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right"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shrinkToFit="0" wrapText="1"/>
    </xf>
    <xf borderId="0" fillId="0" fontId="5"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6"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readingOrder="0"/>
    </xf>
    <xf borderId="1" fillId="3" fontId="6" numFmtId="0" xfId="0" applyAlignment="1" applyBorder="1" applyFill="1" applyFont="1">
      <alignment horizontal="center" shrinkToFit="0" vertical="center" wrapText="1"/>
    </xf>
    <xf borderId="1" fillId="0" fontId="1" numFmtId="0" xfId="0" applyAlignment="1" applyBorder="1" applyFont="1">
      <alignment horizontal="center" readingOrder="0" shrinkToFit="0" vertical="center" wrapText="1"/>
    </xf>
    <xf borderId="1" fillId="4" fontId="6" numFmtId="0" xfId="0" applyAlignment="1" applyBorder="1" applyFill="1" applyFont="1">
      <alignment horizontal="center" shrinkToFit="0" vertical="center" wrapText="1"/>
    </xf>
    <xf borderId="1" fillId="0" fontId="1" numFmtId="0" xfId="0" applyBorder="1" applyFont="1"/>
    <xf borderId="0" fillId="0" fontId="6" numFmtId="0" xfId="0" applyFont="1"/>
    <xf borderId="1" fillId="0" fontId="8" numFmtId="0" xfId="0" applyAlignment="1" applyBorder="1" applyFont="1">
      <alignment horizontal="center" shrinkToFit="0" wrapText="1"/>
    </xf>
    <xf borderId="1" fillId="0" fontId="6" numFmtId="1" xfId="0" applyAlignment="1" applyBorder="1" applyFont="1" applyNumberFormat="1">
      <alignment horizontal="center" shrinkToFit="0" wrapText="1"/>
    </xf>
    <xf borderId="1" fillId="0" fontId="6" numFmtId="0" xfId="0" applyAlignment="1" applyBorder="1" applyFont="1">
      <alignment horizontal="center" shrinkToFit="0" wrapText="1"/>
    </xf>
    <xf borderId="2" fillId="5" fontId="9" numFmtId="0" xfId="0" applyAlignment="1" applyBorder="1" applyFill="1" applyFont="1">
      <alignment horizontal="center" shrinkToFit="0" vertical="center" wrapText="1"/>
    </xf>
    <xf borderId="2" fillId="5" fontId="9"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3" fillId="0" fontId="7" numFmtId="0" xfId="0" applyAlignment="1" applyBorder="1" applyFont="1">
      <alignment horizontal="center" readingOrder="0" shrinkToFit="0" vertical="center" wrapText="1"/>
    </xf>
    <xf borderId="4" fillId="0" fontId="7"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4" fillId="0" fontId="7" numFmtId="0" xfId="0" applyAlignment="1" applyBorder="1" applyFont="1">
      <alignment horizontal="center" readingOrder="0" shrinkToFit="0" vertical="center" wrapText="1"/>
    </xf>
    <xf borderId="0" fillId="0" fontId="7" numFmtId="0" xfId="0" applyAlignment="1" applyFont="1">
      <alignment horizontal="center"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0" fillId="0" fontId="7" numFmtId="0" xfId="0" applyAlignment="1" applyFont="1">
      <alignment horizontal="center" readingOrder="0" shrinkToFit="0" vertical="center" wrapText="1"/>
    </xf>
    <xf borderId="0" fillId="0" fontId="7" numFmtId="0" xfId="0" applyFont="1"/>
    <xf borderId="0" fillId="0" fontId="14" numFmtId="0" xfId="0" applyAlignment="1" applyFont="1">
      <alignment horizontal="right" shrinkToFit="0" vertical="center" wrapText="1"/>
    </xf>
    <xf borderId="0" fillId="0" fontId="15" numFmtId="0" xfId="0" applyAlignment="1" applyFont="1">
      <alignment horizontal="center" readingOrder="0" vertical="center"/>
    </xf>
    <xf borderId="0" fillId="0" fontId="16" numFmtId="0" xfId="0" applyFont="1"/>
    <xf borderId="0" fillId="0" fontId="4" numFmtId="0" xfId="0" applyAlignment="1" applyFont="1">
      <alignment horizontal="center" shrinkToFit="0" wrapText="1"/>
    </xf>
    <xf borderId="1" fillId="0" fontId="14" numFmtId="0" xfId="0" applyAlignment="1" applyBorder="1" applyFont="1">
      <alignment horizontal="right" shrinkToFit="0" vertical="center" wrapText="1"/>
    </xf>
    <xf borderId="1" fillId="0" fontId="15" numFmtId="0" xfId="0" applyAlignment="1" applyBorder="1" applyFont="1">
      <alignment horizontal="center" readingOrder="0" vertical="center"/>
    </xf>
    <xf borderId="1" fillId="0" fontId="16" numFmtId="0" xfId="0" applyAlignment="1" applyBorder="1" applyFont="1">
      <alignment horizontal="center" readingOrder="0" vertical="center"/>
    </xf>
    <xf borderId="1" fillId="0" fontId="16" numFmtId="0" xfId="0" applyAlignment="1" applyBorder="1" applyFont="1">
      <alignment horizontal="center" readingOrder="0" vertical="center"/>
    </xf>
    <xf borderId="1" fillId="6" fontId="17" numFmtId="0" xfId="0" applyAlignment="1" applyBorder="1" applyFill="1" applyFont="1">
      <alignment horizontal="center" readingOrder="0" vertical="center"/>
    </xf>
    <xf borderId="1" fillId="0" fontId="14" numFmtId="0" xfId="0" applyAlignment="1" applyBorder="1" applyFont="1">
      <alignment horizontal="right" readingOrder="0" vertical="center"/>
    </xf>
    <xf borderId="2" fillId="7" fontId="18" numFmtId="0" xfId="0" applyAlignment="1" applyBorder="1" applyFill="1" applyFont="1">
      <alignment horizontal="center" shrinkToFit="0" vertical="center" wrapText="1"/>
    </xf>
    <xf borderId="0" fillId="0" fontId="19" numFmtId="0" xfId="0" applyAlignment="1" applyFont="1">
      <alignment vertical="center"/>
    </xf>
    <xf borderId="4" fillId="0" fontId="20" numFmtId="0" xfId="0" applyAlignment="1" applyBorder="1" applyFont="1">
      <alignment horizontal="center" readingOrder="0" shrinkToFit="0" vertical="center" wrapText="1"/>
    </xf>
    <xf borderId="1" fillId="0" fontId="20" numFmtId="0" xfId="0" applyAlignment="1" applyBorder="1" applyFont="1">
      <alignment horizontal="center" readingOrder="0" shrinkToFit="0" vertical="center" wrapText="1"/>
    </xf>
    <xf borderId="4" fillId="0" fontId="20" numFmtId="0" xfId="0" applyAlignment="1" applyBorder="1" applyFont="1">
      <alignment horizontal="left" readingOrder="0" shrinkToFit="0" vertical="center" wrapText="1"/>
    </xf>
    <xf borderId="5" fillId="0" fontId="21" numFmtId="0" xfId="0" applyAlignment="1" applyBorder="1" applyFont="1">
      <alignment horizontal="center" readingOrder="0" shrinkToFit="0" vertical="center" wrapText="1"/>
    </xf>
    <xf borderId="0" fillId="0" fontId="20" numFmtId="0" xfId="0" applyAlignment="1" applyFont="1">
      <alignment horizontal="center" shrinkToFit="0" vertical="center" wrapText="1"/>
    </xf>
    <xf borderId="0" fillId="0" fontId="20" numFmtId="0" xfId="0" applyAlignment="1" applyFont="1">
      <alignment horizontal="left" shrinkToFit="0" vertical="center" wrapText="1"/>
    </xf>
    <xf borderId="1" fillId="0" fontId="20" numFmtId="0" xfId="0" applyAlignment="1" applyBorder="1" applyFont="1">
      <alignment horizontal="left" readingOrder="0" shrinkToFit="0" vertical="center" wrapText="1"/>
    </xf>
    <xf borderId="1" fillId="0" fontId="22" numFmtId="0" xfId="0" applyAlignment="1" applyBorder="1" applyFont="1">
      <alignment horizontal="center" readingOrder="0" shrinkToFit="0" vertical="center" wrapText="1"/>
    </xf>
    <xf borderId="1" fillId="0" fontId="23" numFmtId="0" xfId="0" applyAlignment="1" applyBorder="1" applyFont="1">
      <alignment horizontal="center" readingOrder="0" shrinkToFit="0" vertical="center" wrapText="1"/>
    </xf>
    <xf borderId="1" fillId="0" fontId="20" numFmtId="0" xfId="0" applyAlignment="1" applyBorder="1" applyFont="1">
      <alignment horizontal="center" readingOrder="0" shrinkToFit="0" vertical="center" wrapText="1"/>
    </xf>
    <xf borderId="1" fillId="0" fontId="20" numFmtId="0" xfId="0" applyAlignment="1" applyBorder="1" applyFont="1">
      <alignment horizontal="center" shrinkToFit="0" vertical="center" wrapText="1"/>
    </xf>
    <xf borderId="0" fillId="0" fontId="16" numFmtId="0" xfId="0" applyAlignment="1" applyFont="1">
      <alignment horizontal="center" shrinkToFit="0" vertical="center" wrapText="1"/>
    </xf>
    <xf borderId="0" fillId="0" fontId="16" numFmtId="0" xfId="0" applyAlignment="1" applyFont="1">
      <alignment horizontal="left" shrinkToFit="0" vertical="center" wrapText="1"/>
    </xf>
    <xf borderId="1" fillId="0" fontId="16" numFmtId="0" xfId="0" applyAlignment="1" applyBorder="1" applyFont="1">
      <alignment horizontal="center" shrinkToFit="0" vertical="center" wrapText="1"/>
    </xf>
    <xf borderId="1" fillId="0" fontId="16" numFmtId="0" xfId="0" applyAlignment="1" applyBorder="1" applyFont="1">
      <alignment horizontal="center" readingOrder="0" shrinkToFit="0" vertical="center" wrapText="1"/>
    </xf>
    <xf borderId="1" fillId="0" fontId="20" numFmtId="0" xfId="0" applyAlignment="1" applyBorder="1" applyFont="1">
      <alignment horizontal="left" shrinkToFit="0" vertical="center" wrapText="1"/>
    </xf>
    <xf borderId="1" fillId="0" fontId="24" numFmtId="0" xfId="0" applyAlignment="1" applyBorder="1" applyFont="1">
      <alignment horizontal="center" shrinkToFit="0" vertical="center" wrapText="1"/>
    </xf>
    <xf borderId="0" fillId="0" fontId="1" numFmtId="0" xfId="0" applyAlignment="1" applyFont="1">
      <alignment vertical="bottom"/>
    </xf>
    <xf borderId="1" fillId="0" fontId="2" numFmtId="0" xfId="0" applyAlignment="1" applyBorder="1" applyFont="1">
      <alignment horizontal="right" shrinkToFit="0" vertical="bottom" wrapText="1"/>
    </xf>
    <xf borderId="1" fillId="0" fontId="9" numFmtId="0" xfId="0" applyAlignment="1" applyBorder="1" applyFont="1">
      <alignment horizontal="center" vertical="bottom"/>
    </xf>
    <xf borderId="1" fillId="0" fontId="1" numFmtId="0" xfId="0" applyAlignment="1" applyBorder="1" applyFont="1">
      <alignment horizontal="center" readingOrder="0" vertical="bottom"/>
    </xf>
    <xf borderId="1" fillId="0" fontId="1" numFmtId="0" xfId="0" applyAlignment="1" applyBorder="1" applyFont="1">
      <alignment horizontal="center" shrinkToFit="0" wrapText="1"/>
    </xf>
    <xf borderId="1" fillId="0" fontId="1" numFmtId="0" xfId="0" applyAlignment="1" applyBorder="1" applyFont="1">
      <alignment horizontal="center"/>
    </xf>
    <xf borderId="1" fillId="0" fontId="25" numFmtId="0" xfId="0" applyAlignment="1" applyBorder="1" applyFont="1">
      <alignment horizontal="center" readingOrder="0" shrinkToFit="0" vertical="bottom" wrapText="1"/>
    </xf>
    <xf borderId="1" fillId="0" fontId="1" numFmtId="0" xfId="0" applyAlignment="1" applyBorder="1" applyFont="1">
      <alignment vertical="bottom"/>
    </xf>
    <xf borderId="1" fillId="0" fontId="2" numFmtId="0" xfId="0" applyAlignment="1" applyBorder="1" applyFont="1">
      <alignment horizontal="right" vertical="bottom"/>
    </xf>
    <xf borderId="1" fillId="0" fontId="8" numFmtId="0" xfId="0" applyAlignment="1" applyBorder="1" applyFont="1">
      <alignment horizontal="right" vertical="bottom"/>
    </xf>
    <xf borderId="1" fillId="0" fontId="1" numFmtId="0" xfId="0" applyAlignment="1" applyBorder="1" applyFont="1">
      <alignment horizontal="center" vertical="bottom"/>
    </xf>
    <xf borderId="1" fillId="5" fontId="26" numFmtId="0" xfId="0" applyAlignment="1" applyBorder="1" applyFont="1">
      <alignment horizontal="center" shrinkToFit="0" vertical="center" wrapText="1"/>
    </xf>
    <xf borderId="1" fillId="0" fontId="1" numFmtId="0" xfId="0" applyAlignment="1" applyBorder="1" applyFont="1">
      <alignment readingOrder="0" shrinkToFit="0" vertical="center" wrapText="1"/>
    </xf>
    <xf borderId="1" fillId="0" fontId="27" numFmtId="0" xfId="0" applyAlignment="1" applyBorder="1" applyFont="1">
      <alignment shrinkToFit="0" vertical="center" wrapText="1"/>
    </xf>
    <xf borderId="1" fillId="0" fontId="28" numFmtId="0" xfId="0" applyAlignment="1" applyBorder="1" applyFont="1">
      <alignment shrinkToFit="0" vertical="center" wrapText="1"/>
    </xf>
    <xf borderId="1" fillId="0" fontId="1" numFmtId="0" xfId="0" applyBorder="1" applyFont="1"/>
    <xf borderId="1" fillId="0" fontId="1" numFmtId="0" xfId="0" applyAlignment="1" applyBorder="1" applyFont="1">
      <alignment vertical="center"/>
    </xf>
    <xf borderId="1" fillId="0" fontId="27" numFmtId="0" xfId="0" applyAlignment="1" applyBorder="1" applyFont="1">
      <alignment horizontal="left" readingOrder="0" shrinkToFit="0" vertical="center" wrapText="1"/>
    </xf>
    <xf borderId="1" fillId="0" fontId="1" numFmtId="0" xfId="0" applyAlignment="1" applyBorder="1" applyFont="1">
      <alignment horizontal="left" readingOrder="0" vertical="center"/>
    </xf>
    <xf borderId="1" fillId="0" fontId="29" numFmtId="0" xfId="0" applyAlignment="1" applyBorder="1" applyFont="1">
      <alignment horizontal="left" readingOrder="0" shrinkToFit="0" vertical="center" wrapText="1"/>
    </xf>
    <xf borderId="1" fillId="0" fontId="1" numFmtId="0" xfId="0" applyAlignment="1" applyBorder="1" applyFont="1">
      <alignment horizontal="left" vertical="center"/>
    </xf>
    <xf borderId="1" fillId="0" fontId="1" numFmtId="0" xfId="0" applyAlignment="1" applyBorder="1" applyFont="1">
      <alignment horizontal="left" vertical="center"/>
    </xf>
    <xf borderId="1" fillId="0" fontId="30" numFmtId="0" xfId="0" applyAlignment="1" applyBorder="1" applyFont="1">
      <alignment horizontal="left" readingOrder="0" shrinkToFit="0" vertical="center" wrapText="1"/>
    </xf>
    <xf borderId="1" fillId="0" fontId="27" numFmtId="0" xfId="0" applyAlignment="1" applyBorder="1" applyFont="1">
      <alignment horizontal="left" shrinkToFit="0" vertical="center" wrapText="1"/>
    </xf>
    <xf borderId="1" fillId="0" fontId="31" numFmtId="0" xfId="0" applyAlignment="1" applyBorder="1" applyFont="1">
      <alignment horizontal="left" readingOrder="0" shrinkToFit="0" vertical="center" wrapText="1"/>
    </xf>
    <xf borderId="1" fillId="0" fontId="27" numFmtId="0" xfId="0" applyAlignment="1" applyBorder="1" applyFont="1">
      <alignment readingOrder="0" shrinkToFit="0" vertical="center" wrapText="1"/>
    </xf>
    <xf borderId="6" fillId="0" fontId="27" numFmtId="0" xfId="0" applyAlignment="1" applyBorder="1" applyFont="1">
      <alignment horizontal="left" readingOrder="0" shrinkToFit="0" vertical="center" wrapText="1"/>
    </xf>
    <xf borderId="1" fillId="0" fontId="27" numFmtId="0" xfId="0" applyAlignment="1" applyBorder="1" applyFont="1">
      <alignment horizontal="left" readingOrder="0" shrinkToFit="0" vertical="center" wrapText="1"/>
    </xf>
    <xf borderId="0" fillId="0" fontId="27" numFmtId="0" xfId="0" applyAlignment="1" applyFont="1">
      <alignment horizontal="left" readingOrder="0" shrinkToFit="0" vertical="center" wrapText="1"/>
    </xf>
    <xf borderId="0" fillId="0" fontId="27" numFmtId="0" xfId="0" applyAlignment="1" applyFont="1">
      <alignment horizontal="left" readingOrder="0" shrinkToFit="0" vertical="center" wrapText="1"/>
    </xf>
    <xf borderId="0" fillId="0" fontId="27" numFmtId="0" xfId="0" applyAlignment="1" applyFont="1">
      <alignment horizontal="left" shrinkToFit="0" vertical="center" wrapText="1"/>
    </xf>
    <xf borderId="0" fillId="0" fontId="27" numFmtId="0" xfId="0" applyAlignment="1" applyFont="1">
      <alignment readingOrder="0" shrinkToFit="0" vertical="center" wrapText="1"/>
    </xf>
    <xf borderId="1" fillId="0" fontId="27" numFmtId="0" xfId="0" applyAlignment="1" applyBorder="1" applyFont="1">
      <alignment readingOrder="0" shrinkToFit="0" vertical="center" wrapText="1"/>
    </xf>
    <xf borderId="6" fillId="0" fontId="27" numFmtId="0" xfId="0" applyAlignment="1" applyBorder="1" applyFont="1">
      <alignment readingOrder="0" shrinkToFit="0" vertical="center" wrapText="1"/>
    </xf>
    <xf borderId="0" fillId="0" fontId="27" numFmtId="0" xfId="0" applyAlignment="1" applyFont="1">
      <alignment readingOrder="0" shrinkToFit="0" vertical="center" wrapText="1"/>
    </xf>
    <xf borderId="0" fillId="0" fontId="27" numFmtId="0" xfId="0" applyAlignment="1" applyFont="1">
      <alignment shrinkToFit="0" vertical="center" wrapText="1"/>
    </xf>
    <xf borderId="0" fillId="0" fontId="1" numFmtId="0" xfId="0" applyAlignment="1" applyFont="1">
      <alignment vertical="center"/>
    </xf>
    <xf borderId="0" fillId="0" fontId="7" numFmtId="0" xfId="0" applyAlignment="1" applyFont="1">
      <alignment vertical="center"/>
    </xf>
    <xf borderId="0" fillId="0" fontId="18"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1" numFmtId="0" xfId="0" applyAlignment="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ummary Repor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9525</xdr:rowOff>
    </xdr:from>
    <xdr:ext cx="3962400" cy="2076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23" displayName="Table1" name="Table1" id="1">
  <tableColumns count="6">
    <tableColumn name="Module" id="1"/>
    <tableColumn name="Sub Module" id="2"/>
    <tableColumn name="Test Case ID" id="3"/>
    <tableColumn name="Bug Count" id="4"/>
    <tableColumn name="Bug Rate %" id="5"/>
    <tableColumn name="Bug Severity" id="6"/>
  </tableColumns>
  <tableStyleInfo name="Summary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gFAa4qdDuAUpQ4Sd-7yED0Otklc6UZam/view?usp=drive_link" TargetMode="External"/><Relationship Id="rId22" Type="http://schemas.openxmlformats.org/officeDocument/2006/relationships/hyperlink" Target="https://drive.google.com/file/d/1000xgJujcIX7K8eQfPfwTdVThR6JRpqG/view?usp=drive_link" TargetMode="External"/><Relationship Id="rId21" Type="http://schemas.openxmlformats.org/officeDocument/2006/relationships/hyperlink" Target="https://drive.google.com/file/d/1VCzTvg_PIgpJa2oGxuA9W2J_oN9yPufZ/view?usp=drive_link" TargetMode="External"/><Relationship Id="rId24" Type="http://schemas.openxmlformats.org/officeDocument/2006/relationships/hyperlink" Target="https://drive.google.com/file/d/1k1Vdg_I-TyuwUJz23tc86AbiNzWi7dNw/view?usp=drive_link" TargetMode="External"/><Relationship Id="rId23" Type="http://schemas.openxmlformats.org/officeDocument/2006/relationships/hyperlink" Target="https://drive.google.com/file/d/1gwFdvneV24O9Xekc1-CCCYnuBWBRji0n/view?usp=drive_link" TargetMode="External"/><Relationship Id="rId1" Type="http://schemas.openxmlformats.org/officeDocument/2006/relationships/hyperlink" Target="https://drive.google.com/file/d/1-tElRJM-Lw44EpbE0jH4nPJkobV6TwyX/view?usp=sharing" TargetMode="External"/><Relationship Id="rId2" Type="http://schemas.openxmlformats.org/officeDocument/2006/relationships/hyperlink" Target="https://drive.google.com/file/d/1hfjRYWtx56grOZvxa7Mk-osFuIBctrwV/view?usp=drive_link" TargetMode="External"/><Relationship Id="rId3" Type="http://schemas.openxmlformats.org/officeDocument/2006/relationships/hyperlink" Target="https://drive.google.com/file/d/15QGzTXE11RFsB9bHJkQ4_W-2r1EUk3Mg/view?usp=drive_link" TargetMode="External"/><Relationship Id="rId4" Type="http://schemas.openxmlformats.org/officeDocument/2006/relationships/hyperlink" Target="https://drive.google.com/file/d/105rCPxfDdEAZ02Qnw84gjSIzklP4lRzM/view?usp=drive_link" TargetMode="External"/><Relationship Id="rId9" Type="http://schemas.openxmlformats.org/officeDocument/2006/relationships/hyperlink" Target="https://drive.google.com/file/d/1ql7xDdzIV0kFcbZyo_zAFJHrA8RN74KL/view?usp=drive_link" TargetMode="External"/><Relationship Id="rId26" Type="http://schemas.openxmlformats.org/officeDocument/2006/relationships/hyperlink" Target="https://drive.google.com/file/d/1YsR3cZ6babF8oE0BEzRWJcn7bFVOzL8-/view?usp=drive_link" TargetMode="External"/><Relationship Id="rId25" Type="http://schemas.openxmlformats.org/officeDocument/2006/relationships/hyperlink" Target="https://drive.google.com/file/d/1tPoLrLk6gfDF0esxWgqf_pANwo7deJtS/view?usp=drive_link" TargetMode="External"/><Relationship Id="rId28" Type="http://schemas.openxmlformats.org/officeDocument/2006/relationships/hyperlink" Target="https://drive.google.com/file/d/1ctkpMRrtP3W3b7mJp61wh5BkhUyE2nNz/view?usp=drive_link" TargetMode="External"/><Relationship Id="rId27" Type="http://schemas.openxmlformats.org/officeDocument/2006/relationships/hyperlink" Target="https://drive.google.com/file/d/1ctkpMRrtP3W3b7mJp61wh5BkhUyE2nNz/view?usp=drive_link" TargetMode="External"/><Relationship Id="rId5" Type="http://schemas.openxmlformats.org/officeDocument/2006/relationships/hyperlink" Target="https://drive.google.com/file/d/1VESCJdD9F7mHvgbacoa6uvf8QUV8dCcm/view?usp=drive_link" TargetMode="External"/><Relationship Id="rId6" Type="http://schemas.openxmlformats.org/officeDocument/2006/relationships/hyperlink" Target="https://drive.google.com/file/d/10Em3R92lXlh1lD6g-j9jvDq9BroejUmg/view?usp=drive_link" TargetMode="External"/><Relationship Id="rId29" Type="http://schemas.openxmlformats.org/officeDocument/2006/relationships/hyperlink" Target="https://jam.dev/c/6e192a78-56dc-4cd3-9d56-e6043e22abe0" TargetMode="External"/><Relationship Id="rId7" Type="http://schemas.openxmlformats.org/officeDocument/2006/relationships/hyperlink" Target="https://jam.dev/c/2a594fde-28d0-4558-b2f6-62229c282228" TargetMode="External"/><Relationship Id="rId8" Type="http://schemas.openxmlformats.org/officeDocument/2006/relationships/hyperlink" Target="https://drive.google.com/file/d/1Ci9kFRKVy5VBTVboR0fy0ArvSwheuSvr/view?usp=drive_link" TargetMode="External"/><Relationship Id="rId31" Type="http://schemas.openxmlformats.org/officeDocument/2006/relationships/hyperlink" Target="https://drive.google.com/file/d/19HXqAZdbvpGy2VTUlpJDlRATviuo1WXW/view?usp=drive_link" TargetMode="External"/><Relationship Id="rId30" Type="http://schemas.openxmlformats.org/officeDocument/2006/relationships/hyperlink" Target="https://drive.google.com/file/d/1zvVD-oA6FPcuc9CuLAuFOuljrY7H6i5M/view?usp=drive_link" TargetMode="External"/><Relationship Id="rId11" Type="http://schemas.openxmlformats.org/officeDocument/2006/relationships/hyperlink" Target="https://drive.google.com/file/d/1ZPInnDyIXdDRacW3cZSTPQcngwBsqERk/view?usp=drive_link" TargetMode="External"/><Relationship Id="rId33" Type="http://schemas.openxmlformats.org/officeDocument/2006/relationships/hyperlink" Target="https://drive.google.com/file/d/1IDPoHuU-0z7OkKwm49PmNhKmwhMUEr9M/view?usp=drive_link" TargetMode="External"/><Relationship Id="rId10" Type="http://schemas.openxmlformats.org/officeDocument/2006/relationships/hyperlink" Target="https://drive.google.com/file/d/1SyTkjpVatQQs_9jnbM8U2v6loP6i6p_c/view?usp=sharing" TargetMode="External"/><Relationship Id="rId32" Type="http://schemas.openxmlformats.org/officeDocument/2006/relationships/hyperlink" Target="https://drive.google.com/file/d/1RsEZyI--GutBT1nB1liFrTgH5LRcU8my/view?usp=drive_link" TargetMode="External"/><Relationship Id="rId13" Type="http://schemas.openxmlformats.org/officeDocument/2006/relationships/hyperlink" Target="https://drive.google.com/file/d/1XaAVE7ZJYEcpwRnSeE7NHrBLPpt25JLY/view?usp=sharing" TargetMode="External"/><Relationship Id="rId35" Type="http://schemas.openxmlformats.org/officeDocument/2006/relationships/drawing" Target="../drawings/drawing1.xml"/><Relationship Id="rId12" Type="http://schemas.openxmlformats.org/officeDocument/2006/relationships/hyperlink" Target="https://drive.google.com/file/d/1T_ykRfbG70t1AaluRRxZf4OUtwAiIUBu/view?usp=drive_link" TargetMode="External"/><Relationship Id="rId34" Type="http://schemas.openxmlformats.org/officeDocument/2006/relationships/hyperlink" Target="https://jam.dev/c/eaf729ee-e9fd-42ab-bb08-a3c7f08ba41f" TargetMode="External"/><Relationship Id="rId15" Type="http://schemas.openxmlformats.org/officeDocument/2006/relationships/hyperlink" Target="https://drive.google.com/file/d/1EAD-Aegsz6FQOPKBS98EylC6zIuRkLvl/view?usp=sharing" TargetMode="External"/><Relationship Id="rId14" Type="http://schemas.openxmlformats.org/officeDocument/2006/relationships/hyperlink" Target="https://drive.google.com/file/d/1yFlaVHIf04Z5bnJgredRdeR0BY2jVzpa/view?usp=sharing" TargetMode="External"/><Relationship Id="rId17" Type="http://schemas.openxmlformats.org/officeDocument/2006/relationships/hyperlink" Target="https://drive.google.com/file/d/1iP_bJ1pY2S2ztNFaUdlBMzO6pivTYK31/view?usp=drive_link" TargetMode="External"/><Relationship Id="rId16" Type="http://schemas.openxmlformats.org/officeDocument/2006/relationships/hyperlink" Target="https://drive.google.com/file/d/1lRM5FYW3Up-I7mwXq0VUVC6GF27kAvrp/view?usp=drive_link" TargetMode="External"/><Relationship Id="rId19" Type="http://schemas.openxmlformats.org/officeDocument/2006/relationships/hyperlink" Target="https://drive.google.com/file/d/1Sk1eaL56DxGmBcusnsAxmiA18ygmic_4/view?usp=drive_link" TargetMode="External"/><Relationship Id="rId18" Type="http://schemas.openxmlformats.org/officeDocument/2006/relationships/hyperlink" Target="https://drive.google.com/file/d/1VIQjtXn7Qea_bnKM9izsTzcAZ6p8l3Dy/view?usp=drive_link"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ZPInnDyIXdDRacW3cZSTPQcngwBsqERk/view?usp=drive_link" TargetMode="External"/><Relationship Id="rId22" Type="http://schemas.openxmlformats.org/officeDocument/2006/relationships/hyperlink" Target="https://drive.google.com/file/d/10Em3R92lXlh1lD6g-j9jvDq9BroejUmg/view?usp=drive_link" TargetMode="External"/><Relationship Id="rId21" Type="http://schemas.openxmlformats.org/officeDocument/2006/relationships/hyperlink" Target="https://drive.google.com/file/d/1T_ykRfbG70t1AaluRRxZf4OUtwAiIUBu/view?usp=drive_link" TargetMode="External"/><Relationship Id="rId23" Type="http://schemas.openxmlformats.org/officeDocument/2006/relationships/drawing" Target="../drawings/drawing2.xml"/><Relationship Id="rId1" Type="http://schemas.openxmlformats.org/officeDocument/2006/relationships/hyperlink" Target="https://drive.google.com/file/d/1Sk1eaL56DxGmBcusnsAxmiA18ygmic_4/view?usp=drive_link" TargetMode="External"/><Relationship Id="rId2" Type="http://schemas.openxmlformats.org/officeDocument/2006/relationships/hyperlink" Target="https://drive.google.com/file/d/1gFAa4qdDuAUpQ4Sd-7yED0Otklc6UZam/view?usp=drive_link" TargetMode="External"/><Relationship Id="rId3" Type="http://schemas.openxmlformats.org/officeDocument/2006/relationships/hyperlink" Target="https://drive.google.com/file/d/1VCzTvg_PIgpJa2oGxuA9W2J_oN9yPufZ/view?usp=drive_link" TargetMode="External"/><Relationship Id="rId4" Type="http://schemas.openxmlformats.org/officeDocument/2006/relationships/hyperlink" Target="https://drive.google.com/file/d/1000xgJujcIX7K8eQfPfwTdVThR6JRpqG/view?usp=drive_link" TargetMode="External"/><Relationship Id="rId9" Type="http://schemas.openxmlformats.org/officeDocument/2006/relationships/hyperlink" Target="https://drive.google.com/file/d/1Ci9kFRKVy5VBTVboR0fy0ArvSwheuSvr/view?usp=drive_link" TargetMode="External"/><Relationship Id="rId5" Type="http://schemas.openxmlformats.org/officeDocument/2006/relationships/hyperlink" Target="https://drive.google.com/file/d/1gwFdvneV24O9Xekc1-CCCYnuBWBRji0n/view?usp=drive_link" TargetMode="External"/><Relationship Id="rId6" Type="http://schemas.openxmlformats.org/officeDocument/2006/relationships/hyperlink" Target="https://drive.google.com/file/d/1k1Vdg_I-TyuwUJz23tc86AbiNzWi7dNw/view?usp=drive_link" TargetMode="External"/><Relationship Id="rId7" Type="http://schemas.openxmlformats.org/officeDocument/2006/relationships/hyperlink" Target="https://drive.google.com/file/d/1tPoLrLk6gfDF0esxWgqf_pANwo7deJtS/view?usp=drive_link" TargetMode="External"/><Relationship Id="rId8" Type="http://schemas.openxmlformats.org/officeDocument/2006/relationships/hyperlink" Target="https://drive.google.com/file/d/1YsR3cZ6babF8oE0BEzRWJcn7bFVOzL8-/view?usp=drive_link" TargetMode="External"/><Relationship Id="rId11" Type="http://schemas.openxmlformats.org/officeDocument/2006/relationships/hyperlink" Target="https://drive.google.com/file/d/19HXqAZdbvpGy2VTUlpJDlRATviuo1WXW/view?usp=drive_link" TargetMode="External"/><Relationship Id="rId10" Type="http://schemas.openxmlformats.org/officeDocument/2006/relationships/hyperlink" Target="https://drive.google.com/file/d/1VESCJdD9F7mHvgbacoa6uvf8QUV8dCcm/view?usp=drive_link" TargetMode="External"/><Relationship Id="rId13" Type="http://schemas.openxmlformats.org/officeDocument/2006/relationships/hyperlink" Target="https://drive.google.com/file/d/1iP_bJ1pY2S2ztNFaUdlBMzO6pivTYK31/view?usp=drive_link" TargetMode="External"/><Relationship Id="rId12" Type="http://schemas.openxmlformats.org/officeDocument/2006/relationships/hyperlink" Target="https://drive.google.com/file/d/1lRM5FYW3Up-I7mwXq0VUVC6GF27kAvrp/view?usp=drive_link" TargetMode="External"/><Relationship Id="rId15" Type="http://schemas.openxmlformats.org/officeDocument/2006/relationships/hyperlink" Target="https://drive.google.com/file/d/1hfjRYWtx56grOZvxa7Mk-osFuIBctrwV/view?usp=drive_link" TargetMode="External"/><Relationship Id="rId14" Type="http://schemas.openxmlformats.org/officeDocument/2006/relationships/hyperlink" Target="https://drive.google.com/file/d/1ql7xDdzIV0kFcbZyo_zAFJHrA8RN74KL/view?usp=drive_link" TargetMode="External"/><Relationship Id="rId17" Type="http://schemas.openxmlformats.org/officeDocument/2006/relationships/hyperlink" Target="https://drive.google.com/file/d/1VIQjtXn7Qea_bnKM9izsTzcAZ6p8l3Dy/view?usp=drive_link" TargetMode="External"/><Relationship Id="rId16" Type="http://schemas.openxmlformats.org/officeDocument/2006/relationships/hyperlink" Target="https://drive.google.com/file/d/1RsEZyI--GutBT1nB1liFrTgH5LRcU8my/view?usp=drive_link" TargetMode="External"/><Relationship Id="rId19" Type="http://schemas.openxmlformats.org/officeDocument/2006/relationships/hyperlink" Target="https://drive.google.com/file/d/105rCPxfDdEAZ02Qnw84gjSIzklP4lRzM/view?usp=drive_link" TargetMode="External"/><Relationship Id="rId18" Type="http://schemas.openxmlformats.org/officeDocument/2006/relationships/hyperlink" Target="https://drive.google.com/file/d/1zvVD-oA6FPcuc9CuLAuFOuljrY7H6i5M/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ctkpMRrtP3W3b7mJp61wh5BkhUyE2nNz/view?usp=drive_link" TargetMode="External"/><Relationship Id="rId2" Type="http://schemas.openxmlformats.org/officeDocument/2006/relationships/hyperlink" Target="https://drive.google.com/file/d/1ctkpMRrtP3W3b7mJp61wh5BkhUyE2nNz/view?usp=drive_link" TargetMode="External"/><Relationship Id="rId3" Type="http://schemas.openxmlformats.org/officeDocument/2006/relationships/hyperlink" Target="https://jam.dev/c/6e192a78-56dc-4cd3-9d56-e6043e22abe0" TargetMode="External"/><Relationship Id="rId4" Type="http://schemas.openxmlformats.org/officeDocument/2006/relationships/hyperlink" Target="https://jam.dev/c/2a594fde-28d0-4558-b2f6-62229c282228" TargetMode="External"/><Relationship Id="rId9" Type="http://schemas.openxmlformats.org/officeDocument/2006/relationships/hyperlink" Target="https://drive.google.com/file/d/1SyTkjpVatQQs_9jnbM8U2v6loP6i6p_c/view?usp=sharing" TargetMode="External"/><Relationship Id="rId5" Type="http://schemas.openxmlformats.org/officeDocument/2006/relationships/hyperlink" Target="https://drive.google.com/file/d/1IDPoHuU-0z7OkKwm49PmNhKmwhMUEr9M/view?usp=drive_link" TargetMode="External"/><Relationship Id="rId6" Type="http://schemas.openxmlformats.org/officeDocument/2006/relationships/hyperlink" Target="https://drive.google.com/file/d/1F2SMY3zWzAVJPjV4wm5HLMbZJQjN-y9w/view?usp=drive_link" TargetMode="External"/><Relationship Id="rId7" Type="http://schemas.openxmlformats.org/officeDocument/2006/relationships/hyperlink" Target="https://drive.google.com/file/d/15QGzTXE11RFsB9bHJkQ4_W-2r1EUk3Mg/view?usp=drive_link" TargetMode="External"/><Relationship Id="rId8" Type="http://schemas.openxmlformats.org/officeDocument/2006/relationships/hyperlink" Target="https://drive.google.com/file/d/1EAD-Aegsz6FQOPKBS98EylC6zIuRkLvl/view?usp=sharing" TargetMode="External"/><Relationship Id="rId11" Type="http://schemas.openxmlformats.org/officeDocument/2006/relationships/hyperlink" Target="https://drive.google.com/file/d/1-tElRJM-Lw44EpbE0jH4nPJkobV6TwyX/view?usp=sharing" TargetMode="External"/><Relationship Id="rId10" Type="http://schemas.openxmlformats.org/officeDocument/2006/relationships/hyperlink" Target="https://jam.dev/c/eaf729ee-e9fd-42ab-bb08-a3c7f08ba41f" TargetMode="External"/><Relationship Id="rId13" Type="http://schemas.openxmlformats.org/officeDocument/2006/relationships/hyperlink" Target="https://drive.google.com/file/d/1XaAVE7ZJYEcpwRnSeE7NHrBLPpt25JLY/view?usp=sharing" TargetMode="External"/><Relationship Id="rId12" Type="http://schemas.openxmlformats.org/officeDocument/2006/relationships/hyperlink" Target="https://drive.google.com/file/d/1yFlaVHIf04Z5bnJgredRdeR0BY2jVzpa/view?usp=sharing" TargetMode="External"/><Relationship Id="rId1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19.38"/>
    <col customWidth="1" min="3" max="3" width="14.38"/>
    <col customWidth="1" min="4" max="4" width="23.5"/>
    <col customWidth="1" min="5" max="5" width="15.63"/>
    <col customWidth="1" min="6" max="6" width="18.75"/>
    <col customWidth="1" min="7" max="7" width="12.63"/>
    <col customWidth="1" min="8" max="8" width="18.0"/>
    <col customWidth="1" min="9" max="9" width="15.25"/>
    <col customWidth="1" min="10" max="10" width="13.0"/>
    <col customWidth="1" min="11" max="11" width="11.88"/>
    <col customWidth="1" min="12" max="12" width="15.38"/>
    <col customWidth="1" min="13" max="13" width="16.25"/>
    <col customWidth="1" min="14" max="15" width="15.25"/>
    <col customWidth="1" min="16" max="16" width="17.25"/>
  </cols>
  <sheetData>
    <row r="1">
      <c r="A1" s="1"/>
      <c r="B1" s="1"/>
      <c r="C1" s="1"/>
      <c r="D1" s="1"/>
      <c r="E1" s="1"/>
      <c r="F1" s="1"/>
      <c r="G1" s="1"/>
      <c r="H1" s="1"/>
      <c r="I1" s="1"/>
      <c r="J1" s="1"/>
      <c r="K1" s="1"/>
      <c r="L1" s="1"/>
      <c r="M1" s="1"/>
      <c r="N1" s="1"/>
      <c r="O1" s="1"/>
    </row>
    <row r="2">
      <c r="A2" s="2" t="s">
        <v>0</v>
      </c>
      <c r="B2" s="3" t="s">
        <v>1</v>
      </c>
      <c r="C2" s="1"/>
      <c r="D2" s="4" t="s">
        <v>2</v>
      </c>
      <c r="E2" s="4" t="s">
        <v>3</v>
      </c>
      <c r="F2" s="1"/>
      <c r="G2" s="1"/>
      <c r="H2" s="5"/>
      <c r="I2" s="5"/>
      <c r="J2" s="5"/>
      <c r="K2" s="5"/>
      <c r="L2" s="5"/>
      <c r="M2" s="5"/>
      <c r="N2" s="1"/>
      <c r="O2" s="1"/>
    </row>
    <row r="3">
      <c r="A3" s="2" t="s">
        <v>4</v>
      </c>
      <c r="B3" s="6" t="s">
        <v>5</v>
      </c>
      <c r="C3" s="1"/>
      <c r="D3" s="7" t="s">
        <v>6</v>
      </c>
      <c r="E3" s="8">
        <f>COUNTIF(Tahsin!K14:K1005, "High") + COUNTIF(Fahad!K9:K1005, "High")</f>
        <v>20</v>
      </c>
      <c r="F3" s="1"/>
      <c r="G3" s="1"/>
      <c r="H3" s="1"/>
      <c r="I3" s="1"/>
      <c r="J3" s="1"/>
      <c r="K3" s="1"/>
      <c r="L3" s="1"/>
      <c r="M3" s="1"/>
      <c r="N3" s="1"/>
      <c r="O3" s="1"/>
    </row>
    <row r="4">
      <c r="A4" s="2" t="s">
        <v>7</v>
      </c>
      <c r="B4" s="9"/>
      <c r="C4" s="1"/>
      <c r="D4" s="10" t="s">
        <v>8</v>
      </c>
      <c r="E4" s="8">
        <f>COUNTIF(Tahsin!K14:K1006, "Medium") + COUNTIF(Fahad!K9:K1006, "Medium")</f>
        <v>12</v>
      </c>
      <c r="F4" s="1"/>
      <c r="G4" s="1"/>
      <c r="H4" s="1"/>
      <c r="I4" s="1"/>
      <c r="J4" s="1"/>
      <c r="K4" s="1"/>
      <c r="L4" s="1"/>
      <c r="M4" s="1"/>
      <c r="N4" s="1"/>
      <c r="O4" s="1"/>
    </row>
    <row r="5">
      <c r="A5" s="2" t="s">
        <v>9</v>
      </c>
      <c r="B5" s="11" t="s">
        <v>10</v>
      </c>
      <c r="C5" s="1"/>
      <c r="D5" s="12" t="s">
        <v>11</v>
      </c>
      <c r="E5" s="8">
        <f>COUNTIF(Fahad!K9:K1007, "Low") + COUNTIF(Tahsin!K14:K1009, "Low")</f>
        <v>5</v>
      </c>
      <c r="F5" s="1"/>
      <c r="G5" s="1"/>
      <c r="H5" s="1"/>
      <c r="I5" s="1"/>
      <c r="J5" s="1"/>
      <c r="K5" s="1"/>
      <c r="L5" s="1"/>
      <c r="M5" s="1"/>
      <c r="N5" s="1"/>
      <c r="O5" s="1"/>
    </row>
    <row r="6">
      <c r="A6" s="2" t="s">
        <v>12</v>
      </c>
      <c r="B6" s="13"/>
      <c r="C6" s="1"/>
      <c r="D6" s="14"/>
      <c r="E6" s="14"/>
      <c r="F6" s="1"/>
      <c r="G6" s="1"/>
      <c r="H6" s="1"/>
      <c r="I6" s="1"/>
      <c r="J6" s="1"/>
      <c r="K6" s="1"/>
      <c r="L6" s="1"/>
      <c r="M6" s="1"/>
      <c r="N6" s="1"/>
      <c r="O6" s="1"/>
    </row>
    <row r="7">
      <c r="A7" s="2" t="s">
        <v>13</v>
      </c>
      <c r="B7" s="13"/>
      <c r="C7" s="1"/>
      <c r="D7" s="15" t="s">
        <v>14</v>
      </c>
      <c r="E7" s="16">
        <f>SUM(E3:E5)</f>
        <v>37</v>
      </c>
      <c r="F7" s="1"/>
      <c r="G7" s="1"/>
      <c r="H7" s="1"/>
      <c r="I7" s="1"/>
      <c r="J7" s="1"/>
      <c r="K7" s="1"/>
      <c r="L7" s="1"/>
      <c r="M7" s="1"/>
      <c r="N7" s="1"/>
      <c r="O7" s="1"/>
    </row>
    <row r="8">
      <c r="A8" s="1"/>
      <c r="B8" s="1"/>
      <c r="C8" s="1"/>
      <c r="D8" s="15" t="s">
        <v>15</v>
      </c>
      <c r="E8" s="17">
        <f>COUNTIF(O11:O1003, "Solved")</f>
        <v>21</v>
      </c>
      <c r="F8" s="1"/>
      <c r="G8" s="1"/>
      <c r="H8" s="1"/>
      <c r="I8" s="1"/>
      <c r="J8" s="1"/>
      <c r="K8" s="1"/>
      <c r="L8" s="1"/>
      <c r="M8" s="1"/>
      <c r="N8" s="1"/>
      <c r="O8" s="1"/>
    </row>
    <row r="9">
      <c r="A9" s="1"/>
      <c r="B9" s="1"/>
      <c r="C9" s="1"/>
      <c r="D9" s="1"/>
      <c r="E9" s="1"/>
      <c r="F9" s="1"/>
      <c r="G9" s="1"/>
      <c r="H9" s="1"/>
      <c r="I9" s="1"/>
      <c r="J9" s="1"/>
      <c r="K9" s="1"/>
      <c r="L9" s="1"/>
      <c r="M9" s="1"/>
      <c r="N9" s="1"/>
      <c r="O9" s="1"/>
    </row>
    <row r="10">
      <c r="A10" s="18" t="s">
        <v>16</v>
      </c>
      <c r="B10" s="18" t="s">
        <v>17</v>
      </c>
      <c r="C10" s="18" t="s">
        <v>18</v>
      </c>
      <c r="D10" s="18" t="s">
        <v>19</v>
      </c>
      <c r="E10" s="18" t="s">
        <v>20</v>
      </c>
      <c r="F10" s="18" t="s">
        <v>21</v>
      </c>
      <c r="G10" s="18" t="s">
        <v>22</v>
      </c>
      <c r="H10" s="18" t="s">
        <v>23</v>
      </c>
      <c r="I10" s="18" t="s">
        <v>24</v>
      </c>
      <c r="J10" s="18" t="s">
        <v>25</v>
      </c>
      <c r="K10" s="18" t="s">
        <v>2</v>
      </c>
      <c r="L10" s="18" t="s">
        <v>26</v>
      </c>
      <c r="M10" s="18" t="s">
        <v>27</v>
      </c>
      <c r="N10" s="19" t="s">
        <v>28</v>
      </c>
      <c r="O10" s="19" t="s">
        <v>29</v>
      </c>
      <c r="P10" s="19" t="s">
        <v>30</v>
      </c>
      <c r="Q10" s="20"/>
      <c r="R10" s="20"/>
      <c r="S10" s="20"/>
      <c r="T10" s="20"/>
      <c r="U10" s="20"/>
      <c r="V10" s="20"/>
      <c r="W10" s="20"/>
      <c r="X10" s="20"/>
      <c r="Y10" s="20"/>
      <c r="Z10" s="20"/>
      <c r="AA10" s="20"/>
    </row>
    <row r="11">
      <c r="A11" s="21" t="str">
        <f t="array" ref="A11:A100">IF((LEN(B11:B100)+LEN(C11:C100))&gt;0, "BR-" &amp; TEXT(ROW(B11:B100)-ROW(B11)+1,"000"), "")
</f>
        <v>BR-001</v>
      </c>
      <c r="B11" s="22" t="str">
        <f>IFERROR(__xludf.DUMMYFUNCTION("QUERY(
  {
    ARRAYFORMULA({TRIM(Fahad!B9:B999), Fahad!C9:M999, IF(LEN(Fahad!B9:B999), ""Fahad"", """")});
    ARRAYFORMULA({TRIM(Tahsin!B15:B999), Tahsin!C15:M999, IF(LEN(Tahsin!B15:B999), ""Tahsin"", """")})
  },
  ""SELECT * WHERE Col1 IS NOT NULL ORD"&amp;"ER BY Col1 ASC, Col2 ASC"",
  0
)
"),"Claim")</f>
        <v>Claim</v>
      </c>
      <c r="C11" s="22" t="str">
        <f>IFERROR(__xludf.DUMMYFUNCTION("""COMPUTED_VALUE"""),"Accessibility (Screen Reader)")</f>
        <v>Accessibility (Screen Reader)</v>
      </c>
      <c r="D11" s="22" t="str">
        <f>IFERROR(__xludf.DUMMYFUNCTION("""COMPUTED_VALUE"""),"Verify Screen Reader stops reading when the user navigates back from the 'Claim' flow.")</f>
        <v>Verify Screen Reader stops reading when the user navigates back from the 'Claim' flow.</v>
      </c>
      <c r="E11" s="22" t="str">
        <f>IFERROR(__xludf.DUMMYFUNCTION("""COMPUTED_VALUE"""),"User is logged in to the Valr application.")</f>
        <v>User is logged in to the Valr application.</v>
      </c>
      <c r="F11" s="22" t="str">
        <f>IFERROR(__xludf.DUMMYFUNCTION("""COMPUTED_VALUE"""),"1) Tap the 'Claim' button to initiate the flow. 
2) While the screen reader is actively speaking, tap the **Back** button (device or in-app).")</f>
        <v>1) Tap the 'Claim' button to initiate the flow. 
2) While the screen reader is actively speaking, tap the **Back** button (device or in-app).</v>
      </c>
      <c r="G11" s="22" t="str">
        <f>IFERROR(__xludf.DUMMYFUNCTION("""COMPUTED_VALUE"""),"N/A (Functional Test)")</f>
        <v>N/A (Functional Test)</v>
      </c>
      <c r="H11" s="22" t="str">
        <f>IFERROR(__xludf.DUMMYFUNCTION("""COMPUTED_VALUE"""),"The screen reader/TalkBack readout **must stop immediately** upon navigating away from the 'Claim' screen.")</f>
        <v>The screen reader/TalkBack readout **must stop immediately** upon navigating away from the 'Claim' screen.</v>
      </c>
      <c r="I11" s="22" t="str">
        <f>IFERROR(__xludf.DUMMYFUNCTION("""COMPUTED_VALUE"""),"The screen reader continues to read the entire question/text until the portion is ended, even after navigating back.")</f>
        <v>The screen reader continues to read the entire question/text until the portion is ended, even after navigating back.</v>
      </c>
      <c r="J11" s="22" t="str">
        <f>IFERROR(__xludf.DUMMYFUNCTION("""COMPUTED_VALUE"""),"Fail")</f>
        <v>Fail</v>
      </c>
      <c r="K11" s="22" t="str">
        <f>IFERROR(__xludf.DUMMYFUNCTION("""COMPUTED_VALUE"""),"High")</f>
        <v>High</v>
      </c>
      <c r="L11" s="23" t="str">
        <f>IFERROR(__xludf.DUMMYFUNCTION("""COMPUTED_VALUE"""),"Sound .mp4")</f>
        <v>Sound .mp4</v>
      </c>
      <c r="M11" s="22"/>
      <c r="N11" s="24" t="str">
        <f>IFERROR(__xludf.DUMMYFUNCTION("""COMPUTED_VALUE"""),"Tahsin")</f>
        <v>Tahsin</v>
      </c>
      <c r="O11" s="24"/>
      <c r="P11" s="24"/>
      <c r="Q11" s="25"/>
      <c r="R11" s="25"/>
      <c r="S11" s="25"/>
      <c r="T11" s="25"/>
      <c r="U11" s="25"/>
      <c r="V11" s="25"/>
      <c r="W11" s="25"/>
      <c r="X11" s="25"/>
      <c r="Y11" s="25"/>
      <c r="Z11" s="25"/>
      <c r="AA11" s="25"/>
    </row>
    <row r="12">
      <c r="A12" s="26" t="s">
        <v>31</v>
      </c>
      <c r="B12" s="27" t="str">
        <f>IFERROR(__xludf.DUMMYFUNCTION("""COMPUTED_VALUE"""),"Claim Form")</f>
        <v>Claim Form</v>
      </c>
      <c r="C12" s="27" t="str">
        <f>IFERROR(__xludf.DUMMYFUNCTION("""COMPUTED_VALUE"""),"Claim Form")</f>
        <v>Claim Form</v>
      </c>
      <c r="D12" s="27" t="str">
        <f>IFERROR(__xludf.DUMMYFUNCTION("""COMPUTED_VALUE"""),"Darft is not functioning properly")</f>
        <v>Darft is not functioning properly</v>
      </c>
      <c r="E12" s="27" t="str">
        <f>IFERROR(__xludf.DUMMYFUNCTION("""COMPUTED_VALUE"""),"User need to install the apk in their phone")</f>
        <v>User need to install the apk in their phone</v>
      </c>
      <c r="F12" s="27" t="str">
        <f>IFERROR(__xludf.DUMMYFUNCTION("""COMPUTED_VALUE"""),"1. Open app
2. Signin using valid credentials
3. Subscribe and click on claim
4. Fill form with necessary information")</f>
        <v>1. Open app
2. Signin using valid credentials
3. Subscribe and click on claim
4. Fill form with necessary information</v>
      </c>
      <c r="G12" s="27" t="str">
        <f>IFERROR(__xludf.DUMMYFUNCTION("""COMPUTED_VALUE"""),"email : misak59277@foxroids.com
pass : 123456abcde")</f>
        <v>email : misak59277@foxroids.com
pass : 123456abcde</v>
      </c>
      <c r="H12" s="27" t="str">
        <f>IFERROR(__xludf.DUMMYFUNCTION("""COMPUTED_VALUE"""),"The draft system should be implemented in its complete form.")</f>
        <v>The draft system should be implemented in its complete form.</v>
      </c>
      <c r="I12" s="27" t="str">
        <f>IFERROR(__xludf.DUMMYFUNCTION("""COMPUTED_VALUE"""),"Only the data from the first 7 pages can be saved as a draft, while the remaining data is not stored correctly.")</f>
        <v>Only the data from the first 7 pages can be saved as a draft, while the remaining data is not stored correctly.</v>
      </c>
      <c r="J12" s="27" t="str">
        <f>IFERROR(__xludf.DUMMYFUNCTION("""COMPUTED_VALUE"""),"Fail")</f>
        <v>Fail</v>
      </c>
      <c r="K12" s="27" t="str">
        <f>IFERROR(__xludf.DUMMYFUNCTION("""COMPUTED_VALUE"""),"High")</f>
        <v>High</v>
      </c>
      <c r="L12" s="28" t="str">
        <f>IFERROR(__xludf.DUMMYFUNCTION("""COMPUTED_VALUE"""),"https://drive.google.com/file/d/1hfjRYWtx56grOZvxa7Mk-osFuIBctrwV/view?usp=drive_link")</f>
        <v>https://drive.google.com/file/d/1hfjRYWtx56grOZvxa7Mk-osFuIBctrwV/view?usp=drive_link</v>
      </c>
      <c r="M12" s="27"/>
      <c r="N12" s="27" t="str">
        <f>IFERROR(__xludf.DUMMYFUNCTION("""COMPUTED_VALUE"""),"Fahad")</f>
        <v>Fahad</v>
      </c>
      <c r="O12" s="26" t="s">
        <v>32</v>
      </c>
      <c r="P12" s="27"/>
      <c r="Q12" s="25"/>
      <c r="R12" s="25"/>
      <c r="S12" s="25"/>
      <c r="T12" s="25"/>
      <c r="U12" s="25"/>
      <c r="V12" s="25"/>
      <c r="W12" s="25"/>
      <c r="X12" s="25"/>
      <c r="Y12" s="25"/>
      <c r="Z12" s="25"/>
      <c r="AA12" s="25"/>
    </row>
    <row r="13">
      <c r="A13" s="26" t="s">
        <v>33</v>
      </c>
      <c r="B13" s="27" t="str">
        <f>IFERROR(__xludf.DUMMYFUNCTION("""COMPUTED_VALUE"""),"Claim Now")</f>
        <v>Claim Now</v>
      </c>
      <c r="C13" s="27" t="str">
        <f>IFERROR(__xludf.DUMMYFUNCTION("""COMPUTED_VALUE"""),"First Page")</f>
        <v>First Page</v>
      </c>
      <c r="D13" s="27" t="str">
        <f>IFERROR(__xludf.DUMMYFUNCTION("""COMPUTED_VALUE"""),"Validate that the Back button functions correctly on “Have you ever applied for VA benefits” page")</f>
        <v>Validate that the Back button functions correctly on “Have you ever applied for VA benefits” page</v>
      </c>
      <c r="E13" s="27" t="str">
        <f>IFERROR(__xludf.DUMMYFUNCTION("""COMPUTED_VALUE"""),"Paid user is logged in and on the “Have you ever applied for VA benefits” page under Claim Now section")</f>
        <v>Paid user is logged in and on the “Have you ever applied for VA benefits” page under Claim Now section</v>
      </c>
      <c r="F13" s="27" t="str">
        <f>IFERROR(__xludf.DUMMYFUNCTION("""COMPUTED_VALUE"""),"1) Open the app 
2) Log in as a paid user 
3) Navigate to Claim Now section 
4) Proceed to “Have you ever applied for VA benefits” page 
5) Tap on the Back button")</f>
        <v>1) Open the app 
2) Log in as a paid user 
3) Navigate to Claim Now section 
4) Proceed to “Have you ever applied for VA benefits” page 
5) Tap on the Back button</v>
      </c>
      <c r="G13" s="27" t="str">
        <f>IFERROR(__xludf.DUMMYFUNCTION("""COMPUTED_VALUE"""),"N/A")</f>
        <v>N/A</v>
      </c>
      <c r="H13" s="27" t="str">
        <f>IFERROR(__xludf.DUMMYFUNCTION("""COMPUTED_VALUE"""),"User should be navigated to the previous page when tapping the Back button")</f>
        <v>User should be navigated to the previous page when tapping the Back button</v>
      </c>
      <c r="I13" s="27" t="str">
        <f>IFERROR(__xludf.DUMMYFUNCTION("""COMPUTED_VALUE"""),"Back button is unresponsive and does not navigate to the previous page")</f>
        <v>Back button is unresponsive and does not navigate to the previous page</v>
      </c>
      <c r="J13" s="27" t="str">
        <f>IFERROR(__xludf.DUMMYFUNCTION("""COMPUTED_VALUE"""),"Fail")</f>
        <v>Fail</v>
      </c>
      <c r="K13" s="27" t="str">
        <f>IFERROR(__xludf.DUMMYFUNCTION("""COMPUTED_VALUE"""),"High")</f>
        <v>High</v>
      </c>
      <c r="L13" s="29" t="str">
        <f>IFERROR(__xludf.DUMMYFUNCTION("""COMPUTED_VALUE"""),"Claim Now Back Button.mp4")</f>
        <v>Claim Now Back Button.mp4</v>
      </c>
      <c r="M13" s="27"/>
      <c r="N13" s="27" t="str">
        <f>IFERROR(__xludf.DUMMYFUNCTION("""COMPUTED_VALUE"""),"Tahsin")</f>
        <v>Tahsin</v>
      </c>
      <c r="O13" s="26" t="s">
        <v>32</v>
      </c>
      <c r="P13" s="27"/>
      <c r="Q13" s="25"/>
      <c r="R13" s="25"/>
      <c r="S13" s="25"/>
      <c r="T13" s="25"/>
      <c r="U13" s="25"/>
      <c r="V13" s="25"/>
      <c r="W13" s="25"/>
      <c r="X13" s="25"/>
      <c r="Y13" s="25"/>
      <c r="Z13" s="25"/>
      <c r="AA13" s="25"/>
    </row>
    <row r="14">
      <c r="A14" s="26" t="s">
        <v>34</v>
      </c>
      <c r="B14" s="27" t="str">
        <f>IFERROR(__xludf.DUMMYFUNCTION("""COMPUTED_VALUE"""),"Claim/Narrative")</f>
        <v>Claim/Narrative</v>
      </c>
      <c r="C14" s="27" t="str">
        <f>IFERROR(__xludf.DUMMYFUNCTION("""COMPUTED_VALUE"""),"Session Management")</f>
        <v>Session Management</v>
      </c>
      <c r="D14" s="27" t="str">
        <f>IFERROR(__xludf.DUMMYFUNCTION("""COMPUTED_VALUE"""),"Verify that generated narratives and intermediate claim data are saved and persist across application restarts.")</f>
        <v>Verify that generated narratives and intermediate claim data are saved and persist across application restarts.</v>
      </c>
      <c r="E14" s="27" t="str">
        <f>IFERROR(__xludf.DUMMYFUNCTION("""COMPUTED_VALUE"""),"A narrative has been successfully generated and then Reopen the Apps")</f>
        <v>A narrative has been successfully generated and then Reopen the Apps</v>
      </c>
      <c r="F14" s="27" t="str">
        <f>IFERROR(__xludf.DUMMYFUNCTION("""COMPUTED_VALUE"""),"1. Complete the claim process, ending with the Narrative Generation screen. 
2. Close the Valr application. 
3. Re-open the Valr application. 
4. Navigate back to the 'Claim' section/flow.")</f>
        <v>1. Complete the claim process, ending with the Narrative Generation screen. 
2. Close the Valr application. 
3. Re-open the Valr application. 
4. Navigate back to the 'Claim' section/flow.</v>
      </c>
      <c r="G14" s="27" t="str">
        <f>IFERROR(__xludf.DUMMYFUNCTION("""COMPUTED_VALUE"""),"N/A (Data Persistence Test)")</f>
        <v>N/A (Data Persistence Test)</v>
      </c>
      <c r="H14" s="27" t="str">
        <f>IFERROR(__xludf.DUMMYFUNCTION("""COMPUTED_VALUE"""),"The application should resume the claim process from the point where the narrative was generated, or the generated narrative should be viewable in a 'Drafts' or 'History' section. **All previously entered information must be retained.**")</f>
        <v>The application should resume the claim process from the point where the narrative was generated, or the generated narrative should be viewable in a 'Drafts' or 'History' section. **All previously entered information must be retained.**</v>
      </c>
      <c r="I14" s="27" t="str">
        <f>IFERROR(__xludf.DUMMYFUNCTION("""COMPUTED_VALUE"""),"Upon re-opening the application and navigating back to the Claim section, the process starts from the beginning, and all previously entered information and the generated narrative are lost.")</f>
        <v>Upon re-opening the application and navigating back to the Claim section, the process starts from the beginning, and all previously entered information and the generated narrative are lost.</v>
      </c>
      <c r="J14" s="27" t="str">
        <f>IFERROR(__xludf.DUMMYFUNCTION("""COMPUTED_VALUE"""),"Fail")</f>
        <v>Fail</v>
      </c>
      <c r="K14" s="27" t="str">
        <f>IFERROR(__xludf.DUMMYFUNCTION("""COMPUTED_VALUE"""),"High")</f>
        <v>High</v>
      </c>
      <c r="L14" s="27"/>
      <c r="M14" s="27"/>
      <c r="N14" s="27" t="str">
        <f>IFERROR(__xludf.DUMMYFUNCTION("""COMPUTED_VALUE"""),"Tahsin")</f>
        <v>Tahsin</v>
      </c>
      <c r="O14" s="26" t="s">
        <v>32</v>
      </c>
      <c r="P14" s="27"/>
      <c r="Q14" s="25"/>
      <c r="R14" s="25"/>
      <c r="S14" s="25"/>
      <c r="T14" s="25"/>
      <c r="U14" s="25"/>
      <c r="V14" s="25"/>
      <c r="W14" s="25"/>
      <c r="X14" s="25"/>
      <c r="Y14" s="25"/>
      <c r="Z14" s="25"/>
      <c r="AA14" s="25"/>
    </row>
    <row r="15">
      <c r="A15" s="26" t="s">
        <v>35</v>
      </c>
      <c r="B15" s="27" t="str">
        <f>IFERROR(__xludf.DUMMYFUNCTION("""COMPUTED_VALUE"""),"Contact us")</f>
        <v>Contact us</v>
      </c>
      <c r="C15" s="27" t="str">
        <f>IFERROR(__xludf.DUMMYFUNCTION("""COMPUTED_VALUE"""),"Support")</f>
        <v>Support</v>
      </c>
      <c r="D15" s="27" t="str">
        <f>IFERROR(__xludf.DUMMYFUNCTION("""COMPUTED_VALUE"""),"Missing back button in the contact us page")</f>
        <v>Missing back button in the contact us page</v>
      </c>
      <c r="E15" s="27" t="str">
        <f>IFERROR(__xludf.DUMMYFUNCTION("""COMPUTED_VALUE"""),"User need to install the apk in their phone")</f>
        <v>User need to install the apk in their phone</v>
      </c>
      <c r="F15" s="27" t="str">
        <f>IFERROR(__xludf.DUMMYFUNCTION("""COMPUTED_VALUE"""),"1. Open app
2. Goto settings
3. Click on contact us")</f>
        <v>1. Open app
2. Goto settings
3. Click on contact us</v>
      </c>
      <c r="G15" s="27" t="str">
        <f>IFERROR(__xludf.DUMMYFUNCTION("""COMPUTED_VALUE"""),"email: deleri6454@haotuwu.com
pass: 12345Abcdef@")</f>
        <v>email: deleri6454@haotuwu.com
pass: 12345Abcdef@</v>
      </c>
      <c r="H15" s="27" t="str">
        <f>IFERROR(__xludf.DUMMYFUNCTION("""COMPUTED_VALUE"""),"After getting support, user should be able to use back button to go previous page or home page")</f>
        <v>After getting support, user should be able to use back button to go previous page or home page</v>
      </c>
      <c r="I15" s="27" t="str">
        <f>IFERROR(__xludf.DUMMYFUNCTION("""COMPUTED_VALUE"""),"Failed to back due to missing back button")</f>
        <v>Failed to back due to missing back button</v>
      </c>
      <c r="J15" s="27" t="str">
        <f>IFERROR(__xludf.DUMMYFUNCTION("""COMPUTED_VALUE"""),"Fail")</f>
        <v>Fail</v>
      </c>
      <c r="K15" s="27" t="str">
        <f>IFERROR(__xludf.DUMMYFUNCTION("""COMPUTED_VALUE"""),"Low")</f>
        <v>Low</v>
      </c>
      <c r="L15" s="28" t="str">
        <f>IFERROR(__xludf.DUMMYFUNCTION("""COMPUTED_VALUE"""),"https://drive.google.com/file/d/105rCPxfDdEAZ02Qnw84gjSIzklP4lRzM/view?usp=drive_link")</f>
        <v>https://drive.google.com/file/d/105rCPxfDdEAZ02Qnw84gjSIzklP4lRzM/view?usp=drive_link</v>
      </c>
      <c r="M15" s="27"/>
      <c r="N15" s="27" t="str">
        <f>IFERROR(__xludf.DUMMYFUNCTION("""COMPUTED_VALUE"""),"Fahad")</f>
        <v>Fahad</v>
      </c>
      <c r="O15" s="26" t="s">
        <v>32</v>
      </c>
      <c r="P15" s="27"/>
      <c r="Q15" s="25"/>
      <c r="R15" s="25"/>
      <c r="S15" s="25"/>
      <c r="T15" s="25"/>
      <c r="U15" s="25"/>
      <c r="V15" s="25"/>
      <c r="W15" s="25"/>
      <c r="X15" s="25"/>
      <c r="Y15" s="25"/>
      <c r="Z15" s="25"/>
      <c r="AA15" s="25"/>
    </row>
    <row r="16">
      <c r="A16" s="26" t="s">
        <v>36</v>
      </c>
      <c r="B16" s="27" t="str">
        <f>IFERROR(__xludf.DUMMYFUNCTION("""COMPUTED_VALUE"""),"Forget Password")</f>
        <v>Forget Password</v>
      </c>
      <c r="C16" s="27" t="str">
        <f>IFERROR(__xludf.DUMMYFUNCTION("""COMPUTED_VALUE"""),"Forget Password")</f>
        <v>Forget Password</v>
      </c>
      <c r="D16" s="27" t="str">
        <f>IFERROR(__xludf.DUMMYFUNCTION("""COMPUTED_VALUE"""),"OTP page failed to load")</f>
        <v>OTP page failed to load</v>
      </c>
      <c r="E16" s="27" t="str">
        <f>IFERROR(__xludf.DUMMYFUNCTION("""COMPUTED_VALUE"""),"User need to install the apk in their phone")</f>
        <v>User need to install the apk in their phone</v>
      </c>
      <c r="F16" s="27" t="str">
        <f>IFERROR(__xludf.DUMMYFUNCTION("""COMPUTED_VALUE"""),"1. Open app
2. Click on SignIn
3. Click on Forget Password")</f>
        <v>1. Open app
2. Click on SignIn
3. Click on Forget Password</v>
      </c>
      <c r="G16" s="27" t="str">
        <f>IFERROR(__xludf.DUMMYFUNCTION("""COMPUTED_VALUE"""),"email : misak59277@foxroids.com
pass : 123456abcdef")</f>
        <v>email : misak59277@foxroids.com
pass : 123456abcdef</v>
      </c>
      <c r="H16" s="27" t="str">
        <f>IFERROR(__xludf.DUMMYFUNCTION("""COMPUTED_VALUE"""),"User should be able to navigate to the OTP page after entering their email and then click on ""Send"".")</f>
        <v>User should be able to navigate to the OTP page after entering their email and then click on "Send".</v>
      </c>
      <c r="I16" s="27" t="str">
        <f>IFERROR(__xludf.DUMMYFUNCTION("""COMPUTED_VALUE"""),"Failed to load the OTP page, but the OTP was sent to the registered email.")</f>
        <v>Failed to load the OTP page, but the OTP was sent to the registered email.</v>
      </c>
      <c r="J16" s="27" t="str">
        <f>IFERROR(__xludf.DUMMYFUNCTION("""COMPUTED_VALUE"""),"Fail")</f>
        <v>Fail</v>
      </c>
      <c r="K16" s="27" t="str">
        <f>IFERROR(__xludf.DUMMYFUNCTION("""COMPUTED_VALUE"""),"High")</f>
        <v>High</v>
      </c>
      <c r="L16" s="28" t="str">
        <f>IFERROR(__xludf.DUMMYFUNCTION("""COMPUTED_VALUE"""),"https://drive.google.com/file/d/1VESCJdD9F7mHvgbacoa6uvf8QUV8dCcm/view?usp=drive_link")</f>
        <v>https://drive.google.com/file/d/1VESCJdD9F7mHvgbacoa6uvf8QUV8dCcm/view?usp=drive_link</v>
      </c>
      <c r="M16" s="27"/>
      <c r="N16" s="27" t="str">
        <f>IFERROR(__xludf.DUMMYFUNCTION("""COMPUTED_VALUE"""),"Fahad")</f>
        <v>Fahad</v>
      </c>
      <c r="O16" s="26" t="s">
        <v>32</v>
      </c>
      <c r="P16" s="27"/>
      <c r="Q16" s="25"/>
      <c r="R16" s="25"/>
      <c r="S16" s="25"/>
      <c r="T16" s="25"/>
      <c r="U16" s="25"/>
      <c r="V16" s="25"/>
      <c r="W16" s="25"/>
      <c r="X16" s="25"/>
      <c r="Y16" s="25"/>
      <c r="Z16" s="25"/>
      <c r="AA16" s="25"/>
    </row>
    <row r="17">
      <c r="A17" s="26" t="s">
        <v>37</v>
      </c>
      <c r="B17" s="27" t="str">
        <f>IFERROR(__xludf.DUMMYFUNCTION("""COMPUTED_VALUE"""),"Generated PDF")</f>
        <v>Generated PDF</v>
      </c>
      <c r="C17" s="27" t="str">
        <f>IFERROR(__xludf.DUMMYFUNCTION("""COMPUTED_VALUE"""),"Generated PDF")</f>
        <v>Generated PDF</v>
      </c>
      <c r="D17" s="27" t="str">
        <f>IFERROR(__xludf.DUMMYFUNCTION("""COMPUTED_VALUE"""),"Unable to display the submitted date.")</f>
        <v>Unable to display the submitted date.</v>
      </c>
      <c r="E17" s="27" t="str">
        <f>IFERROR(__xludf.DUMMYFUNCTION("""COMPUTED_VALUE"""),"User need to install the apk in their phone")</f>
        <v>User need to install the apk in their phone</v>
      </c>
      <c r="F17" s="27" t="str">
        <f>IFERROR(__xludf.DUMMYFUNCTION("""COMPUTED_VALUE"""),"1. Open app
2. Purchase subscription
3. Click on Claim now
4. Fillup form")</f>
        <v>1. Open app
2. Purchase subscription
3. Click on Claim now
4. Fillup form</v>
      </c>
      <c r="G17" s="27" t="str">
        <f>IFERROR(__xludf.DUMMYFUNCTION("""COMPUTED_VALUE"""),"email: deleri6454@haotuwu.com
pass: 12345Abcdef@")</f>
        <v>email: deleri6454@haotuwu.com
pass: 12345Abcdef@</v>
      </c>
      <c r="H17" s="27" t="str">
        <f>IFERROR(__xludf.DUMMYFUNCTION("""COMPUTED_VALUE"""),"The submission data should appear in the form after it is generated.")</f>
        <v>The submission data should appear in the form after it is generated.</v>
      </c>
      <c r="I17" s="27" t="str">
        <f>IFERROR(__xludf.DUMMYFUNCTION("""COMPUTED_VALUE"""),"The generated PDF date is missing in the submission form.")</f>
        <v>The generated PDF date is missing in the submission form.</v>
      </c>
      <c r="J17" s="27" t="str">
        <f>IFERROR(__xludf.DUMMYFUNCTION("""COMPUTED_VALUE"""),"Fail")</f>
        <v>Fail</v>
      </c>
      <c r="K17" s="27" t="str">
        <f>IFERROR(__xludf.DUMMYFUNCTION("""COMPUTED_VALUE"""),"Medium")</f>
        <v>Medium</v>
      </c>
      <c r="L17" s="28" t="str">
        <f>IFERROR(__xludf.DUMMYFUNCTION("""COMPUTED_VALUE"""),"https://drive.google.com/file/d/10Em3R92lXlh1lD6g-j9jvDq9BroejUmg/view?usp=drive_link")</f>
        <v>https://drive.google.com/file/d/10Em3R92lXlh1lD6g-j9jvDq9BroejUmg/view?usp=drive_link</v>
      </c>
      <c r="M17" s="27"/>
      <c r="N17" s="27" t="str">
        <f>IFERROR(__xludf.DUMMYFUNCTION("""COMPUTED_VALUE"""),"Fahad")</f>
        <v>Fahad</v>
      </c>
      <c r="O17" s="26" t="s">
        <v>32</v>
      </c>
      <c r="P17" s="27"/>
      <c r="Q17" s="25"/>
      <c r="R17" s="25"/>
      <c r="S17" s="25"/>
      <c r="T17" s="25"/>
      <c r="U17" s="25"/>
      <c r="V17" s="25"/>
      <c r="W17" s="25"/>
      <c r="X17" s="25"/>
      <c r="Y17" s="25"/>
      <c r="Z17" s="25"/>
      <c r="AA17" s="25"/>
    </row>
    <row r="18">
      <c r="A18" s="26" t="s">
        <v>38</v>
      </c>
      <c r="B18" s="27" t="str">
        <f>IFERROR(__xludf.DUMMYFUNCTION("""COMPUTED_VALUE"""),"Home Page")</f>
        <v>Home Page</v>
      </c>
      <c r="C18" s="27" t="str">
        <f>IFERROR(__xludf.DUMMYFUNCTION("""COMPUTED_VALUE"""),"FAQ Section")</f>
        <v>FAQ Section</v>
      </c>
      <c r="D18" s="27" t="str">
        <f>IFERROR(__xludf.DUMMYFUNCTION("""COMPUTED_VALUE"""),"Validate that FAQ section is displayed on the Home page")</f>
        <v>Validate that FAQ section is displayed on the Home page</v>
      </c>
      <c r="E18" s="27" t="str">
        <f>IFERROR(__xludf.DUMMYFUNCTION("""COMPUTED_VALUE"""),"User is on Home screen with app successfully loaded")</f>
        <v>User is on Home screen with app successfully loaded</v>
      </c>
      <c r="F18" s="27" t="str">
        <f>IFERROR(__xludf.DUMMYFUNCTION("""COMPUTED_VALUE"""),"1) Open the app 
2) Navigate to Home page 
3) Scroll through the page and look for the FAQ section")</f>
        <v>1) Open the app 
2) Navigate to Home page 
3) Scroll through the page and look for the FAQ section</v>
      </c>
      <c r="G18" s="27" t="str">
        <f>IFERROR(__xludf.DUMMYFUNCTION("""COMPUTED_VALUE"""),"N/A")</f>
        <v>N/A</v>
      </c>
      <c r="H18" s="27" t="str">
        <f>IFERROR(__xludf.DUMMYFUNCTION("""COMPUTED_VALUE"""),"FAQ section should be visible and accessible from the Home page")</f>
        <v>FAQ section should be visible and accessible from the Home page</v>
      </c>
      <c r="I18" s="27" t="str">
        <f>IFERROR(__xludf.DUMMYFUNCTION("""COMPUTED_VALUE"""),"The FAQ section is missing from the Home page")</f>
        <v>The FAQ section is missing from the Home page</v>
      </c>
      <c r="J18" s="27" t="str">
        <f>IFERROR(__xludf.DUMMYFUNCTION("""COMPUTED_VALUE"""),"Fail")</f>
        <v>Fail</v>
      </c>
      <c r="K18" s="27" t="str">
        <f>IFERROR(__xludf.DUMMYFUNCTION("""COMPUTED_VALUE"""),"Medium")</f>
        <v>Medium</v>
      </c>
      <c r="L18" s="27"/>
      <c r="M18" s="27"/>
      <c r="N18" s="27" t="str">
        <f>IFERROR(__xludf.DUMMYFUNCTION("""COMPUTED_VALUE"""),"Tahsin")</f>
        <v>Tahsin</v>
      </c>
      <c r="O18" s="26" t="s">
        <v>32</v>
      </c>
      <c r="P18" s="27"/>
      <c r="Q18" s="25"/>
      <c r="R18" s="25"/>
      <c r="S18" s="25"/>
      <c r="T18" s="25"/>
      <c r="U18" s="25"/>
      <c r="V18" s="25"/>
      <c r="W18" s="25"/>
      <c r="X18" s="25"/>
      <c r="Y18" s="25"/>
      <c r="Z18" s="25"/>
      <c r="AA18" s="25"/>
    </row>
    <row r="19">
      <c r="A19" s="26" t="s">
        <v>39</v>
      </c>
      <c r="B19" s="27" t="str">
        <f>IFERROR(__xludf.DUMMYFUNCTION("""COMPUTED_VALUE"""),"Home Page")</f>
        <v>Home Page</v>
      </c>
      <c r="C19" s="27" t="str">
        <f>IFERROR(__xludf.DUMMYFUNCTION("""COMPUTED_VALUE"""),"Menu Button")</f>
        <v>Menu Button</v>
      </c>
      <c r="D19" s="27" t="str">
        <f>IFERROR(__xludf.DUMMYFUNCTION("""COMPUTED_VALUE"""),"Validate that menu button labels are fully visible in 3-button navigation mode")</f>
        <v>Validate that menu button labels are fully visible in 3-button navigation mode</v>
      </c>
      <c r="E19" s="27" t="str">
        <f>IFERROR(__xludf.DUMMYFUNCTION("""COMPUTED_VALUE"""),"User is on Home screen with device set to 3-button navigation mode")</f>
        <v>User is on Home screen with device set to 3-button navigation mode</v>
      </c>
      <c r="F19" s="27" t="str">
        <f>IFERROR(__xludf.DUMMYFUNCTION("""COMPUTED_VALUE"""),"1) Open the app 
2) Ensure system navigation mode is set to 3-button navigation 
3) Observe menu button labels at the bottom of the home screen")</f>
        <v>1) Open the app 
2) Ensure system navigation mode is set to 3-button navigation 
3) Observe menu button labels at the bottom of the home screen</v>
      </c>
      <c r="G19" s="27" t="str">
        <f>IFERROR(__xludf.DUMMYFUNCTION("""COMPUTED_VALUE"""),"N/A")</f>
        <v>N/A</v>
      </c>
      <c r="H19" s="27" t="str">
        <f>IFERROR(__xludf.DUMMYFUNCTION("""COMPUTED_VALUE"""),"Menu button labels should be fully visible and not cut off regardless of navigation mode")</f>
        <v>Menu button labels should be fully visible and not cut off regardless of navigation mode</v>
      </c>
      <c r="I19" s="27" t="str">
        <f>IFERROR(__xludf.DUMMYFUNCTION("""COMPUTED_VALUE"""),"Menu button labels appear cut off or partially hidden in 3-button navigation mode")</f>
        <v>Menu button labels appear cut off or partially hidden in 3-button navigation mode</v>
      </c>
      <c r="J19" s="27" t="str">
        <f>IFERROR(__xludf.DUMMYFUNCTION("""COMPUTED_VALUE"""),"Fail")</f>
        <v>Fail</v>
      </c>
      <c r="K19" s="27" t="str">
        <f>IFERROR(__xludf.DUMMYFUNCTION("""COMPUTED_VALUE"""),"Medium")</f>
        <v>Medium</v>
      </c>
      <c r="L19" s="28" t="str">
        <f>IFERROR(__xludf.DUMMYFUNCTION("""COMPUTED_VALUE"""),"https://jam.dev/c/2a594fde-28d0-4558-b2f6-62229c282228")</f>
        <v>https://jam.dev/c/2a594fde-28d0-4558-b2f6-62229c282228</v>
      </c>
      <c r="M19" s="27"/>
      <c r="N19" s="27" t="str">
        <f>IFERROR(__xludf.DUMMYFUNCTION("""COMPUTED_VALUE"""),"Tahsin")</f>
        <v>Tahsin</v>
      </c>
      <c r="O19" s="26" t="s">
        <v>32</v>
      </c>
      <c r="P19" s="26" t="s">
        <v>40</v>
      </c>
      <c r="Q19" s="25"/>
      <c r="R19" s="25"/>
      <c r="S19" s="25"/>
      <c r="T19" s="25"/>
      <c r="U19" s="25"/>
      <c r="V19" s="25"/>
      <c r="W19" s="25"/>
      <c r="X19" s="25"/>
      <c r="Y19" s="25"/>
      <c r="Z19" s="25"/>
      <c r="AA19" s="25"/>
    </row>
    <row r="20">
      <c r="A20" s="26" t="s">
        <v>41</v>
      </c>
      <c r="B20" s="27" t="str">
        <f>IFERROR(__xludf.DUMMYFUNCTION("""COMPUTED_VALUE"""),"Login")</f>
        <v>Login</v>
      </c>
      <c r="C20" s="27" t="str">
        <f>IFERROR(__xludf.DUMMYFUNCTION("""COMPUTED_VALUE"""),"Login")</f>
        <v>Login</v>
      </c>
      <c r="D20" s="27" t="str">
        <f>IFERROR(__xludf.DUMMYFUNCTION("""COMPUTED_VALUE"""),"Failed to login")</f>
        <v>Failed to login</v>
      </c>
      <c r="E20" s="27" t="str">
        <f>IFERROR(__xludf.DUMMYFUNCTION("""COMPUTED_VALUE"""),"User need to install the apk in their phone")</f>
        <v>User need to install the apk in their phone</v>
      </c>
      <c r="F20" s="27" t="str">
        <f>IFERROR(__xludf.DUMMYFUNCTION("""COMPUTED_VALUE"""),"1. Open app
2. Click on SignIn")</f>
        <v>1. Open app
2. Click on SignIn</v>
      </c>
      <c r="G20" s="27" t="str">
        <f>IFERROR(__xludf.DUMMYFUNCTION("""COMPUTED_VALUE"""),"email : misak59277@foxroids.com
pass : 123456abcdef")</f>
        <v>email : misak59277@foxroids.com
pass : 123456abcdef</v>
      </c>
      <c r="H20" s="27" t="str">
        <f>IFERROR(__xludf.DUMMYFUNCTION("""COMPUTED_VALUE"""),"User can login to app without any issue")</f>
        <v>User can login to app without any issue</v>
      </c>
      <c r="I20" s="27" t="str">
        <f>IFERROR(__xludf.DUMMYFUNCTION("""COMPUTED_VALUE"""),"Failed to login by valid credentials")</f>
        <v>Failed to login by valid credentials</v>
      </c>
      <c r="J20" s="27" t="str">
        <f>IFERROR(__xludf.DUMMYFUNCTION("""COMPUTED_VALUE"""),"Fail")</f>
        <v>Fail</v>
      </c>
      <c r="K20" s="27" t="str">
        <f>IFERROR(__xludf.DUMMYFUNCTION("""COMPUTED_VALUE"""),"High")</f>
        <v>High</v>
      </c>
      <c r="L20" s="28" t="str">
        <f>IFERROR(__xludf.DUMMYFUNCTION("""COMPUTED_VALUE"""),"https://drive.google.com/file/d/1Ci9kFRKVy5VBTVboR0fy0ArvSwheuSvr/view?usp=drive_link")</f>
        <v>https://drive.google.com/file/d/1Ci9kFRKVy5VBTVboR0fy0ArvSwheuSvr/view?usp=drive_link</v>
      </c>
      <c r="M20" s="27" t="str">
        <f>IFERROR(__xludf.DUMMYFUNCTION("""COMPUTED_VALUE"""),"User can login on 2nd attempt by those credentials but not in 1st attempt")</f>
        <v>User can login on 2nd attempt by those credentials but not in 1st attempt</v>
      </c>
      <c r="N20" s="27" t="str">
        <f>IFERROR(__xludf.DUMMYFUNCTION("""COMPUTED_VALUE"""),"Fahad")</f>
        <v>Fahad</v>
      </c>
      <c r="O20" s="26" t="s">
        <v>32</v>
      </c>
      <c r="P20" s="27"/>
      <c r="Q20" s="25"/>
      <c r="R20" s="25"/>
      <c r="S20" s="25"/>
      <c r="T20" s="25"/>
      <c r="U20" s="25"/>
      <c r="V20" s="25"/>
      <c r="W20" s="25"/>
      <c r="X20" s="25"/>
      <c r="Y20" s="25"/>
      <c r="Z20" s="25"/>
      <c r="AA20" s="25"/>
    </row>
    <row r="21">
      <c r="A21" s="26" t="s">
        <v>42</v>
      </c>
      <c r="B21" s="27" t="str">
        <f>IFERROR(__xludf.DUMMYFUNCTION("""COMPUTED_VALUE"""),"Mental Health")</f>
        <v>Mental Health</v>
      </c>
      <c r="C21" s="27" t="str">
        <f>IFERROR(__xludf.DUMMYFUNCTION("""COMPUTED_VALUE"""),"Mental Health")</f>
        <v>Mental Health</v>
      </c>
      <c r="D21" s="27" t="str">
        <f>IFERROR(__xludf.DUMMYFUNCTION("""COMPUTED_VALUE"""),"Page flow missing")</f>
        <v>Page flow missing</v>
      </c>
      <c r="E21" s="27" t="str">
        <f>IFERROR(__xludf.DUMMYFUNCTION("""COMPUTED_VALUE"""),"User need to install the apk in their phone")</f>
        <v>User need to install the apk in their phone</v>
      </c>
      <c r="F21" s="27" t="str">
        <f>IFERROR(__xludf.DUMMYFUNCTION("""COMPUTED_VALUE"""),"1. Open app
2. Signin using valid credentials
3. Subscribe and click on claim
4. Fill form with necessary information")</f>
        <v>1. Open app
2. Signin using valid credentials
3. Subscribe and click on claim
4. Fill form with necessary information</v>
      </c>
      <c r="G21" s="27" t="str">
        <f>IFERROR(__xludf.DUMMYFUNCTION("""COMPUTED_VALUE"""),"email : misak59277@foxroids.com
pass : 123456abcde")</f>
        <v>email : misak59277@foxroids.com
pass : 123456abcde</v>
      </c>
      <c r="H21" s="27" t="str">
        <f>IFERROR(__xludf.DUMMYFUNCTION("""COMPUTED_VALUE"""),"After submitting all the questions, then by clicking on continue, body health question should appear")</f>
        <v>After submitting all the questions, then by clicking on continue, body health question should appear</v>
      </c>
      <c r="I21" s="27" t="str">
        <f>IFERROR(__xludf.DUMMYFUNCTION("""COMPUTED_VALUE"""),"Failed to load body health questions ")</f>
        <v>Failed to load body health questions </v>
      </c>
      <c r="J21" s="27" t="str">
        <f>IFERROR(__xludf.DUMMYFUNCTION("""COMPUTED_VALUE"""),"Fail")</f>
        <v>Fail</v>
      </c>
      <c r="K21" s="27" t="str">
        <f>IFERROR(__xludf.DUMMYFUNCTION("""COMPUTED_VALUE"""),"High")</f>
        <v>High</v>
      </c>
      <c r="L21" s="28" t="str">
        <f>IFERROR(__xludf.DUMMYFUNCTION("""COMPUTED_VALUE"""),"https://drive.google.com/file/d/1ql7xDdzIV0kFcbZyo_zAFJHrA8RN74KL/view?usp=drive_link")</f>
        <v>https://drive.google.com/file/d/1ql7xDdzIV0kFcbZyo_zAFJHrA8RN74KL/view?usp=drive_link</v>
      </c>
      <c r="M21" s="27"/>
      <c r="N21" s="27" t="str">
        <f>IFERROR(__xludf.DUMMYFUNCTION("""COMPUTED_VALUE"""),"Fahad")</f>
        <v>Fahad</v>
      </c>
      <c r="O21" s="26" t="s">
        <v>32</v>
      </c>
      <c r="P21" s="27"/>
      <c r="Q21" s="25"/>
      <c r="R21" s="25"/>
      <c r="S21" s="25"/>
      <c r="T21" s="25"/>
      <c r="U21" s="25"/>
      <c r="V21" s="25"/>
      <c r="W21" s="25"/>
      <c r="X21" s="25"/>
      <c r="Y21" s="25"/>
      <c r="Z21" s="25"/>
      <c r="AA21" s="25"/>
    </row>
    <row r="22">
      <c r="A22" s="26" t="s">
        <v>43</v>
      </c>
      <c r="B22" s="27" t="str">
        <f>IFERROR(__xludf.DUMMYFUNCTION("""COMPUTED_VALUE"""),"Message")</f>
        <v>Message</v>
      </c>
      <c r="C22" s="27" t="str">
        <f>IFERROR(__xludf.DUMMYFUNCTION("""COMPUTED_VALUE"""),"Message Prifile Image")</f>
        <v>Message Prifile Image</v>
      </c>
      <c r="D22" s="27" t="str">
        <f>IFERROR(__xludf.DUMMYFUNCTION("""COMPUTED_VALUE"""),"Validate that updated profile image is displayed in chat section")</f>
        <v>Validate that updated profile image is displayed in chat section</v>
      </c>
      <c r="E22" s="27" t="str">
        <f>IFERROR(__xludf.DUMMYFUNCTION("""COMPUTED_VALUE"""),"User has already updated profile image successfully (visible in Profile section)")</f>
        <v>User has already updated profile image successfully (visible in Profile section)</v>
      </c>
      <c r="F22" s="27" t="str">
        <f>IFERROR(__xludf.DUMMYFUNCTION("""COMPUTED_VALUE"""),"1) Open the app 
2) Update profile image in Profile section (if not already) 
3) Navigate to Chat page 
4) Observe the displayed user image in chat messages")</f>
        <v>1) Open the app 
2) Update profile image in Profile section (if not already) 
3) Navigate to Chat page 
4) Observe the displayed user image in chat messages</v>
      </c>
      <c r="G22" s="27"/>
      <c r="H22" s="27" t="str">
        <f>IFERROR(__xludf.DUMMYFUNCTION("""COMPUTED_VALUE"""),"The chat page should display the user’s updated profile image instead of the default image")</f>
        <v>The chat page should display the user’s updated profile image instead of the default image</v>
      </c>
      <c r="I22" s="27" t="str">
        <f>IFERROR(__xludf.DUMMYFUNCTION("""COMPUTED_VALUE"""),"The chat page still shows the default image even after updating the profile picture")</f>
        <v>The chat page still shows the default image even after updating the profile picture</v>
      </c>
      <c r="J22" s="27" t="str">
        <f>IFERROR(__xludf.DUMMYFUNCTION("""COMPUTED_VALUE"""),"Fail")</f>
        <v>Fail</v>
      </c>
      <c r="K22" s="27" t="str">
        <f>IFERROR(__xludf.DUMMYFUNCTION("""COMPUTED_VALUE"""),"Medium")</f>
        <v>Medium</v>
      </c>
      <c r="L22" s="27" t="str">
        <f>IFERROR(__xludf.DUMMYFUNCTION("""COMPUTED_VALUE"""),"image in profile.jpg
image in chat.jpg")</f>
        <v>image in profile.jpg
image in chat.jpg</v>
      </c>
      <c r="M22" s="27"/>
      <c r="N22" s="27" t="str">
        <f>IFERROR(__xludf.DUMMYFUNCTION("""COMPUTED_VALUE"""),"Tahsin")</f>
        <v>Tahsin</v>
      </c>
      <c r="O22" s="26" t="s">
        <v>32</v>
      </c>
      <c r="P22" s="27"/>
      <c r="Q22" s="25"/>
      <c r="R22" s="25"/>
      <c r="S22" s="25"/>
      <c r="T22" s="25"/>
      <c r="U22" s="25"/>
      <c r="V22" s="25"/>
      <c r="W22" s="25"/>
      <c r="X22" s="25"/>
      <c r="Y22" s="25"/>
      <c r="Z22" s="25"/>
      <c r="AA22" s="25"/>
    </row>
    <row r="23">
      <c r="A23" s="26" t="s">
        <v>44</v>
      </c>
      <c r="B23" s="27" t="str">
        <f>IFERROR(__xludf.DUMMYFUNCTION("""COMPUTED_VALUE"""),"Message")</f>
        <v>Message</v>
      </c>
      <c r="C23" s="27" t="str">
        <f>IFERROR(__xludf.DUMMYFUNCTION("""COMPUTED_VALUE"""),"Page")</f>
        <v>Page</v>
      </c>
      <c r="D23" s="27" t="str">
        <f>IFERROR(__xludf.DUMMYFUNCTION("""COMPUTED_VALUE"""),"Validate that AI assistant responds properly in chat section")</f>
        <v>Validate that AI assistant responds properly in chat section</v>
      </c>
      <c r="E23" s="27" t="str">
        <f>IFERROR(__xludf.DUMMYFUNCTION("""COMPUTED_VALUE"""),"User is logged in and on Chat page with stable internet connection")</f>
        <v>User is logged in and on Chat page with stable internet connection</v>
      </c>
      <c r="F23" s="27" t="str">
        <f>IFERROR(__xludf.DUMMYFUNCTION("""COMPUTED_VALUE"""),"1) Open the app 
2) Navigate to Chat page 
3) Type a message to the AI assistant 
4) Wait for a response")</f>
        <v>1) Open the app 
2) Navigate to Chat page 
3) Type a message to the AI assistant 
4) Wait for a response</v>
      </c>
      <c r="G23" s="27" t="str">
        <f>IFERROR(__xludf.DUMMYFUNCTION("""COMPUTED_VALUE"""),"Message: “Hello”")</f>
        <v>Message: “Hello”</v>
      </c>
      <c r="H23" s="27" t="str">
        <f>IFERROR(__xludf.DUMMYFUNCTION("""COMPUTED_VALUE"""),"The AI assistant should respond promptly with a relevant reply indicating it’s an automated AI system")</f>
        <v>The AI assistant should respond promptly with a relevant reply indicating it’s an automated AI system</v>
      </c>
      <c r="I23" s="27" t="str">
        <f>IFERROR(__xludf.DUMMYFUNCTION("""COMPUTED_VALUE"""),"The chat shows no response or confusion whether it’s an AI or Admin panel")</f>
        <v>The chat shows no response or confusion whether it’s an AI or Admin panel</v>
      </c>
      <c r="J23" s="27" t="str">
        <f>IFERROR(__xludf.DUMMYFUNCTION("""COMPUTED_VALUE"""),"Fail")</f>
        <v>Fail</v>
      </c>
      <c r="K23" s="27" t="str">
        <f>IFERROR(__xludf.DUMMYFUNCTION("""COMPUTED_VALUE"""),"High")</f>
        <v>High</v>
      </c>
      <c r="L23" s="29" t="str">
        <f>IFERROR(__xludf.DUMMYFUNCTION("""COMPUTED_VALUE"""),"message respone.jpg")</f>
        <v>message respone.jpg</v>
      </c>
      <c r="M23" s="27"/>
      <c r="N23" s="27" t="str">
        <f>IFERROR(__xludf.DUMMYFUNCTION("""COMPUTED_VALUE"""),"Tahsin")</f>
        <v>Tahsin</v>
      </c>
      <c r="O23" s="26" t="s">
        <v>32</v>
      </c>
      <c r="P23" s="27"/>
      <c r="Q23" s="25"/>
      <c r="R23" s="25"/>
      <c r="S23" s="25"/>
      <c r="T23" s="25"/>
      <c r="U23" s="25"/>
      <c r="V23" s="25"/>
      <c r="W23" s="25"/>
      <c r="X23" s="25"/>
      <c r="Y23" s="25"/>
      <c r="Z23" s="25"/>
      <c r="AA23" s="25"/>
    </row>
    <row r="24">
      <c r="A24" s="26" t="s">
        <v>45</v>
      </c>
      <c r="B24" s="27" t="str">
        <f>IFERROR(__xludf.DUMMYFUNCTION("""COMPUTED_VALUE"""),"Narration")</f>
        <v>Narration</v>
      </c>
      <c r="C24" s="27" t="str">
        <f>IFERROR(__xludf.DUMMYFUNCTION("""COMPUTED_VALUE"""),"Narration")</f>
        <v>Narration</v>
      </c>
      <c r="D24" s="27" t="str">
        <f>IFERROR(__xludf.DUMMYFUNCTION("""COMPUTED_VALUE"""),"Data mismatch")</f>
        <v>Data mismatch</v>
      </c>
      <c r="E24" s="27" t="str">
        <f>IFERROR(__xludf.DUMMYFUNCTION("""COMPUTED_VALUE"""),"User need to install the apk in their phone")</f>
        <v>User need to install the apk in their phone</v>
      </c>
      <c r="F24" s="27" t="str">
        <f>IFERROR(__xludf.DUMMYFUNCTION("""COMPUTED_VALUE"""),"1. Open app
2. Purchase subscription
3. Click on Claim now
4. Fillup form")</f>
        <v>1. Open app
2. Purchase subscription
3. Click on Claim now
4. Fillup form</v>
      </c>
      <c r="G24" s="27" t="str">
        <f>IFERROR(__xludf.DUMMYFUNCTION("""COMPUTED_VALUE"""),"email: deleri6454@haotuwu.com
pass: 12345Abcdef@")</f>
        <v>email: deleri6454@haotuwu.com
pass: 12345Abcdef@</v>
      </c>
      <c r="H24" s="27" t="str">
        <f>IFERROR(__xludf.DUMMYFUNCTION("""COMPUTED_VALUE"""),"Data should be accurate in the naration which was fetch from the form record")</f>
        <v>Data should be accurate in the naration which was fetch from the form record</v>
      </c>
      <c r="I24" s="27" t="str">
        <f>IFERROR(__xludf.DUMMYFUNCTION("""COMPUTED_VALUE"""),"Data overwrite has been noticed.")</f>
        <v>Data overwrite has been noticed.</v>
      </c>
      <c r="J24" s="27" t="str">
        <f>IFERROR(__xludf.DUMMYFUNCTION("""COMPUTED_VALUE"""),"Fail")</f>
        <v>Fail</v>
      </c>
      <c r="K24" s="27" t="str">
        <f>IFERROR(__xludf.DUMMYFUNCTION("""COMPUTED_VALUE"""),"High")</f>
        <v>High</v>
      </c>
      <c r="L24" s="28" t="str">
        <f>IFERROR(__xludf.DUMMYFUNCTION("""COMPUTED_VALUE"""),"https://drive.google.com/file/d/1ZPInnDyIXdDRacW3cZSTPQcngwBsqERk/view?usp=drive_link")</f>
        <v>https://drive.google.com/file/d/1ZPInnDyIXdDRacW3cZSTPQcngwBsqERk/view?usp=drive_link</v>
      </c>
      <c r="M24" s="27" t="str">
        <f>IFERROR(__xludf.DUMMYFUNCTION("""COMPUTED_VALUE"""),"A rank might change during the service year.")</f>
        <v>A rank might change during the service year.</v>
      </c>
      <c r="N24" s="27" t="str">
        <f>IFERROR(__xludf.DUMMYFUNCTION("""COMPUTED_VALUE"""),"Fahad")</f>
        <v>Fahad</v>
      </c>
      <c r="O24" s="26" t="s">
        <v>46</v>
      </c>
      <c r="P24" s="26" t="s">
        <v>47</v>
      </c>
      <c r="Q24" s="25"/>
      <c r="R24" s="25"/>
      <c r="S24" s="25"/>
      <c r="T24" s="25"/>
      <c r="U24" s="25"/>
      <c r="V24" s="25"/>
      <c r="W24" s="25"/>
      <c r="X24" s="25"/>
      <c r="Y24" s="25"/>
      <c r="Z24" s="25"/>
      <c r="AA24" s="25"/>
    </row>
    <row r="25">
      <c r="A25" s="26" t="s">
        <v>48</v>
      </c>
      <c r="B25" s="27" t="str">
        <f>IFERROR(__xludf.DUMMYFUNCTION("""COMPUTED_VALUE"""),"Narration")</f>
        <v>Narration</v>
      </c>
      <c r="C25" s="27" t="str">
        <f>IFERROR(__xludf.DUMMYFUNCTION("""COMPUTED_VALUE"""),"Narration")</f>
        <v>Narration</v>
      </c>
      <c r="D25" s="27" t="str">
        <f>IFERROR(__xludf.DUMMYFUNCTION("""COMPUTED_VALUE"""),"Data missing in the narration")</f>
        <v>Data missing in the narration</v>
      </c>
      <c r="E25" s="27" t="str">
        <f>IFERROR(__xludf.DUMMYFUNCTION("""COMPUTED_VALUE"""),"User need to install the apk in their phone")</f>
        <v>User need to install the apk in their phone</v>
      </c>
      <c r="F25" s="27" t="str">
        <f>IFERROR(__xludf.DUMMYFUNCTION("""COMPUTED_VALUE"""),"1. Open app
2. Purchase subscription
3. Click on Claim now
4. Fillup form")</f>
        <v>1. Open app
2. Purchase subscription
3. Click on Claim now
4. Fillup form</v>
      </c>
      <c r="G25" s="27" t="str">
        <f>IFERROR(__xludf.DUMMYFUNCTION("""COMPUTED_VALUE"""),"email: deleri6454@haotuwu.com
pass: 12345Abcdef@")</f>
        <v>email: deleri6454@haotuwu.com
pass: 12345Abcdef@</v>
      </c>
      <c r="H25" s="27" t="str">
        <f>IFERROR(__xludf.DUMMYFUNCTION("""COMPUTED_VALUE"""),"All the data in the narration should match the form data.")</f>
        <v>All the data in the narration should match the form data.</v>
      </c>
      <c r="I25" s="27" t="str">
        <f>IFERROR(__xludf.DUMMYFUNCTION("""COMPUTED_VALUE"""),"Some information is missing from the narration.")</f>
        <v>Some information is missing from the narration.</v>
      </c>
      <c r="J25" s="27" t="str">
        <f>IFERROR(__xludf.DUMMYFUNCTION("""COMPUTED_VALUE"""),"Fail")</f>
        <v>Fail</v>
      </c>
      <c r="K25" s="27" t="str">
        <f>IFERROR(__xludf.DUMMYFUNCTION("""COMPUTED_VALUE"""),"High")</f>
        <v>High</v>
      </c>
      <c r="L25" s="28" t="str">
        <f>IFERROR(__xludf.DUMMYFUNCTION("""COMPUTED_VALUE"""),"https://drive.google.com/file/d/1T_ykRfbG70t1AaluRRxZf4OUtwAiIUBu/view?usp=drive_link")</f>
        <v>https://drive.google.com/file/d/1T_ykRfbG70t1AaluRRxZf4OUtwAiIUBu/view?usp=drive_link</v>
      </c>
      <c r="M25" s="27"/>
      <c r="N25" s="27" t="str">
        <f>IFERROR(__xludf.DUMMYFUNCTION("""COMPUTED_VALUE"""),"Fahad")</f>
        <v>Fahad</v>
      </c>
      <c r="O25" s="26" t="s">
        <v>46</v>
      </c>
      <c r="P25" s="26" t="s">
        <v>47</v>
      </c>
      <c r="Q25" s="25"/>
      <c r="R25" s="25"/>
      <c r="S25" s="25"/>
      <c r="T25" s="25"/>
      <c r="U25" s="25"/>
      <c r="V25" s="25"/>
      <c r="W25" s="25"/>
      <c r="X25" s="25"/>
      <c r="Y25" s="25"/>
      <c r="Z25" s="25"/>
      <c r="AA25" s="25"/>
    </row>
    <row r="26">
      <c r="A26" s="26" t="s">
        <v>49</v>
      </c>
      <c r="B26" s="27" t="str">
        <f>IFERROR(__xludf.DUMMYFUNCTION("""COMPUTED_VALUE"""),"Narrative Page")</f>
        <v>Narrative Page</v>
      </c>
      <c r="C26" s="27" t="str">
        <f>IFERROR(__xludf.DUMMYFUNCTION("""COMPUTED_VALUE"""),"Iconography/Functionality")</f>
        <v>Iconography/Functionality</v>
      </c>
      <c r="D26" s="27" t="str">
        <f>IFERROR(__xludf.DUMMYFUNCTION("""COMPUTED_VALUE"""),"Verify the icon used for 'Copy Text' accurately reflects its clipboard functionality.")</f>
        <v>Verify the icon used for 'Copy Text' accurately reflects its clipboard functionality.</v>
      </c>
      <c r="E26" s="27" t="str">
        <f>IFERROR(__xludf.DUMMYFUNCTION("""COMPUTED_VALUE"""),"A narrative has been successfully generated.")</f>
        <v>A narrative has been successfully generated.</v>
      </c>
      <c r="F26" s="27" t="str">
        <f>IFERROR(__xludf.DUMMYFUNCTION("""COMPUTED_VALUE"""),"1. Tap the icon (currently a 'Download' icon). ")</f>
        <v>1. Tap the icon (currently a 'Download' icon). </v>
      </c>
      <c r="G26" s="27" t="str">
        <f>IFERROR(__xludf.DUMMYFUNCTION("""COMPUTED_VALUE"""),"N/A (Functional/UI Test)")</f>
        <v>N/A (Functional/UI Test)</v>
      </c>
      <c r="H26" s="27" t="str">
        <f>IFERROR(__xludf.DUMMYFUNCTION("""COMPUTED_VALUE"""),"The icon displayed should be a standard 'Copy' icon instead of a 'Download' icon. 
")</f>
        <v>The icon displayed should be a standard 'Copy' icon instead of a 'Download' icon. 
</v>
      </c>
      <c r="I26" s="27" t="str">
        <f>IFERROR(__xludf.DUMMYFUNCTION("""COMPUTED_VALUE"""),"The page uses a 'Download' icon to initiate the 'Copy Text' function, leading to user confusion.")</f>
        <v>The page uses a 'Download' icon to initiate the 'Copy Text' function, leading to user confusion.</v>
      </c>
      <c r="J26" s="27" t="str">
        <f>IFERROR(__xludf.DUMMYFUNCTION("""COMPUTED_VALUE"""),"Fail")</f>
        <v>Fail</v>
      </c>
      <c r="K26" s="27" t="str">
        <f>IFERROR(__xludf.DUMMYFUNCTION("""COMPUTED_VALUE"""),"Medium")</f>
        <v>Medium</v>
      </c>
      <c r="L26" s="29" t="str">
        <f>IFERROR(__xludf.DUMMYFUNCTION("""COMPUTED_VALUE"""),"copy test.mp4")</f>
        <v>copy test.mp4</v>
      </c>
      <c r="M26" s="27"/>
      <c r="N26" s="27" t="str">
        <f>IFERROR(__xludf.DUMMYFUNCTION("""COMPUTED_VALUE"""),"Tahsin")</f>
        <v>Tahsin</v>
      </c>
      <c r="O26" s="26" t="s">
        <v>32</v>
      </c>
      <c r="P26" s="27"/>
      <c r="Q26" s="25"/>
      <c r="R26" s="25"/>
      <c r="S26" s="25"/>
      <c r="T26" s="25"/>
      <c r="U26" s="25"/>
      <c r="V26" s="25"/>
      <c r="W26" s="25"/>
      <c r="X26" s="25"/>
      <c r="Y26" s="25"/>
      <c r="Z26" s="25"/>
      <c r="AA26" s="25"/>
    </row>
    <row r="27">
      <c r="A27" s="26" t="s">
        <v>50</v>
      </c>
      <c r="B27" s="27" t="str">
        <f>IFERROR(__xludf.DUMMYFUNCTION("""COMPUTED_VALUE"""),"Narrative Page")</f>
        <v>Narrative Page</v>
      </c>
      <c r="C27" s="27" t="str">
        <f>IFERROR(__xludf.DUMMYFUNCTION("""COMPUTED_VALUE"""),"Text Editor/Edit Narrative")</f>
        <v>Text Editor/Edit Narrative</v>
      </c>
      <c r="D27" s="27" t="str">
        <f>IFERROR(__xludf.DUMMYFUNCTION("""COMPUTED_VALUE"""),"Verify cursor positioning via tap/click works correctly in the Narrative Edit screen.")</f>
        <v>Verify cursor positioning via tap/click works correctly in the Narrative Edit screen.</v>
      </c>
      <c r="E27" s="27" t="str">
        <f>IFERROR(__xludf.DUMMYFUNCTION("""COMPUTED_VALUE"""),"A narrative has been successfully generated.")</f>
        <v>A narrative has been successfully generated.</v>
      </c>
      <c r="F27" s="27" t="str">
        <f>IFERROR(__xludf.DUMMYFUNCTION("""COMPUTED_VALUE"""),"1. Navigate to the generated narrative screen. 
2. Tap the 'Edit' icon (or button) to enter the editing mode. 
3. Tap on a word of the narrative text. 
")</f>
        <v>1. Navigate to the generated narrative screen. 
2. Tap the 'Edit' icon (or button) to enter the editing mode. 
3. Tap on a word of the narrative text. 
</v>
      </c>
      <c r="G27" s="27"/>
      <c r="H27" s="27" t="str">
        <f>IFERROR(__xludf.DUMMYFUNCTION("""COMPUTED_VALUE"""),"Upon tapping any word in the narrative text, the cursor should instantly move to the tapped position, allowing for immediate text insertion or deletion.")</f>
        <v>Upon tapping any word in the narrative text, the cursor should instantly move to the tapped position, allowing for immediate text insertion or deletion.</v>
      </c>
      <c r="I27" s="27" t="str">
        <f>IFERROR(__xludf.DUMMYFUNCTION("""COMPUTED_VALUE"""),"The cursor does not move to the tapped word; the user must manually scroll/slide the cursor using the pointer control handles to reach the desired word.")</f>
        <v>The cursor does not move to the tapped word; the user must manually scroll/slide the cursor using the pointer control handles to reach the desired word.</v>
      </c>
      <c r="J27" s="27" t="str">
        <f>IFERROR(__xludf.DUMMYFUNCTION("""COMPUTED_VALUE"""),"Fail")</f>
        <v>Fail</v>
      </c>
      <c r="K27" s="27" t="str">
        <f>IFERROR(__xludf.DUMMYFUNCTION("""COMPUTED_VALUE"""),"Medium")</f>
        <v>Medium</v>
      </c>
      <c r="L27" s="29" t="str">
        <f>IFERROR(__xludf.DUMMYFUNCTION("""COMPUTED_VALUE"""),"cursor issue.mp4")</f>
        <v>cursor issue.mp4</v>
      </c>
      <c r="M27" s="27"/>
      <c r="N27" s="27" t="str">
        <f>IFERROR(__xludf.DUMMYFUNCTION("""COMPUTED_VALUE"""),"Tahsin")</f>
        <v>Tahsin</v>
      </c>
      <c r="O27" s="26" t="s">
        <v>32</v>
      </c>
      <c r="P27" s="27"/>
      <c r="Q27" s="25"/>
      <c r="R27" s="25"/>
      <c r="S27" s="25"/>
      <c r="T27" s="25"/>
      <c r="U27" s="25"/>
      <c r="V27" s="25"/>
      <c r="W27" s="25"/>
      <c r="X27" s="25"/>
      <c r="Y27" s="25"/>
      <c r="Z27" s="25"/>
      <c r="AA27" s="25"/>
    </row>
    <row r="28">
      <c r="A28" s="26" t="s">
        <v>51</v>
      </c>
      <c r="B28" s="27" t="str">
        <f>IFERROR(__xludf.DUMMYFUNCTION("""COMPUTED_VALUE"""),"Profile")</f>
        <v>Profile</v>
      </c>
      <c r="C28" s="27" t="str">
        <f>IFERROR(__xludf.DUMMYFUNCTION("""COMPUTED_VALUE"""),"Edit Profile")</f>
        <v>Edit Profile</v>
      </c>
      <c r="D28" s="27" t="str">
        <f>IFERROR(__xludf.DUMMYFUNCTION("""COMPUTED_VALUE"""),"Validate that phone number field accepts only numeric input")</f>
        <v>Validate that phone number field accepts only numeric input</v>
      </c>
      <c r="E28" s="27" t="str">
        <f>IFERROR(__xludf.DUMMYFUNCTION("""COMPUTED_VALUE"""),"User is logged in and on Edit Profile screen")</f>
        <v>User is logged in and on Edit Profile screen</v>
      </c>
      <c r="F28" s="27" t="str">
        <f>IFERROR(__xludf.DUMMYFUNCTION("""COMPUTED_VALUE"""),"1) Open the app 
2) Navigate to Profile section 
3) Tap on Edit Profile 
4) Tap on Phone Number field 
5) Enter alphabets or special characters like “abc@#”")</f>
        <v>1) Open the app 
2) Navigate to Profile section 
3) Tap on Edit Profile 
4) Tap on Phone Number field 
5) Enter alphabets or special characters like “abc@#”</v>
      </c>
      <c r="G28" s="27" t="str">
        <f>IFERROR(__xludf.DUMMYFUNCTION("""COMPUTED_VALUE"""),"Phone Number: abc@#")</f>
        <v>Phone Number: abc@#</v>
      </c>
      <c r="H28" s="27" t="str">
        <f>IFERROR(__xludf.DUMMYFUNCTION("""COMPUTED_VALUE"""),"The field should accept only numeric values (0–9) and reject alphabets or special characters")</f>
        <v>The field should accept only numeric values (0–9) and reject alphabets or special characters</v>
      </c>
      <c r="I28" s="27" t="str">
        <f>IFERROR(__xludf.DUMMYFUNCTION("""COMPUTED_VALUE"""),"The field accepts characters and special symbols instead of restricting to numeric input")</f>
        <v>The field accepts characters and special symbols instead of restricting to numeric input</v>
      </c>
      <c r="J28" s="27" t="str">
        <f>IFERROR(__xludf.DUMMYFUNCTION("""COMPUTED_VALUE"""),"Fail")</f>
        <v>Fail</v>
      </c>
      <c r="K28" s="27" t="str">
        <f>IFERROR(__xludf.DUMMYFUNCTION("""COMPUTED_VALUE"""),"Medium")</f>
        <v>Medium</v>
      </c>
      <c r="L28" s="29" t="str">
        <f>IFERROR(__xludf.DUMMYFUNCTION("""COMPUTED_VALUE"""),"Phone number.mp4")</f>
        <v>Phone number.mp4</v>
      </c>
      <c r="M28" s="27"/>
      <c r="N28" s="27" t="str">
        <f>IFERROR(__xludf.DUMMYFUNCTION("""COMPUTED_VALUE"""),"Tahsin")</f>
        <v>Tahsin</v>
      </c>
      <c r="O28" s="26" t="s">
        <v>46</v>
      </c>
      <c r="P28" s="27"/>
      <c r="Q28" s="25"/>
      <c r="R28" s="25"/>
      <c r="S28" s="25"/>
      <c r="T28" s="25"/>
      <c r="U28" s="25"/>
      <c r="V28" s="25"/>
      <c r="W28" s="25"/>
      <c r="X28" s="25"/>
      <c r="Y28" s="25"/>
      <c r="Z28" s="25"/>
      <c r="AA28" s="25"/>
    </row>
    <row r="29">
      <c r="A29" s="26" t="s">
        <v>52</v>
      </c>
      <c r="B29" s="27" t="str">
        <f>IFERROR(__xludf.DUMMYFUNCTION("""COMPUTED_VALUE"""),"Profile")</f>
        <v>Profile</v>
      </c>
      <c r="C29" s="27" t="str">
        <f>IFERROR(__xludf.DUMMYFUNCTION("""COMPUTED_VALUE"""),"Profile")</f>
        <v>Profile</v>
      </c>
      <c r="D29" s="27" t="str">
        <f>IFERROR(__xludf.DUMMYFUNCTION("""COMPUTED_VALUE"""),"Profile picture automatically set.")</f>
        <v>Profile picture automatically set.</v>
      </c>
      <c r="E29" s="27" t="str">
        <f>IFERROR(__xludf.DUMMYFUNCTION("""COMPUTED_VALUE"""),"User need to install the apk in their phone")</f>
        <v>User need to install the apk in their phone</v>
      </c>
      <c r="F29" s="27" t="str">
        <f>IFERROR(__xludf.DUMMYFUNCTION("""COMPUTED_VALUE"""),"1. Open app
2. Signin using valid credentials
3. Goto Profile")</f>
        <v>1. Open app
2. Signin using valid credentials
3. Goto Profile</v>
      </c>
      <c r="G29" s="27" t="str">
        <f>IFERROR(__xludf.DUMMYFUNCTION("""COMPUTED_VALUE"""),"email : misak59277@foxroids.com
pass : 123456abcde")</f>
        <v>email : misak59277@foxroids.com
pass : 123456abcde</v>
      </c>
      <c r="H29" s="27" t="str">
        <f>IFERROR(__xludf.DUMMYFUNCTION("""COMPUTED_VALUE"""),"A blank image should be displayed on the profile when a user creates a new account.")</f>
        <v>A blank image should be displayed on the profile when a user creates a new account.</v>
      </c>
      <c r="I29" s="27" t="str">
        <f>IFERROR(__xludf.DUMMYFUNCTION("""COMPUTED_VALUE"""),"An automatic profile picture has been noticed, and it seems appropriate.")</f>
        <v>An automatic profile picture has been noticed, and it seems appropriate.</v>
      </c>
      <c r="J29" s="27" t="str">
        <f>IFERROR(__xludf.DUMMYFUNCTION("""COMPUTED_VALUE"""),"Fail")</f>
        <v>Fail</v>
      </c>
      <c r="K29" s="27" t="str">
        <f>IFERROR(__xludf.DUMMYFUNCTION("""COMPUTED_VALUE"""),"Medium")</f>
        <v>Medium</v>
      </c>
      <c r="L29" s="28" t="str">
        <f>IFERROR(__xludf.DUMMYFUNCTION("""COMPUTED_VALUE"""),"https://drive.google.com/file/d/1lRM5FYW3Up-I7mwXq0VUVC6GF27kAvrp/view?usp=drive_link")</f>
        <v>https://drive.google.com/file/d/1lRM5FYW3Up-I7mwXq0VUVC6GF27kAvrp/view?usp=drive_link</v>
      </c>
      <c r="M29" s="27"/>
      <c r="N29" s="27" t="str">
        <f>IFERROR(__xludf.DUMMYFUNCTION("""COMPUTED_VALUE"""),"Fahad")</f>
        <v>Fahad</v>
      </c>
      <c r="O29" s="26" t="s">
        <v>32</v>
      </c>
      <c r="P29" s="27"/>
      <c r="Q29" s="25"/>
      <c r="R29" s="25"/>
      <c r="S29" s="25"/>
      <c r="T29" s="25"/>
      <c r="U29" s="25"/>
      <c r="V29" s="25"/>
      <c r="W29" s="25"/>
      <c r="X29" s="25"/>
      <c r="Y29" s="25"/>
      <c r="Z29" s="25"/>
      <c r="AA29" s="25"/>
    </row>
    <row r="30">
      <c r="A30" s="26" t="s">
        <v>53</v>
      </c>
      <c r="B30" s="27" t="str">
        <f>IFERROR(__xludf.DUMMYFUNCTION("""COMPUTED_VALUE"""),"Profile")</f>
        <v>Profile</v>
      </c>
      <c r="C30" s="27" t="str">
        <f>IFERROR(__xludf.DUMMYFUNCTION("""COMPUTED_VALUE"""),"Profile")</f>
        <v>Profile</v>
      </c>
      <c r="D30" s="27" t="str">
        <f>IFERROR(__xludf.DUMMYFUNCTION("""COMPUTED_VALUE"""),"Failed to update form information")</f>
        <v>Failed to update form information</v>
      </c>
      <c r="E30" s="27" t="str">
        <f>IFERROR(__xludf.DUMMYFUNCTION("""COMPUTED_VALUE"""),"User need to install the apk in their phone")</f>
        <v>User need to install the apk in their phone</v>
      </c>
      <c r="F30" s="27" t="str">
        <f>IFERROR(__xludf.DUMMYFUNCTION("""COMPUTED_VALUE"""),"1. Open app
2. Signin using valid credentials
3. Goto Profile")</f>
        <v>1. Open app
2. Signin using valid credentials
3. Goto Profile</v>
      </c>
      <c r="G30" s="27" t="str">
        <f>IFERROR(__xludf.DUMMYFUNCTION("""COMPUTED_VALUE"""),"email : misak59277@foxroids.com
pass : 123456abcde")</f>
        <v>email : misak59277@foxroids.com
pass : 123456abcde</v>
      </c>
      <c r="H30" s="27" t="str">
        <f>IFERROR(__xludf.DUMMYFUNCTION("""COMPUTED_VALUE"""),"Users should be able to update their profiles without any issues.")</f>
        <v>Users should be able to update their profiles without any issues.</v>
      </c>
      <c r="I30" s="27" t="str">
        <f>IFERROR(__xludf.DUMMYFUNCTION("""COMPUTED_VALUE"""),"An error from the backend has been noticed while updating profile information.")</f>
        <v>An error from the backend has been noticed while updating profile information.</v>
      </c>
      <c r="J30" s="27" t="str">
        <f>IFERROR(__xludf.DUMMYFUNCTION("""COMPUTED_VALUE"""),"Fail")</f>
        <v>Fail</v>
      </c>
      <c r="K30" s="27" t="str">
        <f>IFERROR(__xludf.DUMMYFUNCTION("""COMPUTED_VALUE"""),"High")</f>
        <v>High</v>
      </c>
      <c r="L30" s="28" t="str">
        <f>IFERROR(__xludf.DUMMYFUNCTION("""COMPUTED_VALUE"""),"https://drive.google.com/file/d/1iP_bJ1pY2S2ztNFaUdlBMzO6pivTYK31/view?usp=drive_link")</f>
        <v>https://drive.google.com/file/d/1iP_bJ1pY2S2ztNFaUdlBMzO6pivTYK31/view?usp=drive_link</v>
      </c>
      <c r="M30" s="27"/>
      <c r="N30" s="27" t="str">
        <f>IFERROR(__xludf.DUMMYFUNCTION("""COMPUTED_VALUE"""),"Fahad")</f>
        <v>Fahad</v>
      </c>
      <c r="O30" s="26" t="s">
        <v>32</v>
      </c>
      <c r="P30" s="27"/>
      <c r="Q30" s="25"/>
      <c r="R30" s="25"/>
      <c r="S30" s="25"/>
      <c r="T30" s="25"/>
      <c r="U30" s="25"/>
      <c r="V30" s="25"/>
      <c r="W30" s="25"/>
      <c r="X30" s="25"/>
      <c r="Y30" s="25"/>
      <c r="Z30" s="25"/>
      <c r="AA30" s="25"/>
    </row>
    <row r="31">
      <c r="A31" s="26" t="s">
        <v>54</v>
      </c>
      <c r="B31" s="27" t="str">
        <f>IFERROR(__xludf.DUMMYFUNCTION("""COMPUTED_VALUE"""),"Profile")</f>
        <v>Profile</v>
      </c>
      <c r="C31" s="27" t="str">
        <f>IFERROR(__xludf.DUMMYFUNCTION("""COMPUTED_VALUE"""),"Profile")</f>
        <v>Profile</v>
      </c>
      <c r="D31" s="27" t="str">
        <f>IFERROR(__xludf.DUMMYFUNCTION("""COMPUTED_VALUE"""),"Failed to update profile picture")</f>
        <v>Failed to update profile picture</v>
      </c>
      <c r="E31" s="27" t="str">
        <f>IFERROR(__xludf.DUMMYFUNCTION("""COMPUTED_VALUE"""),"User need to install the apk in their phone")</f>
        <v>User need to install the apk in their phone</v>
      </c>
      <c r="F31" s="27" t="str">
        <f>IFERROR(__xludf.DUMMYFUNCTION("""COMPUTED_VALUE"""),"1. Open app
2. Goto profile
3. Select image for profile picture")</f>
        <v>1. Open app
2. Goto profile
3. Select image for profile picture</v>
      </c>
      <c r="G31" s="27" t="str">
        <f>IFERROR(__xludf.DUMMYFUNCTION("""COMPUTED_VALUE"""),"email: deleri6454@haotuwu.com
pass: 12345Abcdef@")</f>
        <v>email: deleri6454@haotuwu.com
pass: 12345Abcdef@</v>
      </c>
      <c r="H31" s="27" t="str">
        <f>IFERROR(__xludf.DUMMYFUNCTION("""COMPUTED_VALUE"""),"User should be able to update their profile picture")</f>
        <v>User should be able to update their profile picture</v>
      </c>
      <c r="I31" s="27" t="str">
        <f>IFERROR(__xludf.DUMMYFUNCTION("""COMPUTED_VALUE"""),"Failed to update profile picture")</f>
        <v>Failed to update profile picture</v>
      </c>
      <c r="J31" s="27" t="str">
        <f>IFERROR(__xludf.DUMMYFUNCTION("""COMPUTED_VALUE"""),"Fail")</f>
        <v>Fail</v>
      </c>
      <c r="K31" s="27" t="str">
        <f>IFERROR(__xludf.DUMMYFUNCTION("""COMPUTED_VALUE"""),"High")</f>
        <v>High</v>
      </c>
      <c r="L31" s="28" t="str">
        <f>IFERROR(__xludf.DUMMYFUNCTION("""COMPUTED_VALUE"""),"https://drive.google.com/file/d/1VIQjtXn7Qea_bnKM9izsTzcAZ6p8l3Dy/view?usp=drive_link")</f>
        <v>https://drive.google.com/file/d/1VIQjtXn7Qea_bnKM9izsTzcAZ6p8l3Dy/view?usp=drive_link</v>
      </c>
      <c r="M31" s="27"/>
      <c r="N31" s="27" t="str">
        <f>IFERROR(__xludf.DUMMYFUNCTION("""COMPUTED_VALUE"""),"Fahad")</f>
        <v>Fahad</v>
      </c>
      <c r="O31" s="26" t="s">
        <v>32</v>
      </c>
      <c r="P31" s="27"/>
      <c r="Q31" s="25"/>
      <c r="R31" s="25"/>
      <c r="S31" s="25"/>
      <c r="T31" s="25"/>
      <c r="U31" s="25"/>
      <c r="V31" s="25"/>
      <c r="W31" s="25"/>
      <c r="X31" s="25"/>
      <c r="Y31" s="25"/>
      <c r="Z31" s="25"/>
      <c r="AA31" s="25"/>
    </row>
    <row r="32">
      <c r="A32" s="26" t="s">
        <v>55</v>
      </c>
      <c r="B32" s="27" t="str">
        <f>IFERROR(__xludf.DUMMYFUNCTION("""COMPUTED_VALUE"""),"Registration")</f>
        <v>Registration</v>
      </c>
      <c r="C32" s="27" t="str">
        <f>IFERROR(__xludf.DUMMYFUNCTION("""COMPUTED_VALUE"""),"Registration")</f>
        <v>Registration</v>
      </c>
      <c r="D32" s="27" t="str">
        <f>IFERROR(__xludf.DUMMYFUNCTION("""COMPUTED_VALUE"""),"The password visibility icon is not dynamic; it remains fixed on a single option.")</f>
        <v>The password visibility icon is not dynamic; it remains fixed on a single option.</v>
      </c>
      <c r="E32" s="27" t="str">
        <f>IFERROR(__xludf.DUMMYFUNCTION("""COMPUTED_VALUE"""),"User need to install the apk in their phone")</f>
        <v>User need to install the apk in their phone</v>
      </c>
      <c r="F32" s="27" t="str">
        <f>IFERROR(__xludf.DUMMYFUNCTION("""COMPUTED_VALUE"""),"1. Open app
2. Click on Signup")</f>
        <v>1. Open app
2. Click on Signup</v>
      </c>
      <c r="G32" s="27" t="str">
        <f>IFERROR(__xludf.DUMMYFUNCTION("""COMPUTED_VALUE"""),"N/A")</f>
        <v>N/A</v>
      </c>
      <c r="H32" s="27" t="str">
        <f>IFERROR(__xludf.DUMMYFUNCTION("""COMPUTED_VALUE"""),"The password visibility icon should update accordingly.")</f>
        <v>The password visibility icon should update accordingly.</v>
      </c>
      <c r="I32" s="27" t="str">
        <f>IFERROR(__xludf.DUMMYFUNCTION("""COMPUTED_VALUE"""),"It's icon set to hide password option only")</f>
        <v>It's icon set to hide password option only</v>
      </c>
      <c r="J32" s="27" t="str">
        <f>IFERROR(__xludf.DUMMYFUNCTION("""COMPUTED_VALUE"""),"Fail")</f>
        <v>Fail</v>
      </c>
      <c r="K32" s="27" t="str">
        <f>IFERROR(__xludf.DUMMYFUNCTION("""COMPUTED_VALUE"""),"Low")</f>
        <v>Low</v>
      </c>
      <c r="L32" s="28" t="str">
        <f>IFERROR(__xludf.DUMMYFUNCTION("""COMPUTED_VALUE"""),"https://drive.google.com/file/d/1Sk1eaL56DxGmBcusnsAxmiA18ygmic_4/view?usp=drive_link")</f>
        <v>https://drive.google.com/file/d/1Sk1eaL56DxGmBcusnsAxmiA18ygmic_4/view?usp=drive_link</v>
      </c>
      <c r="M32" s="27"/>
      <c r="N32" s="27" t="str">
        <f>IFERROR(__xludf.DUMMYFUNCTION("""COMPUTED_VALUE"""),"Fahad")</f>
        <v>Fahad</v>
      </c>
      <c r="O32" s="26" t="s">
        <v>32</v>
      </c>
      <c r="P32" s="26" t="s">
        <v>56</v>
      </c>
      <c r="Q32" s="25"/>
      <c r="R32" s="25"/>
      <c r="S32" s="25"/>
      <c r="T32" s="25"/>
      <c r="U32" s="25"/>
      <c r="V32" s="25"/>
      <c r="W32" s="25"/>
      <c r="X32" s="25"/>
      <c r="Y32" s="25"/>
      <c r="Z32" s="25"/>
      <c r="AA32" s="25"/>
    </row>
    <row r="33">
      <c r="A33" s="26" t="s">
        <v>57</v>
      </c>
      <c r="B33" s="27" t="str">
        <f>IFERROR(__xludf.DUMMYFUNCTION("""COMPUTED_VALUE"""),"Registration")</f>
        <v>Registration</v>
      </c>
      <c r="C33" s="27" t="str">
        <f>IFERROR(__xludf.DUMMYFUNCTION("""COMPUTED_VALUE"""),"Registration")</f>
        <v>Registration</v>
      </c>
      <c r="D33" s="27" t="str">
        <f>IFERROR(__xludf.DUMMYFUNCTION("""COMPUTED_VALUE"""),"Email body contain user email not username")</f>
        <v>Email body contain user email not username</v>
      </c>
      <c r="E33" s="27" t="str">
        <f>IFERROR(__xludf.DUMMYFUNCTION("""COMPUTED_VALUE"""),"User need to install the apk in their phone")</f>
        <v>User need to install the apk in their phone</v>
      </c>
      <c r="F33" s="27" t="str">
        <f>IFERROR(__xludf.DUMMYFUNCTION("""COMPUTED_VALUE"""),"1. Open app
2. Click on Signup")</f>
        <v>1. Open app
2. Click on Signup</v>
      </c>
      <c r="G33" s="27" t="str">
        <f>IFERROR(__xludf.DUMMYFUNCTION("""COMPUTED_VALUE"""),"email : misak59277@foxroids.com
pass : 123456abcdef")</f>
        <v>email : misak59277@foxroids.com
pass : 123456abcdef</v>
      </c>
      <c r="H33" s="27" t="str">
        <f>IFERROR(__xludf.DUMMYFUNCTION("""COMPUTED_VALUE"""),"In the main body, the user's name should be written instead of mentioning their primary address.")</f>
        <v>In the main body, the user's name should be written instead of mentioning their primary address.</v>
      </c>
      <c r="I33" s="27" t="str">
        <f>IFERROR(__xludf.DUMMYFUNCTION("""COMPUTED_VALUE"""),"mentioning them by their email address")</f>
        <v>mentioning them by their email address</v>
      </c>
      <c r="J33" s="27" t="str">
        <f>IFERROR(__xludf.DUMMYFUNCTION("""COMPUTED_VALUE"""),"Fail")</f>
        <v>Fail</v>
      </c>
      <c r="K33" s="27" t="str">
        <f>IFERROR(__xludf.DUMMYFUNCTION("""COMPUTED_VALUE"""),"Medium")</f>
        <v>Medium</v>
      </c>
      <c r="L33" s="28" t="str">
        <f>IFERROR(__xludf.DUMMYFUNCTION("""COMPUTED_VALUE"""),"https://drive.google.com/file/d/1gFAa4qdDuAUpQ4Sd-7yED0Otklc6UZam/view?usp=drive_link")</f>
        <v>https://drive.google.com/file/d/1gFAa4qdDuAUpQ4Sd-7yED0Otklc6UZam/view?usp=drive_link</v>
      </c>
      <c r="M33" s="27"/>
      <c r="N33" s="27" t="str">
        <f>IFERROR(__xludf.DUMMYFUNCTION("""COMPUTED_VALUE"""),"Fahad")</f>
        <v>Fahad</v>
      </c>
      <c r="O33" s="26" t="s">
        <v>32</v>
      </c>
      <c r="P33" s="26" t="s">
        <v>58</v>
      </c>
      <c r="Q33" s="25"/>
      <c r="R33" s="25"/>
      <c r="S33" s="25"/>
      <c r="T33" s="25"/>
      <c r="U33" s="25"/>
      <c r="V33" s="25"/>
      <c r="W33" s="25"/>
      <c r="X33" s="25"/>
      <c r="Y33" s="25"/>
      <c r="Z33" s="25"/>
      <c r="AA33" s="25"/>
    </row>
    <row r="34">
      <c r="A34" s="26" t="s">
        <v>59</v>
      </c>
      <c r="B34" s="27" t="str">
        <f>IFERROR(__xludf.DUMMYFUNCTION("""COMPUTED_VALUE"""),"Registration")</f>
        <v>Registration</v>
      </c>
      <c r="C34" s="27" t="str">
        <f>IFERROR(__xludf.DUMMYFUNCTION("""COMPUTED_VALUE"""),"Registration")</f>
        <v>Registration</v>
      </c>
      <c r="D34" s="27" t="str">
        <f>IFERROR(__xludf.DUMMYFUNCTION("""COMPUTED_VALUE"""),"The email subject doesn't have an appropriate heading.")</f>
        <v>The email subject doesn't have an appropriate heading.</v>
      </c>
      <c r="E34" s="27" t="str">
        <f>IFERROR(__xludf.DUMMYFUNCTION("""COMPUTED_VALUE"""),"User need to install the apk in their phone")</f>
        <v>User need to install the apk in their phone</v>
      </c>
      <c r="F34" s="27" t="str">
        <f>IFERROR(__xludf.DUMMYFUNCTION("""COMPUTED_VALUE"""),"1. Open app
2. Click on Signup
3. Fillup necessary information and click next to get OTP")</f>
        <v>1. Open app
2. Click on Signup
3. Fillup necessary information and click next to get OTP</v>
      </c>
      <c r="G34" s="27" t="str">
        <f>IFERROR(__xludf.DUMMYFUNCTION("""COMPUTED_VALUE"""),"email : misak59277@foxroids.com
pass : 123456abcdef")</f>
        <v>email : misak59277@foxroids.com
pass : 123456abcdef</v>
      </c>
      <c r="H34" s="27" t="str">
        <f>IFERROR(__xludf.DUMMYFUNCTION("""COMPUTED_VALUE"""),"Email subject name should be written properly")</f>
        <v>Email subject name should be written properly</v>
      </c>
      <c r="I34" s="27" t="str">
        <f>IFERROR(__xludf.DUMMYFUNCTION("""COMPUTED_VALUE"""),"Simply state that an OTP has been received without specifying the reason for receiving it.")</f>
        <v>Simply state that an OTP has been received without specifying the reason for receiving it.</v>
      </c>
      <c r="J34" s="27" t="str">
        <f>IFERROR(__xludf.DUMMYFUNCTION("""COMPUTED_VALUE"""),"Fail")</f>
        <v>Fail</v>
      </c>
      <c r="K34" s="27" t="str">
        <f>IFERROR(__xludf.DUMMYFUNCTION("""COMPUTED_VALUE"""),"Medium")</f>
        <v>Medium</v>
      </c>
      <c r="L34" s="28" t="str">
        <f>IFERROR(__xludf.DUMMYFUNCTION("""COMPUTED_VALUE"""),"https://drive.google.com/file/d/1VCzTvg_PIgpJa2oGxuA9W2J_oN9yPufZ/view?usp=drive_link")</f>
        <v>https://drive.google.com/file/d/1VCzTvg_PIgpJa2oGxuA9W2J_oN9yPufZ/view?usp=drive_link</v>
      </c>
      <c r="M34" s="27" t="str">
        <f>IFERROR(__xludf.DUMMYFUNCTION("""COMPUTED_VALUE"""),"Mention it's VALR registration OTP code as OTP subject")</f>
        <v>Mention it's VALR registration OTP code as OTP subject</v>
      </c>
      <c r="N34" s="27" t="str">
        <f>IFERROR(__xludf.DUMMYFUNCTION("""COMPUTED_VALUE"""),"Fahad")</f>
        <v>Fahad</v>
      </c>
      <c r="O34" s="26" t="s">
        <v>32</v>
      </c>
      <c r="P34" s="27"/>
      <c r="Q34" s="25"/>
      <c r="R34" s="25"/>
      <c r="S34" s="25"/>
      <c r="T34" s="25"/>
      <c r="U34" s="25"/>
      <c r="V34" s="25"/>
      <c r="W34" s="25"/>
      <c r="X34" s="25"/>
      <c r="Y34" s="25"/>
      <c r="Z34" s="25"/>
      <c r="AA34" s="25"/>
    </row>
    <row r="35">
      <c r="A35" s="26" t="s">
        <v>60</v>
      </c>
      <c r="B35" s="27" t="str">
        <f>IFERROR(__xludf.DUMMYFUNCTION("""COMPUTED_VALUE"""),"Registration")</f>
        <v>Registration</v>
      </c>
      <c r="C35" s="27" t="str">
        <f>IFERROR(__xludf.DUMMYFUNCTION("""COMPUTED_VALUE"""),"Registration")</f>
        <v>Registration</v>
      </c>
      <c r="D35" s="27" t="str">
        <f>IFERROR(__xludf.DUMMYFUNCTION("""COMPUTED_VALUE"""),"OTP submission error")</f>
        <v>OTP submission error</v>
      </c>
      <c r="E35" s="27" t="str">
        <f>IFERROR(__xludf.DUMMYFUNCTION("""COMPUTED_VALUE"""),"User need to install the apk in their phone")</f>
        <v>User need to install the apk in their phone</v>
      </c>
      <c r="F35" s="27" t="str">
        <f>IFERROR(__xludf.DUMMYFUNCTION("""COMPUTED_VALUE"""),"1. Open app
2. Click on Signup
3. Fillup necessary information and click next to get OTP")</f>
        <v>1. Open app
2. Click on Signup
3. Fillup necessary information and click next to get OTP</v>
      </c>
      <c r="G35" s="27" t="str">
        <f>IFERROR(__xludf.DUMMYFUNCTION("""COMPUTED_VALUE"""),"email : misak59277@foxroids.com
pass : 123456abcdef")</f>
        <v>email : misak59277@foxroids.com
pass : 123456abcdef</v>
      </c>
      <c r="H35" s="27" t="str">
        <f>IFERROR(__xludf.DUMMYFUNCTION("""COMPUTED_VALUE"""),"user should be able to submit their OTP without any issue")</f>
        <v>user should be able to submit their OTP without any issue</v>
      </c>
      <c r="I35" s="27" t="str">
        <f>IFERROR(__xludf.DUMMYFUNCTION("""COMPUTED_VALUE"""),"Failed to submit OTP , but user can submit it when they 2nd click on OTP box")</f>
        <v>Failed to submit OTP , but user can submit it when they 2nd click on OTP box</v>
      </c>
      <c r="J35" s="27" t="str">
        <f>IFERROR(__xludf.DUMMYFUNCTION("""COMPUTED_VALUE"""),"Fail")</f>
        <v>Fail</v>
      </c>
      <c r="K35" s="27" t="str">
        <f>IFERROR(__xludf.DUMMYFUNCTION("""COMPUTED_VALUE"""),"High")</f>
        <v>High</v>
      </c>
      <c r="L35" s="28" t="str">
        <f>IFERROR(__xludf.DUMMYFUNCTION("""COMPUTED_VALUE"""),"https://drive.google.com/file/d/1000xgJujcIX7K8eQfPfwTdVThR6JRpqG/view?usp=drive_link")</f>
        <v>https://drive.google.com/file/d/1000xgJujcIX7K8eQfPfwTdVThR6JRpqG/view?usp=drive_link</v>
      </c>
      <c r="M35" s="27" t="str">
        <f>IFERROR(__xludf.DUMMYFUNCTION("""COMPUTED_VALUE"""),"when click on one time, they can not submit it and after that, 2nd time click on OTP , user can write their OTP")</f>
        <v>when click on one time, they can not submit it and after that, 2nd time click on OTP , user can write their OTP</v>
      </c>
      <c r="N35" s="27" t="str">
        <f>IFERROR(__xludf.DUMMYFUNCTION("""COMPUTED_VALUE"""),"Fahad")</f>
        <v>Fahad</v>
      </c>
      <c r="O35" s="26" t="s">
        <v>32</v>
      </c>
      <c r="P35" s="27"/>
      <c r="Q35" s="25"/>
      <c r="R35" s="25"/>
      <c r="S35" s="25"/>
      <c r="T35" s="25"/>
      <c r="U35" s="25"/>
      <c r="V35" s="25"/>
      <c r="W35" s="25"/>
      <c r="X35" s="25"/>
      <c r="Y35" s="25"/>
      <c r="Z35" s="25"/>
      <c r="AA35" s="25"/>
    </row>
    <row r="36">
      <c r="A36" s="26" t="s">
        <v>61</v>
      </c>
      <c r="B36" s="27" t="str">
        <f>IFERROR(__xludf.DUMMYFUNCTION("""COMPUTED_VALUE"""),"Registration")</f>
        <v>Registration</v>
      </c>
      <c r="C36" s="27" t="str">
        <f>IFERROR(__xludf.DUMMYFUNCTION("""COMPUTED_VALUE"""),"Registration")</f>
        <v>Registration</v>
      </c>
      <c r="D36" s="27" t="str">
        <f>IFERROR(__xludf.DUMMYFUNCTION("""COMPUTED_VALUE"""),"OTP expiration time is not added in the OTP page")</f>
        <v>OTP expiration time is not added in the OTP page</v>
      </c>
      <c r="E36" s="27" t="str">
        <f>IFERROR(__xludf.DUMMYFUNCTION("""COMPUTED_VALUE"""),"User need to install the apk in their phone")</f>
        <v>User need to install the apk in their phone</v>
      </c>
      <c r="F36" s="27" t="str">
        <f>IFERROR(__xludf.DUMMYFUNCTION("""COMPUTED_VALUE"""),"1. Open app
2. Click on Signup
3. Fillup necessary information and click next to get OTP")</f>
        <v>1. Open app
2. Click on Signup
3. Fillup necessary information and click next to get OTP</v>
      </c>
      <c r="G36" s="27" t="str">
        <f>IFERROR(__xludf.DUMMYFUNCTION("""COMPUTED_VALUE"""),"email : misak59277@foxroids.com
pass : 123456abcdef")</f>
        <v>email : misak59277@foxroids.com
pass : 123456abcdef</v>
      </c>
      <c r="H36" s="27" t="str">
        <f>IFERROR(__xludf.DUMMYFUNCTION("""COMPUTED_VALUE"""),"OTP expiration count down time should be added in the OTP page")</f>
        <v>OTP expiration count down time should be added in the OTP page</v>
      </c>
      <c r="I36" s="27" t="str">
        <f>IFERROR(__xludf.DUMMYFUNCTION("""COMPUTED_VALUE"""),"No countdown time has been noticed in the OTP page")</f>
        <v>No countdown time has been noticed in the OTP page</v>
      </c>
      <c r="J36" s="27" t="str">
        <f>IFERROR(__xludf.DUMMYFUNCTION("""COMPUTED_VALUE"""),"Fail")</f>
        <v>Fail</v>
      </c>
      <c r="K36" s="27" t="str">
        <f>IFERROR(__xludf.DUMMYFUNCTION("""COMPUTED_VALUE"""),"High")</f>
        <v>High</v>
      </c>
      <c r="L36" s="28" t="str">
        <f>IFERROR(__xludf.DUMMYFUNCTION("""COMPUTED_VALUE"""),"https://drive.google.com/file/d/1gwFdvneV24O9Xekc1-CCCYnuBWBRji0n/view?usp=drive_link")</f>
        <v>https://drive.google.com/file/d/1gwFdvneV24O9Xekc1-CCCYnuBWBRji0n/view?usp=drive_link</v>
      </c>
      <c r="M36" s="27"/>
      <c r="N36" s="27" t="str">
        <f>IFERROR(__xludf.DUMMYFUNCTION("""COMPUTED_VALUE"""),"Fahad")</f>
        <v>Fahad</v>
      </c>
      <c r="O36" s="26" t="s">
        <v>46</v>
      </c>
      <c r="P36" s="26" t="s">
        <v>62</v>
      </c>
      <c r="Q36" s="25"/>
      <c r="R36" s="25"/>
      <c r="S36" s="25"/>
      <c r="T36" s="25"/>
      <c r="U36" s="25"/>
      <c r="V36" s="25"/>
      <c r="W36" s="25"/>
      <c r="X36" s="25"/>
      <c r="Y36" s="25"/>
      <c r="Z36" s="25"/>
      <c r="AA36" s="25"/>
    </row>
    <row r="37">
      <c r="A37" s="26" t="s">
        <v>63</v>
      </c>
      <c r="B37" s="27" t="str">
        <f>IFERROR(__xludf.DUMMYFUNCTION("""COMPUTED_VALUE"""),"Registration")</f>
        <v>Registration</v>
      </c>
      <c r="C37" s="27" t="str">
        <f>IFERROR(__xludf.DUMMYFUNCTION("""COMPUTED_VALUE"""),"Registration")</f>
        <v>Registration</v>
      </c>
      <c r="D37" s="27" t="str">
        <f>IFERROR(__xludf.DUMMYFUNCTION("""COMPUTED_VALUE"""),"Overlay mixed aligned")</f>
        <v>Overlay mixed aligned</v>
      </c>
      <c r="E37" s="27" t="str">
        <f>IFERROR(__xludf.DUMMYFUNCTION("""COMPUTED_VALUE"""),"User need to install the apk in their phone")</f>
        <v>User need to install the apk in their phone</v>
      </c>
      <c r="F37" s="27" t="str">
        <f>IFERROR(__xludf.DUMMYFUNCTION("""COMPUTED_VALUE"""),"1. Open app
2. Click on Signup")</f>
        <v>1. Open app
2. Click on Signup</v>
      </c>
      <c r="G37" s="27" t="str">
        <f>IFERROR(__xludf.DUMMYFUNCTION("""COMPUTED_VALUE"""),"N/A")</f>
        <v>N/A</v>
      </c>
      <c r="H37" s="27" t="str">
        <f>IFERROR(__xludf.DUMMYFUNCTION("""COMPUTED_VALUE"""),"No overlay should overlapped")</f>
        <v>No overlay should overlapped</v>
      </c>
      <c r="I37" s="27" t="str">
        <f>IFERROR(__xludf.DUMMYFUNCTION("""COMPUTED_VALUE"""),"Overlapped has been noticed")</f>
        <v>Overlapped has been noticed</v>
      </c>
      <c r="J37" s="27" t="str">
        <f>IFERROR(__xludf.DUMMYFUNCTION("""COMPUTED_VALUE"""),"Fail")</f>
        <v>Fail</v>
      </c>
      <c r="K37" s="27" t="str">
        <f>IFERROR(__xludf.DUMMYFUNCTION("""COMPUTED_VALUE"""),"Low")</f>
        <v>Low</v>
      </c>
      <c r="L37" s="28" t="str">
        <f>IFERROR(__xludf.DUMMYFUNCTION("""COMPUTED_VALUE"""),"https://drive.google.com/file/d/1k1Vdg_I-TyuwUJz23tc86AbiNzWi7dNw/view?usp=drive_link")</f>
        <v>https://drive.google.com/file/d/1k1Vdg_I-TyuwUJz23tc86AbiNzWi7dNw/view?usp=drive_link</v>
      </c>
      <c r="M37" s="27"/>
      <c r="N37" s="27" t="str">
        <f>IFERROR(__xludf.DUMMYFUNCTION("""COMPUTED_VALUE"""),"Fahad")</f>
        <v>Fahad</v>
      </c>
      <c r="O37" s="27"/>
      <c r="P37" s="27"/>
      <c r="Q37" s="25"/>
      <c r="R37" s="25"/>
      <c r="S37" s="25"/>
      <c r="T37" s="25"/>
      <c r="U37" s="25"/>
      <c r="V37" s="25"/>
      <c r="W37" s="25"/>
      <c r="X37" s="25"/>
      <c r="Y37" s="25"/>
      <c r="Z37" s="25"/>
      <c r="AA37" s="25"/>
    </row>
    <row r="38">
      <c r="A38" s="26" t="s">
        <v>64</v>
      </c>
      <c r="B38" s="27" t="str">
        <f>IFERROR(__xludf.DUMMYFUNCTION("""COMPUTED_VALUE"""),"Registration")</f>
        <v>Registration</v>
      </c>
      <c r="C38" s="27" t="str">
        <f>IFERROR(__xludf.DUMMYFUNCTION("""COMPUTED_VALUE"""),"Registration")</f>
        <v>Registration</v>
      </c>
      <c r="D38" s="27" t="str">
        <f>IFERROR(__xludf.DUMMYFUNCTION("""COMPUTED_VALUE"""),"Strong password validation failed")</f>
        <v>Strong password validation failed</v>
      </c>
      <c r="E38" s="27" t="str">
        <f>IFERROR(__xludf.DUMMYFUNCTION("""COMPUTED_VALUE"""),"User need to install the apk in their phone")</f>
        <v>User need to install the apk in their phone</v>
      </c>
      <c r="F38" s="27" t="str">
        <f>IFERROR(__xludf.DUMMYFUNCTION("""COMPUTED_VALUE"""),"1. Open app
2. Click on Signup")</f>
        <v>1. Open app
2. Click on Signup</v>
      </c>
      <c r="G38" s="27" t="str">
        <f>IFERROR(__xludf.DUMMYFUNCTION("""COMPUTED_VALUE"""),"N/A")</f>
        <v>N/A</v>
      </c>
      <c r="H38" s="27" t="str">
        <f>IFERROR(__xludf.DUMMYFUNCTION("""COMPUTED_VALUE"""),"Password should be validated and password indicator should be implemented")</f>
        <v>Password should be validated and password indicator should be implemented</v>
      </c>
      <c r="I38" s="27" t="str">
        <f>IFERROR(__xludf.DUMMYFUNCTION("""COMPUTED_VALUE"""),"User can give poor level 8 characted password to create account")</f>
        <v>User can give poor level 8 characted password to create account</v>
      </c>
      <c r="J38" s="27" t="str">
        <f>IFERROR(__xludf.DUMMYFUNCTION("""COMPUTED_VALUE"""),"Fail")</f>
        <v>Fail</v>
      </c>
      <c r="K38" s="27" t="str">
        <f>IFERROR(__xludf.DUMMYFUNCTION("""COMPUTED_VALUE"""),"High")</f>
        <v>High</v>
      </c>
      <c r="L38" s="28" t="str">
        <f>IFERROR(__xludf.DUMMYFUNCTION("""COMPUTED_VALUE"""),"https://drive.google.com/file/d/1tPoLrLk6gfDF0esxWgqf_pANwo7deJtS/view?usp=drive_link")</f>
        <v>https://drive.google.com/file/d/1tPoLrLk6gfDF0esxWgqf_pANwo7deJtS/view?usp=drive_link</v>
      </c>
      <c r="M38" s="27"/>
      <c r="N38" s="27" t="str">
        <f>IFERROR(__xludf.DUMMYFUNCTION("""COMPUTED_VALUE"""),"Fahad")</f>
        <v>Fahad</v>
      </c>
      <c r="O38" s="27"/>
      <c r="P38" s="27"/>
      <c r="Q38" s="25"/>
      <c r="R38" s="25"/>
      <c r="S38" s="25"/>
      <c r="T38" s="25"/>
      <c r="U38" s="25"/>
      <c r="V38" s="25"/>
      <c r="W38" s="25"/>
      <c r="X38" s="25"/>
      <c r="Y38" s="25"/>
      <c r="Z38" s="25"/>
      <c r="AA38" s="25"/>
    </row>
    <row r="39">
      <c r="A39" s="26" t="s">
        <v>65</v>
      </c>
      <c r="B39" s="27" t="str">
        <f>IFERROR(__xludf.DUMMYFUNCTION("""COMPUTED_VALUE"""),"Registration")</f>
        <v>Registration</v>
      </c>
      <c r="C39" s="27" t="str">
        <f>IFERROR(__xludf.DUMMYFUNCTION("""COMPUTED_VALUE"""),"Registration")</f>
        <v>Registration</v>
      </c>
      <c r="D39" s="27" t="str">
        <f>IFERROR(__xludf.DUMMYFUNCTION("""COMPUTED_VALUE"""),"OTP digit can not be cancel when it is not fully inputed")</f>
        <v>OTP digit can not be cancel when it is not fully inputed</v>
      </c>
      <c r="E39" s="27" t="str">
        <f>IFERROR(__xludf.DUMMYFUNCTION("""COMPUTED_VALUE"""),"User need to install the apk in their phone")</f>
        <v>User need to install the apk in their phone</v>
      </c>
      <c r="F39" s="27" t="str">
        <f>IFERROR(__xludf.DUMMYFUNCTION("""COMPUTED_VALUE"""),"1. Open app
2. Click on Signup")</f>
        <v>1. Open app
2. Click on Signup</v>
      </c>
      <c r="G39" s="27" t="str">
        <f>IFERROR(__xludf.DUMMYFUNCTION("""COMPUTED_VALUE"""),"email : misak59277@foxroids.com
pass : 123456abcdef")</f>
        <v>email : misak59277@foxroids.com
pass : 123456abcdef</v>
      </c>
      <c r="H39" s="27" t="str">
        <f>IFERROR(__xludf.DUMMYFUNCTION("""COMPUTED_VALUE"""),"Users can edit their incorrect OTP midway; they don't need to enter it completely again.")</f>
        <v>Users can edit their incorrect OTP midway; they don't need to enter it completely again.</v>
      </c>
      <c r="I39" s="27" t="str">
        <f>IFERROR(__xludf.DUMMYFUNCTION("""COMPUTED_VALUE"""),"Unable to fix an incorrect OTP without fully entering it.")</f>
        <v>Unable to fix an incorrect OTP without fully entering it.</v>
      </c>
      <c r="J39" s="27" t="str">
        <f>IFERROR(__xludf.DUMMYFUNCTION("""COMPUTED_VALUE"""),"Fail")</f>
        <v>Fail</v>
      </c>
      <c r="K39" s="27" t="str">
        <f>IFERROR(__xludf.DUMMYFUNCTION("""COMPUTED_VALUE"""),"High")</f>
        <v>High</v>
      </c>
      <c r="L39" s="28" t="str">
        <f>IFERROR(__xludf.DUMMYFUNCTION("""COMPUTED_VALUE"""),"https://drive.google.com/file/d/1YsR3cZ6babF8oE0BEzRWJcn7bFVOzL8-/view?usp=drive_link")</f>
        <v>https://drive.google.com/file/d/1YsR3cZ6babF8oE0BEzRWJcn7bFVOzL8-/view?usp=drive_link</v>
      </c>
      <c r="M39" s="27"/>
      <c r="N39" s="27" t="str">
        <f>IFERROR(__xludf.DUMMYFUNCTION("""COMPUTED_VALUE"""),"Fahad")</f>
        <v>Fahad</v>
      </c>
      <c r="O39" s="27"/>
      <c r="P39" s="27"/>
      <c r="Q39" s="25"/>
      <c r="R39" s="25"/>
      <c r="S39" s="25"/>
      <c r="T39" s="25"/>
      <c r="U39" s="25"/>
      <c r="V39" s="25"/>
      <c r="W39" s="25"/>
      <c r="X39" s="25"/>
      <c r="Y39" s="25"/>
      <c r="Z39" s="25"/>
      <c r="AA39" s="25"/>
    </row>
    <row r="40">
      <c r="A40" s="26" t="s">
        <v>66</v>
      </c>
      <c r="B40" s="27" t="str">
        <f>IFERROR(__xludf.DUMMYFUNCTION("""COMPUTED_VALUE"""),"Registration")</f>
        <v>Registration</v>
      </c>
      <c r="C40" s="27" t="str">
        <f>IFERROR(__xludf.DUMMYFUNCTION("""COMPUTED_VALUE"""),"Registration")</f>
        <v>Registration</v>
      </c>
      <c r="D40" s="27" t="str">
        <f>IFERROR(__xludf.DUMMYFUNCTION("""COMPUTED_VALUE"""),"Validate that name field does not accept numbers or special characters")</f>
        <v>Validate that name field does not accept numbers or special characters</v>
      </c>
      <c r="E40" s="27" t="str">
        <f>IFERROR(__xludf.DUMMYFUNCTION("""COMPUTED_VALUE"""),"User is on Registration screen")</f>
        <v>User is on Registration screen</v>
      </c>
      <c r="F40" s="27" t="str">
        <f>IFERROR(__xludf.DUMMYFUNCTION("""COMPUTED_VALUE"""),"1) Open the app 
2) Navigate to Registration page 
3) Tap on Name field 
4) Enter alphanumeric/special characters")</f>
        <v>1) Open the app 
2) Navigate to Registration page 
3) Tap on Name field 
4) Enter alphanumeric/special characters</v>
      </c>
      <c r="G40" s="27" t="str">
        <f>IFERROR(__xludf.DUMMYFUNCTION("""COMPUTED_VALUE"""),"Name: 123 / John@#")</f>
        <v>Name: 123 / John@#</v>
      </c>
      <c r="H40" s="27" t="str">
        <f>IFERROR(__xludf.DUMMYFUNCTION("""COMPUTED_VALUE"""),"The field should only allow alphabetic characters (A–Z, a–z) or Space and reject numbers or special characters")</f>
        <v>The field should only allow alphabetic characters (A–Z, a–z) or Space and reject numbers or special characters</v>
      </c>
      <c r="I40" s="27" t="str">
        <f>IFERROR(__xludf.DUMMYFUNCTION("""COMPUTED_VALUE"""),"The field accepts numbers and special characters")</f>
        <v>The field accepts numbers and special characters</v>
      </c>
      <c r="J40" s="27" t="str">
        <f>IFERROR(__xludf.DUMMYFUNCTION("""COMPUTED_VALUE"""),"Fail")</f>
        <v>Fail</v>
      </c>
      <c r="K40" s="27" t="str">
        <f>IFERROR(__xludf.DUMMYFUNCTION("""COMPUTED_VALUE"""),"Medium")</f>
        <v>Medium</v>
      </c>
      <c r="L40" s="29" t="str">
        <f>IFERROR(__xludf.DUMMYFUNCTION("""COMPUTED_VALUE"""),"Reg page.mp4")</f>
        <v>Reg page.mp4</v>
      </c>
      <c r="M40" s="27"/>
      <c r="N40" s="27" t="str">
        <f>IFERROR(__xludf.DUMMYFUNCTION("""COMPUTED_VALUE"""),"Tahsin")</f>
        <v>Tahsin</v>
      </c>
      <c r="O40" s="27"/>
      <c r="P40" s="27"/>
      <c r="Q40" s="25"/>
      <c r="R40" s="25"/>
      <c r="S40" s="25"/>
      <c r="T40" s="25"/>
      <c r="U40" s="25"/>
      <c r="V40" s="25"/>
      <c r="W40" s="25"/>
      <c r="X40" s="25"/>
      <c r="Y40" s="25"/>
      <c r="Z40" s="25"/>
      <c r="AA40" s="25"/>
    </row>
    <row r="41">
      <c r="A41" s="26" t="s">
        <v>67</v>
      </c>
      <c r="B41" s="27" t="str">
        <f>IFERROR(__xludf.DUMMYFUNCTION("""COMPUTED_VALUE"""),"Registration")</f>
        <v>Registration</v>
      </c>
      <c r="C41" s="27" t="str">
        <f>IFERROR(__xludf.DUMMYFUNCTION("""COMPUTED_VALUE"""),"Registration")</f>
        <v>Registration</v>
      </c>
      <c r="D41" s="27" t="str">
        <f>IFERROR(__xludf.DUMMYFUNCTION("""COMPUTED_VALUE"""),"Validate that password field enforces strong password rules")</f>
        <v>Validate that password field enforces strong password rules</v>
      </c>
      <c r="E41" s="27" t="str">
        <f>IFERROR(__xludf.DUMMYFUNCTION("""COMPUTED_VALUE"""),"User is on Registration screen")</f>
        <v>User is on Registration screen</v>
      </c>
      <c r="F41" s="27" t="str">
        <f>IFERROR(__xludf.DUMMYFUNCTION("""COMPUTED_VALUE"""),"1) Open the app 
2) Navigate to Registration page 
3) Tap on Password field 
4) Enter password with only numbers like “12345678” 
5) Attempt to submit the form")</f>
        <v>1) Open the app 
2) Navigate to Registration page 
3) Tap on Password field 
4) Enter password with only numbers like “12345678” 
5) Attempt to submit the form</v>
      </c>
      <c r="G41" s="27" t="str">
        <f>IFERROR(__xludf.DUMMYFUNCTION("""COMPUTED_VALUE"""),"Password: 12345678")</f>
        <v>Password: 12345678</v>
      </c>
      <c r="H41" s="27" t="str">
        <f>IFERROR(__xludf.DUMMYFUNCTION("""COMPUTED_VALUE"""),"The system should enforce strong password validation — requiring at least one uppercase letter, one number, and one special character (minimum 8 characters)")</f>
        <v>The system should enforce strong password validation — requiring at least one uppercase letter, one number, and one special character (minimum 8 characters)</v>
      </c>
      <c r="I41" s="27" t="str">
        <f>IFERROR(__xludf.DUMMYFUNCTION("""COMPUTED_VALUE"""),"The field accepts weak passwords with only numbers (no uppercase, number, or special character)")</f>
        <v>The field accepts weak passwords with only numbers (no uppercase, number, or special character)</v>
      </c>
      <c r="J41" s="27" t="str">
        <f>IFERROR(__xludf.DUMMYFUNCTION("""COMPUTED_VALUE"""),"Fail")</f>
        <v>Fail</v>
      </c>
      <c r="K41" s="27" t="str">
        <f>IFERROR(__xludf.DUMMYFUNCTION("""COMPUTED_VALUE"""),"High")</f>
        <v>High</v>
      </c>
      <c r="L41" s="29" t="str">
        <f>IFERROR(__xludf.DUMMYFUNCTION("""COMPUTED_VALUE"""),"Reg page.mp4")</f>
        <v>Reg page.mp4</v>
      </c>
      <c r="M41" s="27"/>
      <c r="N41" s="27" t="str">
        <f>IFERROR(__xludf.DUMMYFUNCTION("""COMPUTED_VALUE"""),"Tahsin")</f>
        <v>Tahsin</v>
      </c>
      <c r="O41" s="27"/>
      <c r="P41" s="27"/>
      <c r="Q41" s="25"/>
      <c r="R41" s="25"/>
      <c r="S41" s="25"/>
      <c r="T41" s="25"/>
      <c r="U41" s="25"/>
      <c r="V41" s="25"/>
      <c r="W41" s="25"/>
      <c r="X41" s="25"/>
      <c r="Y41" s="25"/>
      <c r="Z41" s="25"/>
      <c r="AA41" s="25"/>
    </row>
    <row r="42">
      <c r="A42" s="26" t="s">
        <v>68</v>
      </c>
      <c r="B42" s="27" t="str">
        <f>IFERROR(__xludf.DUMMYFUNCTION("""COMPUTED_VALUE"""),"Registration")</f>
        <v>Registration</v>
      </c>
      <c r="C42" s="27" t="str">
        <f>IFERROR(__xludf.DUMMYFUNCTION("""COMPUTED_VALUE"""),"Registration")</f>
        <v>Registration</v>
      </c>
      <c r="D42" s="27" t="str">
        <f>IFERROR(__xludf.DUMMYFUNCTION("""COMPUTED_VALUE"""),"Validate that password visibility toggle icon changes dynamically")</f>
        <v>Validate that password visibility toggle icon changes dynamically</v>
      </c>
      <c r="E42" s="27" t="str">
        <f>IFERROR(__xludf.DUMMYFUNCTION("""COMPUTED_VALUE"""),"User is on Registration screen")</f>
        <v>User is on Registration screen</v>
      </c>
      <c r="F42" s="27" t="str">
        <f>IFERROR(__xludf.DUMMYFUNCTION("""COMPUTED_VALUE"""),"1) Open the app 
2) Navigate to Registration page 
3) Tap on Password field 
4) Tap on eye icon to toggle password visibility multiple times")</f>
        <v>1) Open the app 
2) Navigate to Registration page 
3) Tap on Password field 
4) Tap on eye icon to toggle password visibility multiple times</v>
      </c>
      <c r="G42" s="27"/>
      <c r="H42" s="27" t="str">
        <f>IFERROR(__xludf.DUMMYFUNCTION("""COMPUTED_VALUE"""),"The eye icon should change dynamically — show “open eye” when password is visible and “closed eye” when hidden")</f>
        <v>The eye icon should change dynamically — show “open eye” when password is visible and “closed eye” when hidden</v>
      </c>
      <c r="I42" s="27" t="str">
        <f>IFERROR(__xludf.DUMMYFUNCTION("""COMPUTED_VALUE"""),"The icon remains the same (closed eye) regardless of visibility toggle")</f>
        <v>The icon remains the same (closed eye) regardless of visibility toggle</v>
      </c>
      <c r="J42" s="27" t="str">
        <f>IFERROR(__xludf.DUMMYFUNCTION("""COMPUTED_VALUE"""),"Fail")</f>
        <v>Fail</v>
      </c>
      <c r="K42" s="27" t="str">
        <f>IFERROR(__xludf.DUMMYFUNCTION("""COMPUTED_VALUE"""),"Low")</f>
        <v>Low</v>
      </c>
      <c r="L42" s="28" t="str">
        <f>IFERROR(__xludf.DUMMYFUNCTION("""COMPUTED_VALUE"""),"https://jam.dev/c/6e192a78-56dc-4cd3-9d56-e6043e22abe0")</f>
        <v>https://jam.dev/c/6e192a78-56dc-4cd3-9d56-e6043e22abe0</v>
      </c>
      <c r="M42" s="27"/>
      <c r="N42" s="27" t="str">
        <f>IFERROR(__xludf.DUMMYFUNCTION("""COMPUTED_VALUE"""),"Tahsin")</f>
        <v>Tahsin</v>
      </c>
      <c r="O42" s="27"/>
      <c r="P42" s="27"/>
      <c r="Q42" s="25"/>
      <c r="R42" s="25"/>
      <c r="S42" s="25"/>
      <c r="T42" s="25"/>
      <c r="U42" s="25"/>
      <c r="V42" s="25"/>
      <c r="W42" s="25"/>
      <c r="X42" s="25"/>
      <c r="Y42" s="25"/>
      <c r="Z42" s="25"/>
      <c r="AA42" s="25"/>
    </row>
    <row r="43">
      <c r="A43" s="26" t="s">
        <v>69</v>
      </c>
      <c r="B43" s="27" t="str">
        <f>IFERROR(__xludf.DUMMYFUNCTION("""COMPUTED_VALUE"""),"Settings")</f>
        <v>Settings</v>
      </c>
      <c r="C43" s="27" t="str">
        <f>IFERROR(__xludf.DUMMYFUNCTION("""COMPUTED_VALUE"""),"Subscription")</f>
        <v>Subscription</v>
      </c>
      <c r="D43" s="27" t="str">
        <f>IFERROR(__xludf.DUMMYFUNCTION("""COMPUTED_VALUE"""),"Failed to show subscribe package in the subscription")</f>
        <v>Failed to show subscribe package in the subscription</v>
      </c>
      <c r="E43" s="27" t="str">
        <f>IFERROR(__xludf.DUMMYFUNCTION("""COMPUTED_VALUE"""),"User need to install the apk in their phone")</f>
        <v>User need to install the apk in their phone</v>
      </c>
      <c r="F43" s="27" t="str">
        <f>IFERROR(__xludf.DUMMYFUNCTION("""COMPUTED_VALUE"""),"1. Open app
2. Goto settings
3. Click on subscription")</f>
        <v>1. Open app
2. Goto settings
3. Click on subscription</v>
      </c>
      <c r="G43" s="27" t="str">
        <f>IFERROR(__xludf.DUMMYFUNCTION("""COMPUTED_VALUE"""),"email: deleri6454@haotuwu.com
pass: 12345Abcdef@")</f>
        <v>email: deleri6454@haotuwu.com
pass: 12345Abcdef@</v>
      </c>
      <c r="H43" s="27" t="str">
        <f>IFERROR(__xludf.DUMMYFUNCTION("""COMPUTED_VALUE"""),"User should be able to see which subscription they brought")</f>
        <v>User should be able to see which subscription they brought</v>
      </c>
      <c r="I43" s="27" t="str">
        <f>IFERROR(__xludf.DUMMYFUNCTION("""COMPUTED_VALUE"""),"Failed to show the subscription package they brought")</f>
        <v>Failed to show the subscription package they brought</v>
      </c>
      <c r="J43" s="27" t="str">
        <f>IFERROR(__xludf.DUMMYFUNCTION("""COMPUTED_VALUE"""),"Fail")</f>
        <v>Fail</v>
      </c>
      <c r="K43" s="27" t="str">
        <f>IFERROR(__xludf.DUMMYFUNCTION("""COMPUTED_VALUE"""),"Medium")</f>
        <v>Medium</v>
      </c>
      <c r="L43" s="28" t="str">
        <f>IFERROR(__xludf.DUMMYFUNCTION("""COMPUTED_VALUE"""),"https://drive.google.com/file/d/1zvVD-oA6FPcuc9CuLAuFOuljrY7H6i5M/view?usp=drive_link")</f>
        <v>https://drive.google.com/file/d/1zvVD-oA6FPcuc9CuLAuFOuljrY7H6i5M/view?usp=drive_link</v>
      </c>
      <c r="M43" s="27"/>
      <c r="N43" s="27" t="str">
        <f>IFERROR(__xludf.DUMMYFUNCTION("""COMPUTED_VALUE"""),"Fahad")</f>
        <v>Fahad</v>
      </c>
      <c r="O43" s="27"/>
      <c r="P43" s="27"/>
      <c r="Q43" s="25"/>
      <c r="R43" s="25"/>
      <c r="S43" s="25"/>
      <c r="T43" s="25"/>
      <c r="U43" s="25"/>
      <c r="V43" s="25"/>
      <c r="W43" s="25"/>
      <c r="X43" s="25"/>
      <c r="Y43" s="25"/>
      <c r="Z43" s="25"/>
      <c r="AA43" s="25"/>
    </row>
    <row r="44">
      <c r="A44" s="26" t="s">
        <v>70</v>
      </c>
      <c r="B44" s="27" t="str">
        <f>IFERROR(__xludf.DUMMYFUNCTION("""COMPUTED_VALUE"""),"Subscription")</f>
        <v>Subscription</v>
      </c>
      <c r="C44" s="27" t="str">
        <f>IFERROR(__xludf.DUMMYFUNCTION("""COMPUTED_VALUE"""),"Choose Your Plan")</f>
        <v>Choose Your Plan</v>
      </c>
      <c r="D44" s="27" t="str">
        <f>IFERROR(__xludf.DUMMYFUNCTION("""COMPUTED_VALUE"""),"Failed to purchase plan")</f>
        <v>Failed to purchase plan</v>
      </c>
      <c r="E44" s="27" t="str">
        <f>IFERROR(__xludf.DUMMYFUNCTION("""COMPUTED_VALUE"""),"User need to install the apk in their phone")</f>
        <v>User need to install the apk in their phone</v>
      </c>
      <c r="F44" s="27" t="str">
        <f>IFERROR(__xludf.DUMMYFUNCTION("""COMPUTED_VALUE"""),"1. Open app
2. Signin using valid credentials
3. Click on Payment on $195 or $50")</f>
        <v>1. Open app
2. Signin using valid credentials
3. Click on Payment on $195 or $50</v>
      </c>
      <c r="G44" s="27" t="str">
        <f>IFERROR(__xludf.DUMMYFUNCTION("""COMPUTED_VALUE"""),"email : misak59277@foxroids.com
pass : 123456abcde")</f>
        <v>email : misak59277@foxroids.com
pass : 123456abcde</v>
      </c>
      <c r="H44" s="27" t="str">
        <f>IFERROR(__xludf.DUMMYFUNCTION("""COMPUTED_VALUE"""),"User should be able to clearly purchase a plan when click on one ")</f>
        <v>User should be able to clearly purchase a plan when click on one </v>
      </c>
      <c r="I44" s="27" t="str">
        <f>IFERROR(__xludf.DUMMYFUNCTION("""COMPUTED_VALUE"""),"failed to purchase plan")</f>
        <v>failed to purchase plan</v>
      </c>
      <c r="J44" s="27" t="str">
        <f>IFERROR(__xludf.DUMMYFUNCTION("""COMPUTED_VALUE"""),"Fail")</f>
        <v>Fail</v>
      </c>
      <c r="K44" s="27" t="str">
        <f>IFERROR(__xludf.DUMMYFUNCTION("""COMPUTED_VALUE"""),"High")</f>
        <v>High</v>
      </c>
      <c r="L44" s="28" t="str">
        <f>IFERROR(__xludf.DUMMYFUNCTION("""COMPUTED_VALUE"""),"https://drive.google.com/file/d/19HXqAZdbvpGy2VTUlpJDlRATviuo1WXW/view?usp=drive_link")</f>
        <v>https://drive.google.com/file/d/19HXqAZdbvpGy2VTUlpJDlRATviuo1WXW/view?usp=drive_link</v>
      </c>
      <c r="M44" s="27"/>
      <c r="N44" s="27" t="str">
        <f>IFERROR(__xludf.DUMMYFUNCTION("""COMPUTED_VALUE"""),"Fahad")</f>
        <v>Fahad</v>
      </c>
      <c r="O44" s="27"/>
      <c r="P44" s="27"/>
      <c r="Q44" s="25"/>
      <c r="R44" s="25"/>
      <c r="S44" s="25"/>
      <c r="T44" s="25"/>
      <c r="U44" s="25"/>
      <c r="V44" s="25"/>
      <c r="W44" s="25"/>
      <c r="X44" s="25"/>
      <c r="Y44" s="25"/>
      <c r="Z44" s="25"/>
      <c r="AA44" s="25"/>
    </row>
    <row r="45">
      <c r="A45" s="26" t="s">
        <v>71</v>
      </c>
      <c r="B45" s="27" t="str">
        <f>IFERROR(__xludf.DUMMYFUNCTION("""COMPUTED_VALUE"""),"Subscription")</f>
        <v>Subscription</v>
      </c>
      <c r="C45" s="27" t="str">
        <f>IFERROR(__xludf.DUMMYFUNCTION("""COMPUTED_VALUE"""),"Choose Your Plan")</f>
        <v>Choose Your Plan</v>
      </c>
      <c r="D45" s="27" t="str">
        <f>IFERROR(__xludf.DUMMYFUNCTION("""COMPUTED_VALUE"""),"After purchasing a subscription, the page redirects to the subscription page.")</f>
        <v>After purchasing a subscription, the page redirects to the subscription page.</v>
      </c>
      <c r="E45" s="27" t="str">
        <f>IFERROR(__xludf.DUMMYFUNCTION("""COMPUTED_VALUE"""),"User need to install the apk in their phone")</f>
        <v>User need to install the apk in their phone</v>
      </c>
      <c r="F45" s="27" t="str">
        <f>IFERROR(__xludf.DUMMYFUNCTION("""COMPUTED_VALUE"""),"1. Open app
2. Signin using valid credentials
3. Click on Payment on $195 or $50")</f>
        <v>1. Open app
2. Signin using valid credentials
3. Click on Payment on $195 or $50</v>
      </c>
      <c r="G45" s="27" t="str">
        <f>IFERROR(__xludf.DUMMYFUNCTION("""COMPUTED_VALUE"""),"email: deleri6454@haotuwu.com
pass: 12345Abcdef@")</f>
        <v>email: deleri6454@haotuwu.com
pass: 12345Abcdef@</v>
      </c>
      <c r="H45" s="27" t="str">
        <f>IFERROR(__xludf.DUMMYFUNCTION("""COMPUTED_VALUE"""),"After successfull purchase a plan, it should take to Home page")</f>
        <v>After successfull purchase a plan, it should take to Home page</v>
      </c>
      <c r="I45" s="27" t="str">
        <f>IFERROR(__xludf.DUMMYFUNCTION("""COMPUTED_VALUE"""),"After successfully purchasing a plan, the page redirects back to the subscription page.")</f>
        <v>After successfully purchasing a plan, the page redirects back to the subscription page.</v>
      </c>
      <c r="J45" s="27" t="str">
        <f>IFERROR(__xludf.DUMMYFUNCTION("""COMPUTED_VALUE"""),"Fail")</f>
        <v>Fail</v>
      </c>
      <c r="K45" s="27" t="str">
        <f>IFERROR(__xludf.DUMMYFUNCTION("""COMPUTED_VALUE"""),"Low")</f>
        <v>Low</v>
      </c>
      <c r="L45" s="28" t="str">
        <f>IFERROR(__xludf.DUMMYFUNCTION("""COMPUTED_VALUE"""),"https://drive.google.com/file/d/1RsEZyI--GutBT1nB1liFrTgH5LRcU8my/view?usp=drive_link")</f>
        <v>https://drive.google.com/file/d/1RsEZyI--GutBT1nB1liFrTgH5LRcU8my/view?usp=drive_link</v>
      </c>
      <c r="M45" s="27"/>
      <c r="N45" s="27" t="str">
        <f>IFERROR(__xludf.DUMMYFUNCTION("""COMPUTED_VALUE"""),"Fahad")</f>
        <v>Fahad</v>
      </c>
      <c r="O45" s="27"/>
      <c r="P45" s="27"/>
      <c r="Q45" s="25"/>
      <c r="R45" s="25"/>
      <c r="S45" s="25"/>
      <c r="T45" s="25"/>
      <c r="U45" s="25"/>
      <c r="V45" s="25"/>
      <c r="W45" s="25"/>
      <c r="X45" s="25"/>
      <c r="Y45" s="25"/>
      <c r="Z45" s="25"/>
      <c r="AA45" s="25"/>
    </row>
    <row r="46">
      <c r="A46" s="26" t="s">
        <v>72</v>
      </c>
      <c r="B46" s="27" t="str">
        <f>IFERROR(__xludf.DUMMYFUNCTION("""COMPUTED_VALUE"""),"Subscription")</f>
        <v>Subscription</v>
      </c>
      <c r="C46" s="27" t="str">
        <f>IFERROR(__xludf.DUMMYFUNCTION("""COMPUTED_VALUE"""),"Choose Your Plan")</f>
        <v>Choose Your Plan</v>
      </c>
      <c r="D46" s="27" t="str">
        <f>IFERROR(__xludf.DUMMYFUNCTION("""COMPUTED_VALUE"""),"Validate that subscription completes successfully after entering valid card information")</f>
        <v>Validate that subscription completes successfully after entering valid card information</v>
      </c>
      <c r="E46" s="27" t="str">
        <f>IFERROR(__xludf.DUMMYFUNCTION("""COMPUTED_VALUE"""),"User is on Choose Your Plan screen with stable internet connection")</f>
        <v>User is on Choose Your Plan screen with stable internet connection</v>
      </c>
      <c r="F46" s="27" t="str">
        <f>IFERROR(__xludf.DUMMYFUNCTION("""COMPUTED_VALUE"""),"1) Open the app 
2) Navigate to Choose Your Plan section 
3) Select any plan 
4) Enter valid card information 
5) Tap on “Subscribe” button")</f>
        <v>1) Open the app 
2) Navigate to Choose Your Plan section 
3) Select any plan 
4) Enter valid card information 
5) Tap on “Subscribe” button</v>
      </c>
      <c r="G46" s="27"/>
      <c r="H46" s="27" t="str">
        <f>IFERROR(__xludf.DUMMYFUNCTION("""COMPUTED_VALUE"""),"The subscription process should complete successfully within a few seconds and display a confirmation message")</f>
        <v>The subscription process should complete successfully within a few seconds and display a confirmation message</v>
      </c>
      <c r="I46" s="27" t="str">
        <f>IFERROR(__xludf.DUMMYFUNCTION("""COMPUTED_VALUE"""),"The app takes around 3 minutes to respond and then shows an error message “HTTP Connection timeout”")</f>
        <v>The app takes around 3 minutes to respond and then shows an error message “HTTP Connection timeout”</v>
      </c>
      <c r="J46" s="27" t="str">
        <f>IFERROR(__xludf.DUMMYFUNCTION("""COMPUTED_VALUE"""),"Fail")</f>
        <v>Fail</v>
      </c>
      <c r="K46" s="27" t="str">
        <f>IFERROR(__xludf.DUMMYFUNCTION("""COMPUTED_VALUE"""),"High")</f>
        <v>High</v>
      </c>
      <c r="L46" s="29" t="str">
        <f>IFERROR(__xludf.DUMMYFUNCTION("""COMPUTED_VALUE"""),"Screenshot_20251023_100007.jpg")</f>
        <v>Screenshot_20251023_100007.jpg</v>
      </c>
      <c r="M46" s="27"/>
      <c r="N46" s="27" t="str">
        <f>IFERROR(__xludf.DUMMYFUNCTION("""COMPUTED_VALUE"""),"Tahsin")</f>
        <v>Tahsin</v>
      </c>
      <c r="O46" s="27"/>
      <c r="P46" s="27"/>
      <c r="Q46" s="25"/>
      <c r="R46" s="25"/>
      <c r="S46" s="25"/>
      <c r="T46" s="25"/>
      <c r="U46" s="25"/>
      <c r="V46" s="25"/>
      <c r="W46" s="25"/>
      <c r="X46" s="25"/>
      <c r="Y46" s="25"/>
      <c r="Z46" s="25"/>
      <c r="AA46" s="25"/>
    </row>
    <row r="47">
      <c r="A47" s="26" t="s">
        <v>73</v>
      </c>
      <c r="B47" s="27" t="str">
        <f>IFERROR(__xludf.DUMMYFUNCTION("""COMPUTED_VALUE"""),"Subscription")</f>
        <v>Subscription</v>
      </c>
      <c r="C47" s="27" t="str">
        <f>IFERROR(__xludf.DUMMYFUNCTION("""COMPUTED_VALUE"""),"My Subscription")</f>
        <v>My Subscription</v>
      </c>
      <c r="D47" s="27" t="str">
        <f>IFERROR(__xludf.DUMMYFUNCTION("""COMPUTED_VALUE"""),"Validate that correct subscription type duration is displayed after successful payment")</f>
        <v>Validate that correct subscription type duration is displayed after successful payment</v>
      </c>
      <c r="E47" s="27" t="str">
        <f>IFERROR(__xludf.DUMMYFUNCTION("""COMPUTED_VALUE"""),"User has successfully subscribed for a 6-month plan ($195) and is logged in")</f>
        <v>User has successfully subscribed for a 6-month plan ($195) and is logged in</v>
      </c>
      <c r="F47" s="27" t="str">
        <f>IFERROR(__xludf.DUMMYFUNCTION("""COMPUTED_VALUE"""),"1) Open the app 
2) Navigate to Setting -&gt; Subscription page 
3) Observe the displayed subscription details (type, amount, expiry date)")</f>
        <v>1) Open the app 
2) Navigate to Setting -&gt; Subscription page 
3) Observe the displayed subscription details (type, amount, expiry date)</v>
      </c>
      <c r="G47" s="27"/>
      <c r="H47" s="27" t="str">
        <f>IFERROR(__xludf.DUMMYFUNCTION("""COMPUTED_VALUE"""),"The Subscription Type field should correctly display “6 Months” as per the purchased plan")</f>
        <v>The Subscription Type field should correctly display “6 Months” as per the purchased plan</v>
      </c>
      <c r="I47" s="27" t="str">
        <f>IFERROR(__xludf.DUMMYFUNCTION("""COMPUTED_VALUE"""),"The Subscription Type field incorrectly shows “30 Days” instead of “6 Months”")</f>
        <v>The Subscription Type field incorrectly shows “30 Days” instead of “6 Months”</v>
      </c>
      <c r="J47" s="27" t="str">
        <f>IFERROR(__xludf.DUMMYFUNCTION("""COMPUTED_VALUE"""),"Fail")</f>
        <v>Fail</v>
      </c>
      <c r="K47" s="27" t="str">
        <f>IFERROR(__xludf.DUMMYFUNCTION("""COMPUTED_VALUE"""),"High")</f>
        <v>High</v>
      </c>
      <c r="L47" s="28" t="str">
        <f>IFERROR(__xludf.DUMMYFUNCTION("""COMPUTED_VALUE"""),"https://jam.dev/c/eaf729ee-e9fd-42ab-bb08-a3c7f08ba41f")</f>
        <v>https://jam.dev/c/eaf729ee-e9fd-42ab-bb08-a3c7f08ba41f</v>
      </c>
      <c r="M47" s="27"/>
      <c r="N47" s="27" t="str">
        <f>IFERROR(__xludf.DUMMYFUNCTION("""COMPUTED_VALUE"""),"Tahsin")</f>
        <v>Tahsin</v>
      </c>
      <c r="O47" s="27"/>
      <c r="P47" s="27"/>
      <c r="Q47" s="25"/>
      <c r="R47" s="25"/>
      <c r="S47" s="25"/>
      <c r="T47" s="25"/>
      <c r="U47" s="25"/>
      <c r="V47" s="25"/>
      <c r="W47" s="25"/>
      <c r="X47" s="25"/>
      <c r="Y47" s="25"/>
      <c r="Z47" s="25"/>
      <c r="AA47" s="25"/>
    </row>
    <row r="48">
      <c r="A48" s="26" t="s">
        <v>74</v>
      </c>
      <c r="B48" s="27"/>
      <c r="C48" s="27"/>
      <c r="D48" s="27"/>
      <c r="E48" s="27"/>
      <c r="F48" s="27"/>
      <c r="G48" s="27"/>
      <c r="H48" s="27"/>
      <c r="I48" s="27"/>
      <c r="J48" s="27"/>
      <c r="K48" s="27"/>
      <c r="L48" s="27"/>
      <c r="M48" s="27"/>
      <c r="N48" s="27"/>
      <c r="O48" s="27"/>
      <c r="P48" s="27"/>
      <c r="Q48" s="25"/>
      <c r="R48" s="25"/>
      <c r="S48" s="25"/>
      <c r="T48" s="25"/>
      <c r="U48" s="25"/>
      <c r="V48" s="25"/>
      <c r="W48" s="25"/>
      <c r="X48" s="25"/>
      <c r="Y48" s="25"/>
      <c r="Z48" s="25"/>
      <c r="AA48" s="25"/>
    </row>
    <row r="49">
      <c r="A49" s="26" t="s">
        <v>74</v>
      </c>
      <c r="B49" s="27"/>
      <c r="C49" s="27"/>
      <c r="D49" s="27"/>
      <c r="E49" s="27"/>
      <c r="F49" s="27"/>
      <c r="G49" s="27"/>
      <c r="H49" s="27"/>
      <c r="I49" s="27"/>
      <c r="J49" s="27"/>
      <c r="K49" s="27"/>
      <c r="L49" s="27"/>
      <c r="M49" s="27"/>
      <c r="N49" s="27"/>
      <c r="O49" s="27"/>
      <c r="P49" s="27"/>
      <c r="Q49" s="25"/>
      <c r="R49" s="25"/>
      <c r="S49" s="25"/>
      <c r="T49" s="25"/>
      <c r="U49" s="25"/>
      <c r="V49" s="25"/>
      <c r="W49" s="25"/>
      <c r="X49" s="25"/>
      <c r="Y49" s="25"/>
      <c r="Z49" s="25"/>
      <c r="AA49" s="25"/>
    </row>
    <row r="50">
      <c r="A50" s="26" t="s">
        <v>74</v>
      </c>
      <c r="B50" s="27"/>
      <c r="C50" s="27"/>
      <c r="D50" s="27"/>
      <c r="E50" s="27"/>
      <c r="F50" s="27"/>
      <c r="G50" s="27"/>
      <c r="H50" s="27"/>
      <c r="I50" s="27"/>
      <c r="J50" s="27"/>
      <c r="K50" s="27"/>
      <c r="L50" s="27"/>
      <c r="M50" s="27"/>
      <c r="N50" s="27"/>
      <c r="O50" s="27"/>
      <c r="P50" s="27"/>
      <c r="Q50" s="25"/>
      <c r="R50" s="25"/>
      <c r="S50" s="25"/>
      <c r="T50" s="25"/>
      <c r="U50" s="25"/>
      <c r="V50" s="25"/>
      <c r="W50" s="25"/>
      <c r="X50" s="25"/>
      <c r="Y50" s="25"/>
      <c r="Z50" s="25"/>
      <c r="AA50" s="25"/>
    </row>
    <row r="51">
      <c r="A51" s="26" t="s">
        <v>74</v>
      </c>
      <c r="B51" s="27"/>
      <c r="C51" s="27"/>
      <c r="D51" s="27"/>
      <c r="E51" s="27"/>
      <c r="F51" s="27"/>
      <c r="G51" s="27"/>
      <c r="H51" s="27"/>
      <c r="I51" s="27"/>
      <c r="J51" s="27"/>
      <c r="K51" s="27"/>
      <c r="L51" s="27"/>
      <c r="M51" s="27"/>
      <c r="N51" s="27"/>
      <c r="O51" s="27"/>
      <c r="P51" s="27"/>
      <c r="Q51" s="25"/>
      <c r="R51" s="25"/>
      <c r="S51" s="25"/>
      <c r="T51" s="25"/>
      <c r="U51" s="25"/>
      <c r="V51" s="25"/>
      <c r="W51" s="25"/>
      <c r="X51" s="25"/>
      <c r="Y51" s="25"/>
      <c r="Z51" s="25"/>
      <c r="AA51" s="25"/>
    </row>
    <row r="52">
      <c r="A52" s="26" t="s">
        <v>74</v>
      </c>
      <c r="B52" s="27"/>
      <c r="C52" s="27"/>
      <c r="D52" s="27"/>
      <c r="E52" s="27"/>
      <c r="F52" s="27"/>
      <c r="G52" s="27"/>
      <c r="H52" s="27"/>
      <c r="I52" s="27"/>
      <c r="J52" s="27"/>
      <c r="K52" s="27"/>
      <c r="L52" s="27"/>
      <c r="M52" s="27"/>
      <c r="N52" s="27"/>
      <c r="O52" s="27"/>
      <c r="P52" s="27"/>
      <c r="Q52" s="25"/>
      <c r="R52" s="25"/>
      <c r="S52" s="25"/>
      <c r="T52" s="25"/>
      <c r="U52" s="25"/>
      <c r="V52" s="25"/>
      <c r="W52" s="25"/>
      <c r="X52" s="25"/>
      <c r="Y52" s="25"/>
      <c r="Z52" s="25"/>
      <c r="AA52" s="25"/>
    </row>
    <row r="53">
      <c r="A53" s="26" t="s">
        <v>74</v>
      </c>
      <c r="B53" s="27"/>
      <c r="C53" s="27"/>
      <c r="D53" s="27"/>
      <c r="E53" s="27"/>
      <c r="F53" s="27"/>
      <c r="G53" s="27"/>
      <c r="H53" s="27"/>
      <c r="I53" s="27"/>
      <c r="J53" s="27"/>
      <c r="K53" s="27"/>
      <c r="L53" s="27"/>
      <c r="M53" s="27"/>
      <c r="N53" s="27"/>
      <c r="O53" s="27"/>
      <c r="P53" s="27"/>
      <c r="Q53" s="25"/>
      <c r="R53" s="25"/>
      <c r="S53" s="25"/>
      <c r="T53" s="25"/>
      <c r="U53" s="25"/>
      <c r="V53" s="25"/>
      <c r="W53" s="25"/>
      <c r="X53" s="25"/>
      <c r="Y53" s="25"/>
      <c r="Z53" s="25"/>
      <c r="AA53" s="25"/>
    </row>
    <row r="54">
      <c r="A54" s="26" t="s">
        <v>74</v>
      </c>
      <c r="B54" s="27"/>
      <c r="C54" s="27"/>
      <c r="D54" s="27"/>
      <c r="E54" s="27"/>
      <c r="F54" s="27"/>
      <c r="G54" s="27"/>
      <c r="H54" s="27"/>
      <c r="I54" s="27"/>
      <c r="J54" s="27"/>
      <c r="K54" s="27"/>
      <c r="L54" s="27"/>
      <c r="M54" s="27"/>
      <c r="N54" s="27"/>
      <c r="O54" s="27"/>
      <c r="P54" s="27"/>
      <c r="Q54" s="25"/>
      <c r="R54" s="25"/>
      <c r="S54" s="25"/>
      <c r="T54" s="25"/>
      <c r="U54" s="25"/>
      <c r="V54" s="25"/>
      <c r="W54" s="25"/>
      <c r="X54" s="25"/>
      <c r="Y54" s="25"/>
      <c r="Z54" s="25"/>
      <c r="AA54" s="25"/>
    </row>
    <row r="55">
      <c r="A55" s="26" t="s">
        <v>74</v>
      </c>
      <c r="B55" s="27"/>
      <c r="C55" s="27"/>
      <c r="D55" s="27"/>
      <c r="E55" s="27"/>
      <c r="F55" s="27"/>
      <c r="G55" s="27"/>
      <c r="H55" s="27"/>
      <c r="I55" s="27"/>
      <c r="J55" s="27"/>
      <c r="K55" s="27"/>
      <c r="L55" s="27"/>
      <c r="M55" s="27"/>
      <c r="N55" s="27"/>
      <c r="O55" s="27"/>
      <c r="P55" s="27"/>
      <c r="Q55" s="25"/>
      <c r="R55" s="25"/>
      <c r="S55" s="25"/>
      <c r="T55" s="25"/>
      <c r="U55" s="25"/>
      <c r="V55" s="25"/>
      <c r="W55" s="25"/>
      <c r="X55" s="25"/>
      <c r="Y55" s="25"/>
      <c r="Z55" s="25"/>
      <c r="AA55" s="25"/>
    </row>
    <row r="56">
      <c r="A56" s="26" t="s">
        <v>74</v>
      </c>
      <c r="B56" s="27"/>
      <c r="C56" s="27"/>
      <c r="D56" s="27"/>
      <c r="E56" s="27"/>
      <c r="F56" s="27"/>
      <c r="G56" s="27"/>
      <c r="H56" s="27"/>
      <c r="I56" s="27"/>
      <c r="J56" s="27"/>
      <c r="K56" s="27"/>
      <c r="L56" s="27"/>
      <c r="M56" s="27"/>
      <c r="N56" s="27"/>
      <c r="O56" s="27"/>
      <c r="P56" s="27"/>
      <c r="Q56" s="25"/>
      <c r="R56" s="25"/>
      <c r="S56" s="25"/>
      <c r="T56" s="25"/>
      <c r="U56" s="25"/>
      <c r="V56" s="25"/>
      <c r="W56" s="25"/>
      <c r="X56" s="25"/>
      <c r="Y56" s="25"/>
      <c r="Z56" s="25"/>
      <c r="AA56" s="25"/>
    </row>
    <row r="57">
      <c r="A57" s="26" t="s">
        <v>74</v>
      </c>
      <c r="B57" s="27"/>
      <c r="C57" s="27"/>
      <c r="D57" s="27"/>
      <c r="E57" s="27"/>
      <c r="F57" s="27"/>
      <c r="G57" s="27"/>
      <c r="H57" s="27"/>
      <c r="I57" s="27"/>
      <c r="J57" s="27"/>
      <c r="K57" s="27"/>
      <c r="L57" s="27"/>
      <c r="M57" s="27"/>
      <c r="N57" s="27"/>
      <c r="O57" s="27"/>
      <c r="P57" s="27"/>
      <c r="Q57" s="25"/>
      <c r="R57" s="25"/>
      <c r="S57" s="25"/>
      <c r="T57" s="25"/>
      <c r="U57" s="25"/>
      <c r="V57" s="25"/>
      <c r="W57" s="25"/>
      <c r="X57" s="25"/>
      <c r="Y57" s="25"/>
      <c r="Z57" s="25"/>
      <c r="AA57" s="25"/>
    </row>
    <row r="58">
      <c r="A58" s="26" t="s">
        <v>74</v>
      </c>
      <c r="B58" s="27"/>
      <c r="C58" s="27"/>
      <c r="D58" s="27"/>
      <c r="E58" s="27"/>
      <c r="F58" s="27"/>
      <c r="G58" s="27"/>
      <c r="H58" s="27"/>
      <c r="I58" s="27"/>
      <c r="J58" s="27"/>
      <c r="K58" s="27"/>
      <c r="L58" s="27"/>
      <c r="M58" s="27"/>
      <c r="N58" s="27"/>
      <c r="O58" s="27"/>
      <c r="P58" s="27"/>
      <c r="Q58" s="25"/>
      <c r="R58" s="25"/>
      <c r="S58" s="25"/>
      <c r="T58" s="25"/>
      <c r="U58" s="25"/>
      <c r="V58" s="25"/>
      <c r="W58" s="25"/>
      <c r="X58" s="25"/>
      <c r="Y58" s="25"/>
      <c r="Z58" s="25"/>
      <c r="AA58" s="25"/>
    </row>
    <row r="59">
      <c r="A59" s="26" t="s">
        <v>74</v>
      </c>
      <c r="B59" s="27"/>
      <c r="C59" s="27"/>
      <c r="D59" s="27"/>
      <c r="E59" s="27"/>
      <c r="F59" s="27"/>
      <c r="G59" s="27"/>
      <c r="H59" s="27"/>
      <c r="I59" s="27"/>
      <c r="J59" s="27"/>
      <c r="K59" s="27"/>
      <c r="L59" s="27"/>
      <c r="M59" s="27"/>
      <c r="N59" s="27"/>
      <c r="O59" s="27"/>
      <c r="P59" s="27"/>
      <c r="Q59" s="25"/>
      <c r="R59" s="25"/>
      <c r="S59" s="25"/>
      <c r="T59" s="25"/>
      <c r="U59" s="25"/>
      <c r="V59" s="25"/>
      <c r="W59" s="25"/>
      <c r="X59" s="25"/>
      <c r="Y59" s="25"/>
      <c r="Z59" s="25"/>
      <c r="AA59" s="25"/>
    </row>
    <row r="60">
      <c r="A60" s="26" t="s">
        <v>74</v>
      </c>
      <c r="B60" s="27"/>
      <c r="C60" s="27"/>
      <c r="D60" s="27"/>
      <c r="E60" s="27"/>
      <c r="F60" s="27"/>
      <c r="G60" s="27"/>
      <c r="H60" s="27"/>
      <c r="I60" s="27"/>
      <c r="J60" s="27"/>
      <c r="K60" s="27"/>
      <c r="L60" s="27"/>
      <c r="M60" s="27"/>
      <c r="N60" s="27"/>
      <c r="O60" s="27"/>
      <c r="P60" s="27"/>
      <c r="Q60" s="25"/>
      <c r="R60" s="25"/>
      <c r="S60" s="25"/>
      <c r="T60" s="25"/>
      <c r="U60" s="25"/>
      <c r="V60" s="25"/>
      <c r="W60" s="25"/>
      <c r="X60" s="25"/>
      <c r="Y60" s="25"/>
      <c r="Z60" s="25"/>
      <c r="AA60" s="25"/>
    </row>
    <row r="61">
      <c r="A61" s="26" t="s">
        <v>74</v>
      </c>
      <c r="B61" s="27"/>
      <c r="C61" s="27"/>
      <c r="D61" s="27"/>
      <c r="E61" s="27"/>
      <c r="F61" s="27"/>
      <c r="G61" s="27"/>
      <c r="H61" s="27"/>
      <c r="I61" s="27"/>
      <c r="J61" s="27"/>
      <c r="K61" s="27"/>
      <c r="L61" s="27"/>
      <c r="M61" s="27"/>
      <c r="N61" s="27"/>
      <c r="O61" s="27"/>
      <c r="P61" s="27"/>
      <c r="Q61" s="25"/>
      <c r="R61" s="25"/>
      <c r="S61" s="25"/>
      <c r="T61" s="25"/>
      <c r="U61" s="25"/>
      <c r="V61" s="25"/>
      <c r="W61" s="25"/>
      <c r="X61" s="25"/>
      <c r="Y61" s="25"/>
      <c r="Z61" s="25"/>
      <c r="AA61" s="25"/>
    </row>
    <row r="62">
      <c r="A62" s="26" t="s">
        <v>74</v>
      </c>
      <c r="B62" s="27"/>
      <c r="C62" s="27"/>
      <c r="D62" s="27"/>
      <c r="E62" s="27"/>
      <c r="F62" s="27"/>
      <c r="G62" s="27"/>
      <c r="H62" s="27"/>
      <c r="I62" s="27"/>
      <c r="J62" s="27"/>
      <c r="K62" s="27"/>
      <c r="L62" s="27"/>
      <c r="M62" s="27"/>
      <c r="N62" s="27"/>
      <c r="O62" s="27"/>
      <c r="P62" s="27"/>
      <c r="Q62" s="25"/>
      <c r="R62" s="25"/>
      <c r="S62" s="25"/>
      <c r="T62" s="25"/>
      <c r="U62" s="25"/>
      <c r="V62" s="25"/>
      <c r="W62" s="25"/>
      <c r="X62" s="25"/>
      <c r="Y62" s="25"/>
      <c r="Z62" s="25"/>
      <c r="AA62" s="25"/>
    </row>
    <row r="63">
      <c r="A63" s="26" t="s">
        <v>74</v>
      </c>
      <c r="B63" s="27"/>
      <c r="C63" s="27"/>
      <c r="D63" s="27"/>
      <c r="E63" s="27"/>
      <c r="F63" s="27"/>
      <c r="G63" s="27"/>
      <c r="H63" s="27"/>
      <c r="I63" s="27"/>
      <c r="J63" s="27"/>
      <c r="K63" s="27"/>
      <c r="L63" s="27"/>
      <c r="M63" s="27"/>
      <c r="N63" s="27"/>
      <c r="O63" s="27"/>
      <c r="P63" s="27"/>
      <c r="Q63" s="25"/>
      <c r="R63" s="25"/>
      <c r="S63" s="25"/>
      <c r="T63" s="25"/>
      <c r="U63" s="25"/>
      <c r="V63" s="25"/>
      <c r="W63" s="25"/>
      <c r="X63" s="25"/>
      <c r="Y63" s="25"/>
      <c r="Z63" s="25"/>
      <c r="AA63" s="25"/>
    </row>
    <row r="64">
      <c r="A64" s="26" t="s">
        <v>74</v>
      </c>
      <c r="B64" s="27"/>
      <c r="C64" s="27"/>
      <c r="D64" s="27"/>
      <c r="E64" s="27"/>
      <c r="F64" s="27"/>
      <c r="G64" s="27"/>
      <c r="H64" s="27"/>
      <c r="I64" s="27"/>
      <c r="J64" s="27"/>
      <c r="K64" s="27"/>
      <c r="L64" s="27"/>
      <c r="M64" s="27"/>
      <c r="N64" s="27"/>
      <c r="O64" s="27"/>
      <c r="P64" s="27"/>
      <c r="Q64" s="25"/>
      <c r="R64" s="25"/>
      <c r="S64" s="25"/>
      <c r="T64" s="25"/>
      <c r="U64" s="25"/>
      <c r="V64" s="25"/>
      <c r="W64" s="25"/>
      <c r="X64" s="25"/>
      <c r="Y64" s="25"/>
      <c r="Z64" s="25"/>
      <c r="AA64" s="25"/>
    </row>
    <row r="65">
      <c r="A65" s="30" t="s">
        <v>74</v>
      </c>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row>
    <row r="66">
      <c r="A66" s="30" t="s">
        <v>74</v>
      </c>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row>
    <row r="67">
      <c r="A67" s="30" t="s">
        <v>74</v>
      </c>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row>
    <row r="68">
      <c r="A68" s="30" t="s">
        <v>74</v>
      </c>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row>
    <row r="69">
      <c r="A69" s="30" t="s">
        <v>74</v>
      </c>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row>
    <row r="70">
      <c r="A70" s="30" t="s">
        <v>74</v>
      </c>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row>
    <row r="71">
      <c r="A71" s="30" t="s">
        <v>74</v>
      </c>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c r="A72" s="30" t="s">
        <v>74</v>
      </c>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c r="A73" s="30" t="s">
        <v>74</v>
      </c>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c r="A74" s="30" t="s">
        <v>74</v>
      </c>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c r="A75" s="30" t="s">
        <v>74</v>
      </c>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row>
    <row r="76">
      <c r="A76" s="30" t="s">
        <v>74</v>
      </c>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row>
    <row r="77">
      <c r="A77" s="30" t="s">
        <v>74</v>
      </c>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row>
    <row r="78">
      <c r="A78" s="30" t="s">
        <v>74</v>
      </c>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row>
    <row r="79">
      <c r="A79" s="30" t="s">
        <v>74</v>
      </c>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row>
    <row r="80">
      <c r="A80" s="30" t="s">
        <v>74</v>
      </c>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row>
    <row r="81">
      <c r="A81" s="30" t="s">
        <v>74</v>
      </c>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row>
    <row r="82">
      <c r="A82" s="30" t="s">
        <v>74</v>
      </c>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row>
    <row r="83">
      <c r="A83" s="30" t="s">
        <v>74</v>
      </c>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row>
    <row r="84">
      <c r="A84" s="30" t="s">
        <v>74</v>
      </c>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row>
    <row r="85">
      <c r="A85" s="30" t="s">
        <v>74</v>
      </c>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row>
    <row r="86">
      <c r="A86" s="30" t="s">
        <v>74</v>
      </c>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row>
    <row r="87">
      <c r="A87" s="30" t="s">
        <v>74</v>
      </c>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row>
    <row r="88">
      <c r="A88" s="30" t="s">
        <v>74</v>
      </c>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row>
    <row r="89">
      <c r="A89" s="30" t="s">
        <v>74</v>
      </c>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row>
    <row r="90">
      <c r="A90" s="30" t="s">
        <v>74</v>
      </c>
    </row>
    <row r="91">
      <c r="A91" s="30" t="s">
        <v>74</v>
      </c>
    </row>
    <row r="92">
      <c r="A92" s="30" t="s">
        <v>74</v>
      </c>
    </row>
    <row r="93">
      <c r="A93" s="30" t="s">
        <v>74</v>
      </c>
    </row>
    <row r="94">
      <c r="A94" s="30" t="s">
        <v>74</v>
      </c>
    </row>
    <row r="95">
      <c r="A95" s="30" t="s">
        <v>74</v>
      </c>
    </row>
    <row r="96">
      <c r="A96" s="30" t="s">
        <v>74</v>
      </c>
    </row>
    <row r="97">
      <c r="A97" s="30" t="s">
        <v>74</v>
      </c>
    </row>
    <row r="98">
      <c r="A98" s="30" t="s">
        <v>74</v>
      </c>
    </row>
    <row r="99">
      <c r="A99" s="30" t="s">
        <v>74</v>
      </c>
    </row>
    <row r="100">
      <c r="A100" s="31" t="s">
        <v>74</v>
      </c>
    </row>
  </sheetData>
  <dataValidations>
    <dataValidation type="list" allowBlank="1" showErrorMessage="1" sqref="J11:J64">
      <formula1>"Fail,Pass"</formula1>
    </dataValidation>
    <dataValidation type="list" allowBlank="1" showErrorMessage="1" sqref="O24">
      <formula1>"Solved,Unsolved"</formula1>
    </dataValidation>
    <dataValidation type="list" allowBlank="1" showErrorMessage="1" sqref="O11:O23 O25:O64">
      <formula1>"Solved,Unsolved,Backend"</formula1>
    </dataValidation>
    <dataValidation type="list" allowBlank="1" showErrorMessage="1" sqref="K11:K64">
      <formula1>"Low,Medium,High"</formula1>
    </dataValidation>
  </dataValidations>
  <hyperlinks>
    <hyperlink r:id="rId1" ref="L11"/>
    <hyperlink r:id="rId2" ref="L12"/>
    <hyperlink r:id="rId3" ref="L13"/>
    <hyperlink r:id="rId4" ref="L15"/>
    <hyperlink r:id="rId5" ref="L16"/>
    <hyperlink r:id="rId6" ref="L17"/>
    <hyperlink r:id="rId7" ref="L19"/>
    <hyperlink r:id="rId8" ref="L20"/>
    <hyperlink r:id="rId9" ref="L21"/>
    <hyperlink r:id="rId10" ref="L23"/>
    <hyperlink r:id="rId11" ref="L24"/>
    <hyperlink r:id="rId12" ref="L25"/>
    <hyperlink r:id="rId13" ref="L26"/>
    <hyperlink r:id="rId14" ref="L27"/>
    <hyperlink r:id="rId15" ref="L28"/>
    <hyperlink r:id="rId16" ref="L29"/>
    <hyperlink r:id="rId17" ref="L30"/>
    <hyperlink r:id="rId18" ref="L31"/>
    <hyperlink r:id="rId19" ref="L32"/>
    <hyperlink r:id="rId20" ref="L33"/>
    <hyperlink r:id="rId21" ref="L34"/>
    <hyperlink r:id="rId22" ref="L35"/>
    <hyperlink r:id="rId23" ref="L36"/>
    <hyperlink r:id="rId24" ref="L37"/>
    <hyperlink r:id="rId25" ref="L38"/>
    <hyperlink r:id="rId26" ref="L39"/>
    <hyperlink r:id="rId27" ref="L40"/>
    <hyperlink r:id="rId28" ref="L41"/>
    <hyperlink r:id="rId29" ref="L42"/>
    <hyperlink r:id="rId30" ref="L43"/>
    <hyperlink r:id="rId31" ref="L44"/>
    <hyperlink r:id="rId32" ref="L45"/>
    <hyperlink r:id="rId33" ref="L46"/>
    <hyperlink r:id="rId34" ref="L47"/>
  </hyperlinks>
  <drawing r:id="rId3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20.25"/>
    <col customWidth="1" min="3" max="3" width="12.5"/>
    <col customWidth="1" min="4" max="4" width="20.88"/>
    <col customWidth="1" min="5" max="5" width="13.88"/>
    <col customWidth="1" min="6" max="6" width="16.13"/>
    <col customWidth="1" min="7" max="7" width="19.88"/>
    <col customWidth="1" min="8" max="8" width="16.88"/>
    <col customWidth="1" min="9" max="9" width="15.13"/>
    <col customWidth="1" min="10" max="10" width="10.13"/>
    <col customWidth="1" min="11" max="11" width="13.13"/>
    <col customWidth="1" min="12" max="12" width="14.63"/>
    <col customWidth="1" min="13" max="13" width="11.75"/>
    <col customWidth="1" min="14" max="14" width="12.0"/>
  </cols>
  <sheetData>
    <row r="1">
      <c r="A1" s="32"/>
      <c r="B1" s="33"/>
      <c r="C1" s="34"/>
      <c r="D1" s="34"/>
      <c r="E1" s="35"/>
      <c r="F1" s="35"/>
      <c r="G1" s="34"/>
      <c r="H1" s="34"/>
      <c r="I1" s="34"/>
      <c r="J1" s="34"/>
      <c r="K1" s="34"/>
      <c r="L1" s="34"/>
      <c r="M1" s="34"/>
      <c r="N1" s="34"/>
      <c r="O1" s="34"/>
      <c r="P1" s="34"/>
      <c r="Q1" s="34"/>
      <c r="R1" s="34"/>
      <c r="S1" s="34"/>
      <c r="T1" s="34"/>
      <c r="U1" s="34"/>
      <c r="V1" s="34"/>
      <c r="W1" s="34"/>
      <c r="X1" s="34"/>
      <c r="Y1" s="34"/>
      <c r="Z1" s="34"/>
    </row>
    <row r="2">
      <c r="A2" s="36" t="s">
        <v>0</v>
      </c>
      <c r="B2" s="37" t="s">
        <v>75</v>
      </c>
      <c r="C2" s="34"/>
      <c r="D2" s="34"/>
      <c r="E2" s="4" t="s">
        <v>2</v>
      </c>
      <c r="F2" s="4" t="s">
        <v>3</v>
      </c>
      <c r="G2" s="34"/>
      <c r="H2" s="34"/>
      <c r="I2" s="34"/>
      <c r="J2" s="34"/>
      <c r="K2" s="34"/>
      <c r="L2" s="34"/>
      <c r="M2" s="34"/>
      <c r="N2" s="34"/>
      <c r="O2" s="34"/>
      <c r="P2" s="34"/>
      <c r="Q2" s="34"/>
      <c r="R2" s="34"/>
      <c r="S2" s="34"/>
      <c r="T2" s="34"/>
      <c r="U2" s="34"/>
      <c r="V2" s="34"/>
      <c r="W2" s="34"/>
      <c r="X2" s="34"/>
      <c r="Y2" s="34"/>
      <c r="Z2" s="34"/>
    </row>
    <row r="3">
      <c r="A3" s="36" t="s">
        <v>4</v>
      </c>
      <c r="B3" s="38" t="s">
        <v>5</v>
      </c>
      <c r="C3" s="34"/>
      <c r="D3" s="34"/>
      <c r="E3" s="7" t="s">
        <v>6</v>
      </c>
      <c r="F3" s="8">
        <f>COUNTIF(Fahad!K8:K1004, "High")</f>
        <v>13</v>
      </c>
      <c r="G3" s="34"/>
      <c r="H3" s="34"/>
      <c r="I3" s="34"/>
      <c r="J3" s="34"/>
      <c r="K3" s="34"/>
      <c r="L3" s="34"/>
      <c r="M3" s="34"/>
      <c r="N3" s="34"/>
      <c r="O3" s="34"/>
      <c r="P3" s="34"/>
      <c r="Q3" s="34"/>
      <c r="R3" s="34"/>
      <c r="S3" s="34"/>
      <c r="T3" s="34"/>
      <c r="U3" s="34"/>
      <c r="V3" s="34"/>
      <c r="W3" s="34"/>
      <c r="X3" s="34"/>
      <c r="Y3" s="34"/>
      <c r="Z3" s="34"/>
    </row>
    <row r="4">
      <c r="A4" s="36" t="s">
        <v>9</v>
      </c>
      <c r="B4" s="39" t="s">
        <v>76</v>
      </c>
      <c r="C4" s="34"/>
      <c r="D4" s="34"/>
      <c r="E4" s="10" t="s">
        <v>8</v>
      </c>
      <c r="F4" s="8">
        <f>COUNTIF(Fahad!K8:K1005, "Medium")</f>
        <v>5</v>
      </c>
      <c r="G4" s="34"/>
      <c r="H4" s="34"/>
      <c r="I4" s="34"/>
      <c r="J4" s="34"/>
      <c r="K4" s="34"/>
      <c r="L4" s="34"/>
      <c r="M4" s="34"/>
      <c r="N4" s="34"/>
      <c r="O4" s="34"/>
      <c r="P4" s="34"/>
      <c r="Q4" s="34"/>
      <c r="R4" s="34"/>
      <c r="S4" s="34"/>
      <c r="T4" s="34"/>
      <c r="U4" s="34"/>
      <c r="V4" s="34"/>
      <c r="W4" s="34"/>
      <c r="X4" s="34"/>
      <c r="Y4" s="34"/>
      <c r="Z4" s="34"/>
    </row>
    <row r="5">
      <c r="A5" s="36" t="s">
        <v>12</v>
      </c>
      <c r="B5" s="40" t="s">
        <v>77</v>
      </c>
      <c r="C5" s="34"/>
      <c r="D5" s="34"/>
      <c r="E5" s="12" t="s">
        <v>11</v>
      </c>
      <c r="F5" s="8">
        <f>COUNTIF(Tahsin!K13:K1008, "Low")</f>
        <v>1</v>
      </c>
      <c r="G5" s="34"/>
      <c r="H5" s="34"/>
      <c r="I5" s="34"/>
      <c r="J5" s="34"/>
      <c r="K5" s="34"/>
      <c r="L5" s="34"/>
      <c r="M5" s="34"/>
      <c r="N5" s="34"/>
      <c r="O5" s="34"/>
      <c r="P5" s="34"/>
      <c r="Q5" s="34"/>
      <c r="R5" s="34"/>
      <c r="S5" s="34"/>
      <c r="T5" s="34"/>
      <c r="U5" s="34"/>
      <c r="V5" s="34"/>
      <c r="W5" s="34"/>
      <c r="X5" s="34"/>
      <c r="Y5" s="34"/>
      <c r="Z5" s="34"/>
    </row>
    <row r="6">
      <c r="A6" s="41" t="s">
        <v>78</v>
      </c>
      <c r="B6" s="40" t="s">
        <v>79</v>
      </c>
      <c r="C6" s="34"/>
      <c r="D6" s="34"/>
      <c r="E6" s="34"/>
      <c r="F6" s="34"/>
      <c r="G6" s="34"/>
      <c r="H6" s="34"/>
      <c r="I6" s="34"/>
      <c r="J6" s="34"/>
      <c r="K6" s="34"/>
      <c r="L6" s="34"/>
      <c r="M6" s="34"/>
      <c r="N6" s="34"/>
      <c r="O6" s="34"/>
      <c r="P6" s="34"/>
      <c r="Q6" s="34"/>
      <c r="R6" s="34"/>
      <c r="S6" s="34"/>
      <c r="T6" s="34"/>
      <c r="U6" s="34"/>
      <c r="V6" s="34"/>
      <c r="W6" s="34"/>
      <c r="X6" s="34"/>
      <c r="Y6" s="34"/>
      <c r="Z6" s="34"/>
    </row>
    <row r="7">
      <c r="A7" s="34"/>
      <c r="B7" s="34"/>
      <c r="C7" s="34"/>
      <c r="D7" s="34"/>
      <c r="E7" s="34"/>
      <c r="F7" s="34"/>
      <c r="G7" s="34"/>
      <c r="H7" s="34"/>
      <c r="I7" s="34"/>
      <c r="J7" s="34"/>
      <c r="K7" s="34"/>
      <c r="L7" s="34"/>
      <c r="M7" s="34"/>
      <c r="N7" s="34"/>
      <c r="O7" s="34"/>
      <c r="P7" s="34"/>
      <c r="Q7" s="34"/>
      <c r="R7" s="34"/>
      <c r="S7" s="34"/>
      <c r="T7" s="34"/>
      <c r="U7" s="34"/>
      <c r="V7" s="34"/>
      <c r="W7" s="34"/>
      <c r="X7" s="34"/>
      <c r="Y7" s="34"/>
      <c r="Z7" s="34"/>
    </row>
    <row r="8">
      <c r="A8" s="42" t="s">
        <v>80</v>
      </c>
      <c r="B8" s="42" t="s">
        <v>17</v>
      </c>
      <c r="C8" s="42" t="s">
        <v>18</v>
      </c>
      <c r="D8" s="42" t="s">
        <v>19</v>
      </c>
      <c r="E8" s="42" t="s">
        <v>20</v>
      </c>
      <c r="F8" s="42" t="s">
        <v>21</v>
      </c>
      <c r="G8" s="42" t="s">
        <v>22</v>
      </c>
      <c r="H8" s="42" t="s">
        <v>23</v>
      </c>
      <c r="I8" s="42" t="s">
        <v>24</v>
      </c>
      <c r="J8" s="42" t="s">
        <v>25</v>
      </c>
      <c r="K8" s="42" t="s">
        <v>2</v>
      </c>
      <c r="L8" s="42" t="s">
        <v>26</v>
      </c>
      <c r="M8" s="42" t="s">
        <v>27</v>
      </c>
      <c r="N8" s="42" t="s">
        <v>29</v>
      </c>
      <c r="O8" s="43"/>
      <c r="P8" s="43"/>
      <c r="Q8" s="43"/>
      <c r="R8" s="43"/>
      <c r="S8" s="43"/>
      <c r="T8" s="43"/>
      <c r="U8" s="43"/>
      <c r="V8" s="43"/>
      <c r="W8" s="43"/>
      <c r="X8" s="43"/>
      <c r="Y8" s="43"/>
      <c r="Z8" s="43"/>
    </row>
    <row r="9">
      <c r="A9" s="44" t="s">
        <v>81</v>
      </c>
      <c r="B9" s="45" t="s">
        <v>82</v>
      </c>
      <c r="C9" s="45" t="s">
        <v>82</v>
      </c>
      <c r="D9" s="44" t="s">
        <v>83</v>
      </c>
      <c r="E9" s="44" t="s">
        <v>84</v>
      </c>
      <c r="F9" s="46" t="s">
        <v>85</v>
      </c>
      <c r="G9" s="44" t="s">
        <v>86</v>
      </c>
      <c r="H9" s="44" t="s">
        <v>87</v>
      </c>
      <c r="I9" s="44" t="s">
        <v>88</v>
      </c>
      <c r="J9" s="44" t="s">
        <v>89</v>
      </c>
      <c r="K9" s="44" t="s">
        <v>11</v>
      </c>
      <c r="L9" s="47" t="s">
        <v>90</v>
      </c>
      <c r="M9" s="44"/>
      <c r="N9" s="44"/>
      <c r="O9" s="48"/>
      <c r="P9" s="48"/>
      <c r="Q9" s="48"/>
      <c r="R9" s="48"/>
      <c r="S9" s="48"/>
      <c r="T9" s="48"/>
      <c r="U9" s="48"/>
      <c r="V9" s="48"/>
      <c r="W9" s="48"/>
      <c r="X9" s="48"/>
      <c r="Y9" s="48"/>
      <c r="Z9" s="48"/>
    </row>
    <row r="10">
      <c r="A10" s="48"/>
      <c r="B10" s="48"/>
      <c r="C10" s="48"/>
      <c r="D10" s="48"/>
      <c r="E10" s="48"/>
      <c r="F10" s="49"/>
      <c r="G10" s="48"/>
      <c r="H10" s="48"/>
      <c r="I10" s="48"/>
      <c r="J10" s="48"/>
      <c r="K10" s="48"/>
      <c r="L10" s="48"/>
      <c r="M10" s="48"/>
      <c r="N10" s="48"/>
      <c r="O10" s="48"/>
      <c r="P10" s="48"/>
      <c r="Q10" s="48"/>
      <c r="R10" s="48"/>
      <c r="S10" s="48"/>
      <c r="T10" s="48"/>
      <c r="U10" s="48"/>
      <c r="V10" s="48"/>
      <c r="W10" s="48"/>
      <c r="X10" s="48"/>
      <c r="Y10" s="48"/>
      <c r="Z10" s="48"/>
    </row>
    <row r="11">
      <c r="A11" s="45" t="s">
        <v>91</v>
      </c>
      <c r="B11" s="45" t="s">
        <v>82</v>
      </c>
      <c r="C11" s="45" t="s">
        <v>82</v>
      </c>
      <c r="D11" s="45" t="s">
        <v>92</v>
      </c>
      <c r="E11" s="45" t="s">
        <v>84</v>
      </c>
      <c r="F11" s="50" t="s">
        <v>85</v>
      </c>
      <c r="G11" s="45" t="s">
        <v>93</v>
      </c>
      <c r="H11" s="45" t="s">
        <v>94</v>
      </c>
      <c r="I11" s="45" t="s">
        <v>95</v>
      </c>
      <c r="J11" s="45" t="s">
        <v>89</v>
      </c>
      <c r="K11" s="45" t="s">
        <v>8</v>
      </c>
      <c r="L11" s="51" t="s">
        <v>96</v>
      </c>
      <c r="M11" s="45"/>
      <c r="N11" s="45"/>
      <c r="O11" s="48"/>
      <c r="P11" s="48"/>
      <c r="Q11" s="48"/>
      <c r="R11" s="48"/>
      <c r="S11" s="48"/>
      <c r="T11" s="48"/>
      <c r="U11" s="48"/>
      <c r="V11" s="48"/>
      <c r="W11" s="48"/>
      <c r="X11" s="48"/>
      <c r="Y11" s="48"/>
      <c r="Z11" s="48"/>
    </row>
    <row r="12">
      <c r="A12" s="48"/>
      <c r="B12" s="48"/>
      <c r="C12" s="48"/>
      <c r="D12" s="48"/>
      <c r="E12" s="48"/>
      <c r="F12" s="49"/>
      <c r="G12" s="48"/>
      <c r="H12" s="48"/>
      <c r="I12" s="48"/>
      <c r="J12" s="48"/>
      <c r="K12" s="48"/>
      <c r="L12" s="48"/>
      <c r="M12" s="48"/>
      <c r="N12" s="48"/>
      <c r="O12" s="48"/>
      <c r="P12" s="48"/>
      <c r="Q12" s="48"/>
      <c r="R12" s="48"/>
      <c r="S12" s="48"/>
      <c r="T12" s="48"/>
      <c r="U12" s="48"/>
      <c r="V12" s="48"/>
      <c r="W12" s="48"/>
      <c r="X12" s="48"/>
      <c r="Y12" s="48"/>
      <c r="Z12" s="48"/>
    </row>
    <row r="13">
      <c r="A13" s="45" t="s">
        <v>97</v>
      </c>
      <c r="B13" s="45" t="s">
        <v>82</v>
      </c>
      <c r="C13" s="45" t="s">
        <v>82</v>
      </c>
      <c r="D13" s="45" t="s">
        <v>98</v>
      </c>
      <c r="E13" s="45" t="s">
        <v>84</v>
      </c>
      <c r="F13" s="50" t="s">
        <v>99</v>
      </c>
      <c r="G13" s="45" t="s">
        <v>93</v>
      </c>
      <c r="H13" s="45" t="s">
        <v>100</v>
      </c>
      <c r="I13" s="45" t="s">
        <v>101</v>
      </c>
      <c r="J13" s="45" t="s">
        <v>89</v>
      </c>
      <c r="K13" s="45" t="s">
        <v>8</v>
      </c>
      <c r="L13" s="52" t="s">
        <v>102</v>
      </c>
      <c r="M13" s="45" t="s">
        <v>103</v>
      </c>
      <c r="N13" s="45"/>
      <c r="O13" s="48"/>
      <c r="P13" s="48"/>
      <c r="Q13" s="48"/>
      <c r="R13" s="48"/>
      <c r="S13" s="48"/>
      <c r="T13" s="48"/>
      <c r="U13" s="48"/>
      <c r="V13" s="48"/>
      <c r="W13" s="48"/>
      <c r="X13" s="48"/>
      <c r="Y13" s="48"/>
      <c r="Z13" s="48"/>
    </row>
    <row r="14">
      <c r="A14" s="48"/>
      <c r="B14" s="48"/>
      <c r="C14" s="48"/>
      <c r="D14" s="48"/>
      <c r="E14" s="48"/>
      <c r="F14" s="49"/>
      <c r="G14" s="48"/>
      <c r="H14" s="48"/>
      <c r="I14" s="48"/>
      <c r="J14" s="48"/>
      <c r="K14" s="48"/>
      <c r="L14" s="48"/>
      <c r="M14" s="48"/>
      <c r="N14" s="48"/>
      <c r="O14" s="48"/>
      <c r="P14" s="48"/>
      <c r="Q14" s="48"/>
      <c r="R14" s="48"/>
      <c r="S14" s="48"/>
      <c r="T14" s="48"/>
      <c r="U14" s="48"/>
      <c r="V14" s="48"/>
      <c r="W14" s="48"/>
      <c r="X14" s="48"/>
      <c r="Y14" s="48"/>
      <c r="Z14" s="48"/>
    </row>
    <row r="15">
      <c r="A15" s="45" t="s">
        <v>104</v>
      </c>
      <c r="B15" s="45" t="s">
        <v>82</v>
      </c>
      <c r="C15" s="45" t="s">
        <v>82</v>
      </c>
      <c r="D15" s="45" t="s">
        <v>105</v>
      </c>
      <c r="E15" s="45" t="s">
        <v>84</v>
      </c>
      <c r="F15" s="50" t="s">
        <v>99</v>
      </c>
      <c r="G15" s="45" t="s">
        <v>93</v>
      </c>
      <c r="H15" s="45" t="s">
        <v>106</v>
      </c>
      <c r="I15" s="45" t="s">
        <v>107</v>
      </c>
      <c r="J15" s="45" t="s">
        <v>89</v>
      </c>
      <c r="K15" s="45" t="s">
        <v>6</v>
      </c>
      <c r="L15" s="51" t="s">
        <v>108</v>
      </c>
      <c r="M15" s="53" t="s">
        <v>109</v>
      </c>
      <c r="N15" s="45"/>
      <c r="O15" s="48"/>
      <c r="P15" s="48"/>
      <c r="Q15" s="48"/>
      <c r="R15" s="48"/>
      <c r="S15" s="48"/>
      <c r="T15" s="48"/>
      <c r="U15" s="48"/>
      <c r="V15" s="48"/>
      <c r="W15" s="48"/>
      <c r="X15" s="48"/>
      <c r="Y15" s="48"/>
      <c r="Z15" s="48"/>
    </row>
    <row r="16">
      <c r="A16" s="48"/>
      <c r="B16" s="48"/>
      <c r="C16" s="48"/>
      <c r="D16" s="48"/>
      <c r="E16" s="48"/>
      <c r="F16" s="49"/>
      <c r="G16" s="48"/>
      <c r="H16" s="48"/>
      <c r="I16" s="48"/>
      <c r="J16" s="48"/>
      <c r="K16" s="48"/>
      <c r="L16" s="48"/>
      <c r="M16" s="48"/>
      <c r="N16" s="48"/>
      <c r="O16" s="48"/>
      <c r="P16" s="48"/>
      <c r="Q16" s="48"/>
      <c r="R16" s="48"/>
      <c r="S16" s="48"/>
      <c r="T16" s="48"/>
      <c r="U16" s="48"/>
      <c r="V16" s="48"/>
      <c r="W16" s="48"/>
      <c r="X16" s="48"/>
      <c r="Y16" s="48"/>
      <c r="Z16" s="48"/>
    </row>
    <row r="17">
      <c r="A17" s="45" t="s">
        <v>110</v>
      </c>
      <c r="B17" s="45" t="s">
        <v>82</v>
      </c>
      <c r="C17" s="45" t="s">
        <v>82</v>
      </c>
      <c r="D17" s="45" t="s">
        <v>111</v>
      </c>
      <c r="E17" s="45" t="s">
        <v>84</v>
      </c>
      <c r="F17" s="50" t="s">
        <v>99</v>
      </c>
      <c r="G17" s="45" t="s">
        <v>93</v>
      </c>
      <c r="H17" s="45" t="s">
        <v>112</v>
      </c>
      <c r="I17" s="45" t="s">
        <v>113</v>
      </c>
      <c r="J17" s="45" t="s">
        <v>89</v>
      </c>
      <c r="K17" s="45" t="s">
        <v>6</v>
      </c>
      <c r="L17" s="51" t="s">
        <v>114</v>
      </c>
      <c r="M17" s="54"/>
      <c r="N17" s="45"/>
      <c r="O17" s="48"/>
      <c r="P17" s="48"/>
      <c r="Q17" s="48"/>
      <c r="R17" s="48"/>
      <c r="S17" s="48"/>
      <c r="T17" s="48"/>
      <c r="U17" s="48"/>
      <c r="V17" s="48"/>
      <c r="W17" s="48"/>
      <c r="X17" s="48"/>
      <c r="Y17" s="48"/>
      <c r="Z17" s="48"/>
    </row>
    <row r="18">
      <c r="A18" s="48"/>
      <c r="B18" s="48"/>
      <c r="C18" s="48"/>
      <c r="D18" s="48"/>
      <c r="E18" s="48"/>
      <c r="F18" s="49"/>
      <c r="G18" s="48"/>
      <c r="H18" s="48"/>
      <c r="I18" s="48"/>
      <c r="J18" s="48"/>
      <c r="K18" s="48"/>
      <c r="L18" s="48"/>
      <c r="M18" s="48"/>
      <c r="N18" s="48"/>
      <c r="O18" s="48"/>
      <c r="P18" s="48"/>
      <c r="Q18" s="48"/>
      <c r="R18" s="48"/>
      <c r="S18" s="48"/>
      <c r="T18" s="48"/>
      <c r="U18" s="48"/>
      <c r="V18" s="48"/>
      <c r="W18" s="48"/>
      <c r="X18" s="48"/>
      <c r="Y18" s="48"/>
      <c r="Z18" s="48"/>
    </row>
    <row r="19">
      <c r="A19" s="45" t="s">
        <v>115</v>
      </c>
      <c r="B19" s="45" t="s">
        <v>82</v>
      </c>
      <c r="C19" s="45" t="s">
        <v>82</v>
      </c>
      <c r="D19" s="45" t="s">
        <v>116</v>
      </c>
      <c r="E19" s="45" t="s">
        <v>84</v>
      </c>
      <c r="F19" s="50" t="s">
        <v>85</v>
      </c>
      <c r="G19" s="45" t="s">
        <v>86</v>
      </c>
      <c r="H19" s="45" t="s">
        <v>117</v>
      </c>
      <c r="I19" s="45" t="s">
        <v>118</v>
      </c>
      <c r="J19" s="45" t="s">
        <v>89</v>
      </c>
      <c r="K19" s="45" t="s">
        <v>11</v>
      </c>
      <c r="L19" s="51" t="s">
        <v>119</v>
      </c>
      <c r="M19" s="54"/>
      <c r="N19" s="45"/>
      <c r="O19" s="48"/>
      <c r="P19" s="48"/>
      <c r="Q19" s="48"/>
      <c r="R19" s="48"/>
      <c r="S19" s="48"/>
      <c r="T19" s="48"/>
      <c r="U19" s="48"/>
      <c r="V19" s="48"/>
      <c r="W19" s="48"/>
      <c r="X19" s="48"/>
      <c r="Y19" s="48"/>
      <c r="Z19" s="48"/>
    </row>
    <row r="20">
      <c r="A20" s="48"/>
      <c r="B20" s="48"/>
      <c r="C20" s="48"/>
      <c r="D20" s="48"/>
      <c r="E20" s="48"/>
      <c r="F20" s="49"/>
      <c r="G20" s="48"/>
      <c r="H20" s="48"/>
      <c r="I20" s="48"/>
      <c r="J20" s="48"/>
      <c r="K20" s="48"/>
      <c r="L20" s="48"/>
      <c r="M20" s="48"/>
      <c r="N20" s="48"/>
      <c r="O20" s="48"/>
      <c r="P20" s="48"/>
      <c r="Q20" s="48"/>
      <c r="R20" s="48"/>
      <c r="S20" s="48"/>
      <c r="T20" s="48"/>
      <c r="U20" s="48"/>
      <c r="V20" s="48"/>
      <c r="W20" s="48"/>
      <c r="X20" s="48"/>
      <c r="Y20" s="48"/>
      <c r="Z20" s="48"/>
    </row>
    <row r="21">
      <c r="A21" s="45" t="s">
        <v>120</v>
      </c>
      <c r="B21" s="45" t="s">
        <v>82</v>
      </c>
      <c r="C21" s="45" t="s">
        <v>82</v>
      </c>
      <c r="D21" s="45" t="s">
        <v>121</v>
      </c>
      <c r="E21" s="45" t="s">
        <v>84</v>
      </c>
      <c r="F21" s="50" t="s">
        <v>85</v>
      </c>
      <c r="G21" s="45" t="s">
        <v>86</v>
      </c>
      <c r="H21" s="45" t="s">
        <v>122</v>
      </c>
      <c r="I21" s="45" t="s">
        <v>123</v>
      </c>
      <c r="J21" s="45" t="s">
        <v>89</v>
      </c>
      <c r="K21" s="45" t="s">
        <v>6</v>
      </c>
      <c r="L21" s="51" t="s">
        <v>124</v>
      </c>
      <c r="M21" s="54"/>
      <c r="N21" s="45"/>
      <c r="O21" s="48"/>
      <c r="P21" s="48"/>
      <c r="Q21" s="48"/>
      <c r="R21" s="48"/>
      <c r="S21" s="48"/>
      <c r="T21" s="48"/>
      <c r="U21" s="48"/>
      <c r="V21" s="48"/>
      <c r="W21" s="48"/>
      <c r="X21" s="48"/>
      <c r="Y21" s="48"/>
      <c r="Z21" s="48"/>
    </row>
    <row r="22">
      <c r="A22" s="48"/>
      <c r="B22" s="48"/>
      <c r="C22" s="48"/>
      <c r="D22" s="48"/>
      <c r="E22" s="48"/>
      <c r="F22" s="49"/>
      <c r="G22" s="48"/>
      <c r="H22" s="48"/>
      <c r="I22" s="48"/>
      <c r="J22" s="48"/>
      <c r="K22" s="48"/>
      <c r="L22" s="48"/>
      <c r="M22" s="48"/>
      <c r="N22" s="48"/>
      <c r="O22" s="48"/>
      <c r="P22" s="48"/>
      <c r="Q22" s="48"/>
      <c r="R22" s="48"/>
      <c r="S22" s="48"/>
      <c r="T22" s="48"/>
      <c r="U22" s="48"/>
      <c r="V22" s="48"/>
      <c r="W22" s="48"/>
      <c r="X22" s="48"/>
      <c r="Y22" s="48"/>
      <c r="Z22" s="48"/>
    </row>
    <row r="23">
      <c r="A23" s="45" t="s">
        <v>125</v>
      </c>
      <c r="B23" s="45" t="s">
        <v>82</v>
      </c>
      <c r="C23" s="45" t="s">
        <v>82</v>
      </c>
      <c r="D23" s="45" t="s">
        <v>126</v>
      </c>
      <c r="E23" s="45" t="s">
        <v>84</v>
      </c>
      <c r="F23" s="50" t="s">
        <v>85</v>
      </c>
      <c r="G23" s="45" t="s">
        <v>93</v>
      </c>
      <c r="H23" s="45" t="s">
        <v>127</v>
      </c>
      <c r="I23" s="45" t="s">
        <v>128</v>
      </c>
      <c r="J23" s="45" t="s">
        <v>89</v>
      </c>
      <c r="K23" s="45" t="s">
        <v>6</v>
      </c>
      <c r="L23" s="51" t="s">
        <v>129</v>
      </c>
      <c r="M23" s="54"/>
      <c r="N23" s="45"/>
      <c r="O23" s="48"/>
      <c r="P23" s="48"/>
      <c r="Q23" s="48"/>
      <c r="R23" s="48"/>
      <c r="S23" s="48"/>
      <c r="T23" s="48"/>
      <c r="U23" s="48"/>
      <c r="V23" s="48"/>
      <c r="W23" s="48"/>
      <c r="X23" s="48"/>
      <c r="Y23" s="48"/>
      <c r="Z23" s="48"/>
    </row>
    <row r="24">
      <c r="A24" s="48"/>
      <c r="B24" s="48"/>
      <c r="C24" s="48"/>
      <c r="D24" s="48"/>
      <c r="E24" s="48"/>
      <c r="F24" s="49"/>
      <c r="G24" s="48"/>
      <c r="H24" s="48"/>
      <c r="I24" s="48"/>
      <c r="J24" s="48"/>
      <c r="K24" s="48"/>
      <c r="L24" s="48"/>
      <c r="M24" s="48"/>
      <c r="N24" s="48"/>
      <c r="O24" s="48"/>
      <c r="P24" s="48"/>
      <c r="Q24" s="48"/>
      <c r="R24" s="48"/>
      <c r="S24" s="48"/>
      <c r="T24" s="48"/>
      <c r="U24" s="48"/>
      <c r="V24" s="48"/>
      <c r="W24" s="48"/>
      <c r="X24" s="48"/>
      <c r="Y24" s="48"/>
      <c r="Z24" s="48"/>
    </row>
    <row r="25">
      <c r="A25" s="45" t="s">
        <v>130</v>
      </c>
      <c r="B25" s="45" t="s">
        <v>131</v>
      </c>
      <c r="C25" s="45" t="s">
        <v>131</v>
      </c>
      <c r="D25" s="45" t="s">
        <v>132</v>
      </c>
      <c r="E25" s="45" t="s">
        <v>84</v>
      </c>
      <c r="F25" s="50" t="s">
        <v>133</v>
      </c>
      <c r="G25" s="45" t="s">
        <v>93</v>
      </c>
      <c r="H25" s="45" t="s">
        <v>134</v>
      </c>
      <c r="I25" s="45" t="s">
        <v>135</v>
      </c>
      <c r="J25" s="45" t="s">
        <v>89</v>
      </c>
      <c r="K25" s="45" t="s">
        <v>6</v>
      </c>
      <c r="L25" s="51" t="s">
        <v>136</v>
      </c>
      <c r="M25" s="45" t="s">
        <v>137</v>
      </c>
      <c r="N25" s="54"/>
      <c r="O25" s="48"/>
      <c r="P25" s="48"/>
      <c r="Q25" s="48"/>
      <c r="R25" s="48"/>
      <c r="S25" s="48"/>
      <c r="T25" s="48"/>
      <c r="U25" s="48"/>
      <c r="V25" s="48"/>
      <c r="W25" s="48"/>
      <c r="X25" s="48"/>
      <c r="Y25" s="48"/>
      <c r="Z25" s="48"/>
    </row>
    <row r="26">
      <c r="A26" s="48"/>
      <c r="B26" s="48"/>
      <c r="C26" s="48"/>
      <c r="D26" s="48"/>
      <c r="E26" s="48"/>
      <c r="F26" s="49"/>
      <c r="G26" s="48"/>
      <c r="H26" s="48"/>
      <c r="I26" s="48"/>
      <c r="J26" s="48"/>
      <c r="K26" s="48"/>
      <c r="L26" s="48"/>
      <c r="M26" s="48"/>
      <c r="N26" s="48"/>
      <c r="O26" s="48"/>
      <c r="P26" s="48"/>
      <c r="Q26" s="48"/>
      <c r="R26" s="48"/>
      <c r="S26" s="48"/>
      <c r="T26" s="48"/>
      <c r="U26" s="48"/>
      <c r="V26" s="48"/>
      <c r="W26" s="48"/>
      <c r="X26" s="48"/>
      <c r="Y26" s="48"/>
      <c r="Z26" s="48"/>
    </row>
    <row r="27">
      <c r="A27" s="45" t="s">
        <v>138</v>
      </c>
      <c r="B27" s="45" t="s">
        <v>139</v>
      </c>
      <c r="C27" s="45" t="s">
        <v>139</v>
      </c>
      <c r="D27" s="45" t="s">
        <v>140</v>
      </c>
      <c r="E27" s="45" t="s">
        <v>84</v>
      </c>
      <c r="F27" s="50" t="s">
        <v>141</v>
      </c>
      <c r="G27" s="45" t="s">
        <v>93</v>
      </c>
      <c r="H27" s="45" t="s">
        <v>142</v>
      </c>
      <c r="I27" s="45" t="s">
        <v>143</v>
      </c>
      <c r="J27" s="45" t="s">
        <v>89</v>
      </c>
      <c r="K27" s="45" t="s">
        <v>6</v>
      </c>
      <c r="L27" s="52" t="s">
        <v>144</v>
      </c>
      <c r="M27" s="54"/>
      <c r="N27" s="54"/>
      <c r="O27" s="48"/>
      <c r="P27" s="48"/>
      <c r="Q27" s="48"/>
      <c r="R27" s="48"/>
      <c r="S27" s="48"/>
      <c r="T27" s="48"/>
      <c r="U27" s="48"/>
      <c r="V27" s="48"/>
      <c r="W27" s="48"/>
      <c r="X27" s="48"/>
      <c r="Y27" s="48"/>
      <c r="Z27" s="48"/>
    </row>
    <row r="28">
      <c r="A28" s="55"/>
      <c r="B28" s="55"/>
      <c r="C28" s="55"/>
      <c r="D28" s="55"/>
      <c r="E28" s="55"/>
      <c r="F28" s="56"/>
      <c r="G28" s="55"/>
      <c r="H28" s="55"/>
      <c r="I28" s="55"/>
      <c r="J28" s="55"/>
      <c r="K28" s="55"/>
      <c r="L28" s="55"/>
      <c r="M28" s="55"/>
      <c r="N28" s="55"/>
      <c r="O28" s="55"/>
      <c r="P28" s="55"/>
      <c r="Q28" s="55"/>
      <c r="R28" s="55"/>
      <c r="S28" s="55"/>
      <c r="T28" s="55"/>
      <c r="U28" s="55"/>
      <c r="V28" s="55"/>
      <c r="W28" s="55"/>
      <c r="X28" s="55"/>
      <c r="Y28" s="55"/>
      <c r="Z28" s="55"/>
    </row>
    <row r="29">
      <c r="A29" s="45" t="s">
        <v>145</v>
      </c>
      <c r="B29" s="54" t="s">
        <v>146</v>
      </c>
      <c r="C29" s="54" t="s">
        <v>147</v>
      </c>
      <c r="D29" s="45" t="s">
        <v>148</v>
      </c>
      <c r="E29" s="45" t="s">
        <v>84</v>
      </c>
      <c r="F29" s="50" t="s">
        <v>149</v>
      </c>
      <c r="G29" s="45" t="s">
        <v>150</v>
      </c>
      <c r="H29" s="45" t="s">
        <v>151</v>
      </c>
      <c r="I29" s="45" t="s">
        <v>152</v>
      </c>
      <c r="J29" s="45" t="s">
        <v>89</v>
      </c>
      <c r="K29" s="45" t="s">
        <v>6</v>
      </c>
      <c r="L29" s="51" t="s">
        <v>153</v>
      </c>
      <c r="M29" s="54"/>
      <c r="N29" s="54"/>
      <c r="O29" s="48"/>
      <c r="P29" s="48"/>
      <c r="Q29" s="48"/>
      <c r="R29" s="48"/>
      <c r="S29" s="48"/>
      <c r="T29" s="48"/>
      <c r="U29" s="48"/>
      <c r="V29" s="48"/>
      <c r="W29" s="48"/>
      <c r="X29" s="48"/>
      <c r="Y29" s="48"/>
      <c r="Z29" s="48"/>
    </row>
    <row r="30">
      <c r="A30" s="55"/>
      <c r="B30" s="55"/>
      <c r="C30" s="55"/>
      <c r="D30" s="55"/>
      <c r="E30" s="55"/>
      <c r="F30" s="56"/>
      <c r="G30" s="55"/>
      <c r="H30" s="55"/>
      <c r="I30" s="55"/>
      <c r="J30" s="55"/>
      <c r="K30" s="55"/>
      <c r="L30" s="55"/>
      <c r="M30" s="55"/>
      <c r="N30" s="55"/>
      <c r="O30" s="55"/>
      <c r="P30" s="55"/>
      <c r="Q30" s="55"/>
      <c r="R30" s="55"/>
      <c r="S30" s="55"/>
      <c r="T30" s="55"/>
      <c r="U30" s="55"/>
      <c r="V30" s="55"/>
      <c r="W30" s="55"/>
      <c r="X30" s="55"/>
      <c r="Y30" s="55"/>
      <c r="Z30" s="55"/>
    </row>
    <row r="31">
      <c r="A31" s="45" t="s">
        <v>154</v>
      </c>
      <c r="B31" s="45" t="s">
        <v>155</v>
      </c>
      <c r="C31" s="45" t="s">
        <v>155</v>
      </c>
      <c r="D31" s="45" t="s">
        <v>156</v>
      </c>
      <c r="E31" s="45" t="s">
        <v>84</v>
      </c>
      <c r="F31" s="50" t="s">
        <v>157</v>
      </c>
      <c r="G31" s="45" t="s">
        <v>150</v>
      </c>
      <c r="H31" s="45" t="s">
        <v>158</v>
      </c>
      <c r="I31" s="45" t="s">
        <v>159</v>
      </c>
      <c r="J31" s="45" t="s">
        <v>89</v>
      </c>
      <c r="K31" s="45" t="s">
        <v>8</v>
      </c>
      <c r="L31" s="51" t="s">
        <v>160</v>
      </c>
      <c r="M31" s="57"/>
      <c r="N31" s="57"/>
      <c r="O31" s="55"/>
      <c r="P31" s="55"/>
      <c r="Q31" s="55"/>
      <c r="R31" s="55"/>
      <c r="S31" s="55"/>
      <c r="T31" s="55"/>
      <c r="U31" s="55"/>
      <c r="V31" s="55"/>
      <c r="W31" s="55"/>
      <c r="X31" s="55"/>
      <c r="Y31" s="55"/>
      <c r="Z31" s="55"/>
    </row>
    <row r="32">
      <c r="A32" s="55"/>
      <c r="B32" s="55"/>
      <c r="C32" s="55"/>
      <c r="D32" s="55"/>
      <c r="E32" s="55"/>
      <c r="F32" s="56"/>
      <c r="G32" s="55"/>
      <c r="H32" s="55"/>
      <c r="I32" s="55"/>
      <c r="J32" s="55"/>
      <c r="K32" s="55"/>
      <c r="L32" s="55"/>
      <c r="M32" s="55"/>
      <c r="N32" s="55"/>
      <c r="O32" s="55"/>
      <c r="P32" s="55"/>
      <c r="Q32" s="55"/>
      <c r="R32" s="55"/>
      <c r="S32" s="55"/>
      <c r="T32" s="55"/>
      <c r="U32" s="55"/>
      <c r="V32" s="55"/>
      <c r="W32" s="55"/>
      <c r="X32" s="55"/>
      <c r="Y32" s="55"/>
      <c r="Z32" s="55"/>
    </row>
    <row r="33">
      <c r="A33" s="45" t="s">
        <v>161</v>
      </c>
      <c r="B33" s="45" t="s">
        <v>155</v>
      </c>
      <c r="C33" s="45" t="s">
        <v>155</v>
      </c>
      <c r="D33" s="45" t="s">
        <v>162</v>
      </c>
      <c r="E33" s="45" t="s">
        <v>84</v>
      </c>
      <c r="F33" s="50" t="s">
        <v>157</v>
      </c>
      <c r="G33" s="45" t="s">
        <v>150</v>
      </c>
      <c r="H33" s="45" t="s">
        <v>163</v>
      </c>
      <c r="I33" s="45" t="s">
        <v>164</v>
      </c>
      <c r="J33" s="45" t="s">
        <v>89</v>
      </c>
      <c r="K33" s="45" t="s">
        <v>6</v>
      </c>
      <c r="L33" s="51" t="s">
        <v>165</v>
      </c>
      <c r="M33" s="57"/>
      <c r="N33" s="57"/>
      <c r="O33" s="55"/>
      <c r="P33" s="55"/>
      <c r="Q33" s="55"/>
      <c r="R33" s="55"/>
      <c r="S33" s="55"/>
      <c r="T33" s="55"/>
      <c r="U33" s="55"/>
      <c r="V33" s="55"/>
      <c r="W33" s="55"/>
      <c r="X33" s="55"/>
      <c r="Y33" s="55"/>
      <c r="Z33" s="55"/>
    </row>
    <row r="34">
      <c r="A34" s="55"/>
      <c r="B34" s="55"/>
      <c r="C34" s="55"/>
      <c r="D34" s="55"/>
      <c r="E34" s="55"/>
      <c r="F34" s="56"/>
      <c r="G34" s="55"/>
      <c r="H34" s="55"/>
      <c r="I34" s="55"/>
      <c r="J34" s="55"/>
      <c r="K34" s="55"/>
      <c r="L34" s="55"/>
      <c r="M34" s="55"/>
      <c r="N34" s="55"/>
      <c r="O34" s="55"/>
      <c r="P34" s="55"/>
      <c r="Q34" s="55"/>
      <c r="R34" s="55"/>
      <c r="S34" s="55"/>
      <c r="T34" s="55"/>
      <c r="U34" s="55"/>
      <c r="V34" s="55"/>
      <c r="W34" s="55"/>
      <c r="X34" s="55"/>
      <c r="Y34" s="55"/>
      <c r="Z34" s="55"/>
    </row>
    <row r="35">
      <c r="A35" s="45" t="s">
        <v>166</v>
      </c>
      <c r="B35" s="45" t="s">
        <v>167</v>
      </c>
      <c r="C35" s="45" t="s">
        <v>167</v>
      </c>
      <c r="D35" s="45" t="s">
        <v>168</v>
      </c>
      <c r="E35" s="45" t="s">
        <v>84</v>
      </c>
      <c r="F35" s="50" t="s">
        <v>169</v>
      </c>
      <c r="G35" s="45" t="s">
        <v>150</v>
      </c>
      <c r="H35" s="45" t="s">
        <v>170</v>
      </c>
      <c r="I35" s="45" t="s">
        <v>171</v>
      </c>
      <c r="J35" s="45" t="s">
        <v>89</v>
      </c>
      <c r="K35" s="45" t="s">
        <v>6</v>
      </c>
      <c r="L35" s="51" t="s">
        <v>172</v>
      </c>
      <c r="M35" s="57"/>
      <c r="N35" s="57"/>
      <c r="O35" s="55"/>
      <c r="P35" s="55"/>
      <c r="Q35" s="55"/>
      <c r="R35" s="55"/>
      <c r="S35" s="55"/>
      <c r="T35" s="55"/>
      <c r="U35" s="55"/>
      <c r="V35" s="55"/>
      <c r="W35" s="55"/>
      <c r="X35" s="55"/>
      <c r="Y35" s="55"/>
      <c r="Z35" s="55"/>
    </row>
    <row r="36">
      <c r="A36" s="55"/>
      <c r="B36" s="55"/>
      <c r="C36" s="55"/>
      <c r="D36" s="55"/>
      <c r="E36" s="55"/>
      <c r="F36" s="56"/>
      <c r="G36" s="55"/>
      <c r="H36" s="55"/>
      <c r="I36" s="55"/>
      <c r="J36" s="55"/>
      <c r="K36" s="55"/>
      <c r="L36" s="55"/>
      <c r="M36" s="55"/>
      <c r="N36" s="55"/>
      <c r="O36" s="55"/>
      <c r="P36" s="55"/>
      <c r="Q36" s="55"/>
      <c r="R36" s="55"/>
      <c r="S36" s="55"/>
      <c r="T36" s="55"/>
      <c r="U36" s="55"/>
      <c r="V36" s="55"/>
      <c r="W36" s="55"/>
      <c r="X36" s="55"/>
      <c r="Y36" s="55"/>
      <c r="Z36" s="55"/>
    </row>
    <row r="37">
      <c r="A37" s="45" t="s">
        <v>173</v>
      </c>
      <c r="B37" s="45" t="s">
        <v>174</v>
      </c>
      <c r="C37" s="45" t="s">
        <v>174</v>
      </c>
      <c r="D37" s="45" t="s">
        <v>175</v>
      </c>
      <c r="E37" s="45" t="s">
        <v>84</v>
      </c>
      <c r="F37" s="50" t="s">
        <v>169</v>
      </c>
      <c r="G37" s="45" t="s">
        <v>150</v>
      </c>
      <c r="H37" s="45" t="s">
        <v>176</v>
      </c>
      <c r="I37" s="45" t="s">
        <v>177</v>
      </c>
      <c r="J37" s="45" t="s">
        <v>89</v>
      </c>
      <c r="K37" s="45" t="s">
        <v>6</v>
      </c>
      <c r="L37" s="51" t="s">
        <v>178</v>
      </c>
      <c r="M37" s="57"/>
      <c r="N37" s="57"/>
      <c r="O37" s="55"/>
      <c r="P37" s="55"/>
      <c r="Q37" s="55"/>
      <c r="R37" s="55"/>
      <c r="S37" s="55"/>
      <c r="T37" s="55"/>
      <c r="U37" s="55"/>
      <c r="V37" s="55"/>
      <c r="W37" s="55"/>
      <c r="X37" s="55"/>
      <c r="Y37" s="55"/>
      <c r="Z37" s="55"/>
    </row>
    <row r="38">
      <c r="A38" s="55"/>
      <c r="B38" s="55"/>
      <c r="C38" s="55"/>
      <c r="D38" s="55"/>
      <c r="E38" s="55"/>
      <c r="F38" s="56"/>
      <c r="G38" s="55"/>
      <c r="H38" s="55"/>
      <c r="I38" s="55"/>
      <c r="J38" s="55"/>
      <c r="K38" s="55"/>
      <c r="L38" s="55"/>
      <c r="M38" s="55"/>
      <c r="N38" s="55"/>
      <c r="O38" s="55"/>
      <c r="P38" s="55"/>
      <c r="Q38" s="55"/>
      <c r="R38" s="55"/>
      <c r="S38" s="55"/>
      <c r="T38" s="55"/>
      <c r="U38" s="55"/>
      <c r="V38" s="55"/>
      <c r="W38" s="55"/>
      <c r="X38" s="55"/>
      <c r="Y38" s="55"/>
      <c r="Z38" s="55"/>
    </row>
    <row r="39">
      <c r="A39" s="45" t="s">
        <v>179</v>
      </c>
      <c r="B39" s="54" t="s">
        <v>146</v>
      </c>
      <c r="C39" s="54" t="s">
        <v>147</v>
      </c>
      <c r="D39" s="45" t="s">
        <v>180</v>
      </c>
      <c r="E39" s="45" t="s">
        <v>84</v>
      </c>
      <c r="F39" s="50" t="s">
        <v>149</v>
      </c>
      <c r="G39" s="45" t="s">
        <v>181</v>
      </c>
      <c r="H39" s="45" t="s">
        <v>182</v>
      </c>
      <c r="I39" s="45" t="s">
        <v>183</v>
      </c>
      <c r="J39" s="45" t="s">
        <v>89</v>
      </c>
      <c r="K39" s="45" t="s">
        <v>11</v>
      </c>
      <c r="L39" s="51" t="s">
        <v>184</v>
      </c>
      <c r="M39" s="57"/>
      <c r="N39" s="57"/>
      <c r="O39" s="55"/>
      <c r="P39" s="55"/>
      <c r="Q39" s="55"/>
      <c r="R39" s="55"/>
      <c r="S39" s="55"/>
      <c r="T39" s="55"/>
      <c r="U39" s="55"/>
      <c r="V39" s="55"/>
      <c r="W39" s="55"/>
      <c r="X39" s="55"/>
      <c r="Y39" s="55"/>
      <c r="Z39" s="55"/>
    </row>
    <row r="40">
      <c r="A40" s="55"/>
      <c r="B40" s="55"/>
      <c r="C40" s="55"/>
      <c r="D40" s="55"/>
      <c r="E40" s="55"/>
      <c r="F40" s="56"/>
      <c r="G40" s="55"/>
      <c r="H40" s="55"/>
      <c r="I40" s="55"/>
      <c r="J40" s="55"/>
      <c r="K40" s="55"/>
      <c r="L40" s="55"/>
      <c r="M40" s="55"/>
      <c r="N40" s="55"/>
      <c r="O40" s="55"/>
      <c r="P40" s="55"/>
      <c r="Q40" s="55"/>
      <c r="R40" s="55"/>
      <c r="S40" s="55"/>
      <c r="T40" s="55"/>
      <c r="U40" s="55"/>
      <c r="V40" s="55"/>
      <c r="W40" s="55"/>
      <c r="X40" s="55"/>
      <c r="Y40" s="55"/>
      <c r="Z40" s="55"/>
    </row>
    <row r="41">
      <c r="A41" s="45" t="s">
        <v>185</v>
      </c>
      <c r="B41" s="45" t="s">
        <v>155</v>
      </c>
      <c r="C41" s="45" t="s">
        <v>155</v>
      </c>
      <c r="D41" s="45" t="s">
        <v>186</v>
      </c>
      <c r="E41" s="45" t="s">
        <v>84</v>
      </c>
      <c r="F41" s="50" t="s">
        <v>187</v>
      </c>
      <c r="G41" s="45" t="s">
        <v>181</v>
      </c>
      <c r="H41" s="45" t="s">
        <v>188</v>
      </c>
      <c r="I41" s="45" t="s">
        <v>186</v>
      </c>
      <c r="J41" s="45" t="s">
        <v>89</v>
      </c>
      <c r="K41" s="45" t="s">
        <v>6</v>
      </c>
      <c r="L41" s="51" t="s">
        <v>189</v>
      </c>
      <c r="M41" s="57"/>
      <c r="N41" s="57"/>
      <c r="O41" s="55"/>
      <c r="P41" s="55"/>
      <c r="Q41" s="55"/>
      <c r="R41" s="55"/>
      <c r="S41" s="55"/>
      <c r="T41" s="55"/>
      <c r="U41" s="55"/>
      <c r="V41" s="55"/>
      <c r="W41" s="55"/>
      <c r="X41" s="55"/>
      <c r="Y41" s="55"/>
      <c r="Z41" s="55"/>
    </row>
    <row r="42">
      <c r="A42" s="55"/>
      <c r="B42" s="55"/>
      <c r="C42" s="55"/>
      <c r="D42" s="55"/>
      <c r="E42" s="55"/>
      <c r="F42" s="56"/>
      <c r="G42" s="55"/>
      <c r="H42" s="55"/>
      <c r="I42" s="55"/>
      <c r="J42" s="55"/>
      <c r="K42" s="55"/>
      <c r="L42" s="55"/>
      <c r="M42" s="55"/>
      <c r="N42" s="55"/>
      <c r="O42" s="55"/>
      <c r="P42" s="55"/>
      <c r="Q42" s="55"/>
      <c r="R42" s="55"/>
      <c r="S42" s="55"/>
      <c r="T42" s="55"/>
      <c r="U42" s="55"/>
      <c r="V42" s="55"/>
      <c r="W42" s="55"/>
      <c r="X42" s="55"/>
      <c r="Y42" s="55"/>
      <c r="Z42" s="55"/>
    </row>
    <row r="43">
      <c r="A43" s="45" t="s">
        <v>190</v>
      </c>
      <c r="B43" s="45" t="s">
        <v>191</v>
      </c>
      <c r="C43" s="45" t="s">
        <v>146</v>
      </c>
      <c r="D43" s="45" t="s">
        <v>192</v>
      </c>
      <c r="E43" s="45" t="s">
        <v>84</v>
      </c>
      <c r="F43" s="50" t="s">
        <v>193</v>
      </c>
      <c r="G43" s="45" t="s">
        <v>181</v>
      </c>
      <c r="H43" s="45" t="s">
        <v>194</v>
      </c>
      <c r="I43" s="45" t="s">
        <v>195</v>
      </c>
      <c r="J43" s="45" t="s">
        <v>89</v>
      </c>
      <c r="K43" s="45" t="s">
        <v>8</v>
      </c>
      <c r="L43" s="51" t="s">
        <v>196</v>
      </c>
      <c r="M43" s="57"/>
      <c r="N43" s="57"/>
      <c r="O43" s="55"/>
      <c r="P43" s="55"/>
      <c r="Q43" s="55"/>
      <c r="R43" s="55"/>
      <c r="S43" s="55"/>
      <c r="T43" s="55"/>
      <c r="U43" s="55"/>
      <c r="V43" s="55"/>
      <c r="W43" s="55"/>
      <c r="X43" s="55"/>
      <c r="Y43" s="55"/>
      <c r="Z43" s="55"/>
    </row>
    <row r="44">
      <c r="A44" s="55"/>
      <c r="B44" s="55"/>
      <c r="C44" s="55"/>
      <c r="D44" s="55"/>
      <c r="E44" s="55"/>
      <c r="F44" s="56"/>
      <c r="G44" s="55"/>
      <c r="H44" s="55"/>
      <c r="I44" s="55"/>
      <c r="J44" s="55"/>
      <c r="K44" s="55"/>
      <c r="L44" s="55"/>
      <c r="M44" s="55"/>
      <c r="N44" s="55"/>
      <c r="O44" s="55"/>
      <c r="P44" s="55"/>
      <c r="Q44" s="55"/>
      <c r="R44" s="55"/>
      <c r="S44" s="55"/>
      <c r="T44" s="55"/>
      <c r="U44" s="55"/>
      <c r="V44" s="55"/>
      <c r="W44" s="55"/>
      <c r="X44" s="55"/>
      <c r="Y44" s="55"/>
      <c r="Z44" s="55"/>
    </row>
    <row r="45">
      <c r="A45" s="45" t="s">
        <v>197</v>
      </c>
      <c r="B45" s="45" t="s">
        <v>198</v>
      </c>
      <c r="C45" s="45" t="s">
        <v>199</v>
      </c>
      <c r="D45" s="45" t="s">
        <v>200</v>
      </c>
      <c r="E45" s="45" t="s">
        <v>84</v>
      </c>
      <c r="F45" s="50" t="s">
        <v>201</v>
      </c>
      <c r="G45" s="45" t="s">
        <v>181</v>
      </c>
      <c r="H45" s="45" t="s">
        <v>202</v>
      </c>
      <c r="I45" s="45" t="s">
        <v>203</v>
      </c>
      <c r="J45" s="45" t="s">
        <v>89</v>
      </c>
      <c r="K45" s="45" t="s">
        <v>11</v>
      </c>
      <c r="L45" s="51" t="s">
        <v>204</v>
      </c>
      <c r="M45" s="57"/>
      <c r="N45" s="57"/>
      <c r="O45" s="55"/>
      <c r="P45" s="55"/>
      <c r="Q45" s="55"/>
      <c r="R45" s="55"/>
      <c r="S45" s="55"/>
      <c r="T45" s="55"/>
      <c r="U45" s="55"/>
      <c r="V45" s="55"/>
      <c r="W45" s="55"/>
      <c r="X45" s="55"/>
      <c r="Y45" s="55"/>
      <c r="Z45" s="55"/>
    </row>
    <row r="46">
      <c r="A46" s="55"/>
      <c r="B46" s="55"/>
      <c r="C46" s="55"/>
      <c r="D46" s="55"/>
      <c r="E46" s="55"/>
      <c r="F46" s="56"/>
      <c r="G46" s="55"/>
      <c r="H46" s="55"/>
      <c r="I46" s="55"/>
      <c r="J46" s="55"/>
      <c r="K46" s="55"/>
      <c r="L46" s="55"/>
      <c r="M46" s="55"/>
      <c r="N46" s="55"/>
      <c r="O46" s="55"/>
      <c r="P46" s="55"/>
      <c r="Q46" s="55"/>
      <c r="R46" s="55"/>
      <c r="S46" s="55"/>
      <c r="T46" s="55"/>
      <c r="U46" s="55"/>
      <c r="V46" s="55"/>
      <c r="W46" s="55"/>
      <c r="X46" s="55"/>
      <c r="Y46" s="55"/>
      <c r="Z46" s="55"/>
    </row>
    <row r="47">
      <c r="A47" s="45" t="s">
        <v>205</v>
      </c>
      <c r="B47" s="45" t="s">
        <v>206</v>
      </c>
      <c r="C47" s="45" t="s">
        <v>206</v>
      </c>
      <c r="D47" s="45" t="s">
        <v>207</v>
      </c>
      <c r="E47" s="45" t="s">
        <v>84</v>
      </c>
      <c r="F47" s="50" t="s">
        <v>208</v>
      </c>
      <c r="G47" s="45" t="s">
        <v>181</v>
      </c>
      <c r="H47" s="45" t="s">
        <v>209</v>
      </c>
      <c r="I47" s="45" t="s">
        <v>210</v>
      </c>
      <c r="J47" s="45" t="s">
        <v>89</v>
      </c>
      <c r="K47" s="45" t="s">
        <v>6</v>
      </c>
      <c r="L47" s="51" t="s">
        <v>211</v>
      </c>
      <c r="M47" s="45" t="s">
        <v>212</v>
      </c>
      <c r="N47" s="57"/>
      <c r="O47" s="55"/>
      <c r="P47" s="55"/>
      <c r="Q47" s="55"/>
      <c r="R47" s="55"/>
      <c r="S47" s="55"/>
      <c r="T47" s="55"/>
      <c r="U47" s="55"/>
      <c r="V47" s="55"/>
      <c r="W47" s="55"/>
      <c r="X47" s="55"/>
      <c r="Y47" s="55"/>
      <c r="Z47" s="55"/>
    </row>
    <row r="48">
      <c r="A48" s="55"/>
      <c r="B48" s="55"/>
      <c r="C48" s="55"/>
      <c r="D48" s="55"/>
      <c r="E48" s="55"/>
      <c r="F48" s="56"/>
      <c r="G48" s="55"/>
      <c r="H48" s="55"/>
      <c r="I48" s="55"/>
      <c r="J48" s="55"/>
      <c r="K48" s="55"/>
      <c r="L48" s="55"/>
      <c r="M48" s="55"/>
      <c r="N48" s="55"/>
      <c r="O48" s="55"/>
      <c r="P48" s="55"/>
      <c r="Q48" s="55"/>
      <c r="R48" s="55"/>
      <c r="S48" s="55"/>
      <c r="T48" s="55"/>
      <c r="U48" s="55"/>
      <c r="V48" s="55"/>
      <c r="W48" s="55"/>
      <c r="X48" s="55"/>
      <c r="Y48" s="55"/>
      <c r="Z48" s="55"/>
    </row>
    <row r="49">
      <c r="A49" s="45" t="s">
        <v>213</v>
      </c>
      <c r="B49" s="45" t="s">
        <v>206</v>
      </c>
      <c r="C49" s="45" t="s">
        <v>206</v>
      </c>
      <c r="D49" s="45" t="s">
        <v>214</v>
      </c>
      <c r="E49" s="45" t="s">
        <v>84</v>
      </c>
      <c r="F49" s="50" t="s">
        <v>208</v>
      </c>
      <c r="G49" s="45" t="s">
        <v>181</v>
      </c>
      <c r="H49" s="45" t="s">
        <v>215</v>
      </c>
      <c r="I49" s="45" t="s">
        <v>216</v>
      </c>
      <c r="J49" s="45" t="s">
        <v>89</v>
      </c>
      <c r="K49" s="45" t="s">
        <v>6</v>
      </c>
      <c r="L49" s="51" t="s">
        <v>217</v>
      </c>
      <c r="M49" s="58"/>
      <c r="N49" s="57"/>
      <c r="O49" s="55"/>
      <c r="P49" s="55"/>
      <c r="Q49" s="55"/>
      <c r="R49" s="55"/>
      <c r="S49" s="55"/>
      <c r="T49" s="55"/>
      <c r="U49" s="55"/>
      <c r="V49" s="55"/>
      <c r="W49" s="55"/>
      <c r="X49" s="55"/>
      <c r="Y49" s="55"/>
      <c r="Z49" s="55"/>
    </row>
    <row r="50">
      <c r="A50" s="55"/>
      <c r="B50" s="55"/>
      <c r="C50" s="55"/>
      <c r="D50" s="55"/>
      <c r="E50" s="55"/>
      <c r="F50" s="56"/>
      <c r="G50" s="55"/>
      <c r="H50" s="55"/>
      <c r="I50" s="55"/>
      <c r="J50" s="55"/>
      <c r="K50" s="55"/>
      <c r="L50" s="55"/>
      <c r="M50" s="55"/>
      <c r="N50" s="55"/>
      <c r="O50" s="55"/>
      <c r="P50" s="55"/>
      <c r="Q50" s="55"/>
      <c r="R50" s="55"/>
      <c r="S50" s="55"/>
      <c r="T50" s="55"/>
      <c r="U50" s="55"/>
      <c r="V50" s="55"/>
      <c r="W50" s="55"/>
      <c r="X50" s="55"/>
      <c r="Y50" s="55"/>
      <c r="Z50" s="55"/>
    </row>
    <row r="51">
      <c r="A51" s="45" t="s">
        <v>218</v>
      </c>
      <c r="B51" s="45" t="s">
        <v>219</v>
      </c>
      <c r="C51" s="45" t="s">
        <v>219</v>
      </c>
      <c r="D51" s="45" t="s">
        <v>220</v>
      </c>
      <c r="E51" s="45" t="s">
        <v>84</v>
      </c>
      <c r="F51" s="50" t="s">
        <v>208</v>
      </c>
      <c r="G51" s="45" t="s">
        <v>181</v>
      </c>
      <c r="H51" s="45" t="s">
        <v>221</v>
      </c>
      <c r="I51" s="45" t="s">
        <v>222</v>
      </c>
      <c r="J51" s="45" t="s">
        <v>89</v>
      </c>
      <c r="K51" s="45" t="s">
        <v>8</v>
      </c>
      <c r="L51" s="51" t="s">
        <v>223</v>
      </c>
      <c r="M51" s="57"/>
      <c r="N51" s="57"/>
      <c r="O51" s="55"/>
      <c r="P51" s="55"/>
      <c r="Q51" s="55"/>
      <c r="R51" s="55"/>
      <c r="S51" s="55"/>
      <c r="T51" s="55"/>
      <c r="U51" s="55"/>
      <c r="V51" s="55"/>
      <c r="W51" s="55"/>
      <c r="X51" s="55"/>
      <c r="Y51" s="55"/>
      <c r="Z51" s="55"/>
    </row>
    <row r="52">
      <c r="A52" s="55"/>
      <c r="B52" s="55"/>
      <c r="C52" s="55"/>
      <c r="D52" s="55"/>
      <c r="E52" s="55"/>
      <c r="F52" s="56"/>
      <c r="G52" s="55"/>
      <c r="H52" s="55"/>
      <c r="I52" s="55"/>
      <c r="J52" s="55"/>
      <c r="K52" s="55"/>
      <c r="L52" s="55"/>
      <c r="M52" s="55"/>
      <c r="N52" s="55"/>
      <c r="O52" s="55"/>
      <c r="P52" s="55"/>
      <c r="Q52" s="55"/>
      <c r="R52" s="55"/>
      <c r="S52" s="55"/>
      <c r="T52" s="55"/>
      <c r="U52" s="55"/>
      <c r="V52" s="55"/>
      <c r="W52" s="55"/>
      <c r="X52" s="55"/>
      <c r="Y52" s="55"/>
      <c r="Z52" s="55"/>
    </row>
    <row r="53">
      <c r="A53" s="45" t="s">
        <v>224</v>
      </c>
      <c r="B53" s="45"/>
      <c r="C53" s="45"/>
      <c r="D53" s="45"/>
      <c r="E53" s="45"/>
      <c r="F53" s="50"/>
      <c r="G53" s="45"/>
      <c r="H53" s="45"/>
      <c r="I53" s="45"/>
      <c r="J53" s="45"/>
      <c r="K53" s="45"/>
      <c r="L53" s="58"/>
      <c r="M53" s="57"/>
      <c r="N53" s="57"/>
      <c r="O53" s="55"/>
      <c r="P53" s="55"/>
      <c r="Q53" s="55"/>
      <c r="R53" s="55"/>
      <c r="S53" s="55"/>
      <c r="T53" s="55"/>
      <c r="U53" s="55"/>
      <c r="V53" s="55"/>
      <c r="W53" s="55"/>
      <c r="X53" s="55"/>
      <c r="Y53" s="55"/>
      <c r="Z53" s="55"/>
    </row>
    <row r="54">
      <c r="A54" s="55"/>
      <c r="B54" s="55"/>
      <c r="C54" s="55"/>
      <c r="D54" s="55"/>
      <c r="E54" s="55"/>
      <c r="F54" s="56"/>
      <c r="G54" s="55"/>
      <c r="H54" s="55"/>
      <c r="I54" s="55"/>
      <c r="J54" s="55"/>
      <c r="K54" s="55"/>
      <c r="L54" s="55"/>
      <c r="M54" s="55"/>
      <c r="N54" s="55"/>
      <c r="O54" s="55"/>
      <c r="P54" s="55"/>
      <c r="Q54" s="55"/>
      <c r="R54" s="55"/>
      <c r="S54" s="55"/>
      <c r="T54" s="55"/>
      <c r="U54" s="55"/>
      <c r="V54" s="55"/>
      <c r="W54" s="55"/>
      <c r="X54" s="55"/>
      <c r="Y54" s="55"/>
      <c r="Z54" s="55"/>
    </row>
    <row r="55">
      <c r="A55" s="45" t="s">
        <v>225</v>
      </c>
      <c r="B55" s="45"/>
      <c r="C55" s="45"/>
      <c r="D55" s="45"/>
      <c r="E55" s="45"/>
      <c r="F55" s="50"/>
      <c r="G55" s="45"/>
      <c r="H55" s="45"/>
      <c r="I55" s="45"/>
      <c r="J55" s="45"/>
      <c r="K55" s="45"/>
      <c r="L55" s="51"/>
      <c r="M55" s="57"/>
      <c r="N55" s="57"/>
      <c r="O55" s="55"/>
      <c r="P55" s="55"/>
      <c r="Q55" s="55"/>
      <c r="R55" s="55"/>
      <c r="S55" s="55"/>
      <c r="T55" s="55"/>
      <c r="U55" s="55"/>
      <c r="V55" s="55"/>
      <c r="W55" s="55"/>
      <c r="X55" s="55"/>
      <c r="Y55" s="55"/>
      <c r="Z55" s="55"/>
    </row>
    <row r="56">
      <c r="A56" s="55"/>
      <c r="B56" s="55"/>
      <c r="C56" s="55"/>
      <c r="D56" s="55"/>
      <c r="E56" s="55"/>
      <c r="F56" s="56"/>
      <c r="G56" s="55"/>
      <c r="H56" s="55"/>
      <c r="I56" s="55"/>
      <c r="J56" s="55"/>
      <c r="K56" s="55"/>
      <c r="L56" s="55"/>
      <c r="M56" s="55"/>
      <c r="N56" s="55"/>
      <c r="O56" s="55"/>
      <c r="P56" s="55"/>
      <c r="Q56" s="55"/>
      <c r="R56" s="55"/>
      <c r="S56" s="55"/>
      <c r="T56" s="55"/>
      <c r="U56" s="55"/>
      <c r="V56" s="55"/>
      <c r="W56" s="55"/>
      <c r="X56" s="55"/>
      <c r="Y56" s="55"/>
      <c r="Z56" s="55"/>
    </row>
    <row r="57">
      <c r="A57" s="45" t="s">
        <v>226</v>
      </c>
      <c r="B57" s="45"/>
      <c r="C57" s="45"/>
      <c r="D57" s="45"/>
      <c r="E57" s="45"/>
      <c r="F57" s="50"/>
      <c r="G57" s="45"/>
      <c r="H57" s="45"/>
      <c r="I57" s="45"/>
      <c r="J57" s="45"/>
      <c r="K57" s="45"/>
      <c r="L57" s="51"/>
      <c r="M57" s="57"/>
      <c r="N57" s="57"/>
      <c r="O57" s="55"/>
      <c r="P57" s="55"/>
      <c r="Q57" s="55"/>
      <c r="R57" s="55"/>
      <c r="S57" s="55"/>
      <c r="T57" s="55"/>
      <c r="U57" s="55"/>
      <c r="V57" s="55"/>
      <c r="W57" s="55"/>
      <c r="X57" s="55"/>
      <c r="Y57" s="55"/>
      <c r="Z57" s="55"/>
    </row>
    <row r="58">
      <c r="A58" s="55"/>
      <c r="B58" s="55"/>
      <c r="C58" s="55"/>
      <c r="D58" s="55"/>
      <c r="E58" s="55"/>
      <c r="F58" s="56"/>
      <c r="G58" s="55"/>
      <c r="H58" s="55"/>
      <c r="I58" s="55"/>
      <c r="J58" s="55"/>
      <c r="K58" s="55"/>
      <c r="L58" s="55"/>
      <c r="M58" s="55"/>
      <c r="N58" s="55"/>
      <c r="O58" s="55"/>
      <c r="P58" s="55"/>
      <c r="Q58" s="55"/>
      <c r="R58" s="55"/>
      <c r="S58" s="55"/>
      <c r="T58" s="55"/>
      <c r="U58" s="55"/>
      <c r="V58" s="55"/>
      <c r="W58" s="55"/>
      <c r="X58" s="55"/>
      <c r="Y58" s="55"/>
      <c r="Z58" s="55"/>
    </row>
    <row r="59">
      <c r="A59" s="45" t="s">
        <v>227</v>
      </c>
      <c r="B59" s="45"/>
      <c r="C59" s="45"/>
      <c r="D59" s="45"/>
      <c r="E59" s="45"/>
      <c r="F59" s="50"/>
      <c r="G59" s="58"/>
      <c r="H59" s="45"/>
      <c r="I59" s="45"/>
      <c r="J59" s="45"/>
      <c r="K59" s="45"/>
      <c r="L59" s="51"/>
      <c r="M59" s="57"/>
      <c r="N59" s="57"/>
      <c r="O59" s="55"/>
      <c r="P59" s="55"/>
      <c r="Q59" s="55"/>
      <c r="R59" s="55"/>
      <c r="S59" s="55"/>
      <c r="T59" s="55"/>
      <c r="U59" s="55"/>
      <c r="V59" s="55"/>
      <c r="W59" s="55"/>
      <c r="X59" s="55"/>
      <c r="Y59" s="55"/>
      <c r="Z59" s="55"/>
    </row>
    <row r="60">
      <c r="A60" s="55"/>
      <c r="B60" s="55"/>
      <c r="C60" s="55"/>
      <c r="D60" s="55"/>
      <c r="E60" s="55"/>
      <c r="F60" s="56"/>
      <c r="G60" s="55"/>
      <c r="H60" s="55"/>
      <c r="I60" s="55"/>
      <c r="J60" s="55"/>
      <c r="K60" s="55"/>
      <c r="L60" s="55"/>
      <c r="M60" s="55"/>
      <c r="N60" s="55"/>
      <c r="O60" s="55"/>
      <c r="P60" s="55"/>
      <c r="Q60" s="55"/>
      <c r="R60" s="55"/>
      <c r="S60" s="55"/>
      <c r="T60" s="55"/>
      <c r="U60" s="55"/>
      <c r="V60" s="55"/>
      <c r="W60" s="55"/>
      <c r="X60" s="55"/>
      <c r="Y60" s="55"/>
      <c r="Z60" s="55"/>
    </row>
    <row r="61">
      <c r="A61" s="45" t="s">
        <v>228</v>
      </c>
      <c r="B61" s="45"/>
      <c r="C61" s="45"/>
      <c r="D61" s="45"/>
      <c r="E61" s="45"/>
      <c r="F61" s="50"/>
      <c r="G61" s="58"/>
      <c r="H61" s="45"/>
      <c r="I61" s="45"/>
      <c r="J61" s="45"/>
      <c r="K61" s="45"/>
      <c r="L61" s="51"/>
      <c r="M61" s="57"/>
      <c r="N61" s="57"/>
      <c r="O61" s="55"/>
      <c r="P61" s="55"/>
      <c r="Q61" s="55"/>
      <c r="R61" s="55"/>
      <c r="S61" s="55"/>
      <c r="T61" s="55"/>
      <c r="U61" s="55"/>
      <c r="V61" s="55"/>
      <c r="W61" s="55"/>
      <c r="X61" s="55"/>
      <c r="Y61" s="55"/>
      <c r="Z61" s="55"/>
    </row>
    <row r="62">
      <c r="A62" s="55"/>
      <c r="B62" s="55"/>
      <c r="C62" s="55"/>
      <c r="D62" s="55"/>
      <c r="E62" s="55"/>
      <c r="F62" s="56"/>
      <c r="G62" s="55"/>
      <c r="H62" s="55"/>
      <c r="I62" s="55"/>
      <c r="J62" s="55"/>
      <c r="K62" s="55"/>
      <c r="L62" s="55"/>
      <c r="M62" s="55"/>
      <c r="N62" s="55"/>
      <c r="O62" s="55"/>
      <c r="P62" s="55"/>
      <c r="Q62" s="55"/>
      <c r="R62" s="55"/>
      <c r="S62" s="55"/>
      <c r="T62" s="55"/>
      <c r="U62" s="55"/>
      <c r="V62" s="55"/>
      <c r="W62" s="55"/>
      <c r="X62" s="55"/>
      <c r="Y62" s="55"/>
      <c r="Z62" s="55"/>
    </row>
    <row r="63">
      <c r="A63" s="45" t="s">
        <v>229</v>
      </c>
      <c r="B63" s="54"/>
      <c r="C63" s="54"/>
      <c r="D63" s="54"/>
      <c r="E63" s="54"/>
      <c r="F63" s="59"/>
      <c r="G63" s="57"/>
      <c r="H63" s="54"/>
      <c r="I63" s="54"/>
      <c r="J63" s="54"/>
      <c r="K63" s="54"/>
      <c r="L63" s="60"/>
      <c r="M63" s="57"/>
      <c r="N63" s="57"/>
      <c r="O63" s="55"/>
      <c r="P63" s="55"/>
      <c r="Q63" s="55"/>
      <c r="R63" s="55"/>
      <c r="S63" s="55"/>
      <c r="T63" s="55"/>
      <c r="U63" s="55"/>
      <c r="V63" s="55"/>
      <c r="W63" s="55"/>
      <c r="X63" s="55"/>
      <c r="Y63" s="55"/>
      <c r="Z63" s="55"/>
    </row>
    <row r="64">
      <c r="A64" s="55"/>
      <c r="B64" s="55"/>
      <c r="C64" s="55"/>
      <c r="D64" s="55"/>
      <c r="E64" s="55"/>
      <c r="F64" s="56"/>
      <c r="G64" s="55"/>
      <c r="H64" s="55"/>
      <c r="I64" s="55"/>
      <c r="J64" s="55"/>
      <c r="K64" s="55"/>
      <c r="L64" s="55"/>
      <c r="M64" s="55"/>
      <c r="N64" s="55"/>
      <c r="O64" s="55"/>
      <c r="P64" s="55"/>
      <c r="Q64" s="55"/>
      <c r="R64" s="55"/>
      <c r="S64" s="55"/>
      <c r="T64" s="55"/>
      <c r="U64" s="55"/>
      <c r="V64" s="55"/>
      <c r="W64" s="55"/>
      <c r="X64" s="55"/>
      <c r="Y64" s="55"/>
      <c r="Z64" s="55"/>
    </row>
    <row r="65">
      <c r="A65" s="45" t="s">
        <v>230</v>
      </c>
      <c r="B65" s="54"/>
      <c r="C65" s="54"/>
      <c r="D65" s="54"/>
      <c r="E65" s="54"/>
      <c r="F65" s="59"/>
      <c r="G65" s="57"/>
      <c r="H65" s="54"/>
      <c r="I65" s="54"/>
      <c r="J65" s="54"/>
      <c r="K65" s="54"/>
      <c r="L65" s="60"/>
      <c r="M65" s="57"/>
      <c r="N65" s="57"/>
      <c r="O65" s="55"/>
      <c r="P65" s="55"/>
      <c r="Q65" s="55"/>
      <c r="R65" s="55"/>
      <c r="S65" s="55"/>
      <c r="T65" s="55"/>
      <c r="U65" s="55"/>
      <c r="V65" s="55"/>
      <c r="W65" s="55"/>
      <c r="X65" s="55"/>
      <c r="Y65" s="55"/>
      <c r="Z65" s="55"/>
    </row>
    <row r="66">
      <c r="A66" s="55"/>
      <c r="B66" s="55"/>
      <c r="C66" s="55"/>
      <c r="D66" s="55"/>
      <c r="E66" s="55"/>
      <c r="F66" s="56"/>
      <c r="G66" s="55"/>
      <c r="H66" s="55"/>
      <c r="I66" s="55"/>
      <c r="J66" s="55"/>
      <c r="K66" s="55"/>
      <c r="L66" s="55"/>
      <c r="M66" s="55"/>
      <c r="N66" s="55"/>
      <c r="O66" s="55"/>
      <c r="P66" s="55"/>
      <c r="Q66" s="55"/>
      <c r="R66" s="55"/>
      <c r="S66" s="55"/>
      <c r="T66" s="55"/>
      <c r="U66" s="55"/>
      <c r="V66" s="55"/>
      <c r="W66" s="55"/>
      <c r="X66" s="55"/>
      <c r="Y66" s="55"/>
      <c r="Z66" s="55"/>
    </row>
    <row r="67">
      <c r="A67" s="45"/>
      <c r="B67" s="54"/>
      <c r="C67" s="54"/>
      <c r="D67" s="54"/>
      <c r="E67" s="54"/>
      <c r="F67" s="59"/>
      <c r="G67" s="57"/>
      <c r="H67" s="54"/>
      <c r="I67" s="54"/>
      <c r="J67" s="54"/>
      <c r="K67" s="54"/>
      <c r="L67" s="60"/>
      <c r="M67" s="57"/>
      <c r="N67" s="57"/>
      <c r="O67" s="55"/>
      <c r="P67" s="55"/>
      <c r="Q67" s="55"/>
      <c r="R67" s="55"/>
      <c r="S67" s="55"/>
      <c r="T67" s="55"/>
      <c r="U67" s="55"/>
      <c r="V67" s="55"/>
      <c r="W67" s="55"/>
      <c r="X67" s="55"/>
      <c r="Y67" s="55"/>
      <c r="Z67" s="55"/>
    </row>
    <row r="68">
      <c r="A68" s="55"/>
      <c r="B68" s="55"/>
      <c r="C68" s="55"/>
      <c r="D68" s="55"/>
      <c r="E68" s="55"/>
      <c r="F68" s="56"/>
      <c r="G68" s="55"/>
      <c r="H68" s="55"/>
      <c r="I68" s="55"/>
      <c r="J68" s="55"/>
      <c r="K68" s="55"/>
      <c r="L68" s="55"/>
      <c r="M68" s="55"/>
      <c r="N68" s="55"/>
      <c r="O68" s="55"/>
      <c r="P68" s="55"/>
      <c r="Q68" s="55"/>
      <c r="R68" s="55"/>
      <c r="S68" s="55"/>
      <c r="T68" s="55"/>
      <c r="U68" s="55"/>
      <c r="V68" s="55"/>
      <c r="W68" s="55"/>
      <c r="X68" s="55"/>
      <c r="Y68" s="55"/>
      <c r="Z68" s="55"/>
    </row>
    <row r="69">
      <c r="A69" s="45"/>
      <c r="B69" s="54"/>
      <c r="C69" s="54"/>
      <c r="D69" s="54"/>
      <c r="E69" s="54"/>
      <c r="F69" s="59"/>
      <c r="G69" s="57"/>
      <c r="H69" s="54"/>
      <c r="I69" s="54"/>
      <c r="J69" s="54"/>
      <c r="K69" s="54"/>
      <c r="L69" s="60"/>
      <c r="M69" s="57"/>
      <c r="N69" s="57"/>
      <c r="O69" s="55"/>
      <c r="P69" s="55"/>
      <c r="Q69" s="55"/>
      <c r="R69" s="55"/>
      <c r="S69" s="55"/>
      <c r="T69" s="55"/>
      <c r="U69" s="55"/>
      <c r="V69" s="55"/>
      <c r="W69" s="55"/>
      <c r="X69" s="55"/>
      <c r="Y69" s="55"/>
      <c r="Z69" s="55"/>
    </row>
    <row r="70">
      <c r="A70" s="55"/>
      <c r="B70" s="55"/>
      <c r="C70" s="55"/>
      <c r="D70" s="55"/>
      <c r="E70" s="55"/>
      <c r="F70" s="56"/>
      <c r="G70" s="55"/>
      <c r="H70" s="55"/>
      <c r="I70" s="55"/>
      <c r="J70" s="55"/>
      <c r="K70" s="55"/>
      <c r="L70" s="55"/>
      <c r="M70" s="55"/>
      <c r="N70" s="55"/>
      <c r="O70" s="55"/>
      <c r="P70" s="55"/>
      <c r="Q70" s="55"/>
      <c r="R70" s="55"/>
      <c r="S70" s="55"/>
      <c r="T70" s="55"/>
      <c r="U70" s="55"/>
      <c r="V70" s="55"/>
      <c r="W70" s="55"/>
      <c r="X70" s="55"/>
      <c r="Y70" s="55"/>
      <c r="Z70" s="55"/>
    </row>
    <row r="71">
      <c r="A71" s="45"/>
      <c r="B71" s="54"/>
      <c r="C71" s="54"/>
      <c r="D71" s="54"/>
      <c r="E71" s="54"/>
      <c r="F71" s="59"/>
      <c r="G71" s="57"/>
      <c r="H71" s="54"/>
      <c r="I71" s="54"/>
      <c r="J71" s="54"/>
      <c r="K71" s="54"/>
      <c r="L71" s="60"/>
      <c r="M71" s="57"/>
      <c r="N71" s="57"/>
      <c r="O71" s="55"/>
      <c r="P71" s="55"/>
      <c r="Q71" s="55"/>
      <c r="R71" s="55"/>
      <c r="S71" s="55"/>
      <c r="T71" s="55"/>
      <c r="U71" s="55"/>
      <c r="V71" s="55"/>
      <c r="W71" s="55"/>
      <c r="X71" s="55"/>
      <c r="Y71" s="55"/>
      <c r="Z71" s="55"/>
    </row>
    <row r="72">
      <c r="A72" s="55"/>
      <c r="B72" s="55"/>
      <c r="C72" s="55"/>
      <c r="D72" s="55"/>
      <c r="E72" s="55"/>
      <c r="F72" s="56"/>
      <c r="G72" s="55"/>
      <c r="H72" s="55"/>
      <c r="I72" s="55"/>
      <c r="J72" s="55"/>
      <c r="K72" s="55"/>
      <c r="L72" s="55"/>
      <c r="M72" s="55"/>
      <c r="N72" s="55"/>
      <c r="O72" s="55"/>
      <c r="P72" s="55"/>
      <c r="Q72" s="55"/>
      <c r="R72" s="55"/>
      <c r="S72" s="55"/>
      <c r="T72" s="55"/>
      <c r="U72" s="55"/>
      <c r="V72" s="55"/>
      <c r="W72" s="55"/>
      <c r="X72" s="55"/>
      <c r="Y72" s="55"/>
      <c r="Z72" s="55"/>
    </row>
    <row r="73">
      <c r="A73" s="45"/>
      <c r="B73" s="54"/>
      <c r="C73" s="54"/>
      <c r="D73" s="54"/>
      <c r="E73" s="54"/>
      <c r="F73" s="59"/>
      <c r="G73" s="57"/>
      <c r="H73" s="54"/>
      <c r="I73" s="54"/>
      <c r="J73" s="54"/>
      <c r="K73" s="54"/>
      <c r="L73" s="60"/>
      <c r="M73" s="57"/>
      <c r="N73" s="57"/>
      <c r="O73" s="55"/>
      <c r="P73" s="55"/>
      <c r="Q73" s="55"/>
      <c r="R73" s="55"/>
      <c r="S73" s="55"/>
      <c r="T73" s="55"/>
      <c r="U73" s="55"/>
      <c r="V73" s="55"/>
      <c r="W73" s="55"/>
      <c r="X73" s="55"/>
      <c r="Y73" s="55"/>
      <c r="Z73" s="55"/>
    </row>
    <row r="74">
      <c r="A74" s="55"/>
      <c r="B74" s="55"/>
      <c r="C74" s="55"/>
      <c r="D74" s="55"/>
      <c r="E74" s="55"/>
      <c r="F74" s="56"/>
      <c r="G74" s="55"/>
      <c r="H74" s="55"/>
      <c r="I74" s="55"/>
      <c r="J74" s="55"/>
      <c r="K74" s="55"/>
      <c r="L74" s="55"/>
      <c r="M74" s="55"/>
      <c r="N74" s="55"/>
      <c r="O74" s="55"/>
      <c r="P74" s="55"/>
      <c r="Q74" s="55"/>
      <c r="R74" s="55"/>
      <c r="S74" s="55"/>
      <c r="T74" s="55"/>
      <c r="U74" s="55"/>
      <c r="V74" s="55"/>
      <c r="W74" s="55"/>
      <c r="X74" s="55"/>
      <c r="Y74" s="55"/>
      <c r="Z74" s="55"/>
    </row>
    <row r="75">
      <c r="A75" s="45"/>
      <c r="B75" s="54"/>
      <c r="C75" s="54"/>
      <c r="D75" s="54"/>
      <c r="E75" s="54"/>
      <c r="F75" s="59"/>
      <c r="G75" s="57"/>
      <c r="H75" s="54"/>
      <c r="I75" s="54"/>
      <c r="J75" s="54"/>
      <c r="K75" s="54"/>
      <c r="L75" s="60"/>
      <c r="M75" s="57"/>
      <c r="N75" s="57"/>
      <c r="O75" s="55"/>
      <c r="P75" s="55"/>
      <c r="Q75" s="55"/>
      <c r="R75" s="55"/>
      <c r="S75" s="55"/>
      <c r="T75" s="55"/>
      <c r="U75" s="55"/>
      <c r="V75" s="55"/>
      <c r="W75" s="55"/>
      <c r="X75" s="55"/>
      <c r="Y75" s="55"/>
      <c r="Z75" s="55"/>
    </row>
    <row r="76">
      <c r="A76" s="55"/>
      <c r="B76" s="55"/>
      <c r="C76" s="55"/>
      <c r="D76" s="55"/>
      <c r="E76" s="55"/>
      <c r="F76" s="56"/>
      <c r="G76" s="55"/>
      <c r="H76" s="55"/>
      <c r="I76" s="55"/>
      <c r="J76" s="55"/>
      <c r="K76" s="55"/>
      <c r="L76" s="55"/>
      <c r="M76" s="55"/>
      <c r="N76" s="55"/>
      <c r="O76" s="55"/>
      <c r="P76" s="55"/>
      <c r="Q76" s="55"/>
      <c r="R76" s="55"/>
      <c r="S76" s="55"/>
      <c r="T76" s="55"/>
      <c r="U76" s="55"/>
      <c r="V76" s="55"/>
      <c r="W76" s="55"/>
      <c r="X76" s="55"/>
      <c r="Y76" s="55"/>
      <c r="Z76" s="55"/>
    </row>
    <row r="77">
      <c r="A77" s="45"/>
      <c r="B77" s="54"/>
      <c r="C77" s="54"/>
      <c r="D77" s="54"/>
      <c r="E77" s="54"/>
      <c r="F77" s="59"/>
      <c r="G77" s="57"/>
      <c r="H77" s="54"/>
      <c r="I77" s="54"/>
      <c r="J77" s="54"/>
      <c r="K77" s="54"/>
      <c r="L77" s="60"/>
      <c r="M77" s="57"/>
      <c r="N77" s="57"/>
      <c r="O77" s="55"/>
      <c r="P77" s="55"/>
      <c r="Q77" s="55"/>
      <c r="R77" s="55"/>
      <c r="S77" s="55"/>
      <c r="T77" s="55"/>
      <c r="U77" s="55"/>
      <c r="V77" s="55"/>
      <c r="W77" s="55"/>
      <c r="X77" s="55"/>
      <c r="Y77" s="55"/>
      <c r="Z77" s="55"/>
    </row>
    <row r="78">
      <c r="A78" s="55"/>
      <c r="B78" s="55"/>
      <c r="C78" s="55"/>
      <c r="D78" s="55"/>
      <c r="E78" s="55"/>
      <c r="F78" s="56"/>
      <c r="G78" s="55"/>
      <c r="H78" s="55"/>
      <c r="I78" s="55"/>
      <c r="J78" s="55"/>
      <c r="K78" s="55"/>
      <c r="L78" s="55"/>
      <c r="M78" s="55"/>
      <c r="N78" s="55"/>
      <c r="O78" s="55"/>
      <c r="P78" s="55"/>
      <c r="Q78" s="55"/>
      <c r="R78" s="55"/>
      <c r="S78" s="55"/>
      <c r="T78" s="55"/>
      <c r="U78" s="55"/>
      <c r="V78" s="55"/>
      <c r="W78" s="55"/>
      <c r="X78" s="55"/>
      <c r="Y78" s="55"/>
      <c r="Z78" s="55"/>
    </row>
    <row r="79">
      <c r="A79" s="45"/>
      <c r="B79" s="54"/>
      <c r="C79" s="54"/>
      <c r="D79" s="54"/>
      <c r="E79" s="54"/>
      <c r="F79" s="59"/>
      <c r="G79" s="57"/>
      <c r="H79" s="54"/>
      <c r="I79" s="54"/>
      <c r="J79" s="54"/>
      <c r="K79" s="54"/>
      <c r="L79" s="60"/>
      <c r="M79" s="57"/>
      <c r="N79" s="57"/>
      <c r="O79" s="55"/>
      <c r="P79" s="55"/>
      <c r="Q79" s="55"/>
      <c r="R79" s="55"/>
      <c r="S79" s="55"/>
      <c r="T79" s="55"/>
      <c r="U79" s="55"/>
      <c r="V79" s="55"/>
      <c r="W79" s="55"/>
      <c r="X79" s="55"/>
      <c r="Y79" s="55"/>
      <c r="Z79" s="55"/>
    </row>
    <row r="80">
      <c r="A80" s="55"/>
      <c r="B80" s="55"/>
      <c r="C80" s="55"/>
      <c r="D80" s="55"/>
      <c r="E80" s="55"/>
      <c r="F80" s="56"/>
      <c r="G80" s="55"/>
      <c r="H80" s="55"/>
      <c r="I80" s="55"/>
      <c r="J80" s="55"/>
      <c r="K80" s="55"/>
      <c r="L80" s="55"/>
      <c r="M80" s="55"/>
      <c r="N80" s="55"/>
      <c r="O80" s="55"/>
      <c r="P80" s="55"/>
      <c r="Q80" s="55"/>
      <c r="R80" s="55"/>
      <c r="S80" s="55"/>
      <c r="T80" s="55"/>
      <c r="U80" s="55"/>
      <c r="V80" s="55"/>
      <c r="W80" s="55"/>
      <c r="X80" s="55"/>
      <c r="Y80" s="55"/>
      <c r="Z80" s="55"/>
    </row>
    <row r="81">
      <c r="A81" s="45"/>
      <c r="B81" s="54"/>
      <c r="C81" s="54"/>
      <c r="D81" s="54"/>
      <c r="E81" s="54"/>
      <c r="F81" s="59"/>
      <c r="G81" s="57"/>
      <c r="H81" s="54"/>
      <c r="I81" s="54"/>
      <c r="J81" s="54"/>
      <c r="K81" s="54"/>
      <c r="L81" s="60"/>
      <c r="M81" s="57"/>
      <c r="N81" s="57"/>
      <c r="O81" s="55"/>
      <c r="P81" s="55"/>
      <c r="Q81" s="55"/>
      <c r="R81" s="55"/>
      <c r="S81" s="55"/>
      <c r="T81" s="55"/>
      <c r="U81" s="55"/>
      <c r="V81" s="55"/>
      <c r="W81" s="55"/>
      <c r="X81" s="55"/>
      <c r="Y81" s="55"/>
      <c r="Z81" s="55"/>
    </row>
    <row r="82">
      <c r="A82" s="55"/>
      <c r="B82" s="55"/>
      <c r="C82" s="55"/>
      <c r="D82" s="55"/>
      <c r="E82" s="55"/>
      <c r="F82" s="56"/>
      <c r="G82" s="55"/>
      <c r="H82" s="55"/>
      <c r="I82" s="55"/>
      <c r="J82" s="55"/>
      <c r="K82" s="55"/>
      <c r="L82" s="55"/>
      <c r="M82" s="55"/>
      <c r="N82" s="55"/>
      <c r="O82" s="55"/>
      <c r="P82" s="55"/>
      <c r="Q82" s="55"/>
      <c r="R82" s="55"/>
      <c r="S82" s="55"/>
      <c r="T82" s="55"/>
      <c r="U82" s="55"/>
      <c r="V82" s="55"/>
      <c r="W82" s="55"/>
      <c r="X82" s="55"/>
      <c r="Y82" s="55"/>
      <c r="Z82" s="55"/>
    </row>
    <row r="83">
      <c r="A83" s="45"/>
      <c r="B83" s="54"/>
      <c r="C83" s="54"/>
      <c r="D83" s="54"/>
      <c r="E83" s="54"/>
      <c r="F83" s="54"/>
      <c r="G83" s="57"/>
      <c r="H83" s="54"/>
      <c r="I83" s="54"/>
      <c r="J83" s="54"/>
      <c r="K83" s="54"/>
      <c r="L83" s="60"/>
      <c r="M83" s="57"/>
      <c r="N83" s="57"/>
      <c r="O83" s="55"/>
      <c r="P83" s="55"/>
      <c r="Q83" s="55"/>
      <c r="R83" s="55"/>
      <c r="S83" s="55"/>
      <c r="T83" s="55"/>
      <c r="U83" s="55"/>
      <c r="V83" s="55"/>
      <c r="W83" s="55"/>
      <c r="X83" s="55"/>
      <c r="Y83" s="55"/>
      <c r="Z83" s="55"/>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row r="1001">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row>
    <row r="1002">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row>
    <row r="10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row>
  </sheetData>
  <dataValidations>
    <dataValidation type="list" allowBlank="1" showErrorMessage="1" sqref="N9 N11 N13 N15 N17 N19 N21 N23 N25 N27 N29 N31 N33 N35 N37 N39 N41 N43 N45 N47 N49 N51 N53 N55 N57 N59 N61 N63 N65 N67 N69 N71 N73 N75 N77 N79 N81 N83">
      <formula1>"Solved,Unsolve"</formula1>
    </dataValidation>
    <dataValidation type="list" allowBlank="1" showErrorMessage="1" sqref="J9 J11 J13 J15 J17 J19 J21 J23 J25 J27 J29 J31 J33 J35 J37 J39 J41 J43 J45 J47 J49 J51 J53 J55 J57 J59 J61 J63 J65 J67 J69 J71 J73 J75 J77 J79 J81 J83">
      <formula1>"Pass,Fail"</formula1>
    </dataValidation>
    <dataValidation type="list" allowBlank="1" showErrorMessage="1" sqref="K9 K11 K13 K15 K17 K19 K21 K23 K25 K27 K29 K31 K33 K35 K37 K39 K41 K43 K45 K47 K49 K51 K53 K55 K57 K59 K61 K63 K65 K67 K69 K71 K73 K75 K77 K79 K81 K83">
      <formula1>"High,Medium,Low"</formula1>
    </dataValidation>
  </dataValidations>
  <hyperlinks>
    <hyperlink r:id="rId1" ref="L9"/>
    <hyperlink r:id="rId2" ref="L11"/>
    <hyperlink r:id="rId3" ref="L13"/>
    <hyperlink r:id="rId4" ref="L15"/>
    <hyperlink r:id="rId5" ref="L17"/>
    <hyperlink r:id="rId6" ref="L19"/>
    <hyperlink r:id="rId7" ref="L21"/>
    <hyperlink r:id="rId8" ref="L23"/>
    <hyperlink r:id="rId9" ref="L25"/>
    <hyperlink r:id="rId10" ref="L27"/>
    <hyperlink r:id="rId11" ref="L29"/>
    <hyperlink r:id="rId12" ref="L31"/>
    <hyperlink r:id="rId13" ref="L33"/>
    <hyperlink r:id="rId14" ref="L35"/>
    <hyperlink r:id="rId15" ref="L37"/>
    <hyperlink r:id="rId16" ref="L39"/>
    <hyperlink r:id="rId17" ref="L41"/>
    <hyperlink r:id="rId18" ref="L43"/>
    <hyperlink r:id="rId19" ref="L45"/>
    <hyperlink r:id="rId20" ref="L47"/>
    <hyperlink r:id="rId21" ref="L49"/>
    <hyperlink r:id="rId22" ref="L51"/>
  </hyperlinks>
  <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13"/>
  </cols>
  <sheetData>
    <row r="1">
      <c r="A1" s="61"/>
      <c r="B1" s="61"/>
      <c r="C1" s="61"/>
      <c r="D1" s="61"/>
      <c r="E1" s="1"/>
      <c r="F1" s="1"/>
      <c r="G1" s="61"/>
      <c r="H1" s="61"/>
      <c r="I1" s="61"/>
      <c r="J1" s="61"/>
      <c r="K1" s="61"/>
      <c r="L1" s="61"/>
      <c r="M1" s="61"/>
      <c r="N1" s="61"/>
      <c r="O1" s="61"/>
      <c r="P1" s="61"/>
    </row>
    <row r="2">
      <c r="A2" s="62" t="s">
        <v>0</v>
      </c>
      <c r="B2" s="63"/>
      <c r="C2" s="61"/>
      <c r="D2" s="4" t="s">
        <v>2</v>
      </c>
      <c r="E2" s="4" t="s">
        <v>3</v>
      </c>
      <c r="F2" s="61"/>
      <c r="G2" s="61"/>
      <c r="H2" s="61"/>
      <c r="I2" s="61"/>
      <c r="J2" s="61"/>
      <c r="K2" s="61"/>
      <c r="L2" s="61"/>
      <c r="M2" s="61"/>
      <c r="N2" s="61"/>
      <c r="O2" s="61"/>
      <c r="P2" s="61"/>
    </row>
    <row r="3">
      <c r="A3" s="62" t="s">
        <v>4</v>
      </c>
      <c r="B3" s="64"/>
      <c r="C3" s="61"/>
      <c r="D3" s="65" t="s">
        <v>6</v>
      </c>
      <c r="E3" s="66">
        <f>COUNTIF(K14:K1005, "High")</f>
        <v>7</v>
      </c>
      <c r="F3" s="61"/>
      <c r="G3" s="61"/>
      <c r="H3" s="61"/>
      <c r="I3" s="61"/>
      <c r="J3" s="61"/>
      <c r="K3" s="61"/>
      <c r="L3" s="61"/>
      <c r="M3" s="61"/>
      <c r="N3" s="61"/>
      <c r="O3" s="61"/>
      <c r="P3" s="61"/>
    </row>
    <row r="4">
      <c r="A4" s="62" t="s">
        <v>7</v>
      </c>
      <c r="B4" s="67"/>
      <c r="C4" s="61"/>
      <c r="D4" s="65" t="s">
        <v>8</v>
      </c>
      <c r="E4" s="66">
        <f>COUNTIF(K14:K1006, "Medium")</f>
        <v>7</v>
      </c>
      <c r="F4" s="61"/>
      <c r="G4" s="61"/>
      <c r="H4" s="61"/>
      <c r="I4" s="61"/>
      <c r="J4" s="61"/>
      <c r="K4" s="61"/>
      <c r="L4" s="61"/>
      <c r="M4" s="61"/>
      <c r="N4" s="61"/>
      <c r="O4" s="61"/>
      <c r="P4" s="61"/>
    </row>
    <row r="5">
      <c r="A5" s="62" t="s">
        <v>9</v>
      </c>
      <c r="B5" s="68"/>
      <c r="C5" s="61"/>
      <c r="D5" s="65" t="s">
        <v>11</v>
      </c>
      <c r="E5" s="66">
        <f>COUNTIF(K14:K1007, "Low") </f>
        <v>1</v>
      </c>
      <c r="F5" s="61"/>
      <c r="G5" s="61"/>
      <c r="H5" s="61"/>
      <c r="I5" s="61"/>
      <c r="J5" s="61"/>
      <c r="K5" s="61"/>
      <c r="L5" s="61"/>
      <c r="M5" s="61"/>
      <c r="N5" s="61"/>
      <c r="O5" s="61"/>
      <c r="P5" s="61"/>
    </row>
    <row r="6">
      <c r="A6" s="62" t="s">
        <v>12</v>
      </c>
      <c r="B6" s="68"/>
      <c r="C6" s="61"/>
      <c r="D6" s="61"/>
      <c r="E6" s="61"/>
      <c r="F6" s="61"/>
      <c r="G6" s="61"/>
      <c r="H6" s="61"/>
      <c r="I6" s="61"/>
      <c r="J6" s="61"/>
      <c r="K6" s="61"/>
      <c r="L6" s="61"/>
      <c r="M6" s="61"/>
      <c r="N6" s="61"/>
      <c r="O6" s="61"/>
      <c r="P6" s="61"/>
    </row>
    <row r="7">
      <c r="A7" s="69" t="s">
        <v>13</v>
      </c>
      <c r="B7" s="68"/>
      <c r="C7" s="61"/>
      <c r="D7" s="70" t="s">
        <v>14</v>
      </c>
      <c r="E7" s="71">
        <f>SUM(E3:E5)</f>
        <v>15</v>
      </c>
      <c r="F7" s="61"/>
      <c r="G7" s="61"/>
      <c r="H7" s="61"/>
      <c r="I7" s="61"/>
      <c r="J7" s="61"/>
      <c r="K7" s="61"/>
      <c r="L7" s="61"/>
      <c r="M7" s="61"/>
      <c r="N7" s="61"/>
      <c r="O7" s="61"/>
      <c r="P7" s="61"/>
    </row>
    <row r="8">
      <c r="A8" s="61"/>
      <c r="B8" s="61"/>
      <c r="C8" s="61"/>
      <c r="D8" s="70" t="s">
        <v>15</v>
      </c>
      <c r="E8" s="68"/>
      <c r="F8" s="61"/>
      <c r="G8" s="61"/>
      <c r="H8" s="61"/>
      <c r="I8" s="61"/>
      <c r="J8" s="61"/>
      <c r="K8" s="61"/>
      <c r="L8" s="61"/>
      <c r="M8" s="61"/>
      <c r="N8" s="61"/>
      <c r="O8" s="61"/>
      <c r="P8" s="61"/>
    </row>
    <row r="9">
      <c r="A9" s="61"/>
      <c r="B9" s="61"/>
      <c r="C9" s="61"/>
      <c r="D9" s="61"/>
      <c r="E9" s="61"/>
      <c r="F9" s="61"/>
      <c r="G9" s="61"/>
      <c r="H9" s="61"/>
      <c r="I9" s="61"/>
      <c r="J9" s="61"/>
      <c r="K9" s="61"/>
      <c r="L9" s="61"/>
      <c r="M9" s="61"/>
      <c r="N9" s="61"/>
      <c r="O9" s="61"/>
      <c r="P9" s="61"/>
    </row>
    <row r="10">
      <c r="A10" s="61"/>
      <c r="B10" s="61"/>
      <c r="C10" s="61"/>
      <c r="D10" s="61"/>
      <c r="E10" s="61"/>
      <c r="F10" s="61"/>
      <c r="G10" s="61"/>
      <c r="H10" s="61"/>
      <c r="I10" s="61"/>
      <c r="J10" s="61"/>
      <c r="K10" s="61"/>
      <c r="L10" s="61"/>
      <c r="M10" s="61"/>
      <c r="N10" s="61"/>
      <c r="O10" s="61"/>
      <c r="P10" s="61"/>
    </row>
    <row r="11">
      <c r="A11" s="61"/>
      <c r="B11" s="61"/>
      <c r="C11" s="61"/>
      <c r="D11" s="61"/>
      <c r="E11" s="61"/>
      <c r="F11" s="61"/>
      <c r="G11" s="61"/>
      <c r="H11" s="61"/>
      <c r="I11" s="61"/>
      <c r="J11" s="61"/>
      <c r="K11" s="61"/>
      <c r="L11" s="61"/>
      <c r="M11" s="61"/>
      <c r="N11" s="61"/>
      <c r="O11" s="61"/>
      <c r="P11" s="61"/>
    </row>
    <row r="12">
      <c r="A12" s="61"/>
      <c r="B12" s="61"/>
      <c r="C12" s="61"/>
      <c r="D12" s="61"/>
      <c r="E12" s="61"/>
      <c r="F12" s="61"/>
      <c r="G12" s="61"/>
      <c r="H12" s="61"/>
      <c r="I12" s="61"/>
      <c r="J12" s="61"/>
      <c r="K12" s="61"/>
      <c r="L12" s="61"/>
      <c r="M12" s="61"/>
      <c r="N12" s="61"/>
      <c r="O12" s="61"/>
      <c r="P12" s="61"/>
    </row>
    <row r="13">
      <c r="A13" s="61"/>
      <c r="B13" s="61"/>
      <c r="C13" s="61"/>
      <c r="D13" s="61"/>
      <c r="E13" s="61"/>
      <c r="F13" s="61"/>
      <c r="G13" s="61"/>
      <c r="H13" s="61"/>
      <c r="I13" s="61"/>
      <c r="J13" s="61"/>
      <c r="K13" s="61"/>
      <c r="L13" s="61"/>
      <c r="M13" s="61"/>
      <c r="N13" s="61"/>
      <c r="O13" s="61"/>
      <c r="P13" s="61"/>
    </row>
    <row r="14">
      <c r="A14" s="72" t="s">
        <v>16</v>
      </c>
      <c r="B14" s="72" t="s">
        <v>17</v>
      </c>
      <c r="C14" s="72" t="s">
        <v>18</v>
      </c>
      <c r="D14" s="72" t="s">
        <v>19</v>
      </c>
      <c r="E14" s="72" t="s">
        <v>20</v>
      </c>
      <c r="F14" s="72" t="s">
        <v>21</v>
      </c>
      <c r="G14" s="72" t="s">
        <v>22</v>
      </c>
      <c r="H14" s="72" t="s">
        <v>23</v>
      </c>
      <c r="I14" s="72" t="s">
        <v>24</v>
      </c>
      <c r="J14" s="72" t="s">
        <v>25</v>
      </c>
      <c r="K14" s="72" t="s">
        <v>2</v>
      </c>
      <c r="L14" s="72" t="s">
        <v>26</v>
      </c>
      <c r="M14" s="72" t="s">
        <v>27</v>
      </c>
      <c r="N14" s="72" t="s">
        <v>29</v>
      </c>
      <c r="O14" s="61"/>
      <c r="P14" s="61"/>
    </row>
    <row r="15">
      <c r="A15" s="73" t="s">
        <v>81</v>
      </c>
      <c r="B15" s="74" t="s">
        <v>82</v>
      </c>
      <c r="C15" s="74" t="s">
        <v>82</v>
      </c>
      <c r="D15" s="74" t="s">
        <v>231</v>
      </c>
      <c r="E15" s="74" t="s">
        <v>232</v>
      </c>
      <c r="F15" s="74" t="s">
        <v>233</v>
      </c>
      <c r="G15" s="74" t="s">
        <v>234</v>
      </c>
      <c r="H15" s="74" t="s">
        <v>235</v>
      </c>
      <c r="I15" s="74" t="s">
        <v>236</v>
      </c>
      <c r="J15" s="74" t="s">
        <v>89</v>
      </c>
      <c r="K15" s="74" t="s">
        <v>8</v>
      </c>
      <c r="L15" s="75" t="s">
        <v>237</v>
      </c>
      <c r="M15" s="76"/>
      <c r="N15" s="76"/>
      <c r="O15" s="61"/>
      <c r="P15" s="61"/>
    </row>
    <row r="16">
      <c r="A16" s="73" t="s">
        <v>91</v>
      </c>
      <c r="B16" s="74" t="s">
        <v>82</v>
      </c>
      <c r="C16" s="74" t="s">
        <v>82</v>
      </c>
      <c r="D16" s="74" t="s">
        <v>238</v>
      </c>
      <c r="E16" s="74" t="s">
        <v>232</v>
      </c>
      <c r="F16" s="74" t="s">
        <v>239</v>
      </c>
      <c r="G16" s="74" t="s">
        <v>240</v>
      </c>
      <c r="H16" s="74" t="s">
        <v>241</v>
      </c>
      <c r="I16" s="74" t="s">
        <v>242</v>
      </c>
      <c r="J16" s="74" t="s">
        <v>89</v>
      </c>
      <c r="K16" s="74" t="s">
        <v>6</v>
      </c>
      <c r="L16" s="75" t="s">
        <v>237</v>
      </c>
      <c r="M16" s="76"/>
      <c r="N16" s="13"/>
      <c r="O16" s="61"/>
      <c r="P16" s="61"/>
    </row>
    <row r="17">
      <c r="A17" s="73" t="s">
        <v>97</v>
      </c>
      <c r="B17" s="74" t="s">
        <v>82</v>
      </c>
      <c r="C17" s="74" t="s">
        <v>82</v>
      </c>
      <c r="D17" s="74" t="s">
        <v>243</v>
      </c>
      <c r="E17" s="74" t="s">
        <v>232</v>
      </c>
      <c r="F17" s="74" t="s">
        <v>244</v>
      </c>
      <c r="G17" s="77"/>
      <c r="H17" s="74" t="s">
        <v>245</v>
      </c>
      <c r="I17" s="74" t="s">
        <v>246</v>
      </c>
      <c r="J17" s="74" t="s">
        <v>89</v>
      </c>
      <c r="K17" s="74" t="s">
        <v>11</v>
      </c>
      <c r="L17" s="75" t="s">
        <v>247</v>
      </c>
      <c r="M17" s="76"/>
      <c r="N17" s="76"/>
      <c r="O17" s="61"/>
      <c r="P17" s="61"/>
    </row>
    <row r="18">
      <c r="A18" s="73" t="s">
        <v>104</v>
      </c>
      <c r="B18" s="78" t="s">
        <v>248</v>
      </c>
      <c r="C18" s="78" t="s">
        <v>249</v>
      </c>
      <c r="D18" s="78" t="s">
        <v>250</v>
      </c>
      <c r="E18" s="78" t="s">
        <v>251</v>
      </c>
      <c r="F18" s="78" t="s">
        <v>252</v>
      </c>
      <c r="G18" s="79" t="s">
        <v>86</v>
      </c>
      <c r="H18" s="78" t="s">
        <v>253</v>
      </c>
      <c r="I18" s="78" t="s">
        <v>254</v>
      </c>
      <c r="J18" s="78" t="s">
        <v>89</v>
      </c>
      <c r="K18" s="78" t="s">
        <v>8</v>
      </c>
      <c r="L18" s="80" t="s">
        <v>255</v>
      </c>
      <c r="M18" s="81"/>
      <c r="N18" s="82"/>
      <c r="O18" s="61"/>
      <c r="P18" s="61"/>
    </row>
    <row r="19">
      <c r="A19" s="73" t="s">
        <v>110</v>
      </c>
      <c r="B19" s="78" t="s">
        <v>248</v>
      </c>
      <c r="C19" s="78" t="s">
        <v>256</v>
      </c>
      <c r="D19" s="78" t="s">
        <v>257</v>
      </c>
      <c r="E19" s="78" t="s">
        <v>258</v>
      </c>
      <c r="F19" s="78" t="s">
        <v>259</v>
      </c>
      <c r="G19" s="78" t="s">
        <v>86</v>
      </c>
      <c r="H19" s="78" t="s">
        <v>260</v>
      </c>
      <c r="I19" s="78" t="s">
        <v>261</v>
      </c>
      <c r="J19" s="78" t="s">
        <v>89</v>
      </c>
      <c r="K19" s="78" t="s">
        <v>8</v>
      </c>
      <c r="L19" s="80"/>
      <c r="M19" s="81"/>
      <c r="N19" s="81"/>
      <c r="O19" s="61"/>
      <c r="P19" s="61"/>
    </row>
    <row r="20">
      <c r="A20" s="73" t="s">
        <v>115</v>
      </c>
      <c r="B20" s="78" t="s">
        <v>146</v>
      </c>
      <c r="C20" s="78" t="s">
        <v>147</v>
      </c>
      <c r="D20" s="78" t="s">
        <v>262</v>
      </c>
      <c r="E20" s="78" t="s">
        <v>263</v>
      </c>
      <c r="F20" s="78" t="s">
        <v>264</v>
      </c>
      <c r="G20" s="78"/>
      <c r="H20" s="78" t="s">
        <v>265</v>
      </c>
      <c r="I20" s="78" t="s">
        <v>266</v>
      </c>
      <c r="J20" s="78" t="s">
        <v>89</v>
      </c>
      <c r="K20" s="78" t="s">
        <v>6</v>
      </c>
      <c r="L20" s="80" t="s">
        <v>267</v>
      </c>
      <c r="M20" s="81"/>
      <c r="N20" s="82"/>
      <c r="O20" s="61"/>
      <c r="P20" s="61"/>
    </row>
    <row r="21">
      <c r="A21" s="73" t="s">
        <v>120</v>
      </c>
      <c r="B21" s="78" t="s">
        <v>268</v>
      </c>
      <c r="C21" s="78" t="s">
        <v>269</v>
      </c>
      <c r="D21" s="78" t="s">
        <v>270</v>
      </c>
      <c r="E21" s="78" t="s">
        <v>271</v>
      </c>
      <c r="F21" s="78" t="s">
        <v>272</v>
      </c>
      <c r="G21" s="78"/>
      <c r="H21" s="78" t="s">
        <v>273</v>
      </c>
      <c r="I21" s="78" t="s">
        <v>274</v>
      </c>
      <c r="J21" s="78" t="s">
        <v>89</v>
      </c>
      <c r="K21" s="78" t="s">
        <v>8</v>
      </c>
      <c r="L21" s="80" t="s">
        <v>275</v>
      </c>
      <c r="M21" s="81"/>
      <c r="N21" s="81"/>
      <c r="O21" s="61"/>
      <c r="P21" s="61"/>
    </row>
    <row r="22">
      <c r="A22" s="73" t="s">
        <v>125</v>
      </c>
      <c r="B22" s="78" t="s">
        <v>276</v>
      </c>
      <c r="C22" s="78" t="s">
        <v>277</v>
      </c>
      <c r="D22" s="78" t="s">
        <v>278</v>
      </c>
      <c r="E22" s="78" t="s">
        <v>279</v>
      </c>
      <c r="F22" s="78" t="s">
        <v>280</v>
      </c>
      <c r="G22" s="78" t="s">
        <v>86</v>
      </c>
      <c r="H22" s="78" t="s">
        <v>281</v>
      </c>
      <c r="I22" s="78" t="s">
        <v>282</v>
      </c>
      <c r="J22" s="78" t="s">
        <v>89</v>
      </c>
      <c r="K22" s="78" t="s">
        <v>6</v>
      </c>
      <c r="L22" s="80" t="s">
        <v>283</v>
      </c>
      <c r="M22" s="81"/>
      <c r="N22" s="82"/>
      <c r="O22" s="61"/>
      <c r="P22" s="61"/>
    </row>
    <row r="23">
      <c r="A23" s="73" t="s">
        <v>130</v>
      </c>
      <c r="B23" s="78" t="s">
        <v>155</v>
      </c>
      <c r="C23" s="78" t="s">
        <v>284</v>
      </c>
      <c r="D23" s="78" t="s">
        <v>285</v>
      </c>
      <c r="E23" s="78" t="s">
        <v>286</v>
      </c>
      <c r="F23" s="78" t="s">
        <v>287</v>
      </c>
      <c r="G23" s="78" t="s">
        <v>288</v>
      </c>
      <c r="H23" s="78" t="s">
        <v>289</v>
      </c>
      <c r="I23" s="78" t="s">
        <v>290</v>
      </c>
      <c r="J23" s="78" t="s">
        <v>89</v>
      </c>
      <c r="K23" s="78" t="s">
        <v>8</v>
      </c>
      <c r="L23" s="83" t="s">
        <v>291</v>
      </c>
      <c r="M23" s="84"/>
      <c r="N23" s="81"/>
      <c r="O23" s="61"/>
      <c r="P23" s="61"/>
    </row>
    <row r="24">
      <c r="A24" s="73" t="s">
        <v>138</v>
      </c>
      <c r="B24" s="78" t="s">
        <v>268</v>
      </c>
      <c r="C24" s="78" t="s">
        <v>292</v>
      </c>
      <c r="D24" s="78" t="s">
        <v>293</v>
      </c>
      <c r="E24" s="78" t="s">
        <v>294</v>
      </c>
      <c r="F24" s="78" t="s">
        <v>295</v>
      </c>
      <c r="G24" s="78" t="s">
        <v>296</v>
      </c>
      <c r="H24" s="78" t="s">
        <v>297</v>
      </c>
      <c r="I24" s="78" t="s">
        <v>298</v>
      </c>
      <c r="J24" s="78" t="s">
        <v>89</v>
      </c>
      <c r="K24" s="78" t="s">
        <v>6</v>
      </c>
      <c r="L24" s="83" t="s">
        <v>299</v>
      </c>
      <c r="M24" s="84"/>
      <c r="N24" s="82"/>
      <c r="O24" s="61"/>
      <c r="P24" s="61"/>
    </row>
    <row r="25">
      <c r="A25" s="73" t="s">
        <v>145</v>
      </c>
      <c r="B25" s="78" t="s">
        <v>146</v>
      </c>
      <c r="C25" s="78" t="s">
        <v>300</v>
      </c>
      <c r="D25" s="78" t="s">
        <v>301</v>
      </c>
      <c r="E25" s="78" t="s">
        <v>302</v>
      </c>
      <c r="F25" s="78" t="s">
        <v>303</v>
      </c>
      <c r="G25" s="78"/>
      <c r="H25" s="78" t="s">
        <v>304</v>
      </c>
      <c r="I25" s="78" t="s">
        <v>305</v>
      </c>
      <c r="J25" s="78" t="s">
        <v>89</v>
      </c>
      <c r="K25" s="78" t="s">
        <v>6</v>
      </c>
      <c r="L25" s="85" t="s">
        <v>306</v>
      </c>
      <c r="M25" s="84"/>
      <c r="N25" s="81"/>
      <c r="O25" s="61"/>
      <c r="P25" s="61"/>
    </row>
    <row r="26">
      <c r="A26" s="73" t="s">
        <v>154</v>
      </c>
      <c r="B26" s="86" t="s">
        <v>307</v>
      </c>
      <c r="C26" s="86" t="s">
        <v>308</v>
      </c>
      <c r="D26" s="86" t="s">
        <v>309</v>
      </c>
      <c r="E26" s="86" t="s">
        <v>310</v>
      </c>
      <c r="F26" s="86" t="s">
        <v>311</v>
      </c>
      <c r="G26" s="86" t="s">
        <v>312</v>
      </c>
      <c r="H26" s="86" t="s">
        <v>313</v>
      </c>
      <c r="I26" s="86" t="s">
        <v>314</v>
      </c>
      <c r="J26" s="86" t="s">
        <v>89</v>
      </c>
      <c r="K26" s="86" t="s">
        <v>6</v>
      </c>
      <c r="L26" s="83" t="s">
        <v>315</v>
      </c>
      <c r="M26" s="84"/>
      <c r="N26" s="82"/>
      <c r="O26" s="61"/>
      <c r="P26" s="61"/>
    </row>
    <row r="27">
      <c r="A27" s="73" t="s">
        <v>161</v>
      </c>
      <c r="B27" s="86" t="s">
        <v>316</v>
      </c>
      <c r="C27" s="86" t="s">
        <v>317</v>
      </c>
      <c r="D27" s="86" t="s">
        <v>318</v>
      </c>
      <c r="E27" s="86" t="s">
        <v>319</v>
      </c>
      <c r="F27" s="86" t="s">
        <v>320</v>
      </c>
      <c r="G27" s="86"/>
      <c r="H27" s="86" t="s">
        <v>321</v>
      </c>
      <c r="I27" s="86" t="s">
        <v>322</v>
      </c>
      <c r="J27" s="86" t="s">
        <v>89</v>
      </c>
      <c r="K27" s="86" t="s">
        <v>8</v>
      </c>
      <c r="L27" s="83" t="s">
        <v>323</v>
      </c>
      <c r="M27" s="84"/>
      <c r="N27" s="81"/>
      <c r="O27" s="61"/>
      <c r="P27" s="61"/>
    </row>
    <row r="28">
      <c r="A28" s="73" t="s">
        <v>166</v>
      </c>
      <c r="B28" s="86" t="s">
        <v>316</v>
      </c>
      <c r="C28" s="86" t="s">
        <v>324</v>
      </c>
      <c r="D28" s="86" t="s">
        <v>325</v>
      </c>
      <c r="E28" s="86" t="s">
        <v>319</v>
      </c>
      <c r="F28" s="86" t="s">
        <v>326</v>
      </c>
      <c r="G28" s="86" t="s">
        <v>327</v>
      </c>
      <c r="H28" s="86" t="s">
        <v>328</v>
      </c>
      <c r="I28" s="86" t="s">
        <v>329</v>
      </c>
      <c r="J28" s="86" t="s">
        <v>89</v>
      </c>
      <c r="K28" s="86" t="s">
        <v>8</v>
      </c>
      <c r="L28" s="83" t="s">
        <v>330</v>
      </c>
      <c r="M28" s="84"/>
      <c r="N28" s="82"/>
      <c r="O28" s="61"/>
      <c r="P28" s="61"/>
    </row>
    <row r="29">
      <c r="A29" s="73" t="s">
        <v>173</v>
      </c>
      <c r="B29" s="86" t="s">
        <v>331</v>
      </c>
      <c r="C29" s="86" t="s">
        <v>332</v>
      </c>
      <c r="D29" s="86" t="s">
        <v>333</v>
      </c>
      <c r="E29" s="86" t="s">
        <v>334</v>
      </c>
      <c r="F29" s="86" t="s">
        <v>335</v>
      </c>
      <c r="G29" s="86" t="s">
        <v>336</v>
      </c>
      <c r="H29" s="86" t="s">
        <v>337</v>
      </c>
      <c r="I29" s="86" t="s">
        <v>338</v>
      </c>
      <c r="J29" s="86" t="s">
        <v>89</v>
      </c>
      <c r="K29" s="86" t="s">
        <v>6</v>
      </c>
      <c r="L29" s="78"/>
      <c r="M29" s="84"/>
      <c r="N29" s="81"/>
      <c r="O29" s="61"/>
      <c r="P29" s="61"/>
    </row>
    <row r="30">
      <c r="A30" s="73" t="s">
        <v>179</v>
      </c>
      <c r="B30" s="84"/>
      <c r="C30" s="84"/>
      <c r="D30" s="84"/>
      <c r="E30" s="84"/>
      <c r="F30" s="84"/>
      <c r="G30" s="84"/>
      <c r="H30" s="84"/>
      <c r="I30" s="84"/>
      <c r="J30" s="84"/>
      <c r="K30" s="84"/>
      <c r="L30" s="84"/>
      <c r="M30" s="84"/>
      <c r="N30" s="82"/>
      <c r="O30" s="61"/>
      <c r="P30" s="61"/>
    </row>
    <row r="31">
      <c r="A31" s="73" t="s">
        <v>185</v>
      </c>
      <c r="B31" s="84"/>
      <c r="C31" s="84"/>
      <c r="D31" s="84"/>
      <c r="E31" s="84"/>
      <c r="F31" s="84"/>
      <c r="G31" s="84"/>
      <c r="H31" s="84"/>
      <c r="I31" s="84"/>
      <c r="J31" s="84"/>
      <c r="K31" s="84"/>
      <c r="L31" s="84"/>
      <c r="M31" s="84"/>
      <c r="N31" s="81"/>
      <c r="O31" s="61"/>
      <c r="P31" s="61"/>
    </row>
    <row r="32">
      <c r="A32" s="73" t="s">
        <v>190</v>
      </c>
      <c r="B32" s="84"/>
      <c r="C32" s="84"/>
      <c r="D32" s="84"/>
      <c r="E32" s="84"/>
      <c r="F32" s="84"/>
      <c r="G32" s="84"/>
      <c r="H32" s="84"/>
      <c r="I32" s="84"/>
      <c r="J32" s="84"/>
      <c r="K32" s="84"/>
      <c r="L32" s="84"/>
      <c r="M32" s="84"/>
      <c r="N32" s="82"/>
      <c r="O32" s="61"/>
      <c r="P32" s="61"/>
    </row>
    <row r="33">
      <c r="A33" s="73" t="s">
        <v>197</v>
      </c>
      <c r="B33" s="84"/>
      <c r="C33" s="84"/>
      <c r="D33" s="84"/>
      <c r="E33" s="84"/>
      <c r="F33" s="84"/>
      <c r="G33" s="84"/>
      <c r="H33" s="84"/>
      <c r="I33" s="84"/>
      <c r="J33" s="84"/>
      <c r="K33" s="84"/>
      <c r="L33" s="84"/>
      <c r="M33" s="84"/>
      <c r="N33" s="81"/>
      <c r="O33" s="61"/>
      <c r="P33" s="61"/>
    </row>
    <row r="34">
      <c r="A34" s="73" t="s">
        <v>205</v>
      </c>
      <c r="B34" s="84"/>
      <c r="C34" s="84"/>
      <c r="D34" s="84"/>
      <c r="E34" s="84"/>
      <c r="F34" s="84"/>
      <c r="G34" s="84"/>
      <c r="H34" s="84"/>
      <c r="I34" s="84"/>
      <c r="J34" s="84"/>
      <c r="K34" s="84"/>
      <c r="L34" s="84"/>
      <c r="M34" s="84"/>
      <c r="N34" s="82"/>
      <c r="O34" s="61"/>
      <c r="P34" s="61"/>
    </row>
    <row r="35">
      <c r="A35" s="73" t="s">
        <v>213</v>
      </c>
      <c r="B35" s="84"/>
      <c r="C35" s="84"/>
      <c r="D35" s="84"/>
      <c r="E35" s="84"/>
      <c r="F35" s="84"/>
      <c r="G35" s="84"/>
      <c r="H35" s="84"/>
      <c r="I35" s="84"/>
      <c r="J35" s="84"/>
      <c r="K35" s="84"/>
      <c r="L35" s="84"/>
      <c r="M35" s="84"/>
      <c r="N35" s="81"/>
      <c r="O35" s="61"/>
      <c r="P35" s="61"/>
    </row>
    <row r="36">
      <c r="A36" s="73" t="s">
        <v>218</v>
      </c>
      <c r="B36" s="84"/>
      <c r="C36" s="84"/>
      <c r="D36" s="84"/>
      <c r="E36" s="84"/>
      <c r="F36" s="84"/>
      <c r="G36" s="84"/>
      <c r="H36" s="84"/>
      <c r="I36" s="84"/>
      <c r="J36" s="84"/>
      <c r="K36" s="84"/>
      <c r="L36" s="84"/>
      <c r="M36" s="84"/>
      <c r="N36" s="82"/>
      <c r="O36" s="61"/>
      <c r="P36" s="61"/>
    </row>
    <row r="37">
      <c r="A37" s="73" t="s">
        <v>224</v>
      </c>
      <c r="B37" s="84"/>
      <c r="C37" s="84"/>
      <c r="D37" s="84"/>
      <c r="E37" s="84"/>
      <c r="F37" s="84"/>
      <c r="G37" s="84"/>
      <c r="H37" s="84"/>
      <c r="I37" s="84"/>
      <c r="J37" s="84"/>
      <c r="K37" s="84"/>
      <c r="L37" s="84"/>
      <c r="M37" s="84"/>
      <c r="N37" s="81"/>
      <c r="O37" s="61"/>
      <c r="P37" s="61"/>
    </row>
    <row r="38">
      <c r="A38" s="73" t="s">
        <v>225</v>
      </c>
      <c r="B38" s="84"/>
      <c r="C38" s="84"/>
      <c r="D38" s="84"/>
      <c r="E38" s="84"/>
      <c r="F38" s="84"/>
      <c r="G38" s="84"/>
      <c r="H38" s="84"/>
      <c r="I38" s="84"/>
      <c r="J38" s="84"/>
      <c r="K38" s="84"/>
      <c r="L38" s="84"/>
      <c r="M38" s="84"/>
      <c r="N38" s="82"/>
      <c r="O38" s="61"/>
      <c r="P38" s="61"/>
    </row>
    <row r="39">
      <c r="A39" s="73" t="s">
        <v>226</v>
      </c>
      <c r="B39" s="84"/>
      <c r="C39" s="84"/>
      <c r="D39" s="84"/>
      <c r="E39" s="84"/>
      <c r="F39" s="84"/>
      <c r="G39" s="84"/>
      <c r="H39" s="84"/>
      <c r="I39" s="84"/>
      <c r="J39" s="84"/>
      <c r="K39" s="84"/>
      <c r="L39" s="84"/>
      <c r="M39" s="84"/>
      <c r="N39" s="81"/>
      <c r="O39" s="61"/>
      <c r="P39" s="61"/>
    </row>
    <row r="40">
      <c r="A40" s="73" t="s">
        <v>227</v>
      </c>
      <c r="B40" s="84"/>
      <c r="C40" s="84"/>
      <c r="D40" s="84"/>
      <c r="E40" s="84"/>
      <c r="F40" s="84"/>
      <c r="G40" s="84"/>
      <c r="H40" s="84"/>
      <c r="I40" s="84"/>
      <c r="J40" s="84"/>
      <c r="K40" s="84"/>
      <c r="L40" s="84"/>
      <c r="M40" s="84"/>
      <c r="N40" s="82"/>
      <c r="O40" s="61"/>
      <c r="P40" s="61"/>
    </row>
    <row r="41">
      <c r="A41" s="78"/>
      <c r="B41" s="84"/>
      <c r="C41" s="84"/>
      <c r="D41" s="84"/>
      <c r="E41" s="84"/>
      <c r="F41" s="84"/>
      <c r="G41" s="84"/>
      <c r="H41" s="84"/>
      <c r="I41" s="84"/>
      <c r="J41" s="84"/>
      <c r="K41" s="84"/>
      <c r="L41" s="84"/>
      <c r="M41" s="84"/>
      <c r="N41" s="81"/>
      <c r="O41" s="61"/>
      <c r="P41" s="61"/>
    </row>
    <row r="42">
      <c r="A42" s="78"/>
      <c r="B42" s="84"/>
      <c r="C42" s="84"/>
      <c r="D42" s="84"/>
      <c r="E42" s="84"/>
      <c r="F42" s="84"/>
      <c r="G42" s="84"/>
      <c r="H42" s="84"/>
      <c r="I42" s="84"/>
      <c r="J42" s="84"/>
      <c r="K42" s="84"/>
      <c r="L42" s="84"/>
      <c r="M42" s="84"/>
      <c r="N42" s="82"/>
      <c r="O42" s="61"/>
      <c r="P42" s="61"/>
    </row>
    <row r="43">
      <c r="A43" s="78"/>
      <c r="B43" s="84"/>
      <c r="C43" s="84"/>
      <c r="D43" s="84"/>
      <c r="E43" s="84"/>
      <c r="F43" s="84"/>
      <c r="G43" s="84"/>
      <c r="H43" s="84"/>
      <c r="I43" s="84"/>
      <c r="J43" s="84"/>
      <c r="K43" s="84"/>
      <c r="L43" s="84"/>
      <c r="M43" s="84"/>
      <c r="N43" s="81"/>
      <c r="O43" s="61"/>
      <c r="P43" s="61"/>
    </row>
    <row r="44">
      <c r="A44" s="78"/>
      <c r="B44" s="84"/>
      <c r="C44" s="84"/>
      <c r="D44" s="84"/>
      <c r="E44" s="84"/>
      <c r="F44" s="84"/>
      <c r="G44" s="84"/>
      <c r="H44" s="84"/>
      <c r="I44" s="84"/>
      <c r="J44" s="84"/>
      <c r="K44" s="84"/>
      <c r="L44" s="84"/>
      <c r="M44" s="84"/>
      <c r="N44" s="82"/>
      <c r="O44" s="61"/>
      <c r="P44" s="61"/>
    </row>
    <row r="45">
      <c r="A45" s="78"/>
      <c r="B45" s="84"/>
      <c r="C45" s="84"/>
      <c r="D45" s="84"/>
      <c r="E45" s="84"/>
      <c r="F45" s="84"/>
      <c r="G45" s="84"/>
      <c r="H45" s="84"/>
      <c r="I45" s="84"/>
      <c r="J45" s="84"/>
      <c r="K45" s="84"/>
      <c r="L45" s="84"/>
      <c r="M45" s="84"/>
      <c r="N45" s="81"/>
      <c r="O45" s="61"/>
      <c r="P45" s="61"/>
    </row>
    <row r="46">
      <c r="A46" s="78"/>
      <c r="B46" s="84"/>
      <c r="C46" s="84"/>
      <c r="D46" s="84"/>
      <c r="E46" s="84"/>
      <c r="F46" s="84"/>
      <c r="G46" s="84"/>
      <c r="H46" s="84"/>
      <c r="I46" s="84"/>
      <c r="J46" s="84"/>
      <c r="K46" s="84"/>
      <c r="L46" s="84"/>
      <c r="M46" s="84"/>
      <c r="N46" s="82"/>
      <c r="O46" s="61"/>
      <c r="P46" s="61"/>
    </row>
    <row r="47">
      <c r="A47" s="78"/>
      <c r="B47" s="84"/>
      <c r="C47" s="84"/>
      <c r="D47" s="84"/>
      <c r="E47" s="84"/>
      <c r="F47" s="84"/>
      <c r="G47" s="84"/>
      <c r="H47" s="84"/>
      <c r="I47" s="84"/>
      <c r="J47" s="84"/>
      <c r="K47" s="84"/>
      <c r="L47" s="84"/>
      <c r="M47" s="84"/>
      <c r="N47" s="81"/>
      <c r="O47" s="61"/>
      <c r="P47" s="61"/>
    </row>
    <row r="48">
      <c r="A48" s="78"/>
      <c r="B48" s="84"/>
      <c r="C48" s="84"/>
      <c r="D48" s="84"/>
      <c r="E48" s="84"/>
      <c r="F48" s="84"/>
      <c r="G48" s="84"/>
      <c r="H48" s="84"/>
      <c r="I48" s="84"/>
      <c r="J48" s="84"/>
      <c r="K48" s="84"/>
      <c r="L48" s="84"/>
      <c r="M48" s="84"/>
      <c r="N48" s="82"/>
      <c r="O48" s="61"/>
      <c r="P48" s="61"/>
    </row>
    <row r="49">
      <c r="A49" s="78"/>
      <c r="B49" s="84"/>
      <c r="C49" s="84"/>
      <c r="D49" s="84"/>
      <c r="E49" s="84"/>
      <c r="F49" s="84"/>
      <c r="G49" s="84"/>
      <c r="H49" s="84"/>
      <c r="I49" s="84"/>
      <c r="J49" s="84"/>
      <c r="K49" s="84"/>
      <c r="L49" s="84"/>
      <c r="M49" s="84"/>
      <c r="N49" s="81"/>
      <c r="O49" s="61"/>
      <c r="P49" s="61"/>
    </row>
    <row r="50">
      <c r="A50" s="78"/>
      <c r="B50" s="84"/>
      <c r="C50" s="84"/>
      <c r="D50" s="84"/>
      <c r="E50" s="84"/>
      <c r="F50" s="84"/>
      <c r="G50" s="84"/>
      <c r="H50" s="84"/>
      <c r="I50" s="84"/>
      <c r="J50" s="84"/>
      <c r="K50" s="84"/>
      <c r="L50" s="84"/>
      <c r="M50" s="84"/>
      <c r="N50" s="82"/>
      <c r="O50" s="61"/>
      <c r="P50" s="61"/>
    </row>
    <row r="51">
      <c r="A51" s="78"/>
      <c r="B51" s="84"/>
      <c r="C51" s="84"/>
      <c r="D51" s="84"/>
      <c r="E51" s="84"/>
      <c r="F51" s="84"/>
      <c r="G51" s="84"/>
      <c r="H51" s="84"/>
      <c r="I51" s="84"/>
      <c r="J51" s="84"/>
      <c r="K51" s="84"/>
      <c r="L51" s="84"/>
      <c r="M51" s="84"/>
      <c r="N51" s="81"/>
      <c r="O51" s="61"/>
      <c r="P51" s="61"/>
    </row>
    <row r="52">
      <c r="A52" s="78"/>
      <c r="B52" s="84"/>
      <c r="C52" s="84"/>
      <c r="D52" s="84"/>
      <c r="E52" s="84"/>
      <c r="F52" s="84"/>
      <c r="G52" s="84"/>
      <c r="H52" s="84"/>
      <c r="I52" s="84"/>
      <c r="J52" s="84"/>
      <c r="K52" s="84"/>
      <c r="L52" s="84"/>
      <c r="M52" s="84"/>
      <c r="N52" s="82"/>
      <c r="O52" s="61"/>
      <c r="P52" s="61"/>
    </row>
    <row r="53">
      <c r="A53" s="78"/>
      <c r="B53" s="84"/>
      <c r="C53" s="84"/>
      <c r="D53" s="84"/>
      <c r="E53" s="84"/>
      <c r="F53" s="84"/>
      <c r="G53" s="84"/>
      <c r="H53" s="84"/>
      <c r="I53" s="84"/>
      <c r="J53" s="84"/>
      <c r="K53" s="84"/>
      <c r="L53" s="84"/>
      <c r="M53" s="84"/>
      <c r="N53" s="81"/>
      <c r="O53" s="61"/>
      <c r="P53" s="61"/>
    </row>
    <row r="54">
      <c r="A54" s="78"/>
      <c r="B54" s="84"/>
      <c r="C54" s="84"/>
      <c r="D54" s="84"/>
      <c r="E54" s="84"/>
      <c r="F54" s="84"/>
      <c r="G54" s="84"/>
      <c r="H54" s="84"/>
      <c r="I54" s="84"/>
      <c r="J54" s="84"/>
      <c r="K54" s="84"/>
      <c r="L54" s="84"/>
      <c r="M54" s="84"/>
      <c r="N54" s="82"/>
      <c r="O54" s="61"/>
      <c r="P54" s="61"/>
    </row>
    <row r="55">
      <c r="A55" s="78"/>
      <c r="B55" s="84"/>
      <c r="C55" s="84"/>
      <c r="D55" s="84"/>
      <c r="E55" s="84"/>
      <c r="F55" s="84"/>
      <c r="G55" s="84"/>
      <c r="H55" s="84"/>
      <c r="I55" s="84"/>
      <c r="J55" s="84"/>
      <c r="K55" s="84"/>
      <c r="L55" s="84"/>
      <c r="M55" s="84"/>
      <c r="N55" s="81"/>
      <c r="O55" s="61"/>
      <c r="P55" s="61"/>
    </row>
    <row r="56">
      <c r="A56" s="78"/>
      <c r="B56" s="84"/>
      <c r="C56" s="84"/>
      <c r="D56" s="84"/>
      <c r="E56" s="84"/>
      <c r="F56" s="84"/>
      <c r="G56" s="84"/>
      <c r="H56" s="84"/>
      <c r="I56" s="84"/>
      <c r="J56" s="84"/>
      <c r="K56" s="84"/>
      <c r="L56" s="84"/>
      <c r="M56" s="84"/>
      <c r="N56" s="82"/>
      <c r="O56" s="61"/>
      <c r="P56" s="61"/>
    </row>
    <row r="57">
      <c r="A57" s="78"/>
      <c r="B57" s="84"/>
      <c r="C57" s="84"/>
      <c r="D57" s="84"/>
      <c r="E57" s="84"/>
      <c r="F57" s="84"/>
      <c r="G57" s="84"/>
      <c r="H57" s="84"/>
      <c r="I57" s="84"/>
      <c r="J57" s="84"/>
      <c r="K57" s="84"/>
      <c r="L57" s="84"/>
      <c r="M57" s="84"/>
      <c r="N57" s="81"/>
      <c r="O57" s="61"/>
      <c r="P57" s="61"/>
    </row>
    <row r="58">
      <c r="A58" s="78"/>
      <c r="B58" s="84"/>
      <c r="C58" s="84"/>
      <c r="D58" s="84"/>
      <c r="E58" s="84"/>
      <c r="F58" s="84"/>
      <c r="G58" s="84"/>
      <c r="H58" s="84"/>
      <c r="I58" s="84"/>
      <c r="J58" s="84"/>
      <c r="K58" s="84"/>
      <c r="L58" s="84"/>
      <c r="M58" s="84"/>
      <c r="N58" s="82"/>
      <c r="O58" s="61"/>
      <c r="P58" s="61"/>
    </row>
    <row r="59">
      <c r="A59" s="78"/>
      <c r="B59" s="84"/>
      <c r="C59" s="84"/>
      <c r="D59" s="84"/>
      <c r="E59" s="84"/>
      <c r="F59" s="84"/>
      <c r="G59" s="84"/>
      <c r="H59" s="84"/>
      <c r="I59" s="84"/>
      <c r="J59" s="84"/>
      <c r="K59" s="84"/>
      <c r="L59" s="84"/>
      <c r="M59" s="84"/>
      <c r="N59" s="81"/>
      <c r="O59" s="61"/>
      <c r="P59" s="61"/>
    </row>
    <row r="60">
      <c r="A60" s="78"/>
      <c r="B60" s="84"/>
      <c r="C60" s="84"/>
      <c r="D60" s="84"/>
      <c r="E60" s="84"/>
      <c r="F60" s="84"/>
      <c r="G60" s="84"/>
      <c r="H60" s="84"/>
      <c r="I60" s="84"/>
      <c r="J60" s="84"/>
      <c r="K60" s="84"/>
      <c r="L60" s="84"/>
      <c r="M60" s="84"/>
      <c r="N60" s="82"/>
      <c r="O60" s="61"/>
      <c r="P60" s="61"/>
    </row>
    <row r="61">
      <c r="A61" s="78"/>
      <c r="B61" s="84"/>
      <c r="C61" s="84"/>
      <c r="D61" s="84"/>
      <c r="E61" s="84"/>
      <c r="F61" s="84"/>
      <c r="G61" s="84"/>
      <c r="H61" s="84"/>
      <c r="I61" s="84"/>
      <c r="J61" s="84"/>
      <c r="K61" s="84"/>
      <c r="L61" s="84"/>
      <c r="M61" s="84"/>
      <c r="N61" s="81"/>
      <c r="O61" s="61"/>
      <c r="P61" s="61"/>
    </row>
    <row r="62">
      <c r="A62" s="78"/>
      <c r="B62" s="84"/>
      <c r="C62" s="84"/>
      <c r="D62" s="84"/>
      <c r="E62" s="84"/>
      <c r="F62" s="84"/>
      <c r="G62" s="84"/>
      <c r="H62" s="84"/>
      <c r="I62" s="84"/>
      <c r="J62" s="84"/>
      <c r="K62" s="84"/>
      <c r="L62" s="84"/>
      <c r="M62" s="84"/>
      <c r="N62" s="82"/>
      <c r="O62" s="61"/>
      <c r="P62" s="61"/>
    </row>
    <row r="63">
      <c r="A63" s="78"/>
      <c r="B63" s="84"/>
      <c r="C63" s="84"/>
      <c r="D63" s="84"/>
      <c r="E63" s="84"/>
      <c r="F63" s="84"/>
      <c r="G63" s="84"/>
      <c r="H63" s="84"/>
      <c r="I63" s="84"/>
      <c r="J63" s="84"/>
      <c r="K63" s="84"/>
      <c r="L63" s="84"/>
      <c r="M63" s="84"/>
      <c r="N63" s="81"/>
      <c r="O63" s="61"/>
      <c r="P63" s="61"/>
    </row>
    <row r="64">
      <c r="A64" s="78"/>
      <c r="B64" s="84"/>
      <c r="C64" s="84"/>
      <c r="D64" s="84"/>
      <c r="E64" s="84"/>
      <c r="F64" s="84"/>
      <c r="G64" s="84"/>
      <c r="H64" s="84"/>
      <c r="I64" s="84"/>
      <c r="J64" s="84"/>
      <c r="K64" s="84"/>
      <c r="L64" s="84"/>
      <c r="M64" s="84"/>
      <c r="N64" s="82"/>
      <c r="O64" s="61"/>
      <c r="P64" s="61"/>
    </row>
    <row r="65">
      <c r="A65" s="78"/>
      <c r="B65" s="81"/>
      <c r="C65" s="81"/>
      <c r="D65" s="81"/>
      <c r="E65" s="81"/>
      <c r="F65" s="81"/>
      <c r="G65" s="81"/>
      <c r="H65" s="81"/>
      <c r="I65" s="81"/>
      <c r="J65" s="81"/>
      <c r="K65" s="81"/>
      <c r="L65" s="81"/>
      <c r="M65" s="81"/>
      <c r="N65" s="81"/>
      <c r="O65" s="61"/>
      <c r="P65" s="61"/>
    </row>
    <row r="66">
      <c r="A66" s="78"/>
      <c r="B66" s="81"/>
      <c r="C66" s="81"/>
      <c r="D66" s="81"/>
      <c r="E66" s="81"/>
      <c r="F66" s="81"/>
      <c r="G66" s="81"/>
      <c r="H66" s="81"/>
      <c r="I66" s="81"/>
      <c r="J66" s="81"/>
      <c r="K66" s="81"/>
      <c r="L66" s="81"/>
      <c r="M66" s="81"/>
      <c r="N66" s="82"/>
      <c r="O66" s="61"/>
      <c r="P66" s="61"/>
    </row>
    <row r="67">
      <c r="A67" s="78"/>
      <c r="B67" s="81"/>
      <c r="C67" s="81"/>
      <c r="D67" s="81"/>
      <c r="E67" s="81"/>
      <c r="F67" s="81"/>
      <c r="G67" s="81"/>
      <c r="H67" s="81"/>
      <c r="I67" s="81"/>
      <c r="J67" s="81"/>
      <c r="K67" s="81"/>
      <c r="L67" s="81"/>
      <c r="M67" s="81"/>
      <c r="N67" s="81"/>
      <c r="O67" s="61"/>
      <c r="P67" s="61"/>
    </row>
    <row r="68">
      <c r="A68" s="78"/>
      <c r="B68" s="81"/>
      <c r="C68" s="81"/>
      <c r="D68" s="81"/>
      <c r="E68" s="81"/>
      <c r="F68" s="81"/>
      <c r="G68" s="81"/>
      <c r="H68" s="81"/>
      <c r="I68" s="81"/>
      <c r="J68" s="81"/>
      <c r="K68" s="81"/>
      <c r="L68" s="81"/>
      <c r="M68" s="81"/>
      <c r="N68" s="82"/>
      <c r="O68" s="61"/>
      <c r="P68" s="61"/>
    </row>
    <row r="69">
      <c r="A69" s="78"/>
      <c r="B69" s="81"/>
      <c r="C69" s="81"/>
      <c r="D69" s="81"/>
      <c r="E69" s="81"/>
      <c r="F69" s="81"/>
      <c r="G69" s="81"/>
      <c r="H69" s="81"/>
      <c r="I69" s="81"/>
      <c r="J69" s="81"/>
      <c r="K69" s="81"/>
      <c r="L69" s="81"/>
      <c r="M69" s="81"/>
      <c r="N69" s="81"/>
      <c r="O69" s="61"/>
      <c r="P69" s="61"/>
    </row>
    <row r="70">
      <c r="A70" s="78"/>
      <c r="B70" s="81"/>
      <c r="C70" s="81"/>
      <c r="D70" s="81"/>
      <c r="E70" s="81"/>
      <c r="F70" s="81"/>
      <c r="G70" s="81"/>
      <c r="H70" s="81"/>
      <c r="I70" s="81"/>
      <c r="J70" s="81"/>
      <c r="K70" s="81"/>
      <c r="L70" s="81"/>
      <c r="M70" s="81"/>
      <c r="N70" s="82"/>
      <c r="O70" s="61"/>
      <c r="P70" s="61"/>
    </row>
    <row r="71">
      <c r="A71" s="78"/>
      <c r="B71" s="81"/>
      <c r="C71" s="81"/>
      <c r="D71" s="81"/>
      <c r="E71" s="81"/>
      <c r="F71" s="81"/>
      <c r="G71" s="81"/>
      <c r="H71" s="81"/>
      <c r="I71" s="81"/>
      <c r="J71" s="81"/>
      <c r="K71" s="81"/>
      <c r="L71" s="81"/>
      <c r="M71" s="81"/>
      <c r="N71" s="81"/>
      <c r="O71" s="61"/>
      <c r="P71" s="61"/>
    </row>
    <row r="72">
      <c r="A72" s="78"/>
      <c r="B72" s="81"/>
      <c r="C72" s="81"/>
      <c r="D72" s="81"/>
      <c r="E72" s="81"/>
      <c r="F72" s="81"/>
      <c r="G72" s="81"/>
      <c r="H72" s="81"/>
      <c r="I72" s="81"/>
      <c r="J72" s="81"/>
      <c r="K72" s="81"/>
      <c r="L72" s="81"/>
      <c r="M72" s="81"/>
      <c r="N72" s="82"/>
      <c r="O72" s="61"/>
      <c r="P72" s="61"/>
    </row>
    <row r="73">
      <c r="A73" s="78"/>
      <c r="B73" s="81"/>
      <c r="C73" s="81"/>
      <c r="D73" s="81"/>
      <c r="E73" s="81"/>
      <c r="F73" s="81"/>
      <c r="G73" s="81"/>
      <c r="H73" s="81"/>
      <c r="I73" s="81"/>
      <c r="J73" s="81"/>
      <c r="K73" s="81"/>
      <c r="L73" s="81"/>
      <c r="M73" s="81"/>
      <c r="N73" s="81"/>
      <c r="O73" s="61"/>
      <c r="P73" s="61"/>
    </row>
    <row r="74">
      <c r="A74" s="78"/>
      <c r="B74" s="81"/>
      <c r="C74" s="81"/>
      <c r="D74" s="81"/>
      <c r="E74" s="81"/>
      <c r="F74" s="81"/>
      <c r="G74" s="81"/>
      <c r="H74" s="81"/>
      <c r="I74" s="81"/>
      <c r="J74" s="81"/>
      <c r="K74" s="81"/>
      <c r="L74" s="81"/>
      <c r="M74" s="81"/>
      <c r="N74" s="82"/>
      <c r="O74" s="61"/>
      <c r="P74" s="61"/>
    </row>
    <row r="75">
      <c r="A75" s="78"/>
      <c r="B75" s="81"/>
      <c r="C75" s="81"/>
      <c r="D75" s="81"/>
      <c r="E75" s="81"/>
      <c r="F75" s="81"/>
      <c r="G75" s="81"/>
      <c r="H75" s="81"/>
      <c r="I75" s="81"/>
      <c r="J75" s="81"/>
      <c r="K75" s="81"/>
      <c r="L75" s="81"/>
      <c r="M75" s="81"/>
      <c r="N75" s="81"/>
      <c r="O75" s="61"/>
      <c r="P75" s="61"/>
    </row>
    <row r="76">
      <c r="A76" s="78"/>
      <c r="B76" s="81"/>
      <c r="C76" s="81"/>
      <c r="D76" s="81"/>
      <c r="E76" s="81"/>
      <c r="F76" s="81"/>
      <c r="G76" s="81"/>
      <c r="H76" s="81"/>
      <c r="I76" s="81"/>
      <c r="J76" s="81"/>
      <c r="K76" s="81"/>
      <c r="L76" s="81"/>
      <c r="M76" s="81"/>
      <c r="N76" s="82"/>
      <c r="O76" s="61"/>
      <c r="P76" s="61"/>
    </row>
    <row r="77">
      <c r="A77" s="78"/>
      <c r="B77" s="81"/>
      <c r="C77" s="81"/>
      <c r="D77" s="81"/>
      <c r="E77" s="81"/>
      <c r="F77" s="81"/>
      <c r="G77" s="81"/>
      <c r="H77" s="81"/>
      <c r="I77" s="81"/>
      <c r="J77" s="81"/>
      <c r="K77" s="81"/>
      <c r="L77" s="81"/>
      <c r="M77" s="81"/>
      <c r="N77" s="81"/>
      <c r="O77" s="61"/>
      <c r="P77" s="61"/>
    </row>
    <row r="78">
      <c r="A78" s="78"/>
      <c r="B78" s="81"/>
      <c r="C78" s="81"/>
      <c r="D78" s="81"/>
      <c r="E78" s="81"/>
      <c r="F78" s="81"/>
      <c r="G78" s="81"/>
      <c r="H78" s="81"/>
      <c r="I78" s="81"/>
      <c r="J78" s="81"/>
      <c r="K78" s="81"/>
      <c r="L78" s="81"/>
      <c r="M78" s="81"/>
      <c r="N78" s="82"/>
      <c r="O78" s="61"/>
      <c r="P78" s="61"/>
    </row>
    <row r="79">
      <c r="A79" s="84"/>
      <c r="B79" s="81"/>
      <c r="C79" s="81"/>
      <c r="D79" s="81"/>
      <c r="E79" s="81"/>
      <c r="F79" s="81"/>
      <c r="G79" s="81"/>
      <c r="H79" s="81"/>
      <c r="I79" s="81"/>
      <c r="J79" s="81"/>
      <c r="K79" s="81"/>
      <c r="L79" s="81"/>
      <c r="M79" s="81"/>
      <c r="N79" s="81"/>
      <c r="O79" s="61"/>
      <c r="P79" s="61"/>
    </row>
    <row r="80">
      <c r="A80" s="81"/>
      <c r="B80" s="81"/>
      <c r="C80" s="81"/>
      <c r="D80" s="81"/>
      <c r="E80" s="81"/>
      <c r="F80" s="81"/>
      <c r="G80" s="81"/>
      <c r="H80" s="81"/>
      <c r="I80" s="81"/>
      <c r="J80" s="81"/>
      <c r="K80" s="81"/>
      <c r="L80" s="81"/>
      <c r="M80" s="81"/>
      <c r="N80" s="82"/>
      <c r="O80" s="61"/>
      <c r="P80" s="61"/>
    </row>
    <row r="81">
      <c r="A81" s="81"/>
      <c r="B81" s="81"/>
      <c r="C81" s="81"/>
      <c r="D81" s="81"/>
      <c r="E81" s="81"/>
      <c r="F81" s="81"/>
      <c r="G81" s="81"/>
      <c r="H81" s="81"/>
      <c r="I81" s="81"/>
      <c r="J81" s="81"/>
      <c r="K81" s="81"/>
      <c r="L81" s="81"/>
      <c r="M81" s="81"/>
      <c r="N81" s="81"/>
      <c r="O81" s="61"/>
      <c r="P81" s="61"/>
    </row>
    <row r="82">
      <c r="A82" s="81"/>
      <c r="B82" s="81"/>
      <c r="C82" s="81"/>
      <c r="D82" s="81"/>
      <c r="E82" s="81"/>
      <c r="F82" s="81"/>
      <c r="G82" s="81"/>
      <c r="H82" s="81"/>
      <c r="I82" s="81"/>
      <c r="J82" s="81"/>
      <c r="K82" s="81"/>
      <c r="L82" s="81"/>
      <c r="M82" s="81"/>
      <c r="N82" s="82"/>
      <c r="O82" s="61"/>
      <c r="P82" s="61"/>
    </row>
    <row r="83">
      <c r="A83" s="81"/>
      <c r="B83" s="81"/>
      <c r="C83" s="81"/>
      <c r="D83" s="81"/>
      <c r="E83" s="81"/>
      <c r="F83" s="81"/>
      <c r="G83" s="81"/>
      <c r="H83" s="81"/>
      <c r="I83" s="81"/>
      <c r="J83" s="81"/>
      <c r="K83" s="81"/>
      <c r="L83" s="81"/>
      <c r="M83" s="81"/>
      <c r="N83" s="81"/>
      <c r="O83" s="61"/>
      <c r="P83" s="61"/>
    </row>
    <row r="84">
      <c r="A84" s="81"/>
      <c r="B84" s="81"/>
      <c r="C84" s="81"/>
      <c r="D84" s="81"/>
      <c r="E84" s="81"/>
      <c r="F84" s="81"/>
      <c r="G84" s="81"/>
      <c r="H84" s="81"/>
      <c r="I84" s="81"/>
      <c r="J84" s="81"/>
      <c r="K84" s="81"/>
      <c r="L84" s="81"/>
      <c r="M84" s="81"/>
      <c r="N84" s="82"/>
      <c r="O84" s="61"/>
      <c r="P84" s="61"/>
    </row>
    <row r="85">
      <c r="A85" s="81"/>
      <c r="B85" s="81"/>
      <c r="C85" s="81"/>
      <c r="D85" s="81"/>
      <c r="E85" s="81"/>
      <c r="F85" s="81"/>
      <c r="G85" s="81"/>
      <c r="H85" s="81"/>
      <c r="I85" s="81"/>
      <c r="J85" s="81"/>
      <c r="K85" s="81"/>
      <c r="L85" s="81"/>
      <c r="M85" s="81"/>
      <c r="N85" s="81"/>
      <c r="O85" s="61"/>
      <c r="P85" s="61"/>
    </row>
    <row r="86">
      <c r="A86" s="81"/>
      <c r="B86" s="81"/>
      <c r="C86" s="81"/>
      <c r="D86" s="81"/>
      <c r="E86" s="81"/>
      <c r="F86" s="81"/>
      <c r="G86" s="81"/>
      <c r="H86" s="81"/>
      <c r="I86" s="81"/>
      <c r="J86" s="81"/>
      <c r="K86" s="81"/>
      <c r="L86" s="81"/>
      <c r="M86" s="81"/>
      <c r="N86" s="82"/>
      <c r="O86" s="61"/>
      <c r="P86" s="61"/>
    </row>
    <row r="87">
      <c r="A87" s="81"/>
      <c r="B87" s="81"/>
      <c r="C87" s="81"/>
      <c r="D87" s="81"/>
      <c r="E87" s="81"/>
      <c r="F87" s="81"/>
      <c r="G87" s="81"/>
      <c r="H87" s="81"/>
      <c r="I87" s="81"/>
      <c r="J87" s="81"/>
      <c r="K87" s="81"/>
      <c r="L87" s="81"/>
      <c r="M87" s="81"/>
      <c r="N87" s="81"/>
      <c r="O87" s="61"/>
      <c r="P87" s="61"/>
    </row>
    <row r="88">
      <c r="A88" s="81"/>
      <c r="B88" s="81"/>
      <c r="C88" s="81"/>
      <c r="D88" s="81"/>
      <c r="E88" s="81"/>
      <c r="F88" s="81"/>
      <c r="G88" s="81"/>
      <c r="H88" s="81"/>
      <c r="I88" s="81"/>
      <c r="J88" s="81"/>
      <c r="K88" s="81"/>
      <c r="L88" s="81"/>
      <c r="M88" s="81"/>
      <c r="N88" s="82"/>
      <c r="O88" s="61"/>
      <c r="P88" s="61"/>
    </row>
    <row r="89">
      <c r="A89" s="81"/>
      <c r="B89" s="81"/>
      <c r="C89" s="81"/>
      <c r="D89" s="81"/>
      <c r="E89" s="81"/>
      <c r="F89" s="81"/>
      <c r="G89" s="81"/>
      <c r="H89" s="81"/>
      <c r="I89" s="81"/>
      <c r="J89" s="81"/>
      <c r="K89" s="81"/>
      <c r="L89" s="81"/>
      <c r="M89" s="81"/>
      <c r="N89" s="81"/>
      <c r="O89" s="61"/>
      <c r="P89" s="61"/>
    </row>
    <row r="90">
      <c r="A90" s="81"/>
      <c r="B90" s="81"/>
      <c r="C90" s="81"/>
      <c r="D90" s="81"/>
      <c r="E90" s="81"/>
      <c r="F90" s="81"/>
      <c r="G90" s="81"/>
      <c r="H90" s="81"/>
      <c r="I90" s="81"/>
      <c r="J90" s="81"/>
      <c r="K90" s="81"/>
      <c r="L90" s="81"/>
      <c r="M90" s="81"/>
      <c r="N90" s="82"/>
      <c r="O90" s="61"/>
      <c r="P90" s="61"/>
    </row>
    <row r="91">
      <c r="A91" s="81"/>
      <c r="B91" s="81"/>
      <c r="C91" s="81"/>
      <c r="D91" s="81"/>
      <c r="E91" s="81"/>
      <c r="F91" s="81"/>
      <c r="G91" s="81"/>
      <c r="H91" s="81"/>
      <c r="I91" s="81"/>
      <c r="J91" s="81"/>
      <c r="K91" s="81"/>
      <c r="L91" s="81"/>
      <c r="M91" s="81"/>
      <c r="N91" s="81"/>
      <c r="O91" s="61"/>
      <c r="P91" s="61"/>
    </row>
    <row r="92">
      <c r="A92" s="81"/>
      <c r="B92" s="81"/>
      <c r="C92" s="81"/>
      <c r="D92" s="81"/>
      <c r="E92" s="81"/>
      <c r="F92" s="81"/>
      <c r="G92" s="81"/>
      <c r="H92" s="81"/>
      <c r="I92" s="81"/>
      <c r="J92" s="81"/>
      <c r="K92" s="81"/>
      <c r="L92" s="81"/>
      <c r="M92" s="81"/>
      <c r="N92" s="82"/>
      <c r="O92" s="61"/>
      <c r="P92" s="61"/>
    </row>
    <row r="93">
      <c r="A93" s="81"/>
      <c r="B93" s="81"/>
      <c r="C93" s="81"/>
      <c r="D93" s="81"/>
      <c r="E93" s="81"/>
      <c r="F93" s="81"/>
      <c r="G93" s="81"/>
      <c r="H93" s="81"/>
      <c r="I93" s="81"/>
      <c r="J93" s="81"/>
      <c r="K93" s="81"/>
      <c r="L93" s="81"/>
      <c r="M93" s="81"/>
      <c r="N93" s="81"/>
      <c r="O93" s="61"/>
      <c r="P93" s="61"/>
    </row>
    <row r="94">
      <c r="A94" s="81"/>
      <c r="B94" s="81"/>
      <c r="C94" s="81"/>
      <c r="D94" s="81"/>
      <c r="E94" s="81"/>
      <c r="F94" s="81"/>
      <c r="G94" s="81"/>
      <c r="H94" s="81"/>
      <c r="I94" s="81"/>
      <c r="J94" s="81"/>
      <c r="K94" s="81"/>
      <c r="L94" s="81"/>
      <c r="M94" s="81"/>
      <c r="N94" s="82"/>
      <c r="O94" s="61"/>
      <c r="P94" s="61"/>
    </row>
    <row r="95">
      <c r="A95" s="87"/>
      <c r="B95" s="78"/>
      <c r="C95" s="78"/>
      <c r="D95" s="78"/>
      <c r="E95" s="78"/>
      <c r="F95" s="78"/>
      <c r="G95" s="78"/>
      <c r="H95" s="78"/>
      <c r="I95" s="78"/>
      <c r="J95" s="78"/>
      <c r="K95" s="78"/>
      <c r="L95" s="88"/>
      <c r="M95" s="78"/>
      <c r="N95" s="78"/>
      <c r="O95" s="61"/>
      <c r="P95" s="61"/>
    </row>
    <row r="96">
      <c r="A96" s="78"/>
      <c r="B96" s="89"/>
      <c r="C96" s="89"/>
      <c r="D96" s="89"/>
      <c r="E96" s="89"/>
      <c r="F96" s="89"/>
      <c r="G96" s="89"/>
      <c r="H96" s="89"/>
      <c r="I96" s="89"/>
      <c r="J96" s="89"/>
      <c r="K96" s="89"/>
      <c r="L96" s="90"/>
      <c r="M96" s="89"/>
      <c r="N96" s="91"/>
      <c r="O96" s="61"/>
      <c r="P96" s="61"/>
    </row>
    <row r="97">
      <c r="A97" s="92"/>
      <c r="B97" s="86"/>
      <c r="C97" s="86"/>
      <c r="D97" s="86"/>
      <c r="E97" s="86"/>
      <c r="F97" s="86"/>
      <c r="G97" s="86"/>
      <c r="H97" s="86"/>
      <c r="I97" s="86"/>
      <c r="J97" s="86"/>
      <c r="K97" s="86"/>
      <c r="L97" s="93"/>
      <c r="M97" s="86"/>
      <c r="N97" s="86"/>
      <c r="O97" s="61"/>
      <c r="P97" s="61"/>
    </row>
    <row r="98">
      <c r="A98" s="94"/>
      <c r="B98" s="92"/>
      <c r="C98" s="92"/>
      <c r="D98" s="92"/>
      <c r="E98" s="92"/>
      <c r="F98" s="92"/>
      <c r="G98" s="92"/>
      <c r="H98" s="92"/>
      <c r="I98" s="92"/>
      <c r="J98" s="92"/>
      <c r="K98" s="92"/>
      <c r="L98" s="95"/>
      <c r="M98" s="92"/>
      <c r="N98" s="96"/>
      <c r="O98" s="61"/>
      <c r="P98" s="61"/>
    </row>
    <row r="99">
      <c r="A99" s="86"/>
      <c r="B99" s="86"/>
      <c r="C99" s="86"/>
      <c r="D99" s="86"/>
      <c r="E99" s="86"/>
      <c r="F99" s="86"/>
      <c r="G99" s="86"/>
      <c r="H99" s="86"/>
      <c r="I99" s="86"/>
      <c r="J99" s="86"/>
      <c r="K99" s="86"/>
      <c r="L99" s="93"/>
      <c r="M99" s="86"/>
      <c r="N99" s="86"/>
      <c r="O99" s="61"/>
      <c r="P99" s="61"/>
    </row>
    <row r="100">
      <c r="A100" s="61"/>
      <c r="B100" s="97"/>
      <c r="C100" s="97"/>
      <c r="D100" s="97"/>
      <c r="E100" s="97"/>
      <c r="F100" s="97"/>
      <c r="G100" s="97"/>
      <c r="H100" s="97"/>
      <c r="I100" s="97"/>
      <c r="J100" s="97"/>
      <c r="K100" s="97"/>
      <c r="L100" s="97"/>
      <c r="M100" s="61"/>
      <c r="N100" s="61"/>
      <c r="O100" s="61"/>
      <c r="P100" s="61"/>
    </row>
    <row r="101">
      <c r="A101" s="61"/>
      <c r="B101" s="97"/>
      <c r="C101" s="97"/>
      <c r="D101" s="97"/>
      <c r="E101" s="97"/>
      <c r="F101" s="97"/>
      <c r="G101" s="97"/>
      <c r="H101" s="97"/>
      <c r="I101" s="97"/>
      <c r="J101" s="97"/>
      <c r="K101" s="97"/>
      <c r="L101" s="97"/>
      <c r="M101" s="61"/>
      <c r="N101" s="61"/>
      <c r="O101" s="61"/>
      <c r="P101" s="61"/>
    </row>
    <row r="102">
      <c r="A102" s="61"/>
      <c r="B102" s="97"/>
      <c r="C102" s="97"/>
      <c r="D102" s="97"/>
      <c r="E102" s="97"/>
      <c r="F102" s="97"/>
      <c r="G102" s="97"/>
      <c r="H102" s="97"/>
      <c r="I102" s="97"/>
      <c r="J102" s="97"/>
      <c r="K102" s="97"/>
      <c r="L102" s="97"/>
      <c r="M102" s="61"/>
      <c r="N102" s="61"/>
      <c r="O102" s="61"/>
      <c r="P102" s="61"/>
    </row>
    <row r="103">
      <c r="A103" s="61"/>
      <c r="B103" s="97"/>
      <c r="C103" s="97"/>
      <c r="D103" s="97"/>
      <c r="E103" s="97"/>
      <c r="F103" s="97"/>
      <c r="G103" s="97"/>
      <c r="H103" s="97"/>
      <c r="I103" s="97"/>
      <c r="J103" s="97"/>
      <c r="K103" s="97"/>
      <c r="L103" s="97"/>
      <c r="M103" s="61"/>
      <c r="N103" s="61"/>
      <c r="O103" s="61"/>
      <c r="P103" s="61"/>
    </row>
    <row r="104">
      <c r="A104" s="61"/>
      <c r="B104" s="97"/>
      <c r="C104" s="97"/>
      <c r="D104" s="97"/>
      <c r="E104" s="97"/>
      <c r="F104" s="97"/>
      <c r="G104" s="97"/>
      <c r="H104" s="97"/>
      <c r="I104" s="97"/>
      <c r="J104" s="97"/>
      <c r="K104" s="97"/>
      <c r="L104" s="97"/>
      <c r="M104" s="61"/>
      <c r="N104" s="61"/>
      <c r="O104" s="61"/>
      <c r="P104" s="61"/>
    </row>
    <row r="105">
      <c r="A105" s="61"/>
      <c r="B105" s="97"/>
      <c r="C105" s="97"/>
      <c r="D105" s="97"/>
      <c r="E105" s="97"/>
      <c r="F105" s="97"/>
      <c r="G105" s="97"/>
      <c r="H105" s="97"/>
      <c r="I105" s="97"/>
      <c r="J105" s="97"/>
      <c r="K105" s="97"/>
      <c r="L105" s="97"/>
      <c r="M105" s="61"/>
      <c r="N105" s="61"/>
      <c r="O105" s="61"/>
      <c r="P105" s="61"/>
    </row>
    <row r="106">
      <c r="B106" s="98"/>
      <c r="C106" s="98"/>
      <c r="D106" s="98"/>
      <c r="E106" s="98"/>
      <c r="F106" s="98"/>
      <c r="G106" s="98"/>
      <c r="H106" s="98"/>
      <c r="I106" s="98"/>
      <c r="J106" s="98"/>
      <c r="K106" s="98"/>
      <c r="L106" s="98"/>
    </row>
    <row r="107">
      <c r="B107" s="98"/>
      <c r="C107" s="98"/>
      <c r="D107" s="98"/>
      <c r="E107" s="98"/>
      <c r="F107" s="98"/>
      <c r="G107" s="98"/>
      <c r="H107" s="98"/>
      <c r="I107" s="98"/>
      <c r="J107" s="98"/>
      <c r="K107" s="98"/>
      <c r="L107" s="98"/>
    </row>
  </sheetData>
  <dataValidations>
    <dataValidation type="list" allowBlank="1" showErrorMessage="1" sqref="K17">
      <formula1>"High,Medium,Low"</formula1>
    </dataValidation>
    <dataValidation type="list" allowBlank="1" showErrorMessage="1" sqref="N15:N95 N97 N99">
      <formula1>"Solved,Unsolved"</formula1>
    </dataValidation>
    <dataValidation type="list" allowBlank="1" showErrorMessage="1" sqref="K15:K16 K18:K95 K97 K99">
      <formula1>"High,Medium,Low,Severity"</formula1>
    </dataValidation>
    <dataValidation type="list" allowBlank="1" showErrorMessage="1" sqref="J15:J95 J97 J99">
      <formula1>"Pass,Fail"</formula1>
    </dataValidation>
  </dataValidations>
  <hyperlinks>
    <hyperlink r:id="rId1" ref="L15"/>
    <hyperlink r:id="rId2" ref="L16"/>
    <hyperlink r:id="rId3" ref="L17"/>
    <hyperlink r:id="rId4" ref="L18"/>
    <hyperlink r:id="rId5" ref="L20"/>
    <hyperlink r:id="rId6" ref="L21"/>
    <hyperlink r:id="rId7" ref="L22"/>
    <hyperlink r:id="rId8" ref="L23"/>
    <hyperlink r:id="rId9" ref="L24"/>
    <hyperlink r:id="rId10" ref="L25"/>
    <hyperlink r:id="rId11" ref="L26"/>
    <hyperlink r:id="rId12" ref="L27"/>
    <hyperlink r:id="rId13" ref="L28"/>
  </hyperlinks>
  <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17.5"/>
    <col customWidth="1" min="3" max="3" width="19.63"/>
    <col customWidth="1" min="4" max="4" width="17.13"/>
    <col customWidth="1" min="5" max="5" width="18.38"/>
    <col customWidth="1" min="6" max="6" width="20.75"/>
  </cols>
  <sheetData>
    <row r="1">
      <c r="A1" s="99" t="s">
        <v>17</v>
      </c>
      <c r="B1" s="99" t="s">
        <v>18</v>
      </c>
      <c r="C1" s="99" t="s">
        <v>16</v>
      </c>
      <c r="D1" s="99" t="s">
        <v>339</v>
      </c>
      <c r="E1" s="99" t="s">
        <v>340</v>
      </c>
      <c r="F1" s="100" t="s">
        <v>341</v>
      </c>
      <c r="G1" s="101"/>
      <c r="H1" s="101"/>
      <c r="I1" s="101"/>
      <c r="J1" s="101"/>
      <c r="K1" s="101"/>
      <c r="L1" s="101"/>
      <c r="M1" s="101"/>
      <c r="N1" s="101"/>
      <c r="O1" s="101"/>
      <c r="P1" s="101"/>
      <c r="Q1" s="101"/>
      <c r="R1" s="101"/>
      <c r="S1" s="101"/>
      <c r="T1" s="101"/>
      <c r="U1" s="101"/>
      <c r="V1" s="101"/>
      <c r="W1" s="101"/>
      <c r="X1" s="101"/>
      <c r="Y1" s="101"/>
      <c r="Z1" s="101"/>
      <c r="AA1" s="101"/>
    </row>
    <row r="2">
      <c r="A2" s="102" t="str">
        <f>IFERROR(__xludf.DUMMYFUNCTION("SORT(
  SPLIT(
    UNIQUE(
      FILTER('Main Report'!B11:B100 &amp; ""♦"" &amp; 'Main Report'!C11:C100, LEN('Main Report'!C11:C100))
    ),
    ""♦""
  ),
  1, TRUE, 2, TRUE
)
"),"Claim")</f>
        <v>Claim</v>
      </c>
      <c r="B2" s="102" t="str">
        <f>IFERROR(__xludf.DUMMYFUNCTION("""COMPUTED_VALUE"""),"Accessibility (Screen Reader)")</f>
        <v>Accessibility (Screen Reader)</v>
      </c>
      <c r="C2" s="102" t="str">
        <f>IFERROR(__xludf.DUMMYFUNCTION("TEXTJOIN("", "", TRUE, 
  FILTER('Main Report'!A11:A100, 
    ('Main Report'!B11:B100=A2) * ('Main Report'!C11:C100=B2)
  )
)
"),"BR-001")</f>
        <v>BR-001</v>
      </c>
      <c r="D2" s="103">
        <f>IFERROR(__xludf.DUMMYFUNCTION("COUNTA(UNIQUE(TRANSPOSE(SPLIT(C2, "", ""))))
"),1.0)</f>
        <v>1</v>
      </c>
      <c r="E2" s="102" t="str">
        <f>IF(D2="", "", TEXT((D2 / 'Main Report'!$E$7), "0.00%"))
</f>
        <v>2.70%</v>
      </c>
      <c r="F2" s="104"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1
Medium: 0
Low: 0")</f>
        <v>High: 1
Medium: 0
Low: 0</v>
      </c>
      <c r="G2" s="101"/>
      <c r="H2" s="101"/>
      <c r="I2" s="101"/>
      <c r="J2" s="101"/>
      <c r="K2" s="101"/>
      <c r="L2" s="101"/>
      <c r="M2" s="101"/>
      <c r="N2" s="101"/>
      <c r="O2" s="101"/>
      <c r="P2" s="101"/>
      <c r="Q2" s="101"/>
      <c r="R2" s="101"/>
      <c r="S2" s="101"/>
      <c r="T2" s="101"/>
      <c r="U2" s="101"/>
      <c r="V2" s="101"/>
      <c r="W2" s="101"/>
      <c r="X2" s="101"/>
      <c r="Y2" s="101"/>
      <c r="Z2" s="101"/>
      <c r="AA2" s="101"/>
    </row>
    <row r="3">
      <c r="A3" s="105" t="str">
        <f>IFERROR(__xludf.DUMMYFUNCTION("""COMPUTED_VALUE"""),"Claim Form")</f>
        <v>Claim Form</v>
      </c>
      <c r="B3" s="105" t="str">
        <f>IFERROR(__xludf.DUMMYFUNCTION("""COMPUTED_VALUE"""),"Claim Form")</f>
        <v>Claim Form</v>
      </c>
      <c r="C3" s="105" t="str">
        <f>IFERROR(__xludf.DUMMYFUNCTION("TEXTJOIN("", "", TRUE, 
  FILTER('Main Report'!A12:A101, 
    ('Main Report'!B12:B101=A3) * ('Main Report'!C12:C101=B3)
  )
)
"),"BR-002")</f>
        <v>BR-002</v>
      </c>
      <c r="D3" s="103">
        <f>IFERROR(__xludf.DUMMYFUNCTION("COUNTA(UNIQUE(TRANSPOSE(SPLIT(C3, "", ""))))
"),1.0)</f>
        <v>1</v>
      </c>
      <c r="E3" s="105" t="str">
        <f>IF(D3="", "", TEXT((D3 / 'Main Report'!$E$7), "0.00%"))
</f>
        <v>2.70%</v>
      </c>
      <c r="F3" s="106"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1
Medium: 0
Low: 0")</f>
        <v>High: 1
Medium: 0
Low: 0</v>
      </c>
      <c r="G3" s="101"/>
      <c r="H3" s="101"/>
      <c r="I3" s="101"/>
      <c r="J3" s="101"/>
      <c r="K3" s="101"/>
      <c r="L3" s="101"/>
      <c r="M3" s="101"/>
      <c r="N3" s="101"/>
      <c r="O3" s="101"/>
      <c r="P3" s="101"/>
      <c r="Q3" s="101"/>
      <c r="R3" s="101"/>
      <c r="S3" s="101"/>
      <c r="T3" s="101"/>
      <c r="U3" s="101"/>
      <c r="V3" s="101"/>
      <c r="W3" s="101"/>
      <c r="X3" s="101"/>
      <c r="Y3" s="101"/>
      <c r="Z3" s="101"/>
      <c r="AA3" s="101"/>
    </row>
    <row r="4">
      <c r="A4" s="105" t="str">
        <f>IFERROR(__xludf.DUMMYFUNCTION("""COMPUTED_VALUE"""),"Claim Now")</f>
        <v>Claim Now</v>
      </c>
      <c r="B4" s="105" t="str">
        <f>IFERROR(__xludf.DUMMYFUNCTION("""COMPUTED_VALUE"""),"First Page")</f>
        <v>First Page</v>
      </c>
      <c r="C4" s="105" t="str">
        <f>IFERROR(__xludf.DUMMYFUNCTION("TEXTJOIN("", "", TRUE, 
  FILTER('Main Report'!A13:A102, 
    ('Main Report'!B13:B102=A4) * ('Main Report'!C13:C102=B4)
  )
)
"),"BR-003")</f>
        <v>BR-003</v>
      </c>
      <c r="D4" s="103">
        <f>IFERROR(__xludf.DUMMYFUNCTION("COUNTA(UNIQUE(TRANSPOSE(SPLIT(C4, "", ""))))
"),1.0)</f>
        <v>1</v>
      </c>
      <c r="E4" s="105" t="str">
        <f>IF(D4="", "", TEXT((D4 / 'Main Report'!$E$7), "0.00%"))
</f>
        <v>2.70%</v>
      </c>
      <c r="F4" s="106"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1
Medium: 0
Low: 0")</f>
        <v>High: 1
Medium: 0
Low: 0</v>
      </c>
      <c r="G4" s="101"/>
      <c r="H4" s="101"/>
      <c r="I4" s="101"/>
      <c r="J4" s="101"/>
      <c r="K4" s="101"/>
      <c r="L4" s="101"/>
      <c r="M4" s="101"/>
      <c r="N4" s="101"/>
      <c r="O4" s="101"/>
      <c r="P4" s="101"/>
      <c r="Q4" s="101"/>
      <c r="R4" s="101"/>
      <c r="S4" s="101"/>
      <c r="T4" s="101"/>
      <c r="U4" s="101"/>
      <c r="V4" s="101"/>
      <c r="W4" s="101"/>
      <c r="X4" s="101"/>
      <c r="Y4" s="101"/>
      <c r="Z4" s="101"/>
      <c r="AA4" s="101"/>
    </row>
    <row r="5">
      <c r="A5" s="105" t="str">
        <f>IFERROR(__xludf.DUMMYFUNCTION("""COMPUTED_VALUE"""),"Claim/Narrative")</f>
        <v>Claim/Narrative</v>
      </c>
      <c r="B5" s="105" t="str">
        <f>IFERROR(__xludf.DUMMYFUNCTION("""COMPUTED_VALUE"""),"Session Management")</f>
        <v>Session Management</v>
      </c>
      <c r="C5" s="105" t="str">
        <f>IFERROR(__xludf.DUMMYFUNCTION("TEXTJOIN("", "", TRUE, 
  FILTER('Main Report'!A14:A103, 
    ('Main Report'!B14:B103=A5) * ('Main Report'!C14:C103=B5)
  )
)
"),"BR-004")</f>
        <v>BR-004</v>
      </c>
      <c r="D5" s="103">
        <f>IFERROR(__xludf.DUMMYFUNCTION("COUNTA(UNIQUE(TRANSPOSE(SPLIT(C5, "", ""))))
"),1.0)</f>
        <v>1</v>
      </c>
      <c r="E5" s="105" t="str">
        <f>IF(D5="", "", TEXT((D5 / 'Main Report'!$E$7), "0.00%"))
</f>
        <v>2.70%</v>
      </c>
      <c r="F5" s="106"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1
Medium: 0
Low: 0")</f>
        <v>High: 1
Medium: 0
Low: 0</v>
      </c>
      <c r="G5" s="101"/>
      <c r="H5" s="101"/>
      <c r="I5" s="101"/>
      <c r="J5" s="101"/>
      <c r="K5" s="101"/>
      <c r="L5" s="101"/>
      <c r="M5" s="101"/>
      <c r="N5" s="101"/>
      <c r="O5" s="101"/>
      <c r="P5" s="101"/>
      <c r="Q5" s="101"/>
      <c r="R5" s="101"/>
      <c r="S5" s="101"/>
      <c r="T5" s="101"/>
      <c r="U5" s="101"/>
      <c r="V5" s="101"/>
      <c r="W5" s="101"/>
      <c r="X5" s="101"/>
      <c r="Y5" s="101"/>
      <c r="Z5" s="101"/>
      <c r="AA5" s="101"/>
    </row>
    <row r="6">
      <c r="A6" s="105" t="str">
        <f>IFERROR(__xludf.DUMMYFUNCTION("""COMPUTED_VALUE"""),"Contact us")</f>
        <v>Contact us</v>
      </c>
      <c r="B6" s="105" t="str">
        <f>IFERROR(__xludf.DUMMYFUNCTION("""COMPUTED_VALUE"""),"Support")</f>
        <v>Support</v>
      </c>
      <c r="C6" s="105" t="str">
        <f>IFERROR(__xludf.DUMMYFUNCTION("TEXTJOIN("", "", TRUE, 
  FILTER('Main Report'!A15:A104, 
    ('Main Report'!B15:B104=A6) * ('Main Report'!C15:C104=B6)
  )
)
"),"BR-005")</f>
        <v>BR-005</v>
      </c>
      <c r="D6" s="103">
        <f>IFERROR(__xludf.DUMMYFUNCTION("COUNTA(UNIQUE(TRANSPOSE(SPLIT(C6, "", ""))))
"),1.0)</f>
        <v>1</v>
      </c>
      <c r="E6" s="105" t="str">
        <f>IF(D6="", "", TEXT((D6 / 'Main Report'!$E$7), "0.00%"))
</f>
        <v>2.70%</v>
      </c>
      <c r="F6" s="106"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0
Medium: 0
Low: 1")</f>
        <v>High: 0
Medium: 0
Low: 1</v>
      </c>
      <c r="G6" s="101"/>
      <c r="H6" s="101"/>
      <c r="I6" s="101"/>
      <c r="J6" s="101"/>
      <c r="K6" s="101"/>
      <c r="L6" s="101"/>
      <c r="M6" s="101"/>
      <c r="N6" s="101"/>
      <c r="O6" s="101"/>
      <c r="P6" s="101"/>
      <c r="Q6" s="101"/>
      <c r="R6" s="101"/>
      <c r="S6" s="101"/>
      <c r="T6" s="101"/>
      <c r="U6" s="101"/>
      <c r="V6" s="101"/>
      <c r="W6" s="101"/>
      <c r="X6" s="101"/>
      <c r="Y6" s="101"/>
      <c r="Z6" s="101"/>
      <c r="AA6" s="101"/>
    </row>
    <row r="7">
      <c r="A7" s="105" t="str">
        <f>IFERROR(__xludf.DUMMYFUNCTION("""COMPUTED_VALUE"""),"Forget Password")</f>
        <v>Forget Password</v>
      </c>
      <c r="B7" s="105" t="str">
        <f>IFERROR(__xludf.DUMMYFUNCTION("""COMPUTED_VALUE"""),"Forget Password")</f>
        <v>Forget Password</v>
      </c>
      <c r="C7" s="105" t="str">
        <f>IFERROR(__xludf.DUMMYFUNCTION("TEXTJOIN("", "", TRUE, 
  FILTER('Main Report'!A16:A105, 
    ('Main Report'!B16:B105=A7) * ('Main Report'!C16:C105=B7)
  )
)
"),"BR-006")</f>
        <v>BR-006</v>
      </c>
      <c r="D7" s="103">
        <f>IFERROR(__xludf.DUMMYFUNCTION("COUNTA(UNIQUE(TRANSPOSE(SPLIT(C7, "", ""))))
"),1.0)</f>
        <v>1</v>
      </c>
      <c r="E7" s="105" t="str">
        <f>IF(D7="", "", TEXT((D7 / 'Main Report'!$E$7), "0.00%"))
</f>
        <v>2.70%</v>
      </c>
      <c r="F7" s="106"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1
Medium: 0
Low: 0")</f>
        <v>High: 1
Medium: 0
Low: 0</v>
      </c>
      <c r="G7" s="101"/>
      <c r="H7" s="101"/>
      <c r="I7" s="101"/>
      <c r="J7" s="101"/>
      <c r="K7" s="101"/>
      <c r="L7" s="101"/>
      <c r="M7" s="101"/>
      <c r="N7" s="101"/>
      <c r="O7" s="101"/>
      <c r="P7" s="101"/>
      <c r="Q7" s="101"/>
      <c r="R7" s="101"/>
      <c r="S7" s="101"/>
      <c r="T7" s="101"/>
      <c r="U7" s="101"/>
      <c r="V7" s="101"/>
      <c r="W7" s="101"/>
      <c r="X7" s="101"/>
      <c r="Y7" s="101"/>
      <c r="Z7" s="101"/>
      <c r="AA7" s="101"/>
    </row>
    <row r="8">
      <c r="A8" s="105" t="str">
        <f>IFERROR(__xludf.DUMMYFUNCTION("""COMPUTED_VALUE"""),"Generated PDF")</f>
        <v>Generated PDF</v>
      </c>
      <c r="B8" s="105" t="str">
        <f>IFERROR(__xludf.DUMMYFUNCTION("""COMPUTED_VALUE"""),"Generated PDF")</f>
        <v>Generated PDF</v>
      </c>
      <c r="C8" s="105" t="str">
        <f>IFERROR(__xludf.DUMMYFUNCTION("TEXTJOIN("", "", TRUE, 
  FILTER('Main Report'!A17:A106, 
    ('Main Report'!B17:B106=A8) * ('Main Report'!C17:C106=B8)
  )
)
"),"BR-007")</f>
        <v>BR-007</v>
      </c>
      <c r="D8" s="103">
        <f>IFERROR(__xludf.DUMMYFUNCTION("COUNTA(UNIQUE(TRANSPOSE(SPLIT(C8, "", ""))))
"),1.0)</f>
        <v>1</v>
      </c>
      <c r="E8" s="105" t="str">
        <f>IF(D8="", "", TEXT((D8 / 'Main Report'!$E$7), "0.00%"))
</f>
        <v>2.70%</v>
      </c>
      <c r="F8" s="106"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0
Medium: 1
Low: 0")</f>
        <v>High: 0
Medium: 1
Low: 0</v>
      </c>
      <c r="G8" s="101"/>
      <c r="H8" s="101"/>
      <c r="I8" s="101"/>
      <c r="J8" s="101"/>
      <c r="K8" s="101"/>
      <c r="L8" s="101"/>
      <c r="M8" s="101"/>
      <c r="N8" s="101"/>
      <c r="O8" s="101"/>
      <c r="P8" s="101"/>
      <c r="Q8" s="101"/>
      <c r="R8" s="101"/>
      <c r="S8" s="101"/>
      <c r="T8" s="101"/>
      <c r="U8" s="101"/>
      <c r="V8" s="101"/>
      <c r="W8" s="101"/>
      <c r="X8" s="101"/>
      <c r="Y8" s="101"/>
      <c r="Z8" s="101"/>
      <c r="AA8" s="101"/>
    </row>
    <row r="9">
      <c r="A9" s="105" t="str">
        <f>IFERROR(__xludf.DUMMYFUNCTION("""COMPUTED_VALUE"""),"Home Page")</f>
        <v>Home Page</v>
      </c>
      <c r="B9" s="105" t="str">
        <f>IFERROR(__xludf.DUMMYFUNCTION("""COMPUTED_VALUE"""),"FAQ Section")</f>
        <v>FAQ Section</v>
      </c>
      <c r="C9" s="105" t="str">
        <f>IFERROR(__xludf.DUMMYFUNCTION("TEXTJOIN("", "", TRUE, 
  FILTER('Main Report'!A18:A107, 
    ('Main Report'!B18:B107=A9) * ('Main Report'!C18:C107=B9)
  )
)
"),"BR-008")</f>
        <v>BR-008</v>
      </c>
      <c r="D9" s="103">
        <f>IFERROR(__xludf.DUMMYFUNCTION("COUNTA(UNIQUE(TRANSPOSE(SPLIT(C9, "", ""))))
"),1.0)</f>
        <v>1</v>
      </c>
      <c r="E9" s="105" t="str">
        <f>IF(D9="", "", TEXT((D9 / 'Main Report'!$E$7), "0.00%"))
</f>
        <v>2.70%</v>
      </c>
      <c r="F9" s="106"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0
Medium: 1
Low: 0")</f>
        <v>High: 0
Medium: 1
Low: 0</v>
      </c>
      <c r="G9" s="101"/>
      <c r="H9" s="101"/>
      <c r="I9" s="101"/>
      <c r="J9" s="101"/>
      <c r="K9" s="101"/>
      <c r="L9" s="101"/>
      <c r="M9" s="101"/>
      <c r="N9" s="101"/>
      <c r="O9" s="101"/>
      <c r="P9" s="101"/>
      <c r="Q9" s="101"/>
      <c r="R9" s="101"/>
      <c r="S9" s="101"/>
      <c r="T9" s="101"/>
      <c r="U9" s="101"/>
      <c r="V9" s="101"/>
      <c r="W9" s="101"/>
      <c r="X9" s="101"/>
      <c r="Y9" s="101"/>
      <c r="Z9" s="101"/>
      <c r="AA9" s="101"/>
    </row>
    <row r="10">
      <c r="A10" s="105" t="str">
        <f>IFERROR(__xludf.DUMMYFUNCTION("""COMPUTED_VALUE"""),"Home Page")</f>
        <v>Home Page</v>
      </c>
      <c r="B10" s="105" t="str">
        <f>IFERROR(__xludf.DUMMYFUNCTION("""COMPUTED_VALUE"""),"Menu Button")</f>
        <v>Menu Button</v>
      </c>
      <c r="C10" s="105" t="str">
        <f>IFERROR(__xludf.DUMMYFUNCTION("TEXTJOIN("", "", TRUE, 
  FILTER('Main Report'!A19:A108, 
    ('Main Report'!B19:B108=A10) * ('Main Report'!C19:C108=B10)
  )
)
"),"BR-009")</f>
        <v>BR-009</v>
      </c>
      <c r="D10" s="103">
        <f>IFERROR(__xludf.DUMMYFUNCTION("COUNTA(UNIQUE(TRANSPOSE(SPLIT(C10, "", ""))))
"),1.0)</f>
        <v>1</v>
      </c>
      <c r="E10" s="105" t="str">
        <f>IF(D10="", "", TEXT((D10 / 'Main Report'!$E$7), "0.00%"))
</f>
        <v>2.70%</v>
      </c>
      <c r="F10" s="106"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0
Medium: 1
Low: 0")</f>
        <v>High: 0
Medium: 1
Low: 0</v>
      </c>
      <c r="G10" s="101"/>
      <c r="H10" s="101"/>
      <c r="I10" s="101"/>
      <c r="J10" s="101"/>
      <c r="K10" s="101"/>
      <c r="L10" s="101"/>
      <c r="M10" s="101"/>
      <c r="N10" s="101"/>
      <c r="O10" s="101"/>
      <c r="P10" s="101"/>
      <c r="Q10" s="101"/>
      <c r="R10" s="101"/>
      <c r="S10" s="101"/>
      <c r="T10" s="101"/>
      <c r="U10" s="101"/>
      <c r="V10" s="101"/>
      <c r="W10" s="101"/>
      <c r="X10" s="101"/>
      <c r="Y10" s="101"/>
      <c r="Z10" s="101"/>
      <c r="AA10" s="101"/>
    </row>
    <row r="11">
      <c r="A11" s="105" t="str">
        <f>IFERROR(__xludf.DUMMYFUNCTION("""COMPUTED_VALUE"""),"Login")</f>
        <v>Login</v>
      </c>
      <c r="B11" s="105" t="str">
        <f>IFERROR(__xludf.DUMMYFUNCTION("""COMPUTED_VALUE"""),"Login")</f>
        <v>Login</v>
      </c>
      <c r="C11" s="105" t="str">
        <f>IFERROR(__xludf.DUMMYFUNCTION("TEXTJOIN("", "", TRUE, 
  FILTER('Main Report'!A20:A109, 
    ('Main Report'!B20:B109=A11) * ('Main Report'!C20:C109=B11)
  )
)
"),"BR-010")</f>
        <v>BR-010</v>
      </c>
      <c r="D11" s="103">
        <f>IFERROR(__xludf.DUMMYFUNCTION("COUNTA(UNIQUE(TRANSPOSE(SPLIT(C11, "", ""))))
"),1.0)</f>
        <v>1</v>
      </c>
      <c r="E11" s="105" t="str">
        <f>IF(D11="", "", TEXT((D11 / 'Main Report'!$E$7), "0.00%"))
</f>
        <v>2.70%</v>
      </c>
      <c r="F11" s="106"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"),"High: 1
Medium: 0
Low: 0")</f>
        <v>High: 1
Medium: 0
Low: 0</v>
      </c>
      <c r="G11" s="101"/>
      <c r="H11" s="101"/>
      <c r="I11" s="101"/>
      <c r="J11" s="101"/>
      <c r="K11" s="101"/>
      <c r="L11" s="101"/>
      <c r="M11" s="101"/>
      <c r="N11" s="101"/>
      <c r="O11" s="101"/>
      <c r="P11" s="101"/>
      <c r="Q11" s="101"/>
      <c r="R11" s="101"/>
      <c r="S11" s="101"/>
      <c r="T11" s="101"/>
      <c r="U11" s="101"/>
      <c r="V11" s="101"/>
      <c r="W11" s="101"/>
      <c r="X11" s="101"/>
      <c r="Y11" s="101"/>
      <c r="Z11" s="101"/>
      <c r="AA11" s="101"/>
    </row>
    <row r="12">
      <c r="A12" s="105" t="str">
        <f>IFERROR(__xludf.DUMMYFUNCTION("""COMPUTED_VALUE"""),"Mental Health")</f>
        <v>Mental Health</v>
      </c>
      <c r="B12" s="105" t="str">
        <f>IFERROR(__xludf.DUMMYFUNCTION("""COMPUTED_VALUE"""),"Mental Health")</f>
        <v>Mental Health</v>
      </c>
      <c r="C12" s="105" t="str">
        <f>IFERROR(__xludf.DUMMYFUNCTION("TEXTJOIN("", "", TRUE, 
  FILTER('Main Report'!A21:A110, 
    ('Main Report'!B21:B110=A12) * ('Main Report'!C21:C110=B12)
  )
)
"),"BR-011")</f>
        <v>BR-011</v>
      </c>
      <c r="D12" s="103">
        <f>IFERROR(__xludf.DUMMYFUNCTION("COUNTA(UNIQUE(TRANSPOSE(SPLIT(C12, "", ""))))
"),1.0)</f>
        <v>1</v>
      </c>
      <c r="E12" s="105" t="str">
        <f>IF(D12="", "", TEXT((D12 / 'Main Report'!$E$7), "0.00%"))
</f>
        <v>2.70%</v>
      </c>
      <c r="F12" s="106"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"),"High: 1
Medium: 0
Low: 0")</f>
        <v>High: 1
Medium: 0
Low: 0</v>
      </c>
      <c r="G12" s="101"/>
      <c r="H12" s="101"/>
      <c r="I12" s="101"/>
      <c r="J12" s="101"/>
      <c r="K12" s="101"/>
      <c r="L12" s="101"/>
      <c r="M12" s="101"/>
      <c r="N12" s="101"/>
      <c r="O12" s="101"/>
      <c r="P12" s="101"/>
      <c r="Q12" s="101"/>
      <c r="R12" s="101"/>
      <c r="S12" s="101"/>
      <c r="T12" s="101"/>
      <c r="U12" s="101"/>
      <c r="V12" s="101"/>
      <c r="W12" s="101"/>
      <c r="X12" s="101"/>
      <c r="Y12" s="101"/>
      <c r="Z12" s="101"/>
      <c r="AA12" s="101"/>
    </row>
    <row r="13">
      <c r="A13" s="105" t="str">
        <f>IFERROR(__xludf.DUMMYFUNCTION("""COMPUTED_VALUE"""),"Message")</f>
        <v>Message</v>
      </c>
      <c r="B13" s="105" t="str">
        <f>IFERROR(__xludf.DUMMYFUNCTION("""COMPUTED_VALUE"""),"Message Prifile Image")</f>
        <v>Message Prifile Image</v>
      </c>
      <c r="C13" s="105" t="str">
        <f>IFERROR(__xludf.DUMMYFUNCTION("TEXTJOIN("", "", TRUE, 
  FILTER('Main Report'!A22:A111, 
    ('Main Report'!B22:B111=A13) * ('Main Report'!C22:C111=B13)
  )
)
"),"BR-012")</f>
        <v>BR-012</v>
      </c>
      <c r="D13" s="103">
        <f>IFERROR(__xludf.DUMMYFUNCTION("COUNTA(UNIQUE(TRANSPOSE(SPLIT(C13, "", ""))))
"),1.0)</f>
        <v>1</v>
      </c>
      <c r="E13" s="105" t="str">
        <f>IF(D13="", "", TEXT((D13 / 'Main Report'!$E$7), "0.00%"))
</f>
        <v>2.70%</v>
      </c>
      <c r="F13" s="106"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"),"High: 0
Medium: 1
Low: 0")</f>
        <v>High: 0
Medium: 1
Low: 0</v>
      </c>
      <c r="G13" s="101"/>
      <c r="H13" s="101"/>
      <c r="I13" s="101"/>
      <c r="J13" s="101"/>
      <c r="K13" s="101"/>
      <c r="L13" s="101"/>
      <c r="M13" s="101"/>
      <c r="N13" s="101"/>
      <c r="O13" s="101"/>
      <c r="P13" s="101"/>
      <c r="Q13" s="101"/>
      <c r="R13" s="101"/>
      <c r="S13" s="101"/>
      <c r="T13" s="101"/>
      <c r="U13" s="101"/>
      <c r="V13" s="101"/>
      <c r="W13" s="101"/>
      <c r="X13" s="101"/>
      <c r="Y13" s="101"/>
      <c r="Z13" s="101"/>
      <c r="AA13" s="101"/>
    </row>
    <row r="14">
      <c r="A14" s="105" t="str">
        <f>IFERROR(__xludf.DUMMYFUNCTION("""COMPUTED_VALUE"""),"Message")</f>
        <v>Message</v>
      </c>
      <c r="B14" s="105" t="str">
        <f>IFERROR(__xludf.DUMMYFUNCTION("""COMPUTED_VALUE"""),"Page")</f>
        <v>Page</v>
      </c>
      <c r="C14" s="105" t="str">
        <f>IFERROR(__xludf.DUMMYFUNCTION("TEXTJOIN("", "", TRUE, 
  FILTER('Main Report'!A23:A112, 
    ('Main Report'!B23:B112=A14) * ('Main Report'!C23:C112=B14)
  )
)
"),"BR-013")</f>
        <v>BR-013</v>
      </c>
      <c r="D14" s="103">
        <f>IFERROR(__xludf.DUMMYFUNCTION("COUNTA(UNIQUE(TRANSPOSE(SPLIT(C14, "", ""))))
"),1.0)</f>
        <v>1</v>
      </c>
      <c r="E14" s="105" t="str">
        <f>IF(D14="", "", TEXT((D14 / 'Main Report'!$E$7), "0.00%"))
</f>
        <v>2.70%</v>
      </c>
      <c r="F14" s="106"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"),"High: 1
Medium: 0
Low: 0")</f>
        <v>High: 1
Medium: 0
Low: 0</v>
      </c>
      <c r="G14" s="101"/>
      <c r="H14" s="101"/>
      <c r="I14" s="101"/>
      <c r="J14" s="101"/>
      <c r="K14" s="101"/>
      <c r="L14" s="101"/>
      <c r="M14" s="101"/>
      <c r="N14" s="101"/>
      <c r="O14" s="101"/>
      <c r="P14" s="101"/>
      <c r="Q14" s="101"/>
      <c r="R14" s="101"/>
      <c r="S14" s="101"/>
      <c r="T14" s="101"/>
      <c r="U14" s="101"/>
      <c r="V14" s="101"/>
      <c r="W14" s="101"/>
      <c r="X14" s="101"/>
      <c r="Y14" s="101"/>
      <c r="Z14" s="101"/>
      <c r="AA14" s="101"/>
    </row>
    <row r="15">
      <c r="A15" s="105" t="str">
        <f>IFERROR(__xludf.DUMMYFUNCTION("""COMPUTED_VALUE"""),"Narration")</f>
        <v>Narration</v>
      </c>
      <c r="B15" s="105" t="str">
        <f>IFERROR(__xludf.DUMMYFUNCTION("""COMPUTED_VALUE"""),"Narration")</f>
        <v>Narration</v>
      </c>
      <c r="C15" s="105" t="str">
        <f>IFERROR(__xludf.DUMMYFUNCTION("TEXTJOIN("", "", TRUE, 
  FILTER('Main Report'!A24:A113, 
    ('Main Report'!B24:B113=A15) * ('Main Report'!C24:C113=B15)
  )
)
"),"BR-014, BR-015")</f>
        <v>BR-014, BR-015</v>
      </c>
      <c r="D15" s="103">
        <f>IFERROR(__xludf.DUMMYFUNCTION("COUNTA(UNIQUE(TRANSPOSE(SPLIT(C15, "", ""))))
"),2.0)</f>
        <v>2</v>
      </c>
      <c r="E15" s="105" t="str">
        <f>IF(D15="", "", TEXT((D15 / 'Main Report'!$E$7), "0.00%"))
</f>
        <v>5.41%</v>
      </c>
      <c r="F15" s="106"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"),"High: 2
Medium: 0
Low: 0")</f>
        <v>High: 2
Medium: 0
Low: 0</v>
      </c>
      <c r="G15" s="101"/>
      <c r="H15" s="101"/>
      <c r="I15" s="101"/>
      <c r="J15" s="101"/>
      <c r="K15" s="101"/>
      <c r="L15" s="101"/>
      <c r="M15" s="101"/>
      <c r="N15" s="101"/>
      <c r="O15" s="101"/>
      <c r="P15" s="101"/>
      <c r="Q15" s="101"/>
      <c r="R15" s="101"/>
      <c r="S15" s="101"/>
      <c r="T15" s="101"/>
      <c r="U15" s="101"/>
      <c r="V15" s="101"/>
      <c r="W15" s="101"/>
      <c r="X15" s="101"/>
      <c r="Y15" s="101"/>
      <c r="Z15" s="101"/>
      <c r="AA15" s="101"/>
    </row>
    <row r="16">
      <c r="A16" s="105" t="str">
        <f>IFERROR(__xludf.DUMMYFUNCTION("""COMPUTED_VALUE"""),"Narrative Page")</f>
        <v>Narrative Page</v>
      </c>
      <c r="B16" s="105" t="str">
        <f>IFERROR(__xludf.DUMMYFUNCTION("""COMPUTED_VALUE"""),"Iconography/Functionality")</f>
        <v>Iconography/Functionality</v>
      </c>
      <c r="C16" s="105" t="str">
        <f>IFERROR(__xludf.DUMMYFUNCTION("TEXTJOIN("", "", TRUE, 
  FILTER('Main Report'!A25:A114, 
    ('Main Report'!B25:B114=A16) * ('Main Report'!C25:C114=B16)
  )
)
"),"BR-016")</f>
        <v>BR-016</v>
      </c>
      <c r="D16" s="103">
        <f>IFERROR(__xludf.DUMMYFUNCTION("COUNTA(UNIQUE(TRANSPOSE(SPLIT(C16, "", ""))))
"),1.0)</f>
        <v>1</v>
      </c>
      <c r="E16" s="105" t="str">
        <f>IF(D16="", "", TEXT((D16 / 'Main Report'!$E$7), "0.00%"))
</f>
        <v>2.70%</v>
      </c>
      <c r="F16" s="106"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"),"High: 0
Medium: 1
Low: 0")</f>
        <v>High: 0
Medium: 1
Low: 0</v>
      </c>
      <c r="G16" s="101"/>
      <c r="H16" s="101"/>
      <c r="I16" s="101"/>
      <c r="J16" s="101"/>
      <c r="K16" s="101"/>
      <c r="L16" s="101"/>
      <c r="M16" s="101"/>
      <c r="N16" s="101"/>
      <c r="O16" s="101"/>
      <c r="P16" s="101"/>
      <c r="Q16" s="101"/>
      <c r="R16" s="101"/>
      <c r="S16" s="101"/>
      <c r="T16" s="101"/>
      <c r="U16" s="101"/>
      <c r="V16" s="101"/>
      <c r="W16" s="101"/>
      <c r="X16" s="101"/>
      <c r="Y16" s="101"/>
      <c r="Z16" s="101"/>
      <c r="AA16" s="101"/>
    </row>
    <row r="17">
      <c r="A17" s="105" t="str">
        <f>IFERROR(__xludf.DUMMYFUNCTION("""COMPUTED_VALUE"""),"Narrative Page")</f>
        <v>Narrative Page</v>
      </c>
      <c r="B17" s="105" t="str">
        <f>IFERROR(__xludf.DUMMYFUNCTION("""COMPUTED_VALUE"""),"Text Editor/Edit Narrative")</f>
        <v>Text Editor/Edit Narrative</v>
      </c>
      <c r="C17" s="105" t="str">
        <f>IFERROR(__xludf.DUMMYFUNCTION("TEXTJOIN("", "", TRUE, 
  FILTER('Main Report'!A26:A115, 
    ('Main Report'!B26:B115=A17) * ('Main Report'!C26:C115=B17)
  )
)
"),"BR-017")</f>
        <v>BR-017</v>
      </c>
      <c r="D17" s="103">
        <f>IFERROR(__xludf.DUMMYFUNCTION("COUNTA(UNIQUE(TRANSPOSE(SPLIT(C17, "", ""))))
"),1.0)</f>
        <v>1</v>
      </c>
      <c r="E17" s="105" t="str">
        <f>IF(D17="", "", TEXT((D17 / 'Main Report'!$E$7), "0.00%"))
</f>
        <v>2.70%</v>
      </c>
      <c r="F17" s="106"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"),"High: 0
Medium: 1
Low: 0")</f>
        <v>High: 0
Medium: 1
Low: 0</v>
      </c>
      <c r="G17" s="101"/>
      <c r="H17" s="101"/>
      <c r="I17" s="101"/>
      <c r="J17" s="101"/>
      <c r="K17" s="101"/>
      <c r="L17" s="101"/>
      <c r="M17" s="101"/>
      <c r="N17" s="101"/>
      <c r="O17" s="101"/>
      <c r="P17" s="101"/>
      <c r="Q17" s="101"/>
      <c r="R17" s="101"/>
      <c r="S17" s="101"/>
      <c r="T17" s="101"/>
      <c r="U17" s="101"/>
      <c r="V17" s="101"/>
      <c r="W17" s="101"/>
      <c r="X17" s="101"/>
      <c r="Y17" s="101"/>
      <c r="Z17" s="101"/>
      <c r="AA17" s="101"/>
    </row>
    <row r="18">
      <c r="A18" s="105" t="str">
        <f>IFERROR(__xludf.DUMMYFUNCTION("""COMPUTED_VALUE"""),"Profile")</f>
        <v>Profile</v>
      </c>
      <c r="B18" s="105" t="str">
        <f>IFERROR(__xludf.DUMMYFUNCTION("""COMPUTED_VALUE"""),"Edit Profile")</f>
        <v>Edit Profile</v>
      </c>
      <c r="C18" s="105" t="str">
        <f>IFERROR(__xludf.DUMMYFUNCTION("TEXTJOIN("", "", TRUE, 
  FILTER('Main Report'!A27:A116, 
    ('Main Report'!B27:B116=A18) * ('Main Report'!C27:C116=B18)
  )
)
"),"BR-018")</f>
        <v>BR-018</v>
      </c>
      <c r="D18" s="103">
        <f>IFERROR(__xludf.DUMMYFUNCTION("COUNTA(UNIQUE(TRANSPOSE(SPLIT(C18, "", ""))))
"),1.0)</f>
        <v>1</v>
      </c>
      <c r="E18" s="105" t="str">
        <f>IF(D18="", "", TEXT((D18 / 'Main Report'!$E$7), "0.00%"))
</f>
        <v>2.70%</v>
      </c>
      <c r="F18" s="106"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"),"High: 0
Medium: 1
Low: 0")</f>
        <v>High: 0
Medium: 1
Low: 0</v>
      </c>
      <c r="G18" s="101"/>
      <c r="H18" s="101"/>
      <c r="I18" s="101"/>
      <c r="J18" s="101"/>
      <c r="K18" s="101"/>
      <c r="L18" s="101"/>
      <c r="M18" s="101"/>
      <c r="N18" s="101"/>
      <c r="O18" s="101"/>
      <c r="P18" s="101"/>
      <c r="Q18" s="101"/>
      <c r="R18" s="101"/>
      <c r="S18" s="101"/>
      <c r="T18" s="101"/>
      <c r="U18" s="101"/>
      <c r="V18" s="101"/>
      <c r="W18" s="101"/>
      <c r="X18" s="101"/>
      <c r="Y18" s="101"/>
      <c r="Z18" s="101"/>
      <c r="AA18" s="101"/>
    </row>
    <row r="19">
      <c r="A19" s="105" t="str">
        <f>IFERROR(__xludf.DUMMYFUNCTION("""COMPUTED_VALUE"""),"Profile")</f>
        <v>Profile</v>
      </c>
      <c r="B19" s="105" t="str">
        <f>IFERROR(__xludf.DUMMYFUNCTION("""COMPUTED_VALUE"""),"Profile")</f>
        <v>Profile</v>
      </c>
      <c r="C19" s="105" t="str">
        <f>IFERROR(__xludf.DUMMYFUNCTION("TEXTJOIN("", "", TRUE, 
  FILTER('Main Report'!A28:A117, 
    ('Main Report'!B28:B117=A19) * ('Main Report'!C28:C117=B19)
  )
)
"),"BR-019, BR-020, BR-021")</f>
        <v>BR-019, BR-020, BR-021</v>
      </c>
      <c r="D19" s="103">
        <f>IFERROR(__xludf.DUMMYFUNCTION("COUNTA(UNIQUE(TRANSPOSE(SPLIT(C19, "", ""))))
"),3.0)</f>
        <v>3</v>
      </c>
      <c r="E19" s="105" t="str">
        <f>IF(D19="", "", TEXT((D19 / 'Main Report'!$E$7), "0.00%"))
</f>
        <v>8.11%</v>
      </c>
      <c r="F19" s="106"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"),"High: 2
Medium: 1
Low: 0")</f>
        <v>High: 2
Medium: 1
Low: 0</v>
      </c>
      <c r="G19" s="101"/>
      <c r="H19" s="101"/>
      <c r="I19" s="101"/>
      <c r="J19" s="101"/>
      <c r="K19" s="101"/>
      <c r="L19" s="101"/>
      <c r="M19" s="101"/>
      <c r="N19" s="101"/>
      <c r="O19" s="101"/>
      <c r="P19" s="101"/>
      <c r="Q19" s="101"/>
      <c r="R19" s="101"/>
      <c r="S19" s="101"/>
      <c r="T19" s="101"/>
      <c r="U19" s="101"/>
      <c r="V19" s="101"/>
      <c r="W19" s="101"/>
      <c r="X19" s="101"/>
      <c r="Y19" s="101"/>
      <c r="Z19" s="101"/>
      <c r="AA19" s="101"/>
    </row>
    <row r="20">
      <c r="A20" s="102" t="str">
        <f>IFERROR(__xludf.DUMMYFUNCTION("""COMPUTED_VALUE"""),"Registration")</f>
        <v>Registration</v>
      </c>
      <c r="B20" s="102" t="str">
        <f>IFERROR(__xludf.DUMMYFUNCTION("""COMPUTED_VALUE"""),"Registration")</f>
        <v>Registration</v>
      </c>
      <c r="C20" s="105" t="str">
        <f>IFERROR(__xludf.DUMMYFUNCTION("TEXTJOIN("", "", TRUE, 
  FILTER('Main Report'!A29:A118, 
    ('Main Report'!B29:B118=A20) * ('Main Report'!C29:C118=B20)
  )
)
"),"BR-022, BR-023, BR-024, BR-025, BR-026, BR-027, BR-028, BR-029, BR-030, BR-031, BR-032")</f>
        <v>BR-022, BR-023, BR-024, BR-025, BR-026, BR-027, BR-028, BR-029, BR-030, BR-031, BR-032</v>
      </c>
      <c r="D20" s="103">
        <f>IFERROR(__xludf.DUMMYFUNCTION("COUNTA(UNIQUE(TRANSPOSE(SPLIT(C20, "", ""))))
"),11.0)</f>
        <v>11</v>
      </c>
      <c r="E20" s="105" t="str">
        <f>IF(D20="", "", TEXT((D20 / 'Main Report'!$E$7), "0.00%"))
</f>
        <v>29.73%</v>
      </c>
      <c r="F20" s="106"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"),"High: 5
Medium: 3
Low: 3")</f>
        <v>High: 5
Medium: 3
Low: 3</v>
      </c>
      <c r="G20" s="101"/>
      <c r="H20" s="101"/>
      <c r="I20" s="101"/>
      <c r="J20" s="101"/>
      <c r="K20" s="101"/>
      <c r="L20" s="101"/>
      <c r="M20" s="101"/>
      <c r="N20" s="101"/>
      <c r="O20" s="101"/>
      <c r="P20" s="101"/>
      <c r="Q20" s="101"/>
      <c r="R20" s="101"/>
      <c r="S20" s="101"/>
      <c r="T20" s="101"/>
      <c r="U20" s="101"/>
      <c r="V20" s="101"/>
      <c r="W20" s="101"/>
      <c r="X20" s="101"/>
      <c r="Y20" s="101"/>
      <c r="Z20" s="101"/>
      <c r="AA20" s="101"/>
    </row>
    <row r="21">
      <c r="A21" s="105" t="str">
        <f>IFERROR(__xludf.DUMMYFUNCTION("""COMPUTED_VALUE"""),"Settings")</f>
        <v>Settings</v>
      </c>
      <c r="B21" s="105" t="str">
        <f>IFERROR(__xludf.DUMMYFUNCTION("""COMPUTED_VALUE"""),"Subscription")</f>
        <v>Subscription</v>
      </c>
      <c r="C21" s="105" t="str">
        <f>IFERROR(__xludf.DUMMYFUNCTION("TEXTJOIN("", "", TRUE, 
  FILTER('Main Report'!A30:A119, 
    ('Main Report'!B30:B119=A21) * ('Main Report'!C30:C119=B21)
  )
)
"),"BR-033")</f>
        <v>BR-033</v>
      </c>
      <c r="D21" s="103">
        <f>IFERROR(__xludf.DUMMYFUNCTION("COUNTA(UNIQUE(TRANSPOSE(SPLIT(C21, "", ""))))
"),1.0)</f>
        <v>1</v>
      </c>
      <c r="E21" s="105" t="str">
        <f>IF(D21="", "", TEXT((D21 / 'Main Report'!$E$7), "0.00%"))
</f>
        <v>2.70%</v>
      </c>
      <c r="F21" s="106"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"),"High: 0
Medium: 1
Low: 0")</f>
        <v>High: 0
Medium: 1
Low: 0</v>
      </c>
      <c r="G21" s="101"/>
      <c r="H21" s="101"/>
      <c r="I21" s="101"/>
      <c r="J21" s="101"/>
      <c r="K21" s="101"/>
      <c r="L21" s="101"/>
      <c r="M21" s="101"/>
      <c r="N21" s="101"/>
      <c r="O21" s="101"/>
      <c r="P21" s="101"/>
      <c r="Q21" s="101"/>
      <c r="R21" s="101"/>
      <c r="S21" s="101"/>
      <c r="T21" s="101"/>
      <c r="U21" s="101"/>
      <c r="V21" s="101"/>
      <c r="W21" s="101"/>
      <c r="X21" s="101"/>
      <c r="Y21" s="101"/>
      <c r="Z21" s="101"/>
      <c r="AA21" s="101"/>
    </row>
    <row r="22">
      <c r="A22" s="105" t="str">
        <f>IFERROR(__xludf.DUMMYFUNCTION("""COMPUTED_VALUE"""),"Subscription")</f>
        <v>Subscription</v>
      </c>
      <c r="B22" s="105" t="str">
        <f>IFERROR(__xludf.DUMMYFUNCTION("""COMPUTED_VALUE"""),"Choose Your Plan")</f>
        <v>Choose Your Plan</v>
      </c>
      <c r="C22" s="105" t="str">
        <f>IFERROR(__xludf.DUMMYFUNCTION("TEXTJOIN("", "", TRUE, 
  FILTER('Main Report'!A31:A120, 
    ('Main Report'!B31:B120=A22) * ('Main Report'!C31:C120=B22)
  )
)
"),"BR-034, BR-035, BR-036")</f>
        <v>BR-034, BR-035, BR-036</v>
      </c>
      <c r="D22" s="103">
        <f>IFERROR(__xludf.DUMMYFUNCTION("COUNTA(UNIQUE(TRANSPOSE(SPLIT(C22, "", ""))))
"),3.0)</f>
        <v>3</v>
      </c>
      <c r="E22" s="105" t="str">
        <f>IF(D22="", "", TEXT((D22 / 'Main Report'!$E$7), "0.00%"))
</f>
        <v>8.11%</v>
      </c>
      <c r="F22" s="106" t="str">
        <f>IFERROR(__xludf.DUMMYFUNCTION("IF(C22="""", """", 
   TEXTJOIN("", "", TRUE, 
      ""High: "" &amp; COUNTIF(FILTER('Main Report'!K31:K120, ISNUMBER(MATCH('Main Report'!A31:A120, SPLIT(C22, "", ""), 0))), ""High"") &amp; CHAR(10) &amp;
      ""Medium: "" &amp; COUNTIF(FILTER('Main Report'!K31:K120, IS"&amp;"NUMBER(MATCH('Main Report'!A31:A120, SPLIT(C22, "", ""), 0))), ""Medium"") &amp; CHAR(10) &amp;
      ""Low: "" &amp; COUNTIF(FILTER('Main Report'!K31:K120, ISNUMBER(MATCH('Main Report'!A31:A120, SPLIT(C22, "", ""), 0))), ""Low"")
   )
)
"),"High: 2
Medium: 0
Low: 1")</f>
        <v>High: 2
Medium: 0
Low: 1</v>
      </c>
      <c r="G22" s="101"/>
      <c r="H22" s="101"/>
      <c r="I22" s="101"/>
      <c r="J22" s="101"/>
      <c r="K22" s="101"/>
      <c r="L22" s="101"/>
      <c r="M22" s="101"/>
      <c r="N22" s="101"/>
      <c r="O22" s="101"/>
      <c r="P22" s="101"/>
      <c r="Q22" s="101"/>
      <c r="R22" s="101"/>
      <c r="S22" s="101"/>
      <c r="T22" s="101"/>
      <c r="U22" s="101"/>
      <c r="V22" s="101"/>
      <c r="W22" s="101"/>
      <c r="X22" s="101"/>
      <c r="Y22" s="101"/>
      <c r="Z22" s="101"/>
      <c r="AA22" s="101"/>
    </row>
    <row r="23">
      <c r="A23" s="105" t="str">
        <f>IFERROR(__xludf.DUMMYFUNCTION("""COMPUTED_VALUE"""),"Subscription")</f>
        <v>Subscription</v>
      </c>
      <c r="B23" s="105" t="str">
        <f>IFERROR(__xludf.DUMMYFUNCTION("""COMPUTED_VALUE"""),"My Subscription")</f>
        <v>My Subscription</v>
      </c>
      <c r="C23" s="105" t="str">
        <f>IFERROR(__xludf.DUMMYFUNCTION("TEXTJOIN("", "", TRUE, 
  FILTER('Main Report'!A32:A121, 
    ('Main Report'!B32:B121=A23) * ('Main Report'!C32:C121=B23)
  )
)
"),"BR-037")</f>
        <v>BR-037</v>
      </c>
      <c r="D23" s="103">
        <f>IFERROR(__xludf.DUMMYFUNCTION("COUNTA(UNIQUE(TRANSPOSE(SPLIT(C23, "", ""))))
"),1.0)</f>
        <v>1</v>
      </c>
      <c r="E23" s="105" t="str">
        <f>IF(D23="", "", TEXT((D23 / 'Main Report'!$E$7), "0.00%"))
</f>
        <v>2.70%</v>
      </c>
      <c r="F23" s="106" t="str">
        <f>IFERROR(__xludf.DUMMYFUNCTION("IF(C23="""", """", 
   TEXTJOIN("", "", TRUE, 
      ""High: "" &amp; COUNTIF(FILTER('Main Report'!K32:K121, ISNUMBER(MATCH('Main Report'!A32:A121, SPLIT(C23, "", ""), 0))), ""High"") &amp; CHAR(10) &amp;
      ""Medium: "" &amp; COUNTIF(FILTER('Main Report'!K32:K121, IS"&amp;"NUMBER(MATCH('Main Report'!A32:A121, SPLIT(C23, "", ""), 0))), ""Medium"") &amp; CHAR(10) &amp;
      ""Low: "" &amp; COUNTIF(FILTER('Main Report'!K32:K121, ISNUMBER(MATCH('Main Report'!A32:A121, SPLIT(C23, "", ""), 0))), ""Low"")
   )
)
"),"High: 1
Medium: 0
Low: 0")</f>
        <v>High: 1
Medium: 0
Low: 0</v>
      </c>
      <c r="G23" s="101"/>
      <c r="H23" s="101"/>
      <c r="I23" s="101"/>
      <c r="J23" s="101"/>
      <c r="K23" s="101"/>
      <c r="L23" s="101"/>
      <c r="M23" s="101"/>
      <c r="N23" s="101"/>
      <c r="O23" s="101"/>
      <c r="P23" s="101"/>
      <c r="Q23" s="101"/>
      <c r="R23" s="101"/>
      <c r="S23" s="101"/>
      <c r="T23" s="101"/>
      <c r="U23" s="101"/>
      <c r="V23" s="101"/>
      <c r="W23" s="101"/>
      <c r="X23" s="101"/>
      <c r="Y23" s="101"/>
      <c r="Z23" s="101"/>
      <c r="AA23" s="101"/>
    </row>
    <row r="24">
      <c r="A24" s="107"/>
      <c r="B24" s="107"/>
      <c r="C24" s="107"/>
      <c r="D24" s="107"/>
      <c r="E24" s="107"/>
      <c r="F24" s="107"/>
      <c r="G24" s="101"/>
      <c r="H24" s="101"/>
      <c r="I24" s="101"/>
      <c r="J24" s="101"/>
      <c r="K24" s="101"/>
      <c r="L24" s="101"/>
      <c r="M24" s="101"/>
      <c r="N24" s="101"/>
      <c r="O24" s="101"/>
      <c r="P24" s="101"/>
      <c r="Q24" s="101"/>
      <c r="R24" s="101"/>
      <c r="S24" s="101"/>
      <c r="T24" s="101"/>
      <c r="U24" s="101"/>
      <c r="V24" s="101"/>
      <c r="W24" s="101"/>
      <c r="X24" s="101"/>
      <c r="Y24" s="101"/>
      <c r="Z24" s="101"/>
      <c r="AA24" s="101"/>
    </row>
    <row r="25">
      <c r="A25" s="107"/>
      <c r="B25" s="107"/>
      <c r="C25" s="107"/>
      <c r="D25" s="107"/>
      <c r="E25" s="107"/>
      <c r="F25" s="107"/>
      <c r="G25" s="101"/>
      <c r="H25" s="101"/>
      <c r="I25" s="101"/>
      <c r="J25" s="101"/>
      <c r="K25" s="101"/>
      <c r="L25" s="101"/>
      <c r="M25" s="101"/>
      <c r="N25" s="101"/>
      <c r="O25" s="101"/>
      <c r="P25" s="101"/>
      <c r="Q25" s="101"/>
      <c r="R25" s="101"/>
      <c r="S25" s="101"/>
      <c r="T25" s="101"/>
      <c r="U25" s="101"/>
      <c r="V25" s="101"/>
      <c r="W25" s="101"/>
      <c r="X25" s="101"/>
      <c r="Y25" s="101"/>
      <c r="Z25" s="101"/>
      <c r="AA25" s="101"/>
    </row>
    <row r="26">
      <c r="A26" s="107"/>
      <c r="B26" s="107"/>
      <c r="C26" s="107"/>
      <c r="D26" s="107"/>
      <c r="E26" s="107"/>
      <c r="F26" s="107"/>
      <c r="G26" s="101"/>
      <c r="H26" s="101"/>
      <c r="I26" s="101"/>
      <c r="J26" s="101"/>
      <c r="K26" s="101"/>
      <c r="L26" s="101"/>
      <c r="M26" s="101"/>
      <c r="N26" s="101"/>
      <c r="O26" s="101"/>
      <c r="P26" s="101"/>
      <c r="Q26" s="101"/>
      <c r="R26" s="101"/>
      <c r="S26" s="101"/>
      <c r="T26" s="101"/>
      <c r="U26" s="101"/>
      <c r="V26" s="101"/>
      <c r="W26" s="101"/>
      <c r="X26" s="101"/>
      <c r="Y26" s="101"/>
      <c r="Z26" s="101"/>
      <c r="AA26" s="101"/>
    </row>
    <row r="27">
      <c r="A27" s="107"/>
      <c r="B27" s="107"/>
      <c r="C27" s="107"/>
      <c r="D27" s="107"/>
      <c r="E27" s="107"/>
      <c r="F27" s="107"/>
      <c r="G27" s="101"/>
      <c r="H27" s="101"/>
      <c r="I27" s="101"/>
      <c r="J27" s="101"/>
      <c r="K27" s="101"/>
      <c r="L27" s="101"/>
      <c r="M27" s="101"/>
      <c r="N27" s="101"/>
      <c r="O27" s="101"/>
      <c r="P27" s="101"/>
      <c r="Q27" s="101"/>
      <c r="R27" s="101"/>
      <c r="S27" s="101"/>
      <c r="T27" s="101"/>
      <c r="U27" s="101"/>
      <c r="V27" s="101"/>
      <c r="W27" s="101"/>
      <c r="X27" s="101"/>
      <c r="Y27" s="101"/>
      <c r="Z27" s="101"/>
      <c r="AA27" s="101"/>
    </row>
    <row r="28">
      <c r="A28" s="107"/>
      <c r="B28" s="107"/>
      <c r="C28" s="107"/>
      <c r="D28" s="107"/>
      <c r="E28" s="107"/>
      <c r="F28" s="107"/>
      <c r="G28" s="101"/>
      <c r="H28" s="101"/>
      <c r="I28" s="101"/>
      <c r="J28" s="101"/>
      <c r="K28" s="101"/>
      <c r="L28" s="101"/>
      <c r="M28" s="101"/>
      <c r="N28" s="101"/>
      <c r="O28" s="101"/>
      <c r="P28" s="101"/>
      <c r="Q28" s="101"/>
      <c r="R28" s="101"/>
      <c r="S28" s="101"/>
      <c r="T28" s="101"/>
      <c r="U28" s="101"/>
      <c r="V28" s="101"/>
      <c r="W28" s="101"/>
      <c r="X28" s="101"/>
      <c r="Y28" s="101"/>
      <c r="Z28" s="101"/>
      <c r="AA28" s="101"/>
    </row>
    <row r="29">
      <c r="A29" s="107"/>
      <c r="B29" s="107"/>
      <c r="C29" s="107"/>
      <c r="D29" s="107"/>
      <c r="E29" s="107"/>
      <c r="F29" s="107"/>
      <c r="G29" s="101"/>
      <c r="H29" s="101"/>
      <c r="I29" s="101"/>
      <c r="J29" s="101"/>
      <c r="K29" s="101"/>
      <c r="L29" s="101"/>
      <c r="M29" s="101"/>
      <c r="N29" s="101"/>
      <c r="O29" s="101"/>
      <c r="P29" s="101"/>
      <c r="Q29" s="101"/>
      <c r="R29" s="101"/>
      <c r="S29" s="101"/>
      <c r="T29" s="101"/>
      <c r="U29" s="101"/>
      <c r="V29" s="101"/>
      <c r="W29" s="101"/>
      <c r="X29" s="101"/>
      <c r="Y29" s="101"/>
      <c r="Z29" s="101"/>
      <c r="AA29" s="101"/>
    </row>
    <row r="30">
      <c r="A30" s="107"/>
      <c r="B30" s="107"/>
      <c r="C30" s="107"/>
      <c r="D30" s="107"/>
      <c r="E30" s="107"/>
      <c r="F30" s="107"/>
      <c r="G30" s="101"/>
      <c r="H30" s="101"/>
      <c r="I30" s="101"/>
      <c r="J30" s="101"/>
      <c r="K30" s="101"/>
      <c r="L30" s="101"/>
      <c r="M30" s="101"/>
      <c r="N30" s="101"/>
      <c r="O30" s="101"/>
      <c r="P30" s="101"/>
      <c r="Q30" s="101"/>
      <c r="R30" s="101"/>
      <c r="S30" s="101"/>
      <c r="T30" s="101"/>
      <c r="U30" s="101"/>
      <c r="V30" s="101"/>
      <c r="W30" s="101"/>
      <c r="X30" s="101"/>
      <c r="Y30" s="101"/>
      <c r="Z30" s="101"/>
      <c r="AA30" s="101"/>
    </row>
    <row r="31">
      <c r="A31" s="107"/>
      <c r="B31" s="107"/>
      <c r="C31" s="107"/>
      <c r="D31" s="107"/>
      <c r="E31" s="107"/>
      <c r="F31" s="107"/>
      <c r="G31" s="101"/>
      <c r="H31" s="101"/>
      <c r="I31" s="101"/>
      <c r="J31" s="101"/>
      <c r="K31" s="101"/>
      <c r="L31" s="101"/>
      <c r="M31" s="101"/>
      <c r="N31" s="101"/>
      <c r="O31" s="101"/>
      <c r="P31" s="101"/>
      <c r="Q31" s="101"/>
      <c r="R31" s="101"/>
      <c r="S31" s="101"/>
      <c r="T31" s="101"/>
      <c r="U31" s="101"/>
      <c r="V31" s="101"/>
      <c r="W31" s="101"/>
      <c r="X31" s="101"/>
      <c r="Y31" s="101"/>
      <c r="Z31" s="101"/>
      <c r="AA31" s="101"/>
    </row>
    <row r="32">
      <c r="A32" s="107"/>
      <c r="B32" s="107"/>
      <c r="C32" s="107"/>
      <c r="D32" s="107"/>
      <c r="E32" s="107"/>
      <c r="F32" s="107"/>
      <c r="G32" s="101"/>
      <c r="H32" s="101"/>
      <c r="I32" s="101"/>
      <c r="J32" s="101"/>
      <c r="K32" s="101"/>
      <c r="L32" s="101"/>
      <c r="M32" s="101"/>
      <c r="N32" s="101"/>
      <c r="O32" s="101"/>
      <c r="P32" s="101"/>
      <c r="Q32" s="101"/>
      <c r="R32" s="101"/>
      <c r="S32" s="101"/>
      <c r="T32" s="101"/>
      <c r="U32" s="101"/>
      <c r="V32" s="101"/>
      <c r="W32" s="101"/>
      <c r="X32" s="101"/>
      <c r="Y32" s="101"/>
      <c r="Z32" s="101"/>
      <c r="AA32" s="101"/>
    </row>
    <row r="33">
      <c r="A33" s="107"/>
      <c r="B33" s="107"/>
      <c r="C33" s="107"/>
      <c r="D33" s="107"/>
      <c r="E33" s="107"/>
      <c r="F33" s="107"/>
      <c r="G33" s="101"/>
      <c r="H33" s="101"/>
      <c r="I33" s="101"/>
      <c r="J33" s="101"/>
      <c r="K33" s="101"/>
      <c r="L33" s="101"/>
      <c r="M33" s="101"/>
      <c r="N33" s="101"/>
      <c r="O33" s="101"/>
      <c r="P33" s="101"/>
      <c r="Q33" s="101"/>
      <c r="R33" s="101"/>
      <c r="S33" s="101"/>
      <c r="T33" s="101"/>
      <c r="U33" s="101"/>
      <c r="V33" s="101"/>
      <c r="W33" s="101"/>
      <c r="X33" s="101"/>
      <c r="Y33" s="101"/>
      <c r="Z33" s="101"/>
      <c r="AA33" s="101"/>
    </row>
    <row r="34">
      <c r="A34" s="107"/>
      <c r="B34" s="107"/>
      <c r="C34" s="107"/>
      <c r="D34" s="107"/>
      <c r="E34" s="107"/>
      <c r="F34" s="107"/>
      <c r="G34" s="101"/>
      <c r="H34" s="101"/>
      <c r="I34" s="101"/>
      <c r="J34" s="101"/>
      <c r="K34" s="101"/>
      <c r="L34" s="101"/>
      <c r="M34" s="101"/>
      <c r="N34" s="101"/>
      <c r="O34" s="101"/>
      <c r="P34" s="101"/>
      <c r="Q34" s="101"/>
      <c r="R34" s="101"/>
      <c r="S34" s="101"/>
      <c r="T34" s="101"/>
      <c r="U34" s="101"/>
      <c r="V34" s="101"/>
      <c r="W34" s="101"/>
      <c r="X34" s="101"/>
      <c r="Y34" s="101"/>
      <c r="Z34" s="101"/>
      <c r="AA34" s="101"/>
    </row>
    <row r="35">
      <c r="A35" s="107"/>
      <c r="B35" s="107"/>
      <c r="C35" s="107"/>
      <c r="D35" s="107"/>
      <c r="E35" s="107"/>
      <c r="F35" s="107"/>
      <c r="G35" s="101"/>
      <c r="H35" s="101"/>
      <c r="I35" s="101"/>
      <c r="J35" s="101"/>
      <c r="K35" s="101"/>
      <c r="L35" s="101"/>
      <c r="M35" s="101"/>
      <c r="N35" s="101"/>
      <c r="O35" s="101"/>
      <c r="P35" s="101"/>
      <c r="Q35" s="101"/>
      <c r="R35" s="101"/>
      <c r="S35" s="101"/>
      <c r="T35" s="101"/>
      <c r="U35" s="101"/>
      <c r="V35" s="101"/>
      <c r="W35" s="101"/>
      <c r="X35" s="101"/>
      <c r="Y35" s="101"/>
      <c r="Z35" s="101"/>
      <c r="AA35" s="101"/>
    </row>
    <row r="36">
      <c r="A36" s="107"/>
      <c r="B36" s="107"/>
      <c r="C36" s="107"/>
      <c r="D36" s="107"/>
      <c r="E36" s="107"/>
      <c r="F36" s="107"/>
      <c r="G36" s="101"/>
      <c r="H36" s="101"/>
      <c r="I36" s="101"/>
      <c r="J36" s="101"/>
      <c r="K36" s="101"/>
      <c r="L36" s="101"/>
      <c r="M36" s="101"/>
      <c r="N36" s="101"/>
      <c r="O36" s="101"/>
      <c r="P36" s="101"/>
      <c r="Q36" s="101"/>
      <c r="R36" s="101"/>
      <c r="S36" s="101"/>
      <c r="T36" s="101"/>
      <c r="U36" s="101"/>
      <c r="V36" s="101"/>
      <c r="W36" s="101"/>
      <c r="X36" s="101"/>
      <c r="Y36" s="101"/>
      <c r="Z36" s="101"/>
      <c r="AA36" s="101"/>
    </row>
    <row r="37">
      <c r="A37" s="101"/>
      <c r="B37" s="101"/>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row>
    <row r="38">
      <c r="A38" s="101"/>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row>
    <row r="39">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row>
    <row r="40">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row>
    <row r="41">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row>
    <row r="42">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row>
    <row r="43">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row>
    <row r="44">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row>
    <row r="45">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row>
    <row r="46">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row>
    <row r="47">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row>
    <row r="48">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row>
    <row r="49">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row>
    <row r="50">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row>
    <row r="5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row>
    <row r="52">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row>
    <row r="53">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row>
    <row r="54">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row>
    <row r="55">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row>
    <row r="56">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row>
    <row r="57">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row>
    <row r="58">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row>
    <row r="59">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row>
    <row r="60">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row>
    <row r="6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row>
    <row r="62">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row>
    <row r="63">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row>
    <row r="64">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row>
    <row r="65">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row>
    <row r="66">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row>
    <row r="67">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row>
    <row r="68">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row>
    <row r="69">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row>
    <row r="70">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row>
    <row r="7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row>
    <row r="72">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row>
    <row r="73">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row>
    <row r="74">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row>
    <row r="75">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row>
    <row r="76">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row>
    <row r="77">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row>
    <row r="78">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row>
    <row r="79">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row>
    <row r="80">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row>
    <row r="8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row>
    <row r="82">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row>
    <row r="83">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row>
    <row r="84">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row>
    <row r="85">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row>
    <row r="86">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row>
    <row r="87">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row>
    <row r="88">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row>
    <row r="89">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row>
    <row r="90">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row>
    <row r="9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row>
    <row r="92">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row>
    <row r="93">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row>
    <row r="94">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row>
    <row r="95">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row>
    <row r="96">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row>
    <row r="97">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row>
    <row r="98">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row>
    <row r="99">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row>
    <row r="100">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row>
    <row r="10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row>
    <row r="102">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row>
    <row r="103">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row>
    <row r="104">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row>
    <row r="105">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row>
    <row r="106">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row>
    <row r="107">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row>
    <row r="108">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row>
    <row r="109">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row>
    <row r="110">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row>
    <row r="11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row>
    <row r="112">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row>
    <row r="113">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row>
    <row r="114">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row>
    <row r="115">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row>
    <row r="116">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row>
    <row r="117">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row>
    <row r="118">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row>
    <row r="119">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row>
    <row r="120">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row>
    <row r="12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row>
    <row r="122">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row>
    <row r="123">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row>
    <row r="124">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row>
    <row r="125">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row>
    <row r="126">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row>
    <row r="127">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row>
    <row r="128">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row>
    <row r="129">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row>
    <row r="130">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row>
    <row r="13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row>
    <row r="132">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row>
    <row r="133">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row>
    <row r="134">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row>
    <row r="135">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row>
    <row r="136">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row>
    <row r="137">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row>
    <row r="138">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row>
    <row r="139">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row>
    <row r="140">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row>
    <row r="14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row>
    <row r="142">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row>
    <row r="143">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row>
    <row r="144">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row>
    <row r="145">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row>
    <row r="146">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row>
    <row r="147">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row>
    <row r="148">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row>
    <row r="149">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row>
    <row r="150">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row>
    <row r="15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row>
    <row r="152">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row>
    <row r="153">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row>
    <row r="154">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row>
    <row r="155">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row>
    <row r="156">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row>
    <row r="157">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row>
    <row r="158">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row>
    <row r="159">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row>
    <row r="160">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row>
    <row r="16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row>
    <row r="162">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row>
    <row r="163">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row>
    <row r="164">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row>
    <row r="165">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row>
    <row r="166">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row>
    <row r="167">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row>
    <row r="168">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row>
    <row r="169">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row>
    <row r="170">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row>
    <row r="17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row>
    <row r="172">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row>
    <row r="173">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row>
    <row r="174">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row>
    <row r="175">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row>
    <row r="176">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row>
    <row r="177">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row>
    <row r="178">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row>
    <row r="179">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row>
    <row r="180">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row>
    <row r="18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row>
    <row r="182">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row>
    <row r="183">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row>
    <row r="184">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row>
    <row r="185">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row>
    <row r="186">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row>
    <row r="187">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row>
    <row r="188">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row>
    <row r="189">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row>
    <row r="190">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row>
    <row r="19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row>
    <row r="192">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row>
    <row r="193">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row>
    <row r="194">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row>
    <row r="195">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row>
    <row r="196">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row>
    <row r="197">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row>
    <row r="198">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row>
    <row r="199">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row>
    <row r="200">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row>
    <row r="20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row>
    <row r="202">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row>
    <row r="203">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row>
    <row r="204">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row>
    <row r="205">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row>
    <row r="206">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row>
    <row r="207">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row>
    <row r="208">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row>
    <row r="209">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row>
    <row r="210">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row>
    <row r="21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row>
    <row r="212">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row>
    <row r="213">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row>
    <row r="214">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row>
    <row r="215">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row>
    <row r="216">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row>
    <row r="217">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row>
    <row r="218">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row>
    <row r="219">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row>
    <row r="220">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row>
    <row r="22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row>
    <row r="222">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row>
    <row r="223">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row>
    <row r="224">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row>
    <row r="225">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row>
    <row r="226">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row>
    <row r="227">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row>
    <row r="228">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row>
    <row r="229">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row>
    <row r="230">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row>
    <row r="23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row>
    <row r="232">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row>
    <row r="233">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row>
    <row r="234">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row>
    <row r="235">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row>
    <row r="236">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row>
    <row r="237">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row>
    <row r="238">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row>
    <row r="239">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row>
    <row r="240">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row>
    <row r="24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row>
    <row r="242">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row>
    <row r="243">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row>
    <row r="244">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row>
    <row r="245">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row>
    <row r="246">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row>
    <row r="247">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row>
    <row r="248">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row>
    <row r="249">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row>
    <row r="250">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row>
    <row r="25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row>
    <row r="252">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row>
    <row r="253">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row>
    <row r="254">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row>
    <row r="255">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row>
    <row r="256">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row>
    <row r="257">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row>
    <row r="258">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row>
    <row r="259">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row>
    <row r="260">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row>
    <row r="26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row>
    <row r="262">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row>
    <row r="263">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row>
    <row r="264">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row>
    <row r="265">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row>
    <row r="266">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row>
    <row r="267">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row>
    <row r="268">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row>
    <row r="269">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row>
    <row r="270">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row>
    <row r="27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row>
    <row r="272">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row>
    <row r="273">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row>
    <row r="274">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row>
    <row r="275">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row>
    <row r="276">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row>
    <row r="277">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row>
    <row r="278">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row>
    <row r="279">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row>
    <row r="280">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row>
    <row r="28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row>
    <row r="282">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row>
    <row r="283">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row>
    <row r="284">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row>
    <row r="285">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row>
    <row r="286">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row>
    <row r="287">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row>
    <row r="288">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row>
    <row r="289">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row>
    <row r="290">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row>
    <row r="29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row>
    <row r="292">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row>
    <row r="293">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row>
    <row r="294">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row>
    <row r="295">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row>
    <row r="296">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row>
    <row r="297">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row>
    <row r="298">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row>
    <row r="299">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row>
    <row r="300">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row>
    <row r="30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row>
    <row r="302">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row>
    <row r="303">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row>
    <row r="304">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row>
    <row r="305">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row>
    <row r="306">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row>
    <row r="307">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row>
    <row r="308">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row>
    <row r="309">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row>
    <row r="310">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row>
    <row r="31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row>
    <row r="312">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row>
    <row r="313">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row>
    <row r="314">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row>
    <row r="315">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row>
    <row r="316">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row>
    <row r="317">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row>
    <row r="318">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row>
    <row r="319">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row>
    <row r="320">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row>
    <row r="32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row>
    <row r="322">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row>
    <row r="323">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row>
    <row r="324">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row>
    <row r="325">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row>
    <row r="326">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row>
    <row r="327">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row>
    <row r="328">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row>
    <row r="329">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row>
    <row r="330">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row>
    <row r="33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row>
    <row r="332">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row>
    <row r="333">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row>
    <row r="334">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row>
    <row r="335">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row>
    <row r="336">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row>
    <row r="337">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row>
    <row r="338">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row>
    <row r="339">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row>
    <row r="340">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row>
    <row r="34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row>
    <row r="342">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row>
    <row r="343">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row>
    <row r="344">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row>
    <row r="345">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row>
    <row r="346">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row>
    <row r="347">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row>
    <row r="348">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row>
    <row r="349">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row>
    <row r="350">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row>
    <row r="35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row>
    <row r="352">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row>
    <row r="353">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row>
    <row r="354">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row>
    <row r="355">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row>
    <row r="356">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row>
    <row r="357">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row>
    <row r="358">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row>
    <row r="359">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row>
    <row r="360">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row>
    <row r="36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row>
    <row r="362">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row>
    <row r="363">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row>
    <row r="364">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row>
    <row r="365">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row>
    <row r="366">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row>
    <row r="367">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row>
    <row r="368">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row>
    <row r="369">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row>
    <row r="370">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row>
    <row r="37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row>
    <row r="372">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row>
    <row r="373">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row>
    <row r="374">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row>
    <row r="375">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row>
    <row r="376">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row>
    <row r="377">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row>
    <row r="378">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row>
    <row r="379">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row>
    <row r="380">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row>
    <row r="38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row>
    <row r="382">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row>
    <row r="383">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row>
    <row r="384">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row>
    <row r="385">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row>
    <row r="386">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row>
    <row r="387">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row>
    <row r="388">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row>
    <row r="389">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row>
    <row r="390">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row>
    <row r="39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row>
    <row r="392">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row>
    <row r="393">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row>
    <row r="394">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row>
    <row r="395">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row>
    <row r="396">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row>
    <row r="397">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row>
    <row r="398">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row>
    <row r="399">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row>
    <row r="400">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row>
    <row r="40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row>
    <row r="402">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row>
    <row r="403">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row>
    <row r="404">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row>
    <row r="405">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row>
    <row r="406">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row>
    <row r="407">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row>
    <row r="408">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row>
    <row r="409">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row>
    <row r="410">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row>
    <row r="41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row>
    <row r="412">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row>
    <row r="413">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row>
    <row r="414">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row>
    <row r="415">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row>
    <row r="416">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row>
    <row r="417">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row>
    <row r="418">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row>
    <row r="419">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row>
    <row r="420">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row>
    <row r="42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row>
    <row r="422">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row>
    <row r="423">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row>
    <row r="424">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row>
    <row r="425">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row>
    <row r="426">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row>
    <row r="427">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row>
    <row r="428">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row>
    <row r="429">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row>
    <row r="430">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row>
    <row r="43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row>
    <row r="432">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row>
    <row r="433">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row>
    <row r="434">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row>
    <row r="435">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row>
    <row r="436">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row>
    <row r="437">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row>
    <row r="438">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row>
    <row r="439">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row>
    <row r="440">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row>
    <row r="44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row>
    <row r="442">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row>
    <row r="443">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row>
    <row r="444">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row>
    <row r="445">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row>
    <row r="446">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row>
    <row r="447">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row>
    <row r="448">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row>
    <row r="449">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row>
    <row r="450">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row>
    <row r="45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row>
    <row r="452">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row>
    <row r="453">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row>
    <row r="454">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row>
    <row r="455">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row>
    <row r="456">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row>
    <row r="457">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row>
    <row r="458">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row>
    <row r="459">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row>
    <row r="460">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row>
    <row r="46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row>
    <row r="462">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row>
    <row r="463">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row>
    <row r="464">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row>
    <row r="465">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row>
    <row r="466">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row>
    <row r="467">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row>
    <row r="468">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row>
    <row r="469">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row>
    <row r="470">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row>
    <row r="47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row>
    <row r="472">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row>
    <row r="473">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row>
    <row r="474">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row>
    <row r="475">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row>
    <row r="476">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row>
    <row r="477">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row>
    <row r="478">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row>
    <row r="479">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row>
    <row r="480">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row>
    <row r="48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row>
    <row r="482">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row>
    <row r="483">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row>
    <row r="484">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row>
    <row r="485">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row>
    <row r="486">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row>
    <row r="487">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row>
    <row r="488">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row>
    <row r="489">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row>
    <row r="490">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row>
    <row r="49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row>
    <row r="492">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row>
    <row r="493">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row>
    <row r="494">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row>
    <row r="495">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row>
    <row r="496">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row>
    <row r="497">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row>
    <row r="498">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row>
    <row r="499">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row>
    <row r="500">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row>
    <row r="50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row>
    <row r="502">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row>
    <row r="503">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row>
    <row r="504">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row>
    <row r="505">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row>
    <row r="506">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row>
    <row r="507">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row>
    <row r="508">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row>
    <row r="509">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row>
    <row r="510">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row>
    <row r="51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row>
    <row r="512">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row>
    <row r="513">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row>
    <row r="514">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row>
    <row r="515">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row>
    <row r="516">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row>
    <row r="517">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row>
    <row r="518">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row>
    <row r="519">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row>
    <row r="520">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row>
    <row r="52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row>
    <row r="522">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row>
    <row r="523">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row>
    <row r="524">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row>
    <row r="525">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row>
    <row r="526">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row>
    <row r="527">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row>
    <row r="528">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row>
    <row r="529">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row>
    <row r="530">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row>
    <row r="53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row>
    <row r="532">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row>
    <row r="533">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row>
    <row r="534">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row>
    <row r="535">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row>
    <row r="536">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row>
    <row r="537">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row>
    <row r="538">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row>
    <row r="539">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row>
    <row r="540">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row>
    <row r="54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row>
    <row r="542">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row>
    <row r="543">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row>
    <row r="544">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row>
    <row r="545">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row>
    <row r="546">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row>
    <row r="547">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row>
    <row r="548">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row>
    <row r="549">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row>
    <row r="550">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row>
    <row r="55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row>
    <row r="552">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row>
    <row r="553">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row>
    <row r="554">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row>
    <row r="555">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row>
    <row r="556">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row>
    <row r="557">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row>
    <row r="558">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row>
    <row r="559">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row>
    <row r="560">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row>
    <row r="56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row>
    <row r="562">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row>
    <row r="563">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row>
    <row r="564">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row>
    <row r="565">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row>
    <row r="566">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row>
    <row r="567">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row>
    <row r="568">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row>
    <row r="569">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row>
    <row r="570">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row>
    <row r="57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row>
    <row r="572">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row>
    <row r="573">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row>
    <row r="574">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row>
    <row r="575">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row>
    <row r="576">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row>
    <row r="577">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row>
    <row r="578">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row>
    <row r="579">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row>
    <row r="580">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row>
    <row r="58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row>
    <row r="582">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row>
    <row r="583">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row>
    <row r="584">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row>
    <row r="585">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row>
    <row r="586">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row>
    <row r="587">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row>
    <row r="588">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row>
    <row r="589">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row>
    <row r="590">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row>
    <row r="59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row>
    <row r="592">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row>
    <row r="593">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row>
    <row r="594">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row>
    <row r="595">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row>
    <row r="596">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row>
    <row r="597">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row>
    <row r="598">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row>
    <row r="599">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row>
    <row r="600">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row>
    <row r="60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row>
    <row r="602">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row>
    <row r="603">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row>
    <row r="604">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row>
    <row r="605">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row>
    <row r="606">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row>
    <row r="607">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row>
    <row r="608">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row>
    <row r="609">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row>
    <row r="610">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row>
    <row r="61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row>
    <row r="612">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row>
    <row r="613">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row>
    <row r="614">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row>
    <row r="615">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row>
    <row r="616">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row>
    <row r="617">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row>
    <row r="618">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row>
    <row r="619">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row>
    <row r="620">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row>
    <row r="62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row>
    <row r="622">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row>
    <row r="623">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row>
    <row r="624">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row>
    <row r="625">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row>
    <row r="626">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row>
    <row r="627">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row>
    <row r="628">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row>
    <row r="629">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row>
    <row r="630">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row>
    <row r="63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row>
    <row r="632">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row>
    <row r="633">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row>
    <row r="634">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row>
    <row r="635">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row>
    <row r="636">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row>
    <row r="637">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row>
    <row r="638">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row>
    <row r="639">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row>
    <row r="640">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row>
    <row r="64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row>
    <row r="642">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row>
    <row r="643">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row>
    <row r="644">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row>
    <row r="645">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row>
    <row r="646">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row>
    <row r="647">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row>
    <row r="648">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row>
    <row r="649">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row>
    <row r="650">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row>
    <row r="65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row>
    <row r="652">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row>
    <row r="653">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row>
    <row r="654">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row>
    <row r="655">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row>
    <row r="656">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row>
    <row r="657">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row>
    <row r="658">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row>
    <row r="659">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row>
    <row r="660">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row>
    <row r="66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row>
    <row r="662">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row>
    <row r="663">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row>
    <row r="664">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row>
    <row r="665">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row>
    <row r="666">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row>
    <row r="667">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row>
    <row r="668">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row>
    <row r="669">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row>
    <row r="670">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row>
    <row r="67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row>
    <row r="672">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row>
    <row r="673">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row>
    <row r="674">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row>
    <row r="675">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row>
    <row r="676">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row>
    <row r="677">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row>
    <row r="678">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row>
    <row r="679">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row>
    <row r="680">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row>
    <row r="68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row>
    <row r="682">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row>
    <row r="683">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row>
    <row r="684">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row>
    <row r="685">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row>
    <row r="686">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row>
    <row r="687">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row>
    <row r="688">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row>
    <row r="689">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row>
    <row r="690">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row>
    <row r="69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row>
    <row r="692">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row>
    <row r="693">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row>
    <row r="694">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row>
    <row r="695">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row>
    <row r="696">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row>
    <row r="697">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row>
    <row r="698">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row>
    <row r="699">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row>
    <row r="700">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row>
    <row r="70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row>
    <row r="702">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row>
    <row r="703">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row>
    <row r="704">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row>
    <row r="705">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row>
    <row r="706">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row>
    <row r="707">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row>
    <row r="708">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row>
    <row r="709">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row>
    <row r="710">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row>
    <row r="71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row>
    <row r="712">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row>
    <row r="713">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row>
    <row r="714">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row>
    <row r="715">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row>
    <row r="716">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row>
    <row r="717">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row>
    <row r="718">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row>
    <row r="719">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row>
    <row r="720">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row>
    <row r="72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row>
    <row r="722">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row>
    <row r="723">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row>
    <row r="724">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row>
    <row r="725">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row>
    <row r="726">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row>
    <row r="727">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row>
    <row r="728">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row>
    <row r="729">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row>
    <row r="730">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row>
    <row r="73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row>
    <row r="732">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row>
    <row r="733">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row>
    <row r="734">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row>
    <row r="735">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row>
    <row r="736">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row>
    <row r="737">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row>
    <row r="738">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row>
    <row r="739">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row>
    <row r="740">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row>
    <row r="74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row>
    <row r="742">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row>
    <row r="743">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row>
    <row r="744">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row>
    <row r="745">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row>
    <row r="746">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row>
    <row r="747">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row>
    <row r="748">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row>
    <row r="749">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row>
    <row r="750">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row>
    <row r="75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row>
    <row r="752">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row>
    <row r="753">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row>
    <row r="754">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row>
    <row r="755">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row>
    <row r="756">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row>
    <row r="757">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row>
    <row r="758">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row>
    <row r="759">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row>
    <row r="760">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row>
    <row r="76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row>
    <row r="762">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row>
    <row r="763">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row>
    <row r="764">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row>
    <row r="765">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row>
    <row r="766">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row>
    <row r="767">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row>
    <row r="768">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row>
    <row r="769">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row>
    <row r="770">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row>
    <row r="77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row>
    <row r="772">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row>
    <row r="773">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row>
    <row r="774">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row>
    <row r="775">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row>
    <row r="776">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row>
    <row r="777">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row>
    <row r="778">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row>
    <row r="779">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row>
    <row r="780">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row>
    <row r="78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row>
    <row r="782">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row>
    <row r="783">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row>
    <row r="784">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row>
    <row r="785">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row>
    <row r="786">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row>
    <row r="787">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row>
    <row r="788">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row>
    <row r="789">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row>
    <row r="790">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row>
    <row r="79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row>
    <row r="792">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row>
    <row r="793">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row>
    <row r="794">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row>
    <row r="795">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row>
    <row r="796">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row>
    <row r="797">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row>
    <row r="798">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row>
    <row r="799">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row>
    <row r="800">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row>
    <row r="80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row>
    <row r="802">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row>
    <row r="803">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row>
    <row r="804">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row>
    <row r="805">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row>
    <row r="806">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row>
    <row r="807">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row>
    <row r="808">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row>
    <row r="809">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row>
    <row r="810">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row>
    <row r="81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row>
    <row r="812">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row>
    <row r="813">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row>
    <row r="814">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row>
    <row r="815">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row>
    <row r="816">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row>
    <row r="817">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row>
    <row r="818">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row>
    <row r="819">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row>
    <row r="820">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row>
    <row r="82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row>
    <row r="822">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row>
    <row r="823">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row>
    <row r="824">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row>
    <row r="825">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row>
    <row r="826">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row>
    <row r="827">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row>
    <row r="828">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row>
    <row r="829">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row>
    <row r="830">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row>
    <row r="83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c r="AA831" s="101"/>
    </row>
    <row r="832">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row>
    <row r="833">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c r="AA833" s="101"/>
    </row>
    <row r="834">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row>
    <row r="835">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c r="AA835" s="101"/>
    </row>
    <row r="836">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row>
    <row r="837">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c r="AA837" s="101"/>
    </row>
    <row r="838">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row>
    <row r="839">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c r="AA839" s="101"/>
    </row>
    <row r="840">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c r="AA840" s="101"/>
    </row>
    <row r="84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c r="AA841" s="101"/>
    </row>
    <row r="842">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c r="AA842" s="101"/>
    </row>
    <row r="843">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c r="AA843" s="101"/>
    </row>
    <row r="844">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c r="AA844" s="101"/>
    </row>
    <row r="845">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c r="AA845" s="101"/>
    </row>
    <row r="846">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c r="AA846" s="101"/>
    </row>
    <row r="847">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c r="AA847" s="101"/>
    </row>
    <row r="848">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c r="AA848" s="101"/>
    </row>
    <row r="849">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c r="AA849" s="101"/>
    </row>
    <row r="850">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c r="AA850" s="101"/>
    </row>
    <row r="851">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c r="AA851" s="101"/>
    </row>
    <row r="852">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c r="AA852" s="101"/>
    </row>
    <row r="853">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c r="AA853" s="101"/>
    </row>
    <row r="854">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c r="AA854" s="101"/>
    </row>
    <row r="855">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c r="AA855" s="101"/>
    </row>
    <row r="856">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c r="AA856" s="101"/>
    </row>
    <row r="857">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c r="AA857" s="101"/>
    </row>
    <row r="858">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c r="AA858" s="101"/>
    </row>
    <row r="859">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c r="AA859" s="101"/>
    </row>
    <row r="860">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c r="AA860" s="101"/>
    </row>
    <row r="861">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c r="AA861" s="101"/>
    </row>
    <row r="862">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c r="AA862" s="101"/>
    </row>
    <row r="863">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c r="AA863" s="101"/>
    </row>
    <row r="864">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c r="AA864" s="101"/>
    </row>
    <row r="865">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c r="AA865" s="101"/>
    </row>
    <row r="866">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c r="AA866" s="101"/>
    </row>
    <row r="867">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c r="AA867" s="101"/>
    </row>
    <row r="868">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c r="AA868" s="101"/>
    </row>
    <row r="869">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c r="AA869" s="101"/>
    </row>
    <row r="870">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c r="AA870" s="101"/>
    </row>
    <row r="871">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c r="AA871" s="101"/>
    </row>
    <row r="872">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c r="AA872" s="101"/>
    </row>
    <row r="873">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c r="AA873" s="101"/>
    </row>
    <row r="874">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c r="AA874" s="101"/>
    </row>
    <row r="875">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c r="AA875" s="101"/>
    </row>
    <row r="876">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c r="AA876" s="101"/>
    </row>
    <row r="877">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c r="AA877" s="101"/>
    </row>
    <row r="878">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c r="AA878" s="101"/>
    </row>
    <row r="879">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c r="AA879" s="101"/>
    </row>
    <row r="880">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c r="AA880" s="101"/>
    </row>
    <row r="881">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c r="AA881" s="101"/>
    </row>
    <row r="882">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c r="AA882" s="101"/>
    </row>
    <row r="883">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c r="AA883" s="101"/>
    </row>
    <row r="884">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c r="AA884" s="101"/>
    </row>
    <row r="885">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c r="AA885" s="101"/>
    </row>
    <row r="886">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c r="AA886" s="101"/>
    </row>
    <row r="887">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c r="AA887" s="101"/>
    </row>
    <row r="888">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c r="AA888" s="101"/>
    </row>
    <row r="889">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c r="AA889" s="101"/>
    </row>
    <row r="890">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c r="AA890" s="101"/>
    </row>
    <row r="891">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c r="AA891" s="101"/>
    </row>
    <row r="892">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c r="AA892" s="101"/>
    </row>
    <row r="893">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c r="AA893" s="101"/>
    </row>
    <row r="894">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c r="AA894" s="101"/>
    </row>
    <row r="895">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c r="AA895" s="101"/>
    </row>
    <row r="896">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c r="AA896" s="101"/>
    </row>
    <row r="897">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c r="AA897" s="101"/>
    </row>
    <row r="898">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c r="AA898" s="101"/>
    </row>
    <row r="899">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c r="AA899" s="101"/>
    </row>
    <row r="900">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c r="AA900" s="101"/>
    </row>
    <row r="901">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c r="AA901" s="101"/>
    </row>
    <row r="902">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c r="AA902" s="101"/>
    </row>
    <row r="903">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c r="AA903" s="101"/>
    </row>
    <row r="904">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c r="AA904" s="101"/>
    </row>
    <row r="905">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c r="AA905" s="101"/>
    </row>
    <row r="906">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c r="AA906" s="101"/>
    </row>
    <row r="907">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c r="AA907" s="101"/>
    </row>
    <row r="908">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c r="AA908" s="101"/>
    </row>
    <row r="909">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c r="AA909" s="101"/>
    </row>
    <row r="910">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c r="AA910" s="101"/>
    </row>
    <row r="911">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c r="AA911" s="101"/>
    </row>
    <row r="912">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c r="AA912" s="101"/>
    </row>
    <row r="913">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c r="AA913" s="101"/>
    </row>
    <row r="914">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c r="AA914" s="101"/>
    </row>
    <row r="915">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c r="AA915" s="101"/>
    </row>
    <row r="916">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c r="AA916" s="101"/>
    </row>
    <row r="917">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c r="AA917" s="101"/>
    </row>
    <row r="918">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c r="AA918" s="101"/>
    </row>
    <row r="919">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c r="AA919" s="101"/>
    </row>
    <row r="920">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c r="AA920" s="101"/>
    </row>
    <row r="921">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c r="AA921" s="101"/>
    </row>
    <row r="922">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c r="AA922" s="101"/>
    </row>
    <row r="923">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c r="AA923" s="101"/>
    </row>
    <row r="924">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c r="AA924" s="101"/>
    </row>
    <row r="925">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c r="AA925" s="101"/>
    </row>
    <row r="926">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c r="AA926" s="101"/>
    </row>
    <row r="927">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c r="AA927" s="101"/>
    </row>
    <row r="928">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c r="AA928" s="101"/>
    </row>
    <row r="929">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c r="AA929" s="101"/>
    </row>
    <row r="930">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c r="AA930" s="101"/>
    </row>
    <row r="931">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c r="AA931" s="101"/>
    </row>
    <row r="932">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c r="AA932" s="101"/>
    </row>
    <row r="933">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c r="AA933" s="101"/>
    </row>
    <row r="934">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c r="AA934" s="101"/>
    </row>
    <row r="935">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c r="AA935" s="101"/>
    </row>
    <row r="936">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c r="AA936" s="101"/>
    </row>
    <row r="937">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c r="AA937" s="101"/>
    </row>
    <row r="938">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c r="AA938" s="101"/>
    </row>
    <row r="939">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c r="AA939" s="101"/>
    </row>
    <row r="940">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c r="AA940" s="101"/>
    </row>
    <row r="941">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c r="AA941" s="101"/>
    </row>
    <row r="942">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c r="AA942" s="101"/>
    </row>
    <row r="943">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c r="AA943" s="101"/>
    </row>
    <row r="944">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c r="AA944" s="101"/>
    </row>
    <row r="945">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c r="AA945" s="101"/>
    </row>
    <row r="946">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c r="AA946" s="101"/>
    </row>
    <row r="947">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c r="AA947" s="101"/>
    </row>
    <row r="948">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c r="AA948" s="101"/>
    </row>
    <row r="949">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c r="AA949" s="101"/>
    </row>
    <row r="950">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c r="AA950" s="101"/>
    </row>
    <row r="951">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c r="AA951" s="101"/>
    </row>
    <row r="952">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c r="AA952" s="101"/>
    </row>
    <row r="953">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c r="AA953" s="101"/>
    </row>
    <row r="954">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c r="AA954" s="101"/>
    </row>
    <row r="955">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c r="AA955" s="101"/>
    </row>
    <row r="956">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c r="AA956" s="101"/>
    </row>
    <row r="957">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c r="AA957" s="101"/>
    </row>
    <row r="958">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c r="AA958" s="101"/>
    </row>
    <row r="959">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c r="AA959" s="101"/>
    </row>
    <row r="960">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c r="AA960" s="101"/>
    </row>
    <row r="961">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c r="AA961" s="101"/>
    </row>
    <row r="962">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c r="AA962" s="101"/>
    </row>
    <row r="963">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c r="AA963" s="101"/>
    </row>
    <row r="964">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c r="AA964" s="101"/>
    </row>
    <row r="965">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c r="AA965" s="101"/>
    </row>
    <row r="966">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c r="AA966" s="101"/>
    </row>
    <row r="967">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c r="AA967" s="101"/>
    </row>
    <row r="968">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c r="AA968" s="101"/>
    </row>
    <row r="969">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c r="AA969" s="101"/>
    </row>
    <row r="970">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c r="AA970" s="101"/>
    </row>
    <row r="971">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c r="AA971" s="101"/>
    </row>
    <row r="972">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c r="AA972" s="101"/>
    </row>
    <row r="973">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c r="AA973" s="101"/>
    </row>
    <row r="974">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c r="AA974" s="101"/>
    </row>
    <row r="975">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c r="AA975" s="101"/>
    </row>
    <row r="976">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c r="AA976" s="101"/>
    </row>
    <row r="977">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c r="AA977" s="101"/>
    </row>
    <row r="978">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c r="AA978" s="101"/>
    </row>
    <row r="979">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c r="AA979" s="101"/>
    </row>
    <row r="980">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c r="AA980" s="101"/>
    </row>
    <row r="981">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c r="AA981" s="101"/>
    </row>
    <row r="982">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c r="AA982" s="101"/>
    </row>
    <row r="983">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c r="AA983" s="101"/>
    </row>
    <row r="984">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c r="AA984" s="101"/>
    </row>
    <row r="985">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c r="AA985" s="101"/>
    </row>
    <row r="986">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c r="AA986" s="101"/>
    </row>
    <row r="987">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c r="AA987" s="101"/>
    </row>
    <row r="988">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c r="AA988" s="101"/>
    </row>
    <row r="989">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c r="AA989" s="101"/>
    </row>
    <row r="990">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c r="AA990" s="101"/>
    </row>
    <row r="991">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c r="AA991" s="101"/>
    </row>
    <row r="992">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c r="AA992" s="101"/>
    </row>
    <row r="993">
      <c r="A993" s="101"/>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c r="AA993" s="101"/>
    </row>
    <row r="994">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c r="AA994" s="101"/>
    </row>
    <row r="995">
      <c r="A995" s="101"/>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c r="AA995" s="101"/>
    </row>
    <row r="996">
      <c r="A996" s="101"/>
      <c r="B996" s="101"/>
      <c r="C996" s="101"/>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c r="AA996" s="101"/>
    </row>
    <row r="997">
      <c r="A997" s="101"/>
      <c r="B997" s="101"/>
      <c r="C997" s="101"/>
      <c r="D997" s="101"/>
      <c r="E997" s="101"/>
      <c r="F997" s="101"/>
      <c r="G997" s="101"/>
      <c r="H997" s="101"/>
      <c r="I997" s="101"/>
      <c r="J997" s="101"/>
      <c r="K997" s="101"/>
      <c r="L997" s="101"/>
      <c r="M997" s="101"/>
      <c r="N997" s="101"/>
      <c r="O997" s="101"/>
      <c r="P997" s="101"/>
      <c r="Q997" s="101"/>
      <c r="R997" s="101"/>
      <c r="S997" s="101"/>
      <c r="T997" s="101"/>
      <c r="U997" s="101"/>
      <c r="V997" s="101"/>
      <c r="W997" s="101"/>
      <c r="X997" s="101"/>
      <c r="Y997" s="101"/>
      <c r="Z997" s="101"/>
      <c r="AA997" s="101"/>
    </row>
    <row r="998">
      <c r="A998" s="101"/>
      <c r="B998" s="101"/>
      <c r="C998" s="101"/>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c r="AA998" s="101"/>
    </row>
    <row r="999">
      <c r="A999" s="101"/>
      <c r="B999" s="101"/>
      <c r="C999" s="101"/>
      <c r="D999" s="101"/>
      <c r="E999" s="101"/>
      <c r="F999" s="101"/>
      <c r="G999" s="101"/>
      <c r="H999" s="101"/>
      <c r="I999" s="101"/>
      <c r="J999" s="101"/>
      <c r="K999" s="101"/>
      <c r="L999" s="101"/>
      <c r="M999" s="101"/>
      <c r="N999" s="101"/>
      <c r="O999" s="101"/>
      <c r="P999" s="101"/>
      <c r="Q999" s="101"/>
      <c r="R999" s="101"/>
      <c r="S999" s="101"/>
      <c r="T999" s="101"/>
      <c r="U999" s="101"/>
      <c r="V999" s="101"/>
      <c r="W999" s="101"/>
      <c r="X999" s="101"/>
      <c r="Y999" s="101"/>
      <c r="Z999" s="101"/>
      <c r="AA999" s="101"/>
    </row>
    <row r="1000">
      <c r="A1000" s="101"/>
      <c r="B1000" s="101"/>
      <c r="C1000" s="101"/>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row>
  </sheetData>
  <dataValidations>
    <dataValidation type="custom" allowBlank="1" showDropDown="1" sqref="D2:D23">
      <formula1>AND(ISNUMBER(D2),(NOT(OR(NOT(ISERROR(DATEVALUE(D2))), AND(ISNUMBER(D2), LEFT(CELL("format", D2))="D")))))</formula1>
    </dataValidation>
  </dataValidations>
  <drawing r:id="rId1"/>
  <tableParts count="1">
    <tablePart r:id="rId3"/>
  </tableParts>
</worksheet>
</file>