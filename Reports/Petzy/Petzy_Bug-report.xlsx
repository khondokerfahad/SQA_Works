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Report" sheetId="1" r:id="rId5"/>
    <sheet state="visible" name="Fahad" sheetId="2" r:id="rId6"/>
    <sheet state="visible" name="Summary Report" sheetId="3" r:id="rId7"/>
    <sheet state="hidden" name="Tahsin" sheetId="4" r:id="rId8"/>
  </sheets>
  <definedNames/>
  <calcPr/>
</workbook>
</file>

<file path=xl/sharedStrings.xml><?xml version="1.0" encoding="utf-8"?>
<sst xmlns="http://schemas.openxmlformats.org/spreadsheetml/2006/main" count="1293" uniqueCount="603">
  <si>
    <t xml:space="preserve">Tester : </t>
  </si>
  <si>
    <t>Mohammed Fahad Faisal</t>
  </si>
  <si>
    <t>Severity</t>
  </si>
  <si>
    <t>Issues</t>
  </si>
  <si>
    <t>Project Name:</t>
  </si>
  <si>
    <t>High</t>
  </si>
  <si>
    <t>Project URL:</t>
  </si>
  <si>
    <t>Medium</t>
  </si>
  <si>
    <t>Developer:</t>
  </si>
  <si>
    <t>Low</t>
  </si>
  <si>
    <t xml:space="preserve">OS: </t>
  </si>
  <si>
    <t>Environment</t>
  </si>
  <si>
    <t>Total Test Cases:</t>
  </si>
  <si>
    <t>Test Case Solved :</t>
  </si>
  <si>
    <t>Test Case ID</t>
  </si>
  <si>
    <t>Module</t>
  </si>
  <si>
    <t>Sub Module</t>
  </si>
  <si>
    <t>Test Case Description</t>
  </si>
  <si>
    <t>Preconditions</t>
  </si>
  <si>
    <t>Test Steps</t>
  </si>
  <si>
    <t>Test Data</t>
  </si>
  <si>
    <t>Expected Result</t>
  </si>
  <si>
    <t>Actual Result</t>
  </si>
  <si>
    <t>Status</t>
  </si>
  <si>
    <t>Screen Shots</t>
  </si>
  <si>
    <t>Suggestion</t>
  </si>
  <si>
    <t>Feedback</t>
  </si>
  <si>
    <t>Stack</t>
  </si>
  <si>
    <t>Tester</t>
  </si>
  <si>
    <t>BR-002</t>
  </si>
  <si>
    <t>BR-003</t>
  </si>
  <si>
    <t>BR-004</t>
  </si>
  <si>
    <t>BR-005</t>
  </si>
  <si>
    <t>BR-006</t>
  </si>
  <si>
    <t>BR-007</t>
  </si>
  <si>
    <t>BR-008</t>
  </si>
  <si>
    <t>BR-009</t>
  </si>
  <si>
    <t>BR-010</t>
  </si>
  <si>
    <t>BR-011</t>
  </si>
  <si>
    <t>BR-012</t>
  </si>
  <si>
    <t>BR-013</t>
  </si>
  <si>
    <t>BR-014</t>
  </si>
  <si>
    <t>BR-015</t>
  </si>
  <si>
    <t>BR-016</t>
  </si>
  <si>
    <t>BR-017</t>
  </si>
  <si>
    <t>BR-018</t>
  </si>
  <si>
    <t>BR-019</t>
  </si>
  <si>
    <t>BR-020</t>
  </si>
  <si>
    <t>BR-021</t>
  </si>
  <si>
    <t>BR-022</t>
  </si>
  <si>
    <t>BR-023</t>
  </si>
  <si>
    <t>BR-024</t>
  </si>
  <si>
    <t>BR-025</t>
  </si>
  <si>
    <t>BR-026</t>
  </si>
  <si>
    <t>BR-027</t>
  </si>
  <si>
    <t>BR-028</t>
  </si>
  <si>
    <t>BR-029</t>
  </si>
  <si>
    <t>BR-030</t>
  </si>
  <si>
    <t>BR-031</t>
  </si>
  <si>
    <t>BR-032</t>
  </si>
  <si>
    <t>BR-033</t>
  </si>
  <si>
    <t>BR-034</t>
  </si>
  <si>
    <t>BR-035</t>
  </si>
  <si>
    <t>BR-036</t>
  </si>
  <si>
    <t>BR-037</t>
  </si>
  <si>
    <t>BR-038</t>
  </si>
  <si>
    <t>BR-039</t>
  </si>
  <si>
    <t>BR-040</t>
  </si>
  <si>
    <t>BR-041</t>
  </si>
  <si>
    <t>BR-042</t>
  </si>
  <si>
    <t>BR-043</t>
  </si>
  <si>
    <t>BR-044</t>
  </si>
  <si>
    <t>BR-045</t>
  </si>
  <si>
    <t>BR-046</t>
  </si>
  <si>
    <t>BR-047</t>
  </si>
  <si>
    <t>BR-048</t>
  </si>
  <si>
    <t>BR-049</t>
  </si>
  <si>
    <t>BR-050</t>
  </si>
  <si>
    <t>BR-051</t>
  </si>
  <si>
    <t>BR-052</t>
  </si>
  <si>
    <t>BR-053</t>
  </si>
  <si>
    <t>BR-054</t>
  </si>
  <si>
    <t>BR-055</t>
  </si>
  <si>
    <t>BR-056</t>
  </si>
  <si>
    <t>BR-057</t>
  </si>
  <si>
    <t>BR-058</t>
  </si>
  <si>
    <t>BR-059</t>
  </si>
  <si>
    <t>BR-060</t>
  </si>
  <si>
    <t>BR-061</t>
  </si>
  <si>
    <t>BR-062</t>
  </si>
  <si>
    <t>BR-063</t>
  </si>
  <si>
    <t>BR-064</t>
  </si>
  <si>
    <t>BR-065</t>
  </si>
  <si>
    <t>BR-066</t>
  </si>
  <si>
    <t>BR-067</t>
  </si>
  <si>
    <t>BR-068</t>
  </si>
  <si>
    <t>BR-069</t>
  </si>
  <si>
    <t>BR-070</t>
  </si>
  <si>
    <t>BR-071</t>
  </si>
  <si>
    <t>BR-072</t>
  </si>
  <si>
    <t>BR-073</t>
  </si>
  <si>
    <t>BR-074</t>
  </si>
  <si>
    <t>BR-075</t>
  </si>
  <si>
    <t>BR-076</t>
  </si>
  <si>
    <t>BR-077</t>
  </si>
  <si>
    <t>BR-078</t>
  </si>
  <si>
    <t>BR-079</t>
  </si>
  <si>
    <t>BR-080</t>
  </si>
  <si>
    <t>BR-081</t>
  </si>
  <si>
    <t>BR-082</t>
  </si>
  <si>
    <t>BR-083</t>
  </si>
  <si>
    <t>BR-084</t>
  </si>
  <si>
    <t>BR-085</t>
  </si>
  <si>
    <t>BR-086</t>
  </si>
  <si>
    <t>BR-087</t>
  </si>
  <si>
    <t>BR-088</t>
  </si>
  <si>
    <t>BR-089</t>
  </si>
  <si>
    <t>BR-090</t>
  </si>
  <si>
    <t>Petzy</t>
  </si>
  <si>
    <t>Softvence</t>
  </si>
  <si>
    <t>Windows 11 Pro 
Version:24H2 
OS build:26100.4946</t>
  </si>
  <si>
    <t>Environment:</t>
  </si>
  <si>
    <t>realme C63
model : RMX3939
Android Version : 15
Dimention : 
(6.59 x 3.02 x 0.30)in</t>
  </si>
  <si>
    <t>Place solve if the issue resolves 
I
V</t>
  </si>
  <si>
    <t>Mention which Stack solved the issue 
I
V</t>
  </si>
  <si>
    <t>Test ID</t>
  </si>
  <si>
    <t>BR_001</t>
  </si>
  <si>
    <t>Landing Page</t>
  </si>
  <si>
    <t>Home Screen</t>
  </si>
  <si>
    <t>Different UI design in app from figma design</t>
  </si>
  <si>
    <t>User need to download the Petzy apk file in their mobile device</t>
  </si>
  <si>
    <t>1. Open app</t>
  </si>
  <si>
    <t>N/A</t>
  </si>
  <si>
    <t>App UI should be as same as figma design</t>
  </si>
  <si>
    <t>Noticed a slightly different design in the APK.</t>
  </si>
  <si>
    <t>Fail</t>
  </si>
  <si>
    <t>001.png</t>
  </si>
  <si>
    <t>Solved</t>
  </si>
  <si>
    <t>BR_002</t>
  </si>
  <si>
    <t>Divider line misalignment issue</t>
  </si>
  <si>
    <t>002.png</t>
  </si>
  <si>
    <t>BR_003</t>
  </si>
  <si>
    <t>Noticed different option compared to Figma.</t>
  </si>
  <si>
    <t>003.png</t>
  </si>
  <si>
    <t>BR_004</t>
  </si>
  <si>
    <t>Noticed a difference in how the profile name and pet name are displayed in the app compared to Figma.</t>
  </si>
  <si>
    <t>004.png</t>
  </si>
  <si>
    <t>BR_005</t>
  </si>
  <si>
    <t>User profile and pet profile failed to load</t>
  </si>
  <si>
    <t>User profile and pet profile should be visible in app</t>
  </si>
  <si>
    <t xml:space="preserve">Failed to load profile of user and pet. Authorization token missing </t>
  </si>
  <si>
    <t>005.mp4</t>
  </si>
  <si>
    <t>BR_006</t>
  </si>
  <si>
    <t>Login Screen</t>
  </si>
  <si>
    <t>The placeholder value is set as a number, not in a specific format.</t>
  </si>
  <si>
    <t>1. Open app
2. Click on Login Button</t>
  </si>
  <si>
    <t>Placeholder value should be set as format, not as actual number</t>
  </si>
  <si>
    <t>Actual phone number is set as placeholder value</t>
  </si>
  <si>
    <t>006.png</t>
  </si>
  <si>
    <t>BR_007</t>
  </si>
  <si>
    <t>Signup Screen</t>
  </si>
  <si>
    <t>Required field are not mentioned in signup page</t>
  </si>
  <si>
    <t xml:space="preserve">1. Open app
2. Click on Login Button
3. Click on signup </t>
  </si>
  <si>
    <t>Required fields should be mentioned in input title</t>
  </si>
  <si>
    <t>Not mentioned any required fields</t>
  </si>
  <si>
    <t>007.png</t>
  </si>
  <si>
    <t>BR_008</t>
  </si>
  <si>
    <t xml:space="preserve">No limit set for input </t>
  </si>
  <si>
    <t>Input field limit should be fixed . it should be 3-15 digit</t>
  </si>
  <si>
    <t>There’s no limit set for the phone number input.</t>
  </si>
  <si>
    <t>008.png</t>
  </si>
  <si>
    <t>BR_009</t>
  </si>
  <si>
    <t>Naver &amp; kakao login gateway is not implemented</t>
  </si>
  <si>
    <t xml:space="preserve">All 3 payment login should be implemented </t>
  </si>
  <si>
    <t>Only google login gateway is functional</t>
  </si>
  <si>
    <t>009.png</t>
  </si>
  <si>
    <t>waiting for backend</t>
  </si>
  <si>
    <t>BR_010</t>
  </si>
  <si>
    <t>Overlapped issue in login page</t>
  </si>
  <si>
    <t>No overlapped issue should be visible in app</t>
  </si>
  <si>
    <t>Faced overlapped issue in login paeg with keyboard</t>
  </si>
  <si>
    <t>010.png</t>
  </si>
  <si>
    <t>BR_011</t>
  </si>
  <si>
    <t>OTP</t>
  </si>
  <si>
    <t>Page flow broken.Failed to load OTP page</t>
  </si>
  <si>
    <t>1. Open app
2. Click on Login Button
3. Input number and click login</t>
  </si>
  <si>
    <t>Page flow should be accurate</t>
  </si>
  <si>
    <t>OTP page missing in phone login section</t>
  </si>
  <si>
    <t>011.mp4</t>
  </si>
  <si>
    <t>BR_012</t>
  </si>
  <si>
    <t>same operation in different method</t>
  </si>
  <si>
    <t>1. Open app
2. Login using Valid Credential</t>
  </si>
  <si>
    <t>User Credential</t>
  </si>
  <si>
    <t>Operation method should be one way</t>
  </si>
  <si>
    <t>Multiple method for one operation</t>
  </si>
  <si>
    <t>012.png</t>
  </si>
  <si>
    <t>BR_013</t>
  </si>
  <si>
    <t>Different UI for Home button</t>
  </si>
  <si>
    <t>Noticed a slightly different design for Home button in the APK.</t>
  </si>
  <si>
    <t>013.png</t>
  </si>
  <si>
    <t>BR_014</t>
  </si>
  <si>
    <t>Menu</t>
  </si>
  <si>
    <t>Same icon used for different feature</t>
  </si>
  <si>
    <t>1. Open app
2. Login using Valid Credential
3. Click on menu</t>
  </si>
  <si>
    <t>Icon should be different for each feature</t>
  </si>
  <si>
    <t>same icon used for different feature</t>
  </si>
  <si>
    <t>014.png</t>
  </si>
  <si>
    <t>BR_015</t>
  </si>
  <si>
    <t>Notification icon is missing in quick access</t>
  </si>
  <si>
    <t>Design and features should be positioned accurately.</t>
  </si>
  <si>
    <t>Notification feature is missing in the quick access</t>
  </si>
  <si>
    <t>015.png</t>
  </si>
  <si>
    <t>Need Remove From Figma</t>
  </si>
  <si>
    <t>BR_016</t>
  </si>
  <si>
    <t>missing icons of top hotel catagories</t>
  </si>
  <si>
    <t>Icons should be placed accurately in the app</t>
  </si>
  <si>
    <t xml:space="preserve">Missing top hotel catagory icon </t>
  </si>
  <si>
    <t>016.png</t>
  </si>
  <si>
    <t>BR_017</t>
  </si>
  <si>
    <t>Top package category missing</t>
  </si>
  <si>
    <t>The package list needs to be shown accurately.</t>
  </si>
  <si>
    <t>Missing top package catagory is app</t>
  </si>
  <si>
    <t>017.png</t>
  </si>
  <si>
    <t>BR_018</t>
  </si>
  <si>
    <t>Server error in pet wash</t>
  </si>
  <si>
    <t>1. Open app
2. Login using Valid Credential
3. Click on menu
4. Click on Pet wash</t>
  </si>
  <si>
    <t>Should not display server error  in app on client side</t>
  </si>
  <si>
    <t>Shows server error in app</t>
  </si>
  <si>
    <t>018.png</t>
  </si>
  <si>
    <t>BR_019</t>
  </si>
  <si>
    <t>Server error in pet grooming</t>
  </si>
  <si>
    <t>1. Open app
2. Login using Valid Credential
3. Click on menu
4. Click on Pet grooming</t>
  </si>
  <si>
    <t>019.png</t>
  </si>
  <si>
    <t>BR_020</t>
  </si>
  <si>
    <t>Server error in nail cutting</t>
  </si>
  <si>
    <t>1. Open app
2. Login using Valid Credential
3. Click on menu
4. Click on Nail Cutting</t>
  </si>
  <si>
    <t>020.png</t>
  </si>
  <si>
    <t>BR_021</t>
  </si>
  <si>
    <t>Server error in teeth cleaning section</t>
  </si>
  <si>
    <t>1. Open app
2. Login using Valid Credential
3. Click on menu
4. Click on Teeth Cleaning</t>
  </si>
  <si>
    <t>021.png</t>
  </si>
  <si>
    <t>BR_022</t>
  </si>
  <si>
    <t>Server error in paw cleaning</t>
  </si>
  <si>
    <t>1. Open app
2. Login using Valid Credential
3. Click on menu
4. Click on Paw Cleaning</t>
  </si>
  <si>
    <t>022.png</t>
  </si>
  <si>
    <t>BR_023</t>
  </si>
  <si>
    <t>My Cart</t>
  </si>
  <si>
    <t>The cart page failed to display the correct message.</t>
  </si>
  <si>
    <t>1. Open app
2. Login using Valid Credential
3. Click on menu
4. Select My cart</t>
  </si>
  <si>
    <t>The page should display correctly even when the cart is empty.</t>
  </si>
  <si>
    <t>Showing incorrect message when the cart is empty</t>
  </si>
  <si>
    <t>023.png</t>
  </si>
  <si>
    <t>BR_024</t>
  </si>
  <si>
    <t>Notification</t>
  </si>
  <si>
    <t>JWT Expire message shown instead of notification</t>
  </si>
  <si>
    <t>1. Open app
2. Login using Valid Credential
3. Click on menu
4. Click on Notification</t>
  </si>
  <si>
    <t>The app’s notifications should be displayed correctly.</t>
  </si>
  <si>
    <t>Unable to display the correct notification.</t>
  </si>
  <si>
    <t>024.png</t>
  </si>
  <si>
    <t>BR_025</t>
  </si>
  <si>
    <t>Story</t>
  </si>
  <si>
    <t>Failed to show others/friends story</t>
  </si>
  <si>
    <t>1. Open app
2. Login using Valid Credential
3. Click on Friends Story</t>
  </si>
  <si>
    <t>Story should be displayed properly</t>
  </si>
  <si>
    <t>Failed to display story of others</t>
  </si>
  <si>
    <t>025.mp4</t>
  </si>
  <si>
    <t>BR_026</t>
  </si>
  <si>
    <t>Location picker is not integrated</t>
  </si>
  <si>
    <t>Location picker should be integrated in the location input field</t>
  </si>
  <si>
    <t>Manual location input has been noticed</t>
  </si>
  <si>
    <t>026.png</t>
  </si>
  <si>
    <t>BR_027</t>
  </si>
  <si>
    <t>Can share images as stories, but sharing live videos in stories isn’t available.</t>
  </si>
  <si>
    <t>User should be able to share live capture image and video as story</t>
  </si>
  <si>
    <t>Only live capture image is shareble in story but video is not</t>
  </si>
  <si>
    <t>027.png</t>
  </si>
  <si>
    <t>BR_028</t>
  </si>
  <si>
    <t>unable to upload story</t>
  </si>
  <si>
    <t>1. Open app
2. Login using Valid Credential
3. Click on Story</t>
  </si>
  <si>
    <t>The story should upload smoothly without any errors.</t>
  </si>
  <si>
    <t>Failed to upload story. JWT token expires</t>
  </si>
  <si>
    <t>028.png</t>
  </si>
  <si>
    <t>BR_029</t>
  </si>
  <si>
    <t>Shorts</t>
  </si>
  <si>
    <t>Like</t>
  </si>
  <si>
    <t>JWT token expire on like button</t>
  </si>
  <si>
    <t>1. Open app
2. Login using Valid Credential
3. Click on Shorts</t>
  </si>
  <si>
    <t>User should be able to like shorts video</t>
  </si>
  <si>
    <t>Failed to store like on shorts , JWT token expires</t>
  </si>
  <si>
    <t>029.png</t>
  </si>
  <si>
    <t>BR_030</t>
  </si>
  <si>
    <t>Upload</t>
  </si>
  <si>
    <t>JWT token expire. Unable to upload shorts video</t>
  </si>
  <si>
    <t>User should be able to upload shorts video without facing any issues</t>
  </si>
  <si>
    <t>Failed to upload shorts , JWT token expires</t>
  </si>
  <si>
    <t>030.png</t>
  </si>
  <si>
    <t>BR_031</t>
  </si>
  <si>
    <t>Different UI implemented than figma</t>
  </si>
  <si>
    <t>1. Open app
2. Login using Valid Credential
3. Click on Notification</t>
  </si>
  <si>
    <t>Different design noticed in apk</t>
  </si>
  <si>
    <t>031.png</t>
  </si>
  <si>
    <t>BR_032</t>
  </si>
  <si>
    <t>032.png</t>
  </si>
  <si>
    <t>BR_033</t>
  </si>
  <si>
    <t>QR</t>
  </si>
  <si>
    <t>Failed to scan QR code from image</t>
  </si>
  <si>
    <t>1. Open app
2. Login using valid credential
3. Click on QR</t>
  </si>
  <si>
    <t>Should be able to scan qt data properly</t>
  </si>
  <si>
    <t>Failed to scan qr data from image</t>
  </si>
  <si>
    <t>033.mp4</t>
  </si>
  <si>
    <t>BR_034</t>
  </si>
  <si>
    <t>Gesture overlay issue</t>
  </si>
  <si>
    <t>1. Open app
2. Login using valid credential</t>
  </si>
  <si>
    <t>Phone UI gesture overlay with App UI</t>
  </si>
  <si>
    <t>UI should not overlapped with phone UI</t>
  </si>
  <si>
    <t>034.png</t>
  </si>
  <si>
    <t>BR_035</t>
  </si>
  <si>
    <t>AI Chatbot missing in home screen</t>
  </si>
  <si>
    <t>AI chatbot should be present in home screen as per as client requirement</t>
  </si>
  <si>
    <t>Missing AI chatbot in home screen</t>
  </si>
  <si>
    <t>035.png</t>
  </si>
  <si>
    <t>Client will be implement later</t>
  </si>
  <si>
    <t>BR_036</t>
  </si>
  <si>
    <t>Comment</t>
  </si>
  <si>
    <t>Reply on comment is not integrated</t>
  </si>
  <si>
    <t>1. Open app
2. Login using valid credential
3. Click on shorts
4. Click on comment</t>
  </si>
  <si>
    <t>User should be able to reply on comment in short section</t>
  </si>
  <si>
    <t>Failed to reply on comment and like comment</t>
  </si>
  <si>
    <t>036.png</t>
  </si>
  <si>
    <t>BR_037</t>
  </si>
  <si>
    <t>Booking</t>
  </si>
  <si>
    <t>UI different from figma</t>
  </si>
  <si>
    <t>1. Open app
2. Login using valid credential
3. Click on booking in bottom option</t>
  </si>
  <si>
    <t>037.png</t>
  </si>
  <si>
    <t>Please check Update Apk</t>
  </si>
  <si>
    <t>BR_038</t>
  </si>
  <si>
    <t>Booking button in booking page which is not functional</t>
  </si>
  <si>
    <t>The functional button should be positioned accurately.</t>
  </si>
  <si>
    <t>Booking button placed in filter button place</t>
  </si>
  <si>
    <t>038.png</t>
  </si>
  <si>
    <t>BR_039</t>
  </si>
  <si>
    <t>Community</t>
  </si>
  <si>
    <t>Add photo section missing in community</t>
  </si>
  <si>
    <t>1. Open app
2. Login using valid credential
3. Click on Community</t>
  </si>
  <si>
    <t>The UI should match the Figma design accurately.</t>
  </si>
  <si>
    <t>Add photo button missing in community section</t>
  </si>
  <si>
    <t>039.png</t>
  </si>
  <si>
    <t>BR_040</t>
  </si>
  <si>
    <t>Failed to display pet name in community post</t>
  </si>
  <si>
    <t>User and pet name should be displayed as per as client requirement</t>
  </si>
  <si>
    <t>Failed to display pet name with user name in community post</t>
  </si>
  <si>
    <t>040.png</t>
  </si>
  <si>
    <t>BR_041</t>
  </si>
  <si>
    <t>Options like Report, Don’t Recommend, and similar features found on Facebook are missing.</t>
  </si>
  <si>
    <t>Should be implement as per as client requirement</t>
  </si>
  <si>
    <t>Missing feature</t>
  </si>
  <si>
    <t>041.png</t>
  </si>
  <si>
    <t>BR_042</t>
  </si>
  <si>
    <t>1. Open app
2. Login using valid credential
3. Click on Community
4. Click on post</t>
  </si>
  <si>
    <t>042.png</t>
  </si>
  <si>
    <t xml:space="preserve">Figma will update </t>
  </si>
  <si>
    <t>BR_043</t>
  </si>
  <si>
    <t>Share post button placement issue</t>
  </si>
  <si>
    <t>043.png</t>
  </si>
  <si>
    <t>BR_044</t>
  </si>
  <si>
    <t>The UI looks different from the Figma design.</t>
  </si>
  <si>
    <t>044.png</t>
  </si>
  <si>
    <t>BR_045</t>
  </si>
  <si>
    <t>The feature didn’t work.</t>
  </si>
  <si>
    <t>Functionality needs to be precise.</t>
  </si>
  <si>
    <t>Unable to open gif</t>
  </si>
  <si>
    <t>045.png</t>
  </si>
  <si>
    <t>Rmoved this feature</t>
  </si>
  <si>
    <t>BR_046</t>
  </si>
  <si>
    <t>Encountered a request timeout</t>
  </si>
  <si>
    <t>1. Open app
2. Login using valid credential
3. Click on Home</t>
  </si>
  <si>
    <t>User should be able to use the app without encountering request time out</t>
  </si>
  <si>
    <t>Faced request timeout in home screen</t>
  </si>
  <si>
    <t>046.png</t>
  </si>
  <si>
    <t>BR_047</t>
  </si>
  <si>
    <t>Profile</t>
  </si>
  <si>
    <t>took more than 10 minutes to display updated profile picture</t>
  </si>
  <si>
    <t>1. Open app
2. Login using valid credential
3. Goto Profile section</t>
  </si>
  <si>
    <t>The updated profile picture should be displayed seamlessly.</t>
  </si>
  <si>
    <t>Took more than waiting time to load and display the updated profile picture</t>
  </si>
  <si>
    <t>047.png</t>
  </si>
  <si>
    <t>BR_048</t>
  </si>
  <si>
    <t>Unable to display updated profile picture</t>
  </si>
  <si>
    <t>The updated profile picture should load quickly and appear seamlessly.</t>
  </si>
  <si>
    <t>Failed to display updated profile picture</t>
  </si>
  <si>
    <t>048.png</t>
  </si>
  <si>
    <t>BR_049</t>
  </si>
  <si>
    <t>Location</t>
  </si>
  <si>
    <t>Selected 2nd one but 1st one also shown as selected</t>
  </si>
  <si>
    <t>Only one location should be selected</t>
  </si>
  <si>
    <t>Shown multiple location selected but only one location is selected</t>
  </si>
  <si>
    <t>049.png</t>
  </si>
  <si>
    <t>BR_050</t>
  </si>
  <si>
    <t>Recent post is not displayed at top</t>
  </si>
  <si>
    <t>Recent post should be displayed at top of home screen</t>
  </si>
  <si>
    <t>The top post was published an hour ago, and the second post was shared recently.</t>
  </si>
  <si>
    <t>050.mp4</t>
  </si>
  <si>
    <t>BR_051</t>
  </si>
  <si>
    <t>Post</t>
  </si>
  <si>
    <t>1. Open app
2. Login using valid credential
3. Click on Home
4. Click on post</t>
  </si>
  <si>
    <t>051.png</t>
  </si>
  <si>
    <t>BR_052</t>
  </si>
  <si>
    <t>Unable to see who like the post</t>
  </si>
  <si>
    <t>User should be able to see who liked the post</t>
  </si>
  <si>
    <t>Unable to see who liked the post</t>
  </si>
  <si>
    <t>052.png</t>
  </si>
  <si>
    <t>BR_053</t>
  </si>
  <si>
    <t>Positioned in a different place; it should be on the right side.</t>
  </si>
  <si>
    <t>053.png</t>
  </si>
  <si>
    <t>BR_054</t>
  </si>
  <si>
    <t>Replies should expand when clicked</t>
  </si>
  <si>
    <t>Replies should start collapsed and expand when clicked.</t>
  </si>
  <si>
    <t>Replies are expanded all the time. Static page</t>
  </si>
  <si>
    <t>054.png</t>
  </si>
  <si>
    <t>BR_055</t>
  </si>
  <si>
    <t>Failed to upload story. Request timeout</t>
  </si>
  <si>
    <t>1. Open app
2. Login using valid credential
3. Click on Story</t>
  </si>
  <si>
    <t>User should be able to upload story without any issue</t>
  </si>
  <si>
    <t>Failed to upload story</t>
  </si>
  <si>
    <t>055.mp4</t>
  </si>
  <si>
    <t>BR_056</t>
  </si>
  <si>
    <t>After upload story, page doesn't redirect to home</t>
  </si>
  <si>
    <t>After successful story upload, it should redirect to home page</t>
  </si>
  <si>
    <t>Stays in create story page after uploading a story</t>
  </si>
  <si>
    <t>056.mp4</t>
  </si>
  <si>
    <t>BR_057</t>
  </si>
  <si>
    <t>Failed to view story</t>
  </si>
  <si>
    <t>User should be able to see story without any issue</t>
  </si>
  <si>
    <t>Failed to display uploaded story</t>
  </si>
  <si>
    <t>057.mp4</t>
  </si>
  <si>
    <t>BR_058</t>
  </si>
  <si>
    <t>My Profile</t>
  </si>
  <si>
    <t>Friend request option missing</t>
  </si>
  <si>
    <t>App UI and module should be as same as figma design</t>
  </si>
  <si>
    <t>Module missing in app</t>
  </si>
  <si>
    <t>058.png</t>
  </si>
  <si>
    <t>BR_059</t>
  </si>
  <si>
    <t>Change cover photo option missing</t>
  </si>
  <si>
    <t>1. Open app
2. Login using valid credential
3. Goto my profile</t>
  </si>
  <si>
    <t>Features should be placed accurately according to the Figma design.</t>
  </si>
  <si>
    <t>Feature missing in app</t>
  </si>
  <si>
    <t>059.png</t>
  </si>
  <si>
    <t>BR_060</t>
  </si>
  <si>
    <t>Add a pet option cut on side and it is scrollable which should be fit to window</t>
  </si>
  <si>
    <t>It should be static and fit to window</t>
  </si>
  <si>
    <t>Feature scrollable and cut on one side</t>
  </si>
  <si>
    <t>060.png</t>
  </si>
  <si>
    <t>BR_061</t>
  </si>
  <si>
    <t>Missing post option in profile</t>
  </si>
  <si>
    <t>061.png</t>
  </si>
  <si>
    <t>BR_062</t>
  </si>
  <si>
    <t>JWT token expire on my profile</t>
  </si>
  <si>
    <t>The user should be able to view their profile without any problems.</t>
  </si>
  <si>
    <t>JWT token expire in profile</t>
  </si>
  <si>
    <t>062.png</t>
  </si>
  <si>
    <t>BR_063</t>
  </si>
  <si>
    <t>Messages</t>
  </si>
  <si>
    <t>JWT token expired in message</t>
  </si>
  <si>
    <t>1. Open app
2. Login using valid credential
3. Click on Messages</t>
  </si>
  <si>
    <t>Message should display to the user properly</t>
  </si>
  <si>
    <t>Failed to open message. JWT token expire</t>
  </si>
  <si>
    <t>063.png</t>
  </si>
  <si>
    <t>BR_064</t>
  </si>
  <si>
    <t>No latest conversation found but title remains</t>
  </si>
  <si>
    <t>If the content is visible, the title should appear.</t>
  </si>
  <si>
    <t>No content available but title is displayed</t>
  </si>
  <si>
    <t>064.png</t>
  </si>
  <si>
    <t>BR_065</t>
  </si>
  <si>
    <t>The channel join button didn’t update after joining.</t>
  </si>
  <si>
    <t>The Join button should change to Joined when a user joins a channel.</t>
  </si>
  <si>
    <t>The join button still shows as "Join" even after the user has joined the channel.</t>
  </si>
  <si>
    <t>065.png</t>
  </si>
  <si>
    <t>BR_066</t>
  </si>
  <si>
    <t>Back button is not integrated in message page</t>
  </si>
  <si>
    <t>The back button should be visible on every page.</t>
  </si>
  <si>
    <t>No back button is visible in message page</t>
  </si>
  <si>
    <t>066.mp4</t>
  </si>
  <si>
    <t>BR_067</t>
  </si>
  <si>
    <t>Button not functional</t>
  </si>
  <si>
    <t>The create group button should be functional.</t>
  </si>
  <si>
    <t>Button is not functional</t>
  </si>
  <si>
    <t>067.png</t>
  </si>
  <si>
    <t>BR_068</t>
  </si>
  <si>
    <t>Add Pet</t>
  </si>
  <si>
    <t>Icon different from figma</t>
  </si>
  <si>
    <t>1. Open app
2. Login using valid credential
3. Goto my profile
4. Click on Add Pet</t>
  </si>
  <si>
    <t>Design and icon should be as same as figma</t>
  </si>
  <si>
    <t>Differen icon noticed</t>
  </si>
  <si>
    <t>068.png</t>
  </si>
  <si>
    <t>BR_069</t>
  </si>
  <si>
    <t>weight icon is missing in app</t>
  </si>
  <si>
    <t>069.png</t>
  </si>
  <si>
    <t>BR_070</t>
  </si>
  <si>
    <t>Different icon used in app</t>
  </si>
  <si>
    <t>070.png</t>
  </si>
  <si>
    <t>BR_071</t>
  </si>
  <si>
    <t>Failed to add pet</t>
  </si>
  <si>
    <t>User should be able to add pet in their profile</t>
  </si>
  <si>
    <t>071.png</t>
  </si>
  <si>
    <t>BR_072</t>
  </si>
  <si>
    <t>Alignment issue in post</t>
  </si>
  <si>
    <t>Design and alignment should be as same as figma</t>
  </si>
  <si>
    <t>072.png</t>
  </si>
  <si>
    <t>BR_073</t>
  </si>
  <si>
    <t>Tag's should be clickable</t>
  </si>
  <si>
    <t>Tags should be clickable and able to filter posts based on the keyword.</t>
  </si>
  <si>
    <t>Tags are normal text</t>
  </si>
  <si>
    <t>073.png</t>
  </si>
  <si>
    <t>BR_074</t>
  </si>
  <si>
    <t>Uploaded a different image, but this one was displayed instead.</t>
  </si>
  <si>
    <t>Users should be able to update their preferred picture as a story.</t>
  </si>
  <si>
    <t>The default image is showing as the story instead of the one selected.</t>
  </si>
  <si>
    <t>074.png</t>
  </si>
  <si>
    <t>BR_075</t>
  </si>
  <si>
    <t>The post is available, but the user profile couldn’t be found.</t>
  </si>
  <si>
    <t>A user's profile should be visible once their post is published.</t>
  </si>
  <si>
    <t>Post found, but the user profile is missing.</t>
  </si>
  <si>
    <t>075.mp4</t>
  </si>
  <si>
    <t>BR_076</t>
  </si>
  <si>
    <t>Unable to upload the post</t>
  </si>
  <si>
    <t>The user should be able to upload a post without any issues.</t>
  </si>
  <si>
    <t>Post upload failed</t>
  </si>
  <si>
    <t>076.png</t>
  </si>
  <si>
    <t>BR_077</t>
  </si>
  <si>
    <t>Different landing page than in Figma</t>
  </si>
  <si>
    <t>077.png</t>
  </si>
  <si>
    <t>BR_078</t>
  </si>
  <si>
    <t>The story countdown timer logic hasn’t been implemented yet.</t>
  </si>
  <si>
    <t>The story will be visible 24 hours after uploading.</t>
  </si>
  <si>
    <t>The story expiration timer logic has not been implemented.</t>
  </si>
  <si>
    <t>078.png</t>
  </si>
  <si>
    <t>BR_079</t>
  </si>
  <si>
    <t>Group</t>
  </si>
  <si>
    <t>Encountering an error while trying to create a group.</t>
  </si>
  <si>
    <t>1. Open app
2. Login using valid credential
3. Click on Messages
4. Click on group</t>
  </si>
  <si>
    <t>User should be able to create group without facing any issue</t>
  </si>
  <si>
    <t>Failed to create group</t>
  </si>
  <si>
    <t>079.png</t>
  </si>
  <si>
    <t>BR_080</t>
  </si>
  <si>
    <t>The cancel button isn’t working properly.</t>
  </si>
  <si>
    <t>The cancel button needs to work properly.</t>
  </si>
  <si>
    <t>The cancel button functionality failed.</t>
  </si>
  <si>
    <t>080.png</t>
  </si>
  <si>
    <t>BR_081</t>
  </si>
  <si>
    <t>Wasn’t able to create the community.</t>
  </si>
  <si>
    <t>1. Open app
2. Login using valid credential
3. Click on Messages
4. Click on Community</t>
  </si>
  <si>
    <t>User should be able to create community without facing any issue</t>
  </si>
  <si>
    <t>Failed to create community</t>
  </si>
  <si>
    <t>081.png</t>
  </si>
  <si>
    <t>BR_082</t>
  </si>
  <si>
    <t>1. Open app
2. Login using valid credential
3. Click on Messages
4. Click on community</t>
  </si>
  <si>
    <t>082.png</t>
  </si>
  <si>
    <t>BR_083</t>
  </si>
  <si>
    <t>The back button closes the app immediately without prompting the user to confirm if they want to exit.</t>
  </si>
  <si>
    <t>Pressing the back button will take the user to the home page, and pressing it again will bring up a prompt asking if the client wants to quit the app.</t>
  </si>
  <si>
    <t>App closes directly from the page</t>
  </si>
  <si>
    <t>083.mp4</t>
  </si>
  <si>
    <t>BR_084</t>
  </si>
  <si>
    <t>The displayed video and the actual video are not the same.</t>
  </si>
  <si>
    <t>1. Open app
2. Login using valid credential
3. Click on shorts</t>
  </si>
  <si>
    <t>The thumbnail video and the actual video should be the same.</t>
  </si>
  <si>
    <t>The video and thumbnail should be the same.</t>
  </si>
  <si>
    <t>084.mp4</t>
  </si>
  <si>
    <t>BR_085</t>
  </si>
  <si>
    <t>Pet Hotel</t>
  </si>
  <si>
    <t>The booking icon is missing in the pet hotel.</t>
  </si>
  <si>
    <t>1. Open app
2. Login using valid credential
3. Click on Menu
4. Select Pet Hotel</t>
  </si>
  <si>
    <t>The icon and design should match exactly as they appear in Figma.</t>
  </si>
  <si>
    <t>A difference between the app and Figma has been noticed.</t>
  </si>
  <si>
    <t>085.png</t>
  </si>
  <si>
    <t>BR_086</t>
  </si>
  <si>
    <t>pension stay and apartment hotel missing</t>
  </si>
  <si>
    <t>086.png</t>
  </si>
  <si>
    <t>BR_087</t>
  </si>
  <si>
    <t>Can't add as a wishlist</t>
  </si>
  <si>
    <t>It should store the wishlist data and display it on the pet hotel page.</t>
  </si>
  <si>
    <t>Unable to store and display data in the pet hotel system.</t>
  </si>
  <si>
    <t>087.mp4</t>
  </si>
  <si>
    <t>BR_088</t>
  </si>
  <si>
    <t>Share option is not integrated in app</t>
  </si>
  <si>
    <t>1. Open app
2. Login using valid credential
3. Click on Menu
4. Select Pet Hotel
5. Select a pet hotel</t>
  </si>
  <si>
    <t>Design and featue should be as same as figma</t>
  </si>
  <si>
    <t>The share option in the app is missing, even though it’s available in Figma.</t>
  </si>
  <si>
    <t>088.png</t>
  </si>
  <si>
    <t>BR_089</t>
  </si>
  <si>
    <t>1. Open app
2. Login using valid credential
3. Click on Menu
4. Select Pet Hotel
5. Select a hotel and click on book icon</t>
  </si>
  <si>
    <t>089.png</t>
  </si>
  <si>
    <t>BR_090</t>
  </si>
  <si>
    <t>country code is not implemented</t>
  </si>
  <si>
    <t>Contry code in phone number input field should be placed perfectly</t>
  </si>
  <si>
    <t>Missing contry code in phone number input field</t>
  </si>
  <si>
    <t>090.png</t>
  </si>
  <si>
    <t>BR_091</t>
  </si>
  <si>
    <t>BR_092</t>
  </si>
  <si>
    <t>BR_093</t>
  </si>
  <si>
    <t>Bug Count</t>
  </si>
  <si>
    <t>Bug Rate %</t>
  </si>
  <si>
    <t>Bug Severity</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</si>
</sst>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color theme="1"/>
      <name val="Arial"/>
    </font>
    <font>
      <b/>
      <sz val="12.0"/>
      <color theme="1"/>
      <name val="Calibri"/>
    </font>
    <font>
      <sz val="11.0"/>
      <color theme="1"/>
      <name val="Calibri"/>
    </font>
    <font>
      <b/>
      <sz val="12.0"/>
      <color theme="1"/>
      <name val="Arial"/>
    </font>
    <font>
      <b/>
      <color rgb="FF000000"/>
      <name val="Arial"/>
      <scheme val="minor"/>
    </font>
    <font>
      <b/>
      <color theme="1"/>
      <name val="Arial"/>
    </font>
    <font>
      <color theme="1"/>
      <name val="Arial"/>
      <scheme val="minor"/>
    </font>
    <font>
      <b/>
      <sz val="11.0"/>
      <color theme="1"/>
      <name val="Calibri"/>
    </font>
    <font>
      <b/>
      <sz val="15.0"/>
      <color theme="1"/>
      <name val="Calibri"/>
    </font>
    <font>
      <sz val="15.0"/>
      <color theme="1"/>
      <name val="Arial"/>
      <scheme val="minor"/>
    </font>
    <font>
      <u/>
      <color theme="1"/>
      <name val="Arial"/>
      <scheme val="minor"/>
    </font>
    <font>
      <u/>
      <color theme="1"/>
      <name val="Arial"/>
      <scheme val="minor"/>
    </font>
    <font>
      <sz val="12.0"/>
      <color theme="1"/>
      <name val="Times New Roman"/>
    </font>
    <font>
      <color theme="1"/>
      <name val="Times New Roman"/>
    </font>
    <font>
      <color rgb="FF1E2624"/>
      <name val="Times New Roman"/>
    </font>
    <font>
      <b/>
      <sz val="13.0"/>
      <color theme="1"/>
      <name val="Times New Roman"/>
    </font>
    <font>
      <b/>
      <sz val="14.0"/>
      <color theme="1"/>
      <name val="Times New Roman"/>
    </font>
    <font>
      <sz val="13.0"/>
      <color theme="1"/>
      <name val="Arial"/>
      <scheme val="minor"/>
    </font>
    <font>
      <u/>
      <sz val="12.0"/>
      <color theme="1"/>
      <name val="Times New Roman"/>
    </font>
    <font>
      <u/>
      <sz val="12.0"/>
      <color theme="1"/>
      <name val="Times New Roman"/>
    </font>
    <font>
      <u/>
      <sz val="12.0"/>
      <color theme="1"/>
      <name val="Times New Roman"/>
    </font>
    <font>
      <u/>
      <sz val="12.0"/>
      <color theme="1"/>
      <name val="Times New Roman"/>
    </font>
    <font>
      <u/>
      <color rgb="FF1155CC"/>
      <name val="Arial"/>
    </font>
    <font>
      <b/>
      <sz val="16.0"/>
      <color theme="1"/>
      <name val="Calibri"/>
    </font>
    <font>
      <sz val="12.0"/>
      <color theme="1"/>
      <name val="Calibri"/>
    </font>
    <font>
      <u/>
      <sz val="12.0"/>
      <color rgb="FF1155CC"/>
      <name val="Calibri"/>
    </font>
  </fonts>
  <fills count="10">
    <fill>
      <patternFill patternType="none"/>
    </fill>
    <fill>
      <patternFill patternType="lightGray"/>
    </fill>
    <fill>
      <patternFill patternType="solid">
        <fgColor rgb="FFFF0000"/>
        <bgColor rgb="FFFF0000"/>
      </patternFill>
    </fill>
    <fill>
      <patternFill patternType="solid">
        <fgColor rgb="FFFFFF00"/>
        <bgColor rgb="FFFFFF00"/>
      </patternFill>
    </fill>
    <fill>
      <patternFill patternType="solid">
        <fgColor rgb="FF38761D"/>
        <bgColor rgb="FF38761D"/>
      </patternFill>
    </fill>
    <fill>
      <patternFill patternType="solid">
        <fgColor rgb="FF00FFFF"/>
        <bgColor rgb="FF00FFFF"/>
      </patternFill>
    </fill>
    <fill>
      <patternFill patternType="solid">
        <fgColor rgb="FFFFFFFF"/>
        <bgColor rgb="FFFFFFFF"/>
      </patternFill>
    </fill>
    <fill>
      <patternFill patternType="solid">
        <fgColor rgb="FFFFD966"/>
        <bgColor rgb="FFFFD966"/>
      </patternFill>
    </fill>
    <fill>
      <patternFill patternType="solid">
        <fgColor rgb="FFF1C232"/>
        <bgColor rgb="FFF1C232"/>
      </patternFill>
    </fill>
    <fill>
      <patternFill patternType="solid">
        <fgColor rgb="FF00FF00"/>
        <bgColor rgb="FF00FF00"/>
      </patternFill>
    </fill>
  </fills>
  <borders count="8">
    <border/>
    <border>
      <left style="thin">
        <color rgb="FF000000"/>
      </left>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ck">
        <color rgb="FF000000"/>
      </left>
      <top style="thick">
        <color rgb="FF000000"/>
      </top>
      <bottom style="thick">
        <color rgb="FF000000"/>
      </bottom>
    </border>
    <border>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85">
    <xf borderId="0" fillId="0" fontId="0" numFmtId="0" xfId="0" applyAlignment="1" applyFont="1">
      <alignment readingOrder="0" shrinkToFit="0" vertical="bottom" wrapText="0"/>
    </xf>
    <xf borderId="0" fillId="0" fontId="1" numFmtId="0" xfId="0" applyFont="1"/>
    <xf borderId="1" fillId="0" fontId="2" numFmtId="0" xfId="0" applyAlignment="1" applyBorder="1" applyFont="1">
      <alignment horizontal="right" shrinkToFit="0" vertical="center" wrapText="1"/>
    </xf>
    <xf borderId="1" fillId="0" fontId="3" numFmtId="0" xfId="0" applyAlignment="1" applyBorder="1" applyFont="1">
      <alignment horizontal="center" readingOrder="0" shrinkToFit="0" vertical="center" wrapText="1"/>
    </xf>
    <xf borderId="1" fillId="0" fontId="4" numFmtId="0" xfId="0" applyAlignment="1" applyBorder="1" applyFont="1">
      <alignment horizontal="center" shrinkToFit="0" wrapText="1"/>
    </xf>
    <xf borderId="0" fillId="0" fontId="5" numFmtId="0" xfId="0" applyAlignment="1" applyFont="1">
      <alignment horizontal="center" readingOrder="0" shrinkToFit="0" vertical="center" wrapText="1"/>
    </xf>
    <xf borderId="1" fillId="0" fontId="1" numFmtId="0" xfId="0" applyAlignment="1" applyBorder="1" applyFont="1">
      <alignment horizontal="center" readingOrder="0" shrinkToFit="0" vertical="center" wrapText="1"/>
    </xf>
    <xf borderId="1" fillId="2" fontId="6" numFmtId="0" xfId="0" applyAlignment="1" applyBorder="1" applyFill="1" applyFont="1">
      <alignment horizontal="center" shrinkToFit="0" vertical="center" wrapText="1"/>
    </xf>
    <xf borderId="1" fillId="0" fontId="6" numFmtId="0" xfId="0" applyAlignment="1" applyBorder="1" applyFont="1">
      <alignment horizontal="center" shrinkToFit="0" vertical="center" wrapText="1"/>
    </xf>
    <xf borderId="1" fillId="0" fontId="7" numFmtId="0" xfId="0" applyAlignment="1" applyBorder="1" applyFont="1">
      <alignment horizontal="center" readingOrder="0"/>
    </xf>
    <xf borderId="1" fillId="3" fontId="6" numFmtId="0" xfId="0" applyAlignment="1" applyBorder="1" applyFill="1" applyFont="1">
      <alignment horizontal="center" shrinkToFit="0" vertical="center" wrapText="1"/>
    </xf>
    <xf borderId="1" fillId="0" fontId="1" numFmtId="0" xfId="0" applyAlignment="1" applyBorder="1" applyFont="1">
      <alignment horizontal="center" readingOrder="0" shrinkToFit="0" vertical="center" wrapText="1"/>
    </xf>
    <xf borderId="1" fillId="4" fontId="6" numFmtId="0" xfId="0" applyAlignment="1" applyBorder="1" applyFill="1" applyFont="1">
      <alignment horizontal="center" shrinkToFit="0" vertical="center" wrapText="1"/>
    </xf>
    <xf borderId="1" fillId="0" fontId="1" numFmtId="0" xfId="0" applyBorder="1" applyFont="1"/>
    <xf borderId="0" fillId="0" fontId="6" numFmtId="0" xfId="0" applyFont="1"/>
    <xf borderId="1" fillId="0" fontId="8" numFmtId="0" xfId="0" applyAlignment="1" applyBorder="1" applyFont="1">
      <alignment horizontal="center" shrinkToFit="0" wrapText="1"/>
    </xf>
    <xf borderId="1" fillId="0" fontId="6" numFmtId="0" xfId="0" applyAlignment="1" applyBorder="1" applyFont="1">
      <alignment horizontal="center" shrinkToFit="0" wrapText="1"/>
    </xf>
    <xf borderId="2" fillId="5" fontId="9" numFmtId="0" xfId="0" applyAlignment="1" applyBorder="1" applyFill="1" applyFont="1">
      <alignment horizontal="center" shrinkToFit="0" vertical="center" wrapText="1"/>
    </xf>
    <xf borderId="2" fillId="5" fontId="9" numFmtId="0" xfId="0" applyAlignment="1" applyBorder="1" applyFont="1">
      <alignment horizontal="center" readingOrder="0" shrinkToFit="0" vertical="center" wrapText="1"/>
    </xf>
    <xf borderId="0" fillId="0" fontId="10" numFmtId="0" xfId="0" applyAlignment="1" applyFont="1">
      <alignment horizontal="center" shrinkToFit="0" vertical="center" wrapText="1"/>
    </xf>
    <xf borderId="3" fillId="0" fontId="7" numFmtId="0" xfId="0" applyAlignment="1" applyBorder="1" applyFont="1">
      <alignment horizontal="center" readingOrder="0" shrinkToFit="0" vertical="center" wrapText="1"/>
    </xf>
    <xf borderId="4" fillId="0" fontId="7" numFmtId="0" xfId="0" applyAlignment="1" applyBorder="1" applyFont="1">
      <alignment horizontal="center" shrinkToFit="0" vertical="center" wrapText="1"/>
    </xf>
    <xf borderId="4" fillId="0" fontId="11" numFmtId="0" xfId="0" applyAlignment="1" applyBorder="1" applyFont="1">
      <alignment horizontal="center" shrinkToFit="0" vertical="center" wrapText="1"/>
    </xf>
    <xf borderId="4" fillId="0" fontId="7" numFmtId="0" xfId="0" applyAlignment="1" applyBorder="1" applyFont="1">
      <alignment horizontal="center" readingOrder="0" shrinkToFit="0" vertical="center" wrapText="1"/>
    </xf>
    <xf borderId="0" fillId="0" fontId="7" numFmtId="0" xfId="0" applyAlignment="1" applyFont="1">
      <alignment horizontal="center" shrinkToFit="0" vertical="center" wrapText="1"/>
    </xf>
    <xf borderId="1" fillId="0" fontId="7" numFmtId="0" xfId="0" applyAlignment="1" applyBorder="1" applyFont="1">
      <alignment horizontal="center" readingOrder="0" shrinkToFit="0" vertical="center" wrapText="1"/>
    </xf>
    <xf borderId="1" fillId="0" fontId="7" numFmtId="0" xfId="0" applyAlignment="1" applyBorder="1" applyFont="1">
      <alignment horizontal="center" shrinkToFit="0" vertical="center" wrapText="1"/>
    </xf>
    <xf borderId="1" fillId="0" fontId="12" numFmtId="0" xfId="0" applyAlignment="1" applyBorder="1" applyFont="1">
      <alignment horizontal="center" shrinkToFit="0" vertical="center" wrapText="1"/>
    </xf>
    <xf borderId="1" fillId="0" fontId="7" numFmtId="0" xfId="0" applyBorder="1" applyFont="1"/>
    <xf borderId="1" fillId="0" fontId="13" numFmtId="0" xfId="0" applyAlignment="1" applyBorder="1" applyFont="1">
      <alignment horizontal="center" shrinkToFit="0" wrapText="1"/>
    </xf>
    <xf borderId="0" fillId="0" fontId="1" numFmtId="0" xfId="0" applyAlignment="1" applyFont="1">
      <alignment horizontal="center" shrinkToFit="0" vertical="center" wrapText="1"/>
    </xf>
    <xf borderId="1" fillId="0" fontId="14" numFmtId="0" xfId="0" applyAlignment="1" applyBorder="1" applyFont="1">
      <alignment horizontal="center" shrinkToFit="0" wrapText="1"/>
    </xf>
    <xf borderId="1" fillId="6" fontId="15" numFmtId="0" xfId="0" applyAlignment="1" applyBorder="1" applyFill="1" applyFont="1">
      <alignment horizontal="center" shrinkToFit="0" wrapText="1"/>
    </xf>
    <xf borderId="1" fillId="0" fontId="2" numFmtId="0" xfId="0" applyAlignment="1" applyBorder="1" applyFont="1">
      <alignment horizontal="right" readingOrder="0" vertical="center"/>
    </xf>
    <xf borderId="0" fillId="7" fontId="14" numFmtId="0" xfId="0" applyAlignment="1" applyFill="1" applyFont="1">
      <alignment horizontal="center" shrinkToFit="0" vertical="center" wrapText="1"/>
    </xf>
    <xf borderId="0" fillId="8" fontId="14" numFmtId="0" xfId="0" applyAlignment="1" applyFill="1" applyFont="1">
      <alignment horizontal="center" shrinkToFit="0" vertical="center" wrapText="1"/>
    </xf>
    <xf borderId="2" fillId="9" fontId="16" numFmtId="0" xfId="0" applyAlignment="1" applyBorder="1" applyFill="1" applyFont="1">
      <alignment horizontal="center" shrinkToFit="0" vertical="center" wrapText="1"/>
    </xf>
    <xf borderId="5" fillId="9" fontId="17" numFmtId="0" xfId="0" applyAlignment="1" applyBorder="1" applyFont="1">
      <alignment horizontal="center" shrinkToFit="0" vertical="center" wrapText="1"/>
    </xf>
    <xf borderId="2" fillId="9" fontId="17" numFmtId="0" xfId="0" applyAlignment="1" applyBorder="1" applyFont="1">
      <alignment horizontal="center" shrinkToFit="0" vertical="center" wrapText="1"/>
    </xf>
    <xf borderId="0" fillId="0" fontId="18" numFmtId="0" xfId="0" applyAlignment="1" applyFont="1">
      <alignment vertical="center"/>
    </xf>
    <xf borderId="4" fillId="0" fontId="13" numFmtId="0" xfId="0" applyAlignment="1" applyBorder="1" applyFont="1">
      <alignment horizontal="center" shrinkToFit="0" vertical="center" wrapText="1"/>
    </xf>
    <xf borderId="1" fillId="0" fontId="13" numFmtId="0" xfId="0" applyAlignment="1" applyBorder="1" applyFont="1">
      <alignment horizontal="center" shrinkToFit="0" vertical="center" wrapText="1"/>
    </xf>
    <xf borderId="6" fillId="0" fontId="19" numFmtId="0" xfId="0" applyAlignment="1" applyBorder="1" applyFont="1">
      <alignment horizontal="center" shrinkToFit="0" vertical="center" wrapText="1"/>
    </xf>
    <xf borderId="4" fillId="0" fontId="1" numFmtId="0" xfId="0" applyAlignment="1" applyBorder="1" applyFont="1">
      <alignment horizontal="center" shrinkToFit="0" vertical="center" wrapText="1"/>
    </xf>
    <xf borderId="4" fillId="0" fontId="1" numFmtId="0" xfId="0" applyAlignment="1" applyBorder="1" applyFont="1">
      <alignment horizontal="center" shrinkToFit="0" vertical="center" wrapText="1"/>
    </xf>
    <xf borderId="1" fillId="0" fontId="20" numFmtId="0" xfId="0" applyAlignment="1" applyBorder="1" applyFont="1">
      <alignment horizontal="center" shrinkToFit="0" vertical="center" wrapText="1"/>
    </xf>
    <xf borderId="1" fillId="0" fontId="1" numFmtId="0" xfId="0" applyAlignment="1" applyBorder="1" applyFont="1">
      <alignment horizontal="center" shrinkToFit="0" vertical="center" wrapText="1"/>
    </xf>
    <xf borderId="1" fillId="0" fontId="1" numFmtId="0" xfId="0" applyAlignment="1" applyBorder="1" applyFont="1">
      <alignment horizontal="center" shrinkToFit="0" vertical="center" wrapText="1"/>
    </xf>
    <xf borderId="1" fillId="0" fontId="13" numFmtId="0" xfId="0" applyAlignment="1" applyBorder="1" applyFont="1">
      <alignment horizontal="center" shrinkToFit="0" vertical="center" wrapText="1"/>
    </xf>
    <xf borderId="1" fillId="0" fontId="21" numFmtId="0" xfId="0" applyAlignment="1" applyBorder="1" applyFont="1">
      <alignment horizontal="center" shrinkToFit="0" vertical="center" wrapText="1"/>
    </xf>
    <xf borderId="1" fillId="0" fontId="13" numFmtId="0" xfId="0" applyAlignment="1" applyBorder="1" applyFont="1">
      <alignment horizontal="center" readingOrder="0" shrinkToFit="0" vertical="center" wrapText="1"/>
    </xf>
    <xf borderId="1" fillId="0" fontId="22" numFmtId="0" xfId="0" applyAlignment="1" applyBorder="1" applyFont="1">
      <alignment horizontal="center" readingOrder="0" shrinkToFit="0" vertical="center" wrapText="1"/>
    </xf>
    <xf borderId="0" fillId="0" fontId="13" numFmtId="0" xfId="0" applyAlignment="1" applyFont="1">
      <alignment horizontal="center" shrinkToFit="0" vertical="center" wrapText="1"/>
    </xf>
    <xf borderId="2" fillId="5" fontId="16" numFmtId="0" xfId="0" applyAlignment="1" applyBorder="1" applyFont="1">
      <alignment horizontal="center" shrinkToFit="0" vertical="center" wrapText="1"/>
    </xf>
    <xf borderId="2" fillId="5" fontId="16" numFmtId="0" xfId="0" applyAlignment="1" applyBorder="1" applyFont="1">
      <alignment horizontal="center" readingOrder="0" shrinkToFit="0" vertical="center" wrapText="1"/>
    </xf>
    <xf borderId="2" fillId="5" fontId="16" numFmtId="0" xfId="0" applyAlignment="1" applyBorder="1" applyFont="1">
      <alignment horizontal="center" shrinkToFit="0" vertical="center" wrapText="1"/>
    </xf>
    <xf borderId="0" fillId="0" fontId="1" numFmtId="0" xfId="0" applyAlignment="1" applyFont="1">
      <alignment vertical="bottom"/>
    </xf>
    <xf borderId="1" fillId="0" fontId="2" numFmtId="0" xfId="0" applyAlignment="1" applyBorder="1" applyFont="1">
      <alignment horizontal="right" shrinkToFit="0" vertical="bottom" wrapText="1"/>
    </xf>
    <xf borderId="1" fillId="0" fontId="9" numFmtId="0" xfId="0" applyAlignment="1" applyBorder="1" applyFont="1">
      <alignment horizontal="center" vertical="bottom"/>
    </xf>
    <xf borderId="1" fillId="0" fontId="1" numFmtId="0" xfId="0" applyAlignment="1" applyBorder="1" applyFont="1">
      <alignment horizontal="center" readingOrder="0" vertical="bottom"/>
    </xf>
    <xf borderId="1" fillId="0" fontId="1" numFmtId="0" xfId="0" applyAlignment="1" applyBorder="1" applyFont="1">
      <alignment horizontal="center" shrinkToFit="0" wrapText="1"/>
    </xf>
    <xf borderId="1" fillId="0" fontId="1" numFmtId="0" xfId="0" applyAlignment="1" applyBorder="1" applyFont="1">
      <alignment horizontal="center"/>
    </xf>
    <xf borderId="1" fillId="0" fontId="23" numFmtId="0" xfId="0" applyAlignment="1" applyBorder="1" applyFont="1">
      <alignment horizontal="center" readingOrder="0" shrinkToFit="0" vertical="bottom" wrapText="1"/>
    </xf>
    <xf borderId="1" fillId="0" fontId="1" numFmtId="0" xfId="0" applyAlignment="1" applyBorder="1" applyFont="1">
      <alignment vertical="bottom"/>
    </xf>
    <xf borderId="1" fillId="0" fontId="2" numFmtId="0" xfId="0" applyAlignment="1" applyBorder="1" applyFont="1">
      <alignment horizontal="right" vertical="bottom"/>
    </xf>
    <xf borderId="1" fillId="0" fontId="8" numFmtId="0" xfId="0" applyAlignment="1" applyBorder="1" applyFont="1">
      <alignment horizontal="right" vertical="bottom"/>
    </xf>
    <xf borderId="1" fillId="0" fontId="1" numFmtId="0" xfId="0" applyAlignment="1" applyBorder="1" applyFont="1">
      <alignment horizontal="center" vertical="bottom"/>
    </xf>
    <xf borderId="1" fillId="5" fontId="24" numFmtId="0" xfId="0" applyAlignment="1" applyBorder="1" applyFont="1">
      <alignment horizontal="center" shrinkToFit="0" vertical="center" wrapText="1"/>
    </xf>
    <xf borderId="1" fillId="0" fontId="25" numFmtId="0" xfId="0" applyAlignment="1" applyBorder="1" applyFont="1">
      <alignment horizontal="left" readingOrder="0" shrinkToFit="0" vertical="center" wrapText="1"/>
    </xf>
    <xf borderId="1" fillId="0" fontId="26" numFmtId="0" xfId="0" applyAlignment="1" applyBorder="1" applyFont="1">
      <alignment horizontal="left" readingOrder="0" shrinkToFit="0" vertical="center" wrapText="1"/>
    </xf>
    <xf borderId="1" fillId="0" fontId="1" numFmtId="0" xfId="0" applyAlignment="1" applyBorder="1" applyFont="1">
      <alignment horizontal="left" vertical="center"/>
    </xf>
    <xf borderId="1" fillId="0" fontId="1" numFmtId="0" xfId="0" applyAlignment="1" applyBorder="1" applyFont="1">
      <alignment horizontal="left" vertical="center"/>
    </xf>
    <xf borderId="1" fillId="0" fontId="1" numFmtId="0" xfId="0" applyAlignment="1" applyBorder="1" applyFont="1">
      <alignment horizontal="left" readingOrder="0" vertical="center"/>
    </xf>
    <xf borderId="1" fillId="0" fontId="25" numFmtId="0" xfId="0" applyAlignment="1" applyBorder="1" applyFont="1">
      <alignment horizontal="left" shrinkToFit="0" vertical="center" wrapText="1"/>
    </xf>
    <xf borderId="7" fillId="0" fontId="25" numFmtId="0" xfId="0" applyAlignment="1" applyBorder="1" applyFont="1">
      <alignment horizontal="left" readingOrder="0" shrinkToFit="0" vertical="center" wrapText="1"/>
    </xf>
    <xf borderId="1" fillId="0" fontId="25" numFmtId="0" xfId="0" applyAlignment="1" applyBorder="1" applyFont="1">
      <alignment horizontal="left" readingOrder="0" shrinkToFit="0" vertical="center" wrapText="1"/>
    </xf>
    <xf borderId="0" fillId="0" fontId="25" numFmtId="0" xfId="0" applyAlignment="1" applyFont="1">
      <alignment horizontal="left" readingOrder="0" shrinkToFit="0" vertical="center" wrapText="1"/>
    </xf>
    <xf borderId="0" fillId="0" fontId="25" numFmtId="0" xfId="0" applyAlignment="1" applyFont="1">
      <alignment horizontal="left" readingOrder="0" shrinkToFit="0" vertical="center" wrapText="1"/>
    </xf>
    <xf borderId="0" fillId="0" fontId="25" numFmtId="0" xfId="0" applyAlignment="1" applyFont="1">
      <alignment horizontal="left" shrinkToFit="0" vertical="center" wrapText="1"/>
    </xf>
    <xf borderId="0" fillId="0" fontId="25" numFmtId="0" xfId="0" applyAlignment="1" applyFont="1">
      <alignment readingOrder="0" shrinkToFit="0" vertical="center" wrapText="1"/>
    </xf>
    <xf borderId="1" fillId="0" fontId="25" numFmtId="0" xfId="0" applyAlignment="1" applyBorder="1" applyFont="1">
      <alignment readingOrder="0" shrinkToFit="0" vertical="center" wrapText="1"/>
    </xf>
    <xf borderId="1" fillId="0" fontId="25" numFmtId="0" xfId="0" applyAlignment="1" applyBorder="1" applyFont="1">
      <alignment readingOrder="0" shrinkToFit="0" vertical="center" wrapText="1"/>
    </xf>
    <xf borderId="7" fillId="0" fontId="25" numFmtId="0" xfId="0" applyAlignment="1" applyBorder="1" applyFont="1">
      <alignment readingOrder="0" shrinkToFit="0" vertical="center" wrapText="1"/>
    </xf>
    <xf borderId="0" fillId="0" fontId="25" numFmtId="0" xfId="0" applyAlignment="1" applyFont="1">
      <alignment readingOrder="0" shrinkToFit="0" vertical="center" wrapText="1"/>
    </xf>
    <xf borderId="0" fillId="0" fontId="25"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view3D>
      <c:rotX val="50"/>
      <c:perspective val="0"/>
    </c:view3D>
    <c:plotArea>
      <c:layout/>
      <c:doughnutChart>
        <c:varyColors val="1"/>
        <c:ser>
          <c:idx val="0"/>
          <c:order val="0"/>
          <c:dPt>
            <c:idx val="0"/>
            <c:spPr>
              <a:solidFill>
                <a:srgbClr val="FF0000"/>
              </a:solidFill>
            </c:spPr>
          </c:dPt>
          <c:dPt>
            <c:idx val="1"/>
            <c:spPr>
              <a:solidFill>
                <a:srgbClr val="FFFF00"/>
              </a:solidFill>
            </c:spPr>
          </c:dPt>
          <c:dPt>
            <c:idx val="2"/>
            <c:spPr>
              <a:solidFill>
                <a:srgbClr val="6AA84F"/>
              </a:solidFill>
            </c:spPr>
          </c:dPt>
          <c:dLbls>
            <c:showLegendKey val="0"/>
            <c:showVal val="1"/>
            <c:showCatName val="0"/>
            <c:showSerName val="0"/>
            <c:showPercent val="0"/>
            <c:showBubbleSize val="0"/>
            <c:showLeaderLines val="1"/>
          </c:dLbls>
          <c:cat>
            <c:strRef>
              <c:f>'Main Report'!$D$3:$D$5</c:f>
            </c:strRef>
          </c:cat>
          <c:val>
            <c:numRef>
              <c:f>'Main Report'!$E$3:$E$5</c:f>
              <c:numCache/>
            </c:numRef>
          </c:val>
        </c:ser>
        <c:dLbls>
          <c:showLegendKey val="0"/>
          <c:showVal val="0"/>
          <c:showCatName val="0"/>
          <c:showSerName val="0"/>
          <c:showPercent val="0"/>
          <c:showBubbleSize val="0"/>
        </c:dLbls>
        <c:holeSize val="25"/>
      </c:doughnutChart>
    </c:plotArea>
    <c:legend>
      <c:legendPos val="r"/>
      <c:overlay val="0"/>
      <c:txPr>
        <a:bodyPr/>
        <a:lstStyle/>
        <a:p>
          <a:pPr lvl="0">
            <a:defRPr b="0">
              <a:solidFill>
                <a:srgbClr val="1A1A1A"/>
              </a:solidFill>
              <a:latin typeface="Arial black"/>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0</xdr:row>
      <xdr:rowOff>0</xdr:rowOff>
    </xdr:from>
    <xdr:ext cx="3743325" cy="19812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X-1qKL-85yhINeAdd4cM1_h1caNENUE7/view?usp=sharing" TargetMode="External"/><Relationship Id="rId84" Type="http://schemas.openxmlformats.org/officeDocument/2006/relationships/hyperlink" Target="https://drive.google.com/file/d/1N-oxe31m7lE_U_sHHAeDfG1tyM2UEAhj/view?usp=sharing" TargetMode="External"/><Relationship Id="rId83" Type="http://schemas.openxmlformats.org/officeDocument/2006/relationships/hyperlink" Target="https://drive.google.com/file/d/1oh_tBfbWK8QFfn-fLwcoFtoeglXMD0K7/view?usp=sharing" TargetMode="External"/><Relationship Id="rId42" Type="http://schemas.openxmlformats.org/officeDocument/2006/relationships/hyperlink" Target="https://drive.google.com/file/d/1SvvQ8Y9gvW9dfjlL14esl4eAKc2CmUB1/view?usp=drive_link" TargetMode="External"/><Relationship Id="rId86" Type="http://schemas.openxmlformats.org/officeDocument/2006/relationships/hyperlink" Target="https://drive.google.com/file/d/1iKrNvqzHzhN3dYuNOPA0gOwXpKVsKsuE/view?usp=drive_link" TargetMode="External"/><Relationship Id="rId41" Type="http://schemas.openxmlformats.org/officeDocument/2006/relationships/hyperlink" Target="https://drive.google.com/file/d/1XB_joAkWzrpa7cYdafwgjNQNFiOzeZI0/view?usp=drive_link" TargetMode="External"/><Relationship Id="rId85" Type="http://schemas.openxmlformats.org/officeDocument/2006/relationships/hyperlink" Target="https://drive.google.com/file/d/1fMTjJxM7x0XK5g6RlUEa7fVeWaTpGYfB/view?usp=sharing" TargetMode="External"/><Relationship Id="rId44" Type="http://schemas.openxmlformats.org/officeDocument/2006/relationships/hyperlink" Target="https://drive.google.com/file/d/1IMWPg-sJEDJihWDRsiKHUJgSiNPRZtVa/view?usp=sharing" TargetMode="External"/><Relationship Id="rId88" Type="http://schemas.openxmlformats.org/officeDocument/2006/relationships/hyperlink" Target="https://drive.google.com/file/d/18cAsgQdvwyj8PgJTWuyuwl--C2P8OWab/view?usp=drive_link" TargetMode="External"/><Relationship Id="rId43" Type="http://schemas.openxmlformats.org/officeDocument/2006/relationships/hyperlink" Target="https://drive.google.com/file/d/1CUzV0cB-UvB1Pl6P1wQNVnCNc-24Aer1/view?usp=drive_link" TargetMode="External"/><Relationship Id="rId87" Type="http://schemas.openxmlformats.org/officeDocument/2006/relationships/hyperlink" Target="https://drive.google.com/file/d/1Xvt3941hOx5HnXf6hxPxHdDEqhFrtfbS/view?usp=drive_link" TargetMode="External"/><Relationship Id="rId46" Type="http://schemas.openxmlformats.org/officeDocument/2006/relationships/hyperlink" Target="https://drive.google.com/file/d/1YQKx9wZ9I9pS0UO7lm1_0vuIzrBDkoRm/view?usp=drive_link" TargetMode="External"/><Relationship Id="rId45" Type="http://schemas.openxmlformats.org/officeDocument/2006/relationships/hyperlink" Target="https://drive.google.com/file/d/193K-5FJEBsljwFlXUaaqcZXhl0Pu54Gx/view?usp=sharing" TargetMode="External"/><Relationship Id="rId89" Type="http://schemas.openxmlformats.org/officeDocument/2006/relationships/hyperlink" Target="https://drive.google.com/file/d/1kutVHDaOBLgu6JGkRrzqPCjfRvBzrK4t/view?usp=sharing" TargetMode="External"/><Relationship Id="rId80" Type="http://schemas.openxmlformats.org/officeDocument/2006/relationships/hyperlink" Target="https://drive.google.com/file/d/1tRAJddjBF1Dkhd59chVvqHnl4VQ9DPIF/view?usp=sharing" TargetMode="External"/><Relationship Id="rId82" Type="http://schemas.openxmlformats.org/officeDocument/2006/relationships/hyperlink" Target="https://drive.google.com/file/d/1f-RmHWZuYlmT0fSEDlBhm-s7MhlQdYEG/view?usp=sharing" TargetMode="External"/><Relationship Id="rId81" Type="http://schemas.openxmlformats.org/officeDocument/2006/relationships/hyperlink" Target="https://drive.google.com/file/d/1vQoZ_8iyADRQOPovVQSY0I8JLJ-G44Iy/view?usp=drive_link" TargetMode="External"/><Relationship Id="rId1" Type="http://schemas.openxmlformats.org/officeDocument/2006/relationships/hyperlink" Target="https://drive.google.com/file/d/1zg8EWK3LUN_UjfQodfyThYqSCoDIzPSJ/view?usp=sharing" TargetMode="External"/><Relationship Id="rId2" Type="http://schemas.openxmlformats.org/officeDocument/2006/relationships/hyperlink" Target="https://drive.google.com/file/d/19T8s4PaafoZ8AW0t9aN-cNlpqlCwM1Q3/view?usp=sharing" TargetMode="External"/><Relationship Id="rId3" Type="http://schemas.openxmlformats.org/officeDocument/2006/relationships/hyperlink" Target="https://drive.google.com/file/d/19jniVUB9UZdDxHoePlL0X_6iz_4SRg_1/view?usp=sharing" TargetMode="External"/><Relationship Id="rId4" Type="http://schemas.openxmlformats.org/officeDocument/2006/relationships/hyperlink" Target="https://drive.google.com/file/d/1myBqvceRQyc08vN6FtnyyeD-s3XSk31h/view?usp=sharing" TargetMode="External"/><Relationship Id="rId9" Type="http://schemas.openxmlformats.org/officeDocument/2006/relationships/hyperlink" Target="https://drive.google.com/file/d/126ET3JWX1pUjiS6D9kRBxN5FCjpAtSnB/view?usp=sharing" TargetMode="External"/><Relationship Id="rId48" Type="http://schemas.openxmlformats.org/officeDocument/2006/relationships/hyperlink" Target="https://drive.google.com/file/d/1fIwCgiiIGi8306racHmFJ8VLLw5zzV9Q/view?usp=drive_link" TargetMode="External"/><Relationship Id="rId47" Type="http://schemas.openxmlformats.org/officeDocument/2006/relationships/hyperlink" Target="https://drive.google.com/file/d/1Tw3bfYN92y-hoU0HSkQ7vyvOuCOzI9JG/view?usp=sharing" TargetMode="External"/><Relationship Id="rId49" Type="http://schemas.openxmlformats.org/officeDocument/2006/relationships/hyperlink" Target="https://drive.google.com/file/d/1SFBzoPcIbXVxgHb3QKkSXI-Z0hKEXD9L/view?usp=drive_link" TargetMode="External"/><Relationship Id="rId5" Type="http://schemas.openxmlformats.org/officeDocument/2006/relationships/hyperlink" Target="https://drive.google.com/file/d/11cmuzIozCPDFPz_zEq572bi46kwth4J4/view?usp=sharing" TargetMode="External"/><Relationship Id="rId6" Type="http://schemas.openxmlformats.org/officeDocument/2006/relationships/hyperlink" Target="https://drive.google.com/file/d/1G3z6bcARh-Pp0usK_fx7vAkCbE6X_xeV/view?usp=sharing" TargetMode="External"/><Relationship Id="rId7" Type="http://schemas.openxmlformats.org/officeDocument/2006/relationships/hyperlink" Target="https://drive.google.com/file/d/1ABB20NtOzi176jOOgSnrBoxcp3jb8Z0u/view?usp=sharing" TargetMode="External"/><Relationship Id="rId8" Type="http://schemas.openxmlformats.org/officeDocument/2006/relationships/hyperlink" Target="https://drive.google.com/file/d/1BTvYG7nDqdLooVY5iWh4h7LIZisKTKjV/view?usp=sharing" TargetMode="External"/><Relationship Id="rId73" Type="http://schemas.openxmlformats.org/officeDocument/2006/relationships/hyperlink" Target="https://drive.google.com/file/d/139PTU1_BNnmM4cGESDztGTLCRZdM5m0V/view?usp=sharing" TargetMode="External"/><Relationship Id="rId72" Type="http://schemas.openxmlformats.org/officeDocument/2006/relationships/hyperlink" Target="https://drive.google.com/file/d/17VBgvnULNZqmaqmqvhv_vKHb4xuzzFZa/view?usp=sharing" TargetMode="External"/><Relationship Id="rId31" Type="http://schemas.openxmlformats.org/officeDocument/2006/relationships/hyperlink" Target="https://drive.google.com/file/d/1le92mA8ip-l-ENMVfLWXZCKchLJgS5xB/view?usp=drive_link" TargetMode="External"/><Relationship Id="rId75" Type="http://schemas.openxmlformats.org/officeDocument/2006/relationships/hyperlink" Target="https://drive.google.com/file/d/1_BsmB2uwsZl-Amp22RLEFrLXfArfjLJ5/view?usp=sharing" TargetMode="External"/><Relationship Id="rId30" Type="http://schemas.openxmlformats.org/officeDocument/2006/relationships/hyperlink" Target="https://drive.google.com/file/d/1Ktuv35jrgQgfTDhw9sjDTQ51ry_eb0Qh/view?usp=sharing" TargetMode="External"/><Relationship Id="rId74" Type="http://schemas.openxmlformats.org/officeDocument/2006/relationships/hyperlink" Target="https://drive.google.com/file/d/11izLrXB3WyM5pW17pDuCZLVGbZKwVfmZ/view?usp=drive_link" TargetMode="External"/><Relationship Id="rId33" Type="http://schemas.openxmlformats.org/officeDocument/2006/relationships/hyperlink" Target="https://drive.google.com/file/d/1u7BYmSBtz0-2TyZAlCKW8VPjveOWqYwD/view?usp=sharing" TargetMode="External"/><Relationship Id="rId77" Type="http://schemas.openxmlformats.org/officeDocument/2006/relationships/hyperlink" Target="https://drive.google.com/file/d/1gdMQKD19ANqFQy97NIV5YjxHozINwanx/view?usp=sharing" TargetMode="External"/><Relationship Id="rId32" Type="http://schemas.openxmlformats.org/officeDocument/2006/relationships/hyperlink" Target="https://drive.google.com/file/d/1uoZVmuygw-97ZLjfHg8AHT81IiphPDwo/view?usp=drive_link" TargetMode="External"/><Relationship Id="rId76" Type="http://schemas.openxmlformats.org/officeDocument/2006/relationships/hyperlink" Target="https://drive.google.com/file/d/14BTKdXeRqFQaKrpw_CcK7o0p6bedIflb/view?usp=sharing" TargetMode="External"/><Relationship Id="rId35" Type="http://schemas.openxmlformats.org/officeDocument/2006/relationships/hyperlink" Target="https://drive.google.com/file/d/1LHVW3MgJaQGHiIs9cp4_05ur52P43YKS/view?usp=drive_link" TargetMode="External"/><Relationship Id="rId79" Type="http://schemas.openxmlformats.org/officeDocument/2006/relationships/hyperlink" Target="https://drive.google.com/file/d/19gVZefu9bw6cVA6yqBqDmAX8Om0Tw_1Z/view?usp=sharing" TargetMode="External"/><Relationship Id="rId34" Type="http://schemas.openxmlformats.org/officeDocument/2006/relationships/hyperlink" Target="https://drive.google.com/file/d/19qqj6WxUg6qLJTmprVDpBgXAHuu_MGRC/view?usp=drive_link" TargetMode="External"/><Relationship Id="rId78" Type="http://schemas.openxmlformats.org/officeDocument/2006/relationships/hyperlink" Target="https://drive.google.com/file/d/1J95mv6A2R0_i_gudBcOinKnElVkt-DSW/view?usp=drive_link" TargetMode="External"/><Relationship Id="rId71" Type="http://schemas.openxmlformats.org/officeDocument/2006/relationships/hyperlink" Target="https://drive.google.com/file/d/1e0qprOwG2LMI0Uy7-SqTMDP7Ssu8jwbl/view?usp=sharing" TargetMode="External"/><Relationship Id="rId70" Type="http://schemas.openxmlformats.org/officeDocument/2006/relationships/hyperlink" Target="https://drive.google.com/file/d/1cNOl1_aCA6w4fI_CNi83WbkEl18E6Vnd/view?usp=drive_link" TargetMode="External"/><Relationship Id="rId37" Type="http://schemas.openxmlformats.org/officeDocument/2006/relationships/hyperlink" Target="https://drive.google.com/file/d/15AKWByFdxJetOl0v6WgIx1M4DuPr5ibh/view?usp=drive_link" TargetMode="External"/><Relationship Id="rId36" Type="http://schemas.openxmlformats.org/officeDocument/2006/relationships/hyperlink" Target="https://drive.google.com/file/d/1USoGtY_lbCXpngMFBSeTegE9ZLQgqrgj/view?usp=drive_link" TargetMode="External"/><Relationship Id="rId39" Type="http://schemas.openxmlformats.org/officeDocument/2006/relationships/hyperlink" Target="https://drive.google.com/file/d/1YTLn8RSDdWyr1b0Dlc1tWs0pS3htYZtS/view?usp=sharing" TargetMode="External"/><Relationship Id="rId38" Type="http://schemas.openxmlformats.org/officeDocument/2006/relationships/hyperlink" Target="https://drive.google.com/file/d/1OmiLToyfALnnELijeTjSPZJ25sGHJqFh/view?usp=drive_link" TargetMode="External"/><Relationship Id="rId62" Type="http://schemas.openxmlformats.org/officeDocument/2006/relationships/hyperlink" Target="https://drive.google.com/file/d/1cio4Z263oL_wUdnYU0_n86xIs-1Sxh_n/view?usp=sharing" TargetMode="External"/><Relationship Id="rId61" Type="http://schemas.openxmlformats.org/officeDocument/2006/relationships/hyperlink" Target="https://drive.google.com/file/d/1dAf4VFLBB9bU6KAdpyL1f-xcbRn3XUN5/view?usp=sharing" TargetMode="External"/><Relationship Id="rId20" Type="http://schemas.openxmlformats.org/officeDocument/2006/relationships/hyperlink" Target="https://drive.google.com/file/d/1wXUX2fdgDR-ncjL4ZRNpAj4evl9HbbL4/view?usp=sharing" TargetMode="External"/><Relationship Id="rId64" Type="http://schemas.openxmlformats.org/officeDocument/2006/relationships/hyperlink" Target="https://drive.google.com/file/d/13YBRyWNUnGuyik6e6n55tC0tLzVcdzvi/view?usp=sharing" TargetMode="External"/><Relationship Id="rId63" Type="http://schemas.openxmlformats.org/officeDocument/2006/relationships/hyperlink" Target="https://drive.google.com/file/d/1y-6NMZiES0E1NxGHvr24--JPeiKvnpMi/view?usp=sharing" TargetMode="External"/><Relationship Id="rId22" Type="http://schemas.openxmlformats.org/officeDocument/2006/relationships/hyperlink" Target="https://drive.google.com/file/d/1hh9F2AcVOrSsBrLxi-qQ2MIbVOp8Nzwa/view?usp=sharing" TargetMode="External"/><Relationship Id="rId66" Type="http://schemas.openxmlformats.org/officeDocument/2006/relationships/hyperlink" Target="https://drive.google.com/file/d/1JNRQSH-YBNDtjpmqf6tHWZfabUx8nIjQ/view?usp=drive_link" TargetMode="External"/><Relationship Id="rId21" Type="http://schemas.openxmlformats.org/officeDocument/2006/relationships/hyperlink" Target="https://drive.google.com/file/d/1wVmw7Q5RMsaMRXIDgibH8rajD4NMud07/view?usp=sharing" TargetMode="External"/><Relationship Id="rId65" Type="http://schemas.openxmlformats.org/officeDocument/2006/relationships/hyperlink" Target="https://drive.google.com/file/d/1LXsETVv2e935zGUUQvBLZABiZGJNJjuo/view?usp=drive_link" TargetMode="External"/><Relationship Id="rId24" Type="http://schemas.openxmlformats.org/officeDocument/2006/relationships/hyperlink" Target="https://drive.google.com/file/d/1sapAveHsun_ZcN3c4frBztRRfVvYoUkt/view?usp=drive_link" TargetMode="External"/><Relationship Id="rId68" Type="http://schemas.openxmlformats.org/officeDocument/2006/relationships/hyperlink" Target="https://drive.google.com/file/d/1PipERZRthXYLaru7XX4czzso5BSouJsJ/view?usp=drive_link" TargetMode="External"/><Relationship Id="rId23" Type="http://schemas.openxmlformats.org/officeDocument/2006/relationships/hyperlink" Target="https://drive.google.com/file/d/1qlsttv28mh3-qlHXQOYilUUAblaTUzga/view?usp=drive_link" TargetMode="External"/><Relationship Id="rId67" Type="http://schemas.openxmlformats.org/officeDocument/2006/relationships/hyperlink" Target="https://drive.google.com/file/d/1vjCgawAWATVdX7ledqSov48YIJe6Scc3/view?usp=drive_link" TargetMode="External"/><Relationship Id="rId60" Type="http://schemas.openxmlformats.org/officeDocument/2006/relationships/hyperlink" Target="https://drive.google.com/file/d/1CInKmAKM-GhmpJT3PYXDlnfsiLJQaMXP/view?usp=sharing" TargetMode="External"/><Relationship Id="rId26" Type="http://schemas.openxmlformats.org/officeDocument/2006/relationships/hyperlink" Target="https://drive.google.com/file/d/1mS1_6YUXHfFu1xG2rdn7KGx9fbtMgDGh/view?usp=sharing" TargetMode="External"/><Relationship Id="rId25" Type="http://schemas.openxmlformats.org/officeDocument/2006/relationships/hyperlink" Target="https://drive.google.com/file/d/1uOw4ZWzSDkOsTohxgwPRQDnUxiwR4pTW/view?usp=drive_link" TargetMode="External"/><Relationship Id="rId69" Type="http://schemas.openxmlformats.org/officeDocument/2006/relationships/hyperlink" Target="https://drive.google.com/file/d/11pRREx0GN3dW0eG56LwImpB85bzKfT3G/view?usp=drive_link" TargetMode="External"/><Relationship Id="rId28" Type="http://schemas.openxmlformats.org/officeDocument/2006/relationships/hyperlink" Target="https://drive.google.com/file/d/1prm5rK5gW1cZrHf-ZEiGaNRpienJKhrl/view?usp=sharing" TargetMode="External"/><Relationship Id="rId27" Type="http://schemas.openxmlformats.org/officeDocument/2006/relationships/hyperlink" Target="https://drive.google.com/file/d/1lbuVBh7h7utGxNyLCczwg356qkBwKJCH/view?usp=sharing" TargetMode="External"/><Relationship Id="rId29" Type="http://schemas.openxmlformats.org/officeDocument/2006/relationships/hyperlink" Target="https://drive.google.com/file/d/136UGBIFUKbWWVMHahpMqVN8vltWy3OkO/view?usp=sharing" TargetMode="External"/><Relationship Id="rId51" Type="http://schemas.openxmlformats.org/officeDocument/2006/relationships/hyperlink" Target="https://drive.google.com/file/d/1fyhIO7hpASZJ_xtKm4NJn111RCXbxBQp/view?usp=drive_link" TargetMode="External"/><Relationship Id="rId50" Type="http://schemas.openxmlformats.org/officeDocument/2006/relationships/hyperlink" Target="https://drive.google.com/file/d/1x0n00JoVhUtLneHHzAmxb0qnNA8jJkQh/view?usp=drive_link" TargetMode="External"/><Relationship Id="rId53" Type="http://schemas.openxmlformats.org/officeDocument/2006/relationships/hyperlink" Target="https://drive.google.com/file/d/1HiUh9Ad_PoCAo0Ct4qgzL0ZvPSm5zSel/view?usp=drive_link" TargetMode="External"/><Relationship Id="rId52" Type="http://schemas.openxmlformats.org/officeDocument/2006/relationships/hyperlink" Target="https://drive.google.com/file/d/1mKWpqBN00tzSS0x2vvnacfJhtHr_geIA/view?usp=drive_link" TargetMode="External"/><Relationship Id="rId11" Type="http://schemas.openxmlformats.org/officeDocument/2006/relationships/hyperlink" Target="https://drive.google.com/file/d/1PnqNQE91CGstLKMNjbwUw-B78mW7RkK3/view?usp=drive_link" TargetMode="External"/><Relationship Id="rId55" Type="http://schemas.openxmlformats.org/officeDocument/2006/relationships/hyperlink" Target="https://drive.google.com/file/d/1kiyPjzvFlxdQeXHBBYN3HvlKrOWGFHuO/view?usp=sharing" TargetMode="External"/><Relationship Id="rId10" Type="http://schemas.openxmlformats.org/officeDocument/2006/relationships/hyperlink" Target="https://drive.google.com/file/d/16QBz8i_XgjHZFvnOnfc4kSKxKhgyRnI4/view?usp=sharing" TargetMode="External"/><Relationship Id="rId54" Type="http://schemas.openxmlformats.org/officeDocument/2006/relationships/hyperlink" Target="https://drive.google.com/file/d/1aR63RQ3XKLxVzWtb701_Xg1n4mWsFy-7/view?usp=sharing" TargetMode="External"/><Relationship Id="rId13" Type="http://schemas.openxmlformats.org/officeDocument/2006/relationships/hyperlink" Target="https://drive.google.com/file/d/1-jtDPs-CokVLNkhUn8wT01E0afoiyjJD/view?usp=sharing" TargetMode="External"/><Relationship Id="rId57" Type="http://schemas.openxmlformats.org/officeDocument/2006/relationships/hyperlink" Target="https://drive.google.com/file/d/1gmZfTR02UGNms-Gnc8_Ql6z9DBtXAguf/view?usp=sharing" TargetMode="External"/><Relationship Id="rId12" Type="http://schemas.openxmlformats.org/officeDocument/2006/relationships/hyperlink" Target="https://drive.google.com/file/d/1KyS9RHgwavM8ISFkBdXZbhWRCctnmaXZ/view?usp=drive_link" TargetMode="External"/><Relationship Id="rId56" Type="http://schemas.openxmlformats.org/officeDocument/2006/relationships/hyperlink" Target="https://drive.google.com/file/d/1aQz4JomI1O27UNF1BwUCsu987ziC8wvY/view?usp=sharing" TargetMode="External"/><Relationship Id="rId91" Type="http://schemas.openxmlformats.org/officeDocument/2006/relationships/drawing" Target="../drawings/drawing1.xml"/><Relationship Id="rId90" Type="http://schemas.openxmlformats.org/officeDocument/2006/relationships/hyperlink" Target="https://drive.google.com/file/d/17appQfchUWKobMduLRHzYniBbJKs7M84/view?usp=sharing" TargetMode="External"/><Relationship Id="rId15" Type="http://schemas.openxmlformats.org/officeDocument/2006/relationships/hyperlink" Target="https://drive.google.com/file/d/1J95eG-jGcIk5SCjiV7ID7LZbe7TjpGDr/view?usp=sharing" TargetMode="External"/><Relationship Id="rId59" Type="http://schemas.openxmlformats.org/officeDocument/2006/relationships/hyperlink" Target="https://drive.google.com/file/d/1vGo4N0xSvl9ijhAnWLH5cmmQn86WuFJM/view?usp=drive_link" TargetMode="External"/><Relationship Id="rId14" Type="http://schemas.openxmlformats.org/officeDocument/2006/relationships/hyperlink" Target="https://drive.google.com/file/d/1mIa7_VUdyAO9V7yW0ilUAtD9yoncQJK-/view?usp=sharing" TargetMode="External"/><Relationship Id="rId58" Type="http://schemas.openxmlformats.org/officeDocument/2006/relationships/hyperlink" Target="https://drive.google.com/file/d/1koTMlWmHHch4f4eoRHQE1XyQst1HcktK/view?usp=sharing" TargetMode="External"/><Relationship Id="rId17" Type="http://schemas.openxmlformats.org/officeDocument/2006/relationships/hyperlink" Target="https://drive.google.com/file/d/13mJJGtbDn4yYlwkM8eCNkHybTo4UgqXY/view?usp=drive_link" TargetMode="External"/><Relationship Id="rId16" Type="http://schemas.openxmlformats.org/officeDocument/2006/relationships/hyperlink" Target="https://drive.google.com/file/d/1oohE88HuXCcBGNw7C-MlqoHCK8pKTuPS/view?usp=sharing" TargetMode="External"/><Relationship Id="rId19" Type="http://schemas.openxmlformats.org/officeDocument/2006/relationships/hyperlink" Target="https://drive.google.com/file/d/1IL4ioAh_1no5OPsIra8PfAv6kuCWe00N/view?usp=drive_link" TargetMode="External"/><Relationship Id="rId18" Type="http://schemas.openxmlformats.org/officeDocument/2006/relationships/hyperlink" Target="https://drive.google.com/file/d/1nK_9mKX6vvKdNqBATeOCC20X3JdKZjvD/view?usp=sharing"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drive.google.com/file/d/1myBqvceRQyc08vN6FtnyyeD-s3XSk31h/view?usp=sharing" TargetMode="External"/><Relationship Id="rId84" Type="http://schemas.openxmlformats.org/officeDocument/2006/relationships/hyperlink" Target="https://drive.google.com/file/d/1vQoZ_8iyADRQOPovVQSY0I8JLJ-G44Iy/view?usp=drive_link" TargetMode="External"/><Relationship Id="rId83" Type="http://schemas.openxmlformats.org/officeDocument/2006/relationships/hyperlink" Target="https://drive.google.com/file/d/1uoZVmuygw-97ZLjfHg8AHT81IiphPDwo/view?usp=drive_link" TargetMode="External"/><Relationship Id="rId42" Type="http://schemas.openxmlformats.org/officeDocument/2006/relationships/hyperlink" Target="https://drive.google.com/file/d/1G3z6bcARh-Pp0usK_fx7vAkCbE6X_xeV/view?usp=sharing" TargetMode="External"/><Relationship Id="rId86" Type="http://schemas.openxmlformats.org/officeDocument/2006/relationships/hyperlink" Target="https://drive.google.com/file/d/139PTU1_BNnmM4cGESDztGTLCRZdM5m0V/view?usp=sharing" TargetMode="External"/><Relationship Id="rId41" Type="http://schemas.openxmlformats.org/officeDocument/2006/relationships/hyperlink" Target="https://drive.google.com/file/d/11cmuzIozCPDFPz_zEq572bi46kwth4J4/view?usp=sharing" TargetMode="External"/><Relationship Id="rId85" Type="http://schemas.openxmlformats.org/officeDocument/2006/relationships/hyperlink" Target="https://drive.google.com/file/d/17VBgvnULNZqmaqmqvhv_vKHb4xuzzFZa/view?usp=sharing" TargetMode="External"/><Relationship Id="rId44" Type="http://schemas.openxmlformats.org/officeDocument/2006/relationships/hyperlink" Target="https://drive.google.com/file/d/1BTvYG7nDqdLooVY5iWh4h7LIZisKTKjV/view?usp=sharing" TargetMode="External"/><Relationship Id="rId88" Type="http://schemas.openxmlformats.org/officeDocument/2006/relationships/hyperlink" Target="https://drive.google.com/file/d/1_BsmB2uwsZl-Amp22RLEFrLXfArfjLJ5/view?usp=sharing" TargetMode="External"/><Relationship Id="rId43" Type="http://schemas.openxmlformats.org/officeDocument/2006/relationships/hyperlink" Target="https://drive.google.com/file/d/1ABB20NtOzi176jOOgSnrBoxcp3jb8Z0u/view?usp=sharing" TargetMode="External"/><Relationship Id="rId87" Type="http://schemas.openxmlformats.org/officeDocument/2006/relationships/hyperlink" Target="https://drive.google.com/file/d/11izLrXB3WyM5pW17pDuCZLVGbZKwVfmZ/view?usp=drive_link" TargetMode="External"/><Relationship Id="rId46" Type="http://schemas.openxmlformats.org/officeDocument/2006/relationships/hyperlink" Target="https://drive.google.com/file/d/1prm5rK5gW1cZrHf-ZEiGaNRpienJKhrl/view?usp=sharing" TargetMode="External"/><Relationship Id="rId45" Type="http://schemas.openxmlformats.org/officeDocument/2006/relationships/hyperlink" Target="https://drive.google.com/file/d/126ET3JWX1pUjiS6D9kRBxN5FCjpAtSnB/view?usp=sharing" TargetMode="External"/><Relationship Id="rId89" Type="http://schemas.openxmlformats.org/officeDocument/2006/relationships/hyperlink" Target="https://drive.google.com/file/d/14BTKdXeRqFQaKrpw_CcK7o0p6bedIflb/view?usp=sharing" TargetMode="External"/><Relationship Id="rId80" Type="http://schemas.openxmlformats.org/officeDocument/2006/relationships/hyperlink" Target="https://drive.google.com/file/d/1kiyPjzvFlxdQeXHBBYN3HvlKrOWGFHuO/view?usp=sharing" TargetMode="External"/><Relationship Id="rId82" Type="http://schemas.openxmlformats.org/officeDocument/2006/relationships/hyperlink" Target="https://drive.google.com/file/d/1HiUh9Ad_PoCAo0Ct4qgzL0ZvPSm5zSel/view?usp=drive_link" TargetMode="External"/><Relationship Id="rId81" Type="http://schemas.openxmlformats.org/officeDocument/2006/relationships/hyperlink" Target="https://drive.google.com/file/d/1mKWpqBN00tzSS0x2vvnacfJhtHr_geIA/view?usp=drive_link" TargetMode="External"/><Relationship Id="rId1" Type="http://schemas.openxmlformats.org/officeDocument/2006/relationships/hyperlink" Target="https://drive.google.com/file/d/1IL4ioAh_1no5OPsIra8PfAv6kuCWe00N/view?usp=drive_link" TargetMode="External"/><Relationship Id="rId2" Type="http://schemas.openxmlformats.org/officeDocument/2006/relationships/hyperlink" Target="https://drive.google.com/file/d/1wXUX2fdgDR-ncjL4ZRNpAj4evl9HbbL4/view?usp=sharing" TargetMode="External"/><Relationship Id="rId3" Type="http://schemas.openxmlformats.org/officeDocument/2006/relationships/hyperlink" Target="https://drive.google.com/file/d/1wVmw7Q5RMsaMRXIDgibH8rajD4NMud07/view?usp=sharing" TargetMode="External"/><Relationship Id="rId4" Type="http://schemas.openxmlformats.org/officeDocument/2006/relationships/hyperlink" Target="https://drive.google.com/file/d/1hh9F2AcVOrSsBrLxi-qQ2MIbVOp8Nzwa/view?usp=sharing" TargetMode="External"/><Relationship Id="rId9" Type="http://schemas.openxmlformats.org/officeDocument/2006/relationships/hyperlink" Target="https://drive.google.com/file/d/1LHVW3MgJaQGHiIs9cp4_05ur52P43YKS/view?usp=drive_link" TargetMode="External"/><Relationship Id="rId48" Type="http://schemas.openxmlformats.org/officeDocument/2006/relationships/hyperlink" Target="https://drive.google.com/file/d/136UGBIFUKbWWVMHahpMqVN8vltWy3OkO/view?usp=sharing" TargetMode="External"/><Relationship Id="rId47" Type="http://schemas.openxmlformats.org/officeDocument/2006/relationships/hyperlink" Target="https://drive.google.com/file/d/1Tw3bfYN92y-hoU0HSkQ7vyvOuCOzI9JG/view?usp=sharing" TargetMode="External"/><Relationship Id="rId49" Type="http://schemas.openxmlformats.org/officeDocument/2006/relationships/hyperlink" Target="https://drive.google.com/file/d/16QBz8i_XgjHZFvnOnfc4kSKxKhgyRnI4/view?usp=sharing" TargetMode="External"/><Relationship Id="rId5" Type="http://schemas.openxmlformats.org/officeDocument/2006/relationships/hyperlink" Target="https://drive.google.com/file/d/1qlsttv28mh3-qlHXQOYilUUAblaTUzga/view?usp=drive_link" TargetMode="External"/><Relationship Id="rId6" Type="http://schemas.openxmlformats.org/officeDocument/2006/relationships/hyperlink" Target="https://drive.google.com/file/d/1u7BYmSBtz0-2TyZAlCKW8VPjveOWqYwD/view?usp=sharing" TargetMode="External"/><Relationship Id="rId7" Type="http://schemas.openxmlformats.org/officeDocument/2006/relationships/hyperlink" Target="https://drive.google.com/file/d/1fIwCgiiIGi8306racHmFJ8VLLw5zzV9Q/view?usp=drive_link" TargetMode="External"/><Relationship Id="rId8" Type="http://schemas.openxmlformats.org/officeDocument/2006/relationships/hyperlink" Target="https://drive.google.com/file/d/19qqj6WxUg6qLJTmprVDpBgXAHuu_MGRC/view?usp=drive_link" TargetMode="External"/><Relationship Id="rId73" Type="http://schemas.openxmlformats.org/officeDocument/2006/relationships/hyperlink" Target="https://drive.google.com/file/d/1oohE88HuXCcBGNw7C-MlqoHCK8pKTuPS/view?usp=sharing" TargetMode="External"/><Relationship Id="rId72" Type="http://schemas.openxmlformats.org/officeDocument/2006/relationships/hyperlink" Target="https://drive.google.com/file/d/1J95eG-jGcIk5SCjiV7ID7LZbe7TjpGDr/view?usp=sharing" TargetMode="External"/><Relationship Id="rId31" Type="http://schemas.openxmlformats.org/officeDocument/2006/relationships/hyperlink" Target="https://drive.google.com/file/d/1cNOl1_aCA6w4fI_CNi83WbkEl18E6Vnd/view?usp=drive_link" TargetMode="External"/><Relationship Id="rId75" Type="http://schemas.openxmlformats.org/officeDocument/2006/relationships/hyperlink" Target="https://drive.google.com/file/d/13mJJGtbDn4yYlwkM8eCNkHybTo4UgqXY/view?usp=drive_link" TargetMode="External"/><Relationship Id="rId30" Type="http://schemas.openxmlformats.org/officeDocument/2006/relationships/hyperlink" Target="https://drive.google.com/file/d/1f-RmHWZuYlmT0fSEDlBhm-s7MhlQdYEG/view?usp=sharing" TargetMode="External"/><Relationship Id="rId74" Type="http://schemas.openxmlformats.org/officeDocument/2006/relationships/hyperlink" Target="https://drive.google.com/file/d/1kutVHDaOBLgu6JGkRrzqPCjfRvBzrK4t/view?usp=sharing" TargetMode="External"/><Relationship Id="rId33" Type="http://schemas.openxmlformats.org/officeDocument/2006/relationships/hyperlink" Target="https://drive.google.com/file/d/1J95mv6A2R0_i_gudBcOinKnElVkt-DSW/view?usp=drive_link" TargetMode="External"/><Relationship Id="rId77" Type="http://schemas.openxmlformats.org/officeDocument/2006/relationships/hyperlink" Target="https://drive.google.com/file/d/1le92mA8ip-l-ENMVfLWXZCKchLJgS5xB/view?usp=drive_link" TargetMode="External"/><Relationship Id="rId32" Type="http://schemas.openxmlformats.org/officeDocument/2006/relationships/hyperlink" Target="https://drive.google.com/file/d/1e0qprOwG2LMI0Uy7-SqTMDP7Ssu8jwbl/view?usp=sharing" TargetMode="External"/><Relationship Id="rId76" Type="http://schemas.openxmlformats.org/officeDocument/2006/relationships/hyperlink" Target="https://drive.google.com/file/d/1nK_9mKX6vvKdNqBATeOCC20X3JdKZjvD/view?usp=sharing" TargetMode="External"/><Relationship Id="rId35" Type="http://schemas.openxmlformats.org/officeDocument/2006/relationships/hyperlink" Target="https://drive.google.com/file/d/1lbuVBh7h7utGxNyLCczwg356qkBwKJCH/view?usp=sharing" TargetMode="External"/><Relationship Id="rId79" Type="http://schemas.openxmlformats.org/officeDocument/2006/relationships/hyperlink" Target="https://drive.google.com/file/d/1aR63RQ3XKLxVzWtb701_Xg1n4mWsFy-7/view?usp=sharing" TargetMode="External"/><Relationship Id="rId34" Type="http://schemas.openxmlformats.org/officeDocument/2006/relationships/hyperlink" Target="https://drive.google.com/file/d/1mS1_6YUXHfFu1xG2rdn7KGx9fbtMgDGh/view?usp=sharing" TargetMode="External"/><Relationship Id="rId78" Type="http://schemas.openxmlformats.org/officeDocument/2006/relationships/hyperlink" Target="https://drive.google.com/file/d/17appQfchUWKobMduLRHzYniBbJKs7M84/view?usp=sharing" TargetMode="External"/><Relationship Id="rId71" Type="http://schemas.openxmlformats.org/officeDocument/2006/relationships/hyperlink" Target="https://drive.google.com/file/d/13YBRyWNUnGuyik6e6n55tC0tLzVcdzvi/view?usp=sharing" TargetMode="External"/><Relationship Id="rId70" Type="http://schemas.openxmlformats.org/officeDocument/2006/relationships/hyperlink" Target="https://drive.google.com/file/d/1y-6NMZiES0E1NxGHvr24--JPeiKvnpMi/view?usp=sharing" TargetMode="External"/><Relationship Id="rId37" Type="http://schemas.openxmlformats.org/officeDocument/2006/relationships/hyperlink" Target="https://drive.google.com/file/d/1zg8EWK3LUN_UjfQodfyThYqSCoDIzPSJ/view?usp=sharing" TargetMode="External"/><Relationship Id="rId36" Type="http://schemas.openxmlformats.org/officeDocument/2006/relationships/hyperlink" Target="https://drive.google.com/file/d/19gVZefu9bw6cVA6yqBqDmAX8Om0Tw_1Z/view?usp=sharing" TargetMode="External"/><Relationship Id="rId39" Type="http://schemas.openxmlformats.org/officeDocument/2006/relationships/hyperlink" Target="https://drive.google.com/file/d/19jniVUB9UZdDxHoePlL0X_6iz_4SRg_1/view?usp=sharing" TargetMode="External"/><Relationship Id="rId38" Type="http://schemas.openxmlformats.org/officeDocument/2006/relationships/hyperlink" Target="https://drive.google.com/file/d/19T8s4PaafoZ8AW0t9aN-cNlpqlCwM1Q3/view?usp=sharing" TargetMode="External"/><Relationship Id="rId62" Type="http://schemas.openxmlformats.org/officeDocument/2006/relationships/hyperlink" Target="https://drive.google.com/file/d/11pRREx0GN3dW0eG56LwImpB85bzKfT3G/view?usp=drive_link" TargetMode="External"/><Relationship Id="rId61" Type="http://schemas.openxmlformats.org/officeDocument/2006/relationships/hyperlink" Target="https://drive.google.com/file/d/1PipERZRthXYLaru7XX4czzso5BSouJsJ/view?usp=drive_link" TargetMode="External"/><Relationship Id="rId20" Type="http://schemas.openxmlformats.org/officeDocument/2006/relationships/hyperlink" Target="https://drive.google.com/file/d/1CUzV0cB-UvB1Pl6P1wQNVnCNc-24Aer1/view?usp=drive_link" TargetMode="External"/><Relationship Id="rId64" Type="http://schemas.openxmlformats.org/officeDocument/2006/relationships/hyperlink" Target="https://drive.google.com/file/d/1gmZfTR02UGNms-Gnc8_Ql6z9DBtXAguf/view?usp=sharing" TargetMode="External"/><Relationship Id="rId63" Type="http://schemas.openxmlformats.org/officeDocument/2006/relationships/hyperlink" Target="https://drive.google.com/file/d/1aQz4JomI1O27UNF1BwUCsu987ziC8wvY/view?usp=sharing" TargetMode="External"/><Relationship Id="rId22" Type="http://schemas.openxmlformats.org/officeDocument/2006/relationships/hyperlink" Target="https://drive.google.com/file/d/193K-5FJEBsljwFlXUaaqcZXhl0Pu54Gx/view?usp=sharing" TargetMode="External"/><Relationship Id="rId66" Type="http://schemas.openxmlformats.org/officeDocument/2006/relationships/hyperlink" Target="https://drive.google.com/file/d/1vGo4N0xSvl9ijhAnWLH5cmmQn86WuFJM/view?usp=drive_link" TargetMode="External"/><Relationship Id="rId21" Type="http://schemas.openxmlformats.org/officeDocument/2006/relationships/hyperlink" Target="https://drive.google.com/file/d/1IMWPg-sJEDJihWDRsiKHUJgSiNPRZtVa/view?usp=sharing" TargetMode="External"/><Relationship Id="rId65" Type="http://schemas.openxmlformats.org/officeDocument/2006/relationships/hyperlink" Target="https://drive.google.com/file/d/1koTMlWmHHch4f4eoRHQE1XyQst1HcktK/view?usp=sharing" TargetMode="External"/><Relationship Id="rId24" Type="http://schemas.openxmlformats.org/officeDocument/2006/relationships/hyperlink" Target="https://drive.google.com/file/d/1fyhIO7hpASZJ_xtKm4NJn111RCXbxBQp/view?usp=drive_link" TargetMode="External"/><Relationship Id="rId68" Type="http://schemas.openxmlformats.org/officeDocument/2006/relationships/hyperlink" Target="https://drive.google.com/file/d/1dAf4VFLBB9bU6KAdpyL1f-xcbRn3XUN5/view?usp=sharing" TargetMode="External"/><Relationship Id="rId23" Type="http://schemas.openxmlformats.org/officeDocument/2006/relationships/hyperlink" Target="https://drive.google.com/file/d/1x0n00JoVhUtLneHHzAmxb0qnNA8jJkQh/view?usp=drive_link" TargetMode="External"/><Relationship Id="rId67" Type="http://schemas.openxmlformats.org/officeDocument/2006/relationships/hyperlink" Target="https://drive.google.com/file/d/1CInKmAKM-GhmpJT3PYXDlnfsiLJQaMXP/view?usp=sharing" TargetMode="External"/><Relationship Id="rId60" Type="http://schemas.openxmlformats.org/officeDocument/2006/relationships/hyperlink" Target="https://drive.google.com/file/d/1vjCgawAWATVdX7ledqSov48YIJe6Scc3/view?usp=drive_link" TargetMode="External"/><Relationship Id="rId26" Type="http://schemas.openxmlformats.org/officeDocument/2006/relationships/hyperlink" Target="https://drive.google.com/file/d/1oh_tBfbWK8QFfn-fLwcoFtoeglXMD0K7/view?usp=sharing" TargetMode="External"/><Relationship Id="rId25" Type="http://schemas.openxmlformats.org/officeDocument/2006/relationships/hyperlink" Target="https://drive.google.com/file/d/1SFBzoPcIbXVxgHb3QKkSXI-Z0hKEXD9L/view?usp=drive_link" TargetMode="External"/><Relationship Id="rId69" Type="http://schemas.openxmlformats.org/officeDocument/2006/relationships/hyperlink" Target="https://drive.google.com/file/d/1cio4Z263oL_wUdnYU0_n86xIs-1Sxh_n/view?usp=sharing" TargetMode="External"/><Relationship Id="rId28" Type="http://schemas.openxmlformats.org/officeDocument/2006/relationships/hyperlink" Target="https://drive.google.com/file/d/1fMTjJxM7x0XK5g6RlUEa7fVeWaTpGYfB/view?usp=sharing" TargetMode="External"/><Relationship Id="rId27" Type="http://schemas.openxmlformats.org/officeDocument/2006/relationships/hyperlink" Target="https://drive.google.com/file/d/1N-oxe31m7lE_U_sHHAeDfG1tyM2UEAhj/view?usp=sharing" TargetMode="External"/><Relationship Id="rId29" Type="http://schemas.openxmlformats.org/officeDocument/2006/relationships/hyperlink" Target="https://drive.google.com/file/d/1tRAJddjBF1Dkhd59chVvqHnl4VQ9DPIF/view?usp=sharing" TargetMode="External"/><Relationship Id="rId51" Type="http://schemas.openxmlformats.org/officeDocument/2006/relationships/hyperlink" Target="https://drive.google.com/file/d/1PnqNQE91CGstLKMNjbwUw-B78mW7RkK3/view?usp=drive_link" TargetMode="External"/><Relationship Id="rId50" Type="http://schemas.openxmlformats.org/officeDocument/2006/relationships/hyperlink" Target="https://drive.google.com/file/d/1Ktuv35jrgQgfTDhw9sjDTQ51ry_eb0Qh/view?usp=sharing" TargetMode="External"/><Relationship Id="rId53" Type="http://schemas.openxmlformats.org/officeDocument/2006/relationships/hyperlink" Target="https://drive.google.com/file/d/1-jtDPs-CokVLNkhUn8wT01E0afoiyjJD/view?usp=sharing" TargetMode="External"/><Relationship Id="rId52" Type="http://schemas.openxmlformats.org/officeDocument/2006/relationships/hyperlink" Target="https://drive.google.com/file/d/1KyS9RHgwavM8ISFkBdXZbhWRCctnmaXZ/view?usp=drive_link" TargetMode="External"/><Relationship Id="rId11" Type="http://schemas.openxmlformats.org/officeDocument/2006/relationships/hyperlink" Target="https://drive.google.com/file/d/1YQKx9wZ9I9pS0UO7lm1_0vuIzrBDkoRm/view?usp=drive_link" TargetMode="External"/><Relationship Id="rId55" Type="http://schemas.openxmlformats.org/officeDocument/2006/relationships/hyperlink" Target="https://drive.google.com/file/d/1iKrNvqzHzhN3dYuNOPA0gOwXpKVsKsuE/view?usp=drive_link" TargetMode="External"/><Relationship Id="rId10" Type="http://schemas.openxmlformats.org/officeDocument/2006/relationships/hyperlink" Target="https://drive.google.com/file/d/1USoGtY_lbCXpngMFBSeTegE9ZLQgqrgj/view?usp=drive_link" TargetMode="External"/><Relationship Id="rId54" Type="http://schemas.openxmlformats.org/officeDocument/2006/relationships/hyperlink" Target="https://drive.google.com/file/d/1mIa7_VUdyAO9V7yW0ilUAtD9yoncQJK-/view?usp=sharing" TargetMode="External"/><Relationship Id="rId13" Type="http://schemas.openxmlformats.org/officeDocument/2006/relationships/hyperlink" Target="https://drive.google.com/file/d/1uOw4ZWzSDkOsTohxgwPRQDnUxiwR4pTW/view?usp=drive_link" TargetMode="External"/><Relationship Id="rId57" Type="http://schemas.openxmlformats.org/officeDocument/2006/relationships/hyperlink" Target="https://drive.google.com/file/d/18cAsgQdvwyj8PgJTWuyuwl--C2P8OWab/view?usp=drive_link" TargetMode="External"/><Relationship Id="rId12" Type="http://schemas.openxmlformats.org/officeDocument/2006/relationships/hyperlink" Target="https://drive.google.com/file/d/1sapAveHsun_ZcN3c4frBztRRfVvYoUkt/view?usp=drive_link" TargetMode="External"/><Relationship Id="rId56" Type="http://schemas.openxmlformats.org/officeDocument/2006/relationships/hyperlink" Target="https://drive.google.com/file/d/1Xvt3941hOx5HnXf6hxPxHdDEqhFrtfbS/view?usp=drive_link" TargetMode="External"/><Relationship Id="rId91" Type="http://schemas.openxmlformats.org/officeDocument/2006/relationships/drawing" Target="../drawings/drawing2.xml"/><Relationship Id="rId90" Type="http://schemas.openxmlformats.org/officeDocument/2006/relationships/hyperlink" Target="https://drive.google.com/file/d/1gdMQKD19ANqFQy97NIV5YjxHozINwanx/view?usp=sharing" TargetMode="External"/><Relationship Id="rId15" Type="http://schemas.openxmlformats.org/officeDocument/2006/relationships/hyperlink" Target="https://drive.google.com/file/d/1OmiLToyfALnnELijeTjSPZJ25sGHJqFh/view?usp=drive_link" TargetMode="External"/><Relationship Id="rId59" Type="http://schemas.openxmlformats.org/officeDocument/2006/relationships/hyperlink" Target="https://drive.google.com/file/d/1JNRQSH-YBNDtjpmqf6tHWZfabUx8nIjQ/view?usp=drive_link" TargetMode="External"/><Relationship Id="rId14" Type="http://schemas.openxmlformats.org/officeDocument/2006/relationships/hyperlink" Target="https://drive.google.com/file/d/15AKWByFdxJetOl0v6WgIx1M4DuPr5ibh/view?usp=drive_link" TargetMode="External"/><Relationship Id="rId58" Type="http://schemas.openxmlformats.org/officeDocument/2006/relationships/hyperlink" Target="https://drive.google.com/file/d/1LXsETVv2e935zGUUQvBLZABiZGJNJjuo/view?usp=drive_link" TargetMode="External"/><Relationship Id="rId17" Type="http://schemas.openxmlformats.org/officeDocument/2006/relationships/hyperlink" Target="https://drive.google.com/file/d/1X-1qKL-85yhINeAdd4cM1_h1caNENUE7/view?usp=sharing" TargetMode="External"/><Relationship Id="rId16" Type="http://schemas.openxmlformats.org/officeDocument/2006/relationships/hyperlink" Target="https://drive.google.com/file/d/1YTLn8RSDdWyr1b0Dlc1tWs0pS3htYZtS/view?usp=sharing" TargetMode="External"/><Relationship Id="rId19" Type="http://schemas.openxmlformats.org/officeDocument/2006/relationships/hyperlink" Target="https://drive.google.com/file/d/1SvvQ8Y9gvW9dfjlL14esl4eAKc2CmUB1/view?usp=drive_link" TargetMode="External"/><Relationship Id="rId18" Type="http://schemas.openxmlformats.org/officeDocument/2006/relationships/hyperlink" Target="https://drive.google.com/file/d/1XB_joAkWzrpa7cYdafwgjNQNFiOzeZI0/view?usp=drive_link"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20.25"/>
    <col customWidth="1" min="3" max="3" width="14.38"/>
    <col customWidth="1" min="4" max="4" width="24.5"/>
    <col customWidth="1" min="5" max="5" width="17.13"/>
    <col customWidth="1" min="6" max="6" width="20.0"/>
    <col customWidth="1" min="8" max="8" width="19.88"/>
    <col customWidth="1" min="9" max="9" width="16.25"/>
    <col customWidth="1" min="10" max="10" width="14.13"/>
    <col customWidth="1" min="12" max="12" width="16.13"/>
    <col customWidth="1" min="13" max="13" width="18.75"/>
    <col customWidth="1" min="14" max="15" width="15.25"/>
    <col customWidth="1" min="16" max="16" width="17.25"/>
  </cols>
  <sheetData>
    <row r="1">
      <c r="A1" s="1"/>
      <c r="B1" s="1"/>
      <c r="C1" s="1"/>
      <c r="D1" s="1"/>
      <c r="E1" s="1"/>
      <c r="F1" s="1"/>
      <c r="G1" s="1"/>
      <c r="H1" s="1"/>
      <c r="I1" s="1"/>
      <c r="J1" s="1"/>
      <c r="K1" s="1"/>
      <c r="L1" s="1"/>
      <c r="M1" s="1"/>
      <c r="N1" s="1"/>
      <c r="O1" s="1"/>
    </row>
    <row r="2">
      <c r="A2" s="2" t="s">
        <v>0</v>
      </c>
      <c r="B2" s="3" t="s">
        <v>1</v>
      </c>
      <c r="C2" s="1"/>
      <c r="D2" s="4" t="s">
        <v>2</v>
      </c>
      <c r="E2" s="4" t="s">
        <v>3</v>
      </c>
      <c r="F2" s="1"/>
      <c r="G2" s="1"/>
      <c r="H2" s="5"/>
      <c r="I2" s="5"/>
      <c r="J2" s="5"/>
      <c r="K2" s="5"/>
      <c r="L2" s="5"/>
      <c r="M2" s="5"/>
      <c r="N2" s="1"/>
      <c r="O2" s="1"/>
    </row>
    <row r="3">
      <c r="A3" s="2" t="s">
        <v>4</v>
      </c>
      <c r="B3" s="6"/>
      <c r="C3" s="1"/>
      <c r="D3" s="7" t="s">
        <v>5</v>
      </c>
      <c r="E3" s="8">
        <f>COUNTIF(Tahsin!K14:K1005, "High") + COUNTIF(Fahad!K7:K1003, "High")</f>
        <v>44</v>
      </c>
      <c r="F3" s="1"/>
      <c r="G3" s="1"/>
      <c r="H3" s="1"/>
      <c r="I3" s="1"/>
      <c r="J3" s="1"/>
      <c r="K3" s="1"/>
      <c r="L3" s="1"/>
      <c r="M3" s="1"/>
      <c r="N3" s="1"/>
      <c r="O3" s="1"/>
    </row>
    <row r="4">
      <c r="A4" s="2" t="s">
        <v>6</v>
      </c>
      <c r="B4" s="9"/>
      <c r="C4" s="1"/>
      <c r="D4" s="10" t="s">
        <v>7</v>
      </c>
      <c r="E4" s="8">
        <f>COUNTIF(Tahsin!K14:K1006, "Medium") + COUNTIF(Fahad!K7:K1004, "Medium")</f>
        <v>27</v>
      </c>
      <c r="F4" s="1"/>
      <c r="G4" s="1"/>
      <c r="H4" s="1"/>
      <c r="I4" s="1"/>
      <c r="J4" s="1"/>
      <c r="K4" s="1"/>
      <c r="L4" s="1"/>
      <c r="M4" s="1"/>
      <c r="N4" s="1"/>
      <c r="O4" s="1"/>
    </row>
    <row r="5">
      <c r="A5" s="2" t="s">
        <v>8</v>
      </c>
      <c r="B5" s="11"/>
      <c r="C5" s="1"/>
      <c r="D5" s="12" t="s">
        <v>9</v>
      </c>
      <c r="E5" s="8">
        <f>COUNTIF(Fahad!K7:K1005, "Low") + COUNTIF(Tahsin!K14:K1009, "Low")</f>
        <v>19</v>
      </c>
      <c r="F5" s="1"/>
      <c r="G5" s="1"/>
      <c r="H5" s="1"/>
      <c r="I5" s="1"/>
      <c r="J5" s="1"/>
      <c r="K5" s="1"/>
      <c r="L5" s="1"/>
      <c r="M5" s="1"/>
      <c r="N5" s="1"/>
      <c r="O5" s="1"/>
    </row>
    <row r="6">
      <c r="A6" s="2" t="s">
        <v>10</v>
      </c>
      <c r="B6" s="13"/>
      <c r="C6" s="1"/>
      <c r="D6" s="14"/>
      <c r="E6" s="14"/>
      <c r="F6" s="1"/>
      <c r="G6" s="1"/>
      <c r="H6" s="1"/>
      <c r="I6" s="1"/>
      <c r="J6" s="1"/>
      <c r="K6" s="1"/>
      <c r="L6" s="1"/>
      <c r="M6" s="1"/>
      <c r="N6" s="1"/>
      <c r="O6" s="1"/>
    </row>
    <row r="7">
      <c r="A7" s="2" t="s">
        <v>11</v>
      </c>
      <c r="B7" s="13"/>
      <c r="C7" s="1"/>
      <c r="D7" s="15" t="s">
        <v>12</v>
      </c>
      <c r="E7" s="16">
        <f>SUM(E3:E5)</f>
        <v>90</v>
      </c>
      <c r="F7" s="1"/>
      <c r="G7" s="1"/>
      <c r="H7" s="1"/>
      <c r="I7" s="1"/>
      <c r="J7" s="1"/>
      <c r="K7" s="1"/>
      <c r="L7" s="1"/>
      <c r="M7" s="1"/>
      <c r="N7" s="1"/>
      <c r="O7" s="1"/>
    </row>
    <row r="8">
      <c r="A8" s="1"/>
      <c r="B8" s="1"/>
      <c r="C8" s="1"/>
      <c r="D8" s="15" t="s">
        <v>13</v>
      </c>
      <c r="E8" s="16">
        <f>COUNTIF(N11:N415, "Solved")</f>
        <v>23</v>
      </c>
      <c r="F8" s="1"/>
      <c r="G8" s="1"/>
      <c r="H8" s="1"/>
      <c r="I8" s="1"/>
      <c r="J8" s="1"/>
      <c r="K8" s="1"/>
      <c r="L8" s="1"/>
      <c r="M8" s="1"/>
      <c r="N8" s="1"/>
      <c r="O8" s="1"/>
    </row>
    <row r="9">
      <c r="A9" s="1"/>
      <c r="B9" s="1"/>
      <c r="C9" s="1"/>
      <c r="D9" s="1"/>
      <c r="E9" s="1"/>
      <c r="F9" s="1"/>
      <c r="G9" s="1"/>
      <c r="H9" s="1"/>
      <c r="I9" s="1"/>
      <c r="J9" s="1"/>
      <c r="K9" s="1"/>
      <c r="L9" s="1"/>
      <c r="M9" s="1"/>
      <c r="N9" s="1"/>
      <c r="O9" s="1"/>
    </row>
    <row r="10">
      <c r="A10" s="17" t="s">
        <v>14</v>
      </c>
      <c r="B10" s="17" t="s">
        <v>15</v>
      </c>
      <c r="C10" s="17" t="s">
        <v>16</v>
      </c>
      <c r="D10" s="17" t="s">
        <v>17</v>
      </c>
      <c r="E10" s="17" t="s">
        <v>18</v>
      </c>
      <c r="F10" s="17" t="s">
        <v>19</v>
      </c>
      <c r="G10" s="17" t="s">
        <v>20</v>
      </c>
      <c r="H10" s="17" t="s">
        <v>21</v>
      </c>
      <c r="I10" s="17" t="s">
        <v>22</v>
      </c>
      <c r="J10" s="17" t="s">
        <v>23</v>
      </c>
      <c r="K10" s="17" t="s">
        <v>2</v>
      </c>
      <c r="L10" s="17" t="s">
        <v>24</v>
      </c>
      <c r="M10" s="17" t="s">
        <v>25</v>
      </c>
      <c r="N10" s="18" t="s">
        <v>26</v>
      </c>
      <c r="O10" s="18" t="s">
        <v>27</v>
      </c>
      <c r="P10" s="18" t="s">
        <v>28</v>
      </c>
      <c r="Q10" s="19"/>
      <c r="R10" s="19"/>
      <c r="S10" s="19"/>
      <c r="T10" s="19"/>
      <c r="U10" s="19"/>
      <c r="V10" s="19"/>
      <c r="W10" s="19"/>
      <c r="X10" s="19"/>
      <c r="Y10" s="19"/>
      <c r="Z10" s="19"/>
      <c r="AA10" s="19"/>
    </row>
    <row r="11">
      <c r="A11" s="20" t="str">
        <f t="array" ref="A11:A100">IF((LEN(B11:B100)+LEN(C11:C100))&gt;0, "BR-" &amp; TEXT(ROW(B11:B100)-ROW(B11)+1,"000"), "")
</f>
        <v>BR-001</v>
      </c>
      <c r="B11" s="21" t="str">
        <f>IFERROR(__xludf.DUMMYFUNCTION("QUERY(
  {
    ARRAYFORMULA({TRIM(Fahad!B7:B411), Fahad!C7:O411, IF(LEN(Fahad!B7:B411), ""Fahad"", """")});
    ARRAYFORMULA({TRIM(Tahsin!B15:B411), Tahsin!C15:O411, IF(LEN(Tahsin!B15:B411), ""Tahsin"", """")})
  },
  ""SELECT * WHERE Col1 IS NOT NULL ORD"&amp;"ER BY Col1 ASC, Col2 ASC"",
  0
)
"),"Booking")</f>
        <v>Booking</v>
      </c>
      <c r="C11" s="21" t="str">
        <f>IFERROR(__xludf.DUMMYFUNCTION("""COMPUTED_VALUE"""),"Booking")</f>
        <v>Booking</v>
      </c>
      <c r="D11" s="21" t="str">
        <f>IFERROR(__xludf.DUMMYFUNCTION("""COMPUTED_VALUE"""),"UI different from figma")</f>
        <v>UI different from figma</v>
      </c>
      <c r="E11" s="21" t="str">
        <f>IFERROR(__xludf.DUMMYFUNCTION("""COMPUTED_VALUE"""),"User need to download the Petzy apk file in their mobile device")</f>
        <v>User need to download the Petzy apk file in their mobile device</v>
      </c>
      <c r="F11" s="21" t="str">
        <f>IFERROR(__xludf.DUMMYFUNCTION("""COMPUTED_VALUE"""),"1. Open app
2. Login using valid credential
3. Click on booking in bottom option")</f>
        <v>1. Open app
2. Login using valid credential
3. Click on booking in bottom option</v>
      </c>
      <c r="G11" s="21" t="str">
        <f>IFERROR(__xludf.DUMMYFUNCTION("""COMPUTED_VALUE"""),"User Credential")</f>
        <v>User Credential</v>
      </c>
      <c r="H11" s="21" t="str">
        <f>IFERROR(__xludf.DUMMYFUNCTION("""COMPUTED_VALUE"""),"App UI should be as same as figma design")</f>
        <v>App UI should be as same as figma design</v>
      </c>
      <c r="I11" s="21" t="str">
        <f>IFERROR(__xludf.DUMMYFUNCTION("""COMPUTED_VALUE"""),"Different design noticed in apk")</f>
        <v>Different design noticed in apk</v>
      </c>
      <c r="J11" s="21" t="str">
        <f>IFERROR(__xludf.DUMMYFUNCTION("""COMPUTED_VALUE"""),"Fail")</f>
        <v>Fail</v>
      </c>
      <c r="K11" s="21" t="str">
        <f>IFERROR(__xludf.DUMMYFUNCTION("""COMPUTED_VALUE"""),"Low")</f>
        <v>Low</v>
      </c>
      <c r="L11" s="22" t="str">
        <f>IFERROR(__xludf.DUMMYFUNCTION("""COMPUTED_VALUE"""),"037.png")</f>
        <v>037.png</v>
      </c>
      <c r="M11" s="21"/>
      <c r="N11" s="23" t="str">
        <f>IFERROR(__xludf.DUMMYFUNCTION("""COMPUTED_VALUE"""),"Solved")</f>
        <v>Solved</v>
      </c>
      <c r="O11" s="23" t="str">
        <f>IFERROR(__xludf.DUMMYFUNCTION("""COMPUTED_VALUE"""),"Please check Update Apk")</f>
        <v>Please check Update Apk</v>
      </c>
      <c r="P11" s="23" t="str">
        <f>IFERROR(__xludf.DUMMYFUNCTION("""COMPUTED_VALUE"""),"Fahad")</f>
        <v>Fahad</v>
      </c>
      <c r="Q11" s="24"/>
      <c r="R11" s="24"/>
      <c r="S11" s="24"/>
      <c r="T11" s="24"/>
      <c r="U11" s="24"/>
      <c r="V11" s="24"/>
      <c r="W11" s="24"/>
      <c r="X11" s="24"/>
      <c r="Y11" s="24"/>
      <c r="Z11" s="24"/>
      <c r="AA11" s="24"/>
    </row>
    <row r="12">
      <c r="A12" s="25" t="s">
        <v>29</v>
      </c>
      <c r="B12" s="26" t="str">
        <f>IFERROR(__xludf.DUMMYFUNCTION("""COMPUTED_VALUE"""),"Booking")</f>
        <v>Booking</v>
      </c>
      <c r="C12" s="26" t="str">
        <f>IFERROR(__xludf.DUMMYFUNCTION("""COMPUTED_VALUE"""),"Booking")</f>
        <v>Booking</v>
      </c>
      <c r="D12" s="26" t="str">
        <f>IFERROR(__xludf.DUMMYFUNCTION("""COMPUTED_VALUE"""),"Booking button in booking page which is not functional")</f>
        <v>Booking button in booking page which is not functional</v>
      </c>
      <c r="E12" s="26" t="str">
        <f>IFERROR(__xludf.DUMMYFUNCTION("""COMPUTED_VALUE"""),"User need to download the Petzy apk file in their mobile device")</f>
        <v>User need to download the Petzy apk file in their mobile device</v>
      </c>
      <c r="F12" s="26" t="str">
        <f>IFERROR(__xludf.DUMMYFUNCTION("""COMPUTED_VALUE"""),"1. Open app
2. Login using valid credential
3. Click on booking in bottom option")</f>
        <v>1. Open app
2. Login using valid credential
3. Click on booking in bottom option</v>
      </c>
      <c r="G12" s="26" t="str">
        <f>IFERROR(__xludf.DUMMYFUNCTION("""COMPUTED_VALUE"""),"User Credential")</f>
        <v>User Credential</v>
      </c>
      <c r="H12" s="26" t="str">
        <f>IFERROR(__xludf.DUMMYFUNCTION("""COMPUTED_VALUE"""),"The functional button should be positioned accurately.")</f>
        <v>The functional button should be positioned accurately.</v>
      </c>
      <c r="I12" s="26" t="str">
        <f>IFERROR(__xludf.DUMMYFUNCTION("""COMPUTED_VALUE"""),"Booking button placed in filter button place")</f>
        <v>Booking button placed in filter button place</v>
      </c>
      <c r="J12" s="26" t="str">
        <f>IFERROR(__xludf.DUMMYFUNCTION("""COMPUTED_VALUE"""),"Fail")</f>
        <v>Fail</v>
      </c>
      <c r="K12" s="26" t="str">
        <f>IFERROR(__xludf.DUMMYFUNCTION("""COMPUTED_VALUE"""),"High")</f>
        <v>High</v>
      </c>
      <c r="L12" s="27" t="str">
        <f>IFERROR(__xludf.DUMMYFUNCTION("""COMPUTED_VALUE"""),"038.png")</f>
        <v>038.png</v>
      </c>
      <c r="M12" s="26"/>
      <c r="N12" s="26" t="str">
        <f>IFERROR(__xludf.DUMMYFUNCTION("""COMPUTED_VALUE"""),"Solved")</f>
        <v>Solved</v>
      </c>
      <c r="O12" s="25" t="str">
        <f>IFERROR(__xludf.DUMMYFUNCTION("""COMPUTED_VALUE"""),"Please check Update Apk")</f>
        <v>Please check Update Apk</v>
      </c>
      <c r="P12" s="26" t="str">
        <f>IFERROR(__xludf.DUMMYFUNCTION("""COMPUTED_VALUE"""),"Fahad")</f>
        <v>Fahad</v>
      </c>
      <c r="Q12" s="24"/>
      <c r="R12" s="24"/>
      <c r="S12" s="24"/>
      <c r="T12" s="24"/>
      <c r="U12" s="24"/>
      <c r="V12" s="24"/>
      <c r="W12" s="24"/>
      <c r="X12" s="24"/>
      <c r="Y12" s="24"/>
      <c r="Z12" s="24"/>
      <c r="AA12" s="24"/>
    </row>
    <row r="13">
      <c r="A13" s="25" t="s">
        <v>30</v>
      </c>
      <c r="B13" s="26" t="str">
        <f>IFERROR(__xludf.DUMMYFUNCTION("""COMPUTED_VALUE"""),"Community")</f>
        <v>Community</v>
      </c>
      <c r="C13" s="26" t="str">
        <f>IFERROR(__xludf.DUMMYFUNCTION("""COMPUTED_VALUE"""),"Community")</f>
        <v>Community</v>
      </c>
      <c r="D13" s="26" t="str">
        <f>IFERROR(__xludf.DUMMYFUNCTION("""COMPUTED_VALUE"""),"Add photo section missing in community")</f>
        <v>Add photo section missing in community</v>
      </c>
      <c r="E13" s="26" t="str">
        <f>IFERROR(__xludf.DUMMYFUNCTION("""COMPUTED_VALUE"""),"User need to download the Petzy apk file in their mobile device")</f>
        <v>User need to download the Petzy apk file in their mobile device</v>
      </c>
      <c r="F13" s="26" t="str">
        <f>IFERROR(__xludf.DUMMYFUNCTION("""COMPUTED_VALUE"""),"1. Open app
2. Login using valid credential
3. Click on Community")</f>
        <v>1. Open app
2. Login using valid credential
3. Click on Community</v>
      </c>
      <c r="G13" s="26" t="str">
        <f>IFERROR(__xludf.DUMMYFUNCTION("""COMPUTED_VALUE"""),"User Credential")</f>
        <v>User Credential</v>
      </c>
      <c r="H13" s="26" t="str">
        <f>IFERROR(__xludf.DUMMYFUNCTION("""COMPUTED_VALUE"""),"The UI should match the Figma design accurately.")</f>
        <v>The UI should match the Figma design accurately.</v>
      </c>
      <c r="I13" s="26" t="str">
        <f>IFERROR(__xludf.DUMMYFUNCTION("""COMPUTED_VALUE"""),"Add photo button missing in community section")</f>
        <v>Add photo button missing in community section</v>
      </c>
      <c r="J13" s="26" t="str">
        <f>IFERROR(__xludf.DUMMYFUNCTION("""COMPUTED_VALUE"""),"Fail")</f>
        <v>Fail</v>
      </c>
      <c r="K13" s="26" t="str">
        <f>IFERROR(__xludf.DUMMYFUNCTION("""COMPUTED_VALUE"""),"High")</f>
        <v>High</v>
      </c>
      <c r="L13" s="27" t="str">
        <f>IFERROR(__xludf.DUMMYFUNCTION("""COMPUTED_VALUE"""),"039.png")</f>
        <v>039.png</v>
      </c>
      <c r="M13" s="26"/>
      <c r="N13" s="26" t="str">
        <f>IFERROR(__xludf.DUMMYFUNCTION("""COMPUTED_VALUE"""),"Solved")</f>
        <v>Solved</v>
      </c>
      <c r="O13" s="26" t="str">
        <f>IFERROR(__xludf.DUMMYFUNCTION("""COMPUTED_VALUE"""),"Please check Update Apk")</f>
        <v>Please check Update Apk</v>
      </c>
      <c r="P13" s="26" t="str">
        <f>IFERROR(__xludf.DUMMYFUNCTION("""COMPUTED_VALUE"""),"Fahad")</f>
        <v>Fahad</v>
      </c>
      <c r="Q13" s="24"/>
      <c r="R13" s="24"/>
      <c r="S13" s="24"/>
      <c r="T13" s="24"/>
      <c r="U13" s="24"/>
      <c r="V13" s="24"/>
      <c r="W13" s="24"/>
      <c r="X13" s="24"/>
      <c r="Y13" s="24"/>
      <c r="Z13" s="24"/>
      <c r="AA13" s="24"/>
    </row>
    <row r="14">
      <c r="A14" s="25" t="s">
        <v>31</v>
      </c>
      <c r="B14" s="26" t="str">
        <f>IFERROR(__xludf.DUMMYFUNCTION("""COMPUTED_VALUE"""),"Community")</f>
        <v>Community</v>
      </c>
      <c r="C14" s="26" t="str">
        <f>IFERROR(__xludf.DUMMYFUNCTION("""COMPUTED_VALUE"""),"Community")</f>
        <v>Community</v>
      </c>
      <c r="D14" s="26" t="str">
        <f>IFERROR(__xludf.DUMMYFUNCTION("""COMPUTED_VALUE"""),"Failed to display pet name in community post")</f>
        <v>Failed to display pet name in community post</v>
      </c>
      <c r="E14" s="26" t="str">
        <f>IFERROR(__xludf.DUMMYFUNCTION("""COMPUTED_VALUE"""),"User need to download the Petzy apk file in their mobile device")</f>
        <v>User need to download the Petzy apk file in their mobile device</v>
      </c>
      <c r="F14" s="26" t="str">
        <f>IFERROR(__xludf.DUMMYFUNCTION("""COMPUTED_VALUE"""),"1. Open app
2. Login using valid credential
3. Click on Community")</f>
        <v>1. Open app
2. Login using valid credential
3. Click on Community</v>
      </c>
      <c r="G14" s="26" t="str">
        <f>IFERROR(__xludf.DUMMYFUNCTION("""COMPUTED_VALUE"""),"User Credential")</f>
        <v>User Credential</v>
      </c>
      <c r="H14" s="26" t="str">
        <f>IFERROR(__xludf.DUMMYFUNCTION("""COMPUTED_VALUE"""),"User and pet name should be displayed as per as client requirement")</f>
        <v>User and pet name should be displayed as per as client requirement</v>
      </c>
      <c r="I14" s="26" t="str">
        <f>IFERROR(__xludf.DUMMYFUNCTION("""COMPUTED_VALUE"""),"Failed to display pet name with user name in community post")</f>
        <v>Failed to display pet name with user name in community post</v>
      </c>
      <c r="J14" s="26" t="str">
        <f>IFERROR(__xludf.DUMMYFUNCTION("""COMPUTED_VALUE"""),"Fail")</f>
        <v>Fail</v>
      </c>
      <c r="K14" s="26" t="str">
        <f>IFERROR(__xludf.DUMMYFUNCTION("""COMPUTED_VALUE"""),"High")</f>
        <v>High</v>
      </c>
      <c r="L14" s="27" t="str">
        <f>IFERROR(__xludf.DUMMYFUNCTION("""COMPUTED_VALUE"""),"040.png")</f>
        <v>040.png</v>
      </c>
      <c r="M14" s="26"/>
      <c r="N14" s="26" t="str">
        <f>IFERROR(__xludf.DUMMYFUNCTION("""COMPUTED_VALUE"""),"Solved")</f>
        <v>Solved</v>
      </c>
      <c r="O14" s="26"/>
      <c r="P14" s="26" t="str">
        <f>IFERROR(__xludf.DUMMYFUNCTION("""COMPUTED_VALUE"""),"Fahad")</f>
        <v>Fahad</v>
      </c>
      <c r="Q14" s="24"/>
      <c r="R14" s="24"/>
      <c r="S14" s="24"/>
      <c r="T14" s="24"/>
      <c r="U14" s="24"/>
      <c r="V14" s="24"/>
      <c r="W14" s="24"/>
      <c r="X14" s="24"/>
      <c r="Y14" s="24"/>
      <c r="Z14" s="24"/>
      <c r="AA14" s="24"/>
    </row>
    <row r="15">
      <c r="A15" s="25" t="s">
        <v>32</v>
      </c>
      <c r="B15" s="26" t="str">
        <f>IFERROR(__xludf.DUMMYFUNCTION("""COMPUTED_VALUE"""),"Community")</f>
        <v>Community</v>
      </c>
      <c r="C15" s="26" t="str">
        <f>IFERROR(__xludf.DUMMYFUNCTION("""COMPUTED_VALUE"""),"Community")</f>
        <v>Community</v>
      </c>
      <c r="D15" s="26" t="str">
        <f>IFERROR(__xludf.DUMMYFUNCTION("""COMPUTED_VALUE"""),"Options like Report, Don’t Recommend, and similar features found on Facebook are missing.")</f>
        <v>Options like Report, Don’t Recommend, and similar features found on Facebook are missing.</v>
      </c>
      <c r="E15" s="26" t="str">
        <f>IFERROR(__xludf.DUMMYFUNCTION("""COMPUTED_VALUE"""),"User need to download the Petzy apk file in their mobile device")</f>
        <v>User need to download the Petzy apk file in their mobile device</v>
      </c>
      <c r="F15" s="26" t="str">
        <f>IFERROR(__xludf.DUMMYFUNCTION("""COMPUTED_VALUE"""),"1. Open app
2. Login using valid credential
3. Click on Community")</f>
        <v>1. Open app
2. Login using valid credential
3. Click on Community</v>
      </c>
      <c r="G15" s="26" t="str">
        <f>IFERROR(__xludf.DUMMYFUNCTION("""COMPUTED_VALUE"""),"User Credential")</f>
        <v>User Credential</v>
      </c>
      <c r="H15" s="26" t="str">
        <f>IFERROR(__xludf.DUMMYFUNCTION("""COMPUTED_VALUE"""),"Should be implement as per as client requirement")</f>
        <v>Should be implement as per as client requirement</v>
      </c>
      <c r="I15" s="26" t="str">
        <f>IFERROR(__xludf.DUMMYFUNCTION("""COMPUTED_VALUE"""),"Missing feature")</f>
        <v>Missing feature</v>
      </c>
      <c r="J15" s="26" t="str">
        <f>IFERROR(__xludf.DUMMYFUNCTION("""COMPUTED_VALUE"""),"Fail")</f>
        <v>Fail</v>
      </c>
      <c r="K15" s="26" t="str">
        <f>IFERROR(__xludf.DUMMYFUNCTION("""COMPUTED_VALUE"""),"High")</f>
        <v>High</v>
      </c>
      <c r="L15" s="27" t="str">
        <f>IFERROR(__xludf.DUMMYFUNCTION("""COMPUTED_VALUE"""),"041.png")</f>
        <v>041.png</v>
      </c>
      <c r="M15" s="26"/>
      <c r="N15" s="26"/>
      <c r="O15" s="26"/>
      <c r="P15" s="26" t="str">
        <f>IFERROR(__xludf.DUMMYFUNCTION("""COMPUTED_VALUE"""),"Fahad")</f>
        <v>Fahad</v>
      </c>
      <c r="Q15" s="24"/>
      <c r="R15" s="24"/>
      <c r="S15" s="24"/>
      <c r="T15" s="24"/>
      <c r="U15" s="24"/>
      <c r="V15" s="24"/>
      <c r="W15" s="24"/>
      <c r="X15" s="24"/>
      <c r="Y15" s="24"/>
      <c r="Z15" s="24"/>
      <c r="AA15" s="24"/>
    </row>
    <row r="16">
      <c r="A16" s="25" t="s">
        <v>33</v>
      </c>
      <c r="B16" s="26" t="str">
        <f>IFERROR(__xludf.DUMMYFUNCTION("""COMPUTED_VALUE"""),"Community")</f>
        <v>Community</v>
      </c>
      <c r="C16" s="26" t="str">
        <f>IFERROR(__xludf.DUMMYFUNCTION("""COMPUTED_VALUE"""),"Community")</f>
        <v>Community</v>
      </c>
      <c r="D16" s="26" t="str">
        <f>IFERROR(__xludf.DUMMYFUNCTION("""COMPUTED_VALUE"""),"UI different from figma")</f>
        <v>UI different from figma</v>
      </c>
      <c r="E16" s="26" t="str">
        <f>IFERROR(__xludf.DUMMYFUNCTION("""COMPUTED_VALUE"""),"User need to download the Petzy apk file in their mobile device")</f>
        <v>User need to download the Petzy apk file in their mobile device</v>
      </c>
      <c r="F16" s="26" t="str">
        <f>IFERROR(__xludf.DUMMYFUNCTION("""COMPUTED_VALUE"""),"1. Open app
2. Login using valid credential
3. Click on Community
4. Click on post")</f>
        <v>1. Open app
2. Login using valid credential
3. Click on Community
4. Click on post</v>
      </c>
      <c r="G16" s="26" t="str">
        <f>IFERROR(__xludf.DUMMYFUNCTION("""COMPUTED_VALUE"""),"User Credential")</f>
        <v>User Credential</v>
      </c>
      <c r="H16" s="26" t="str">
        <f>IFERROR(__xludf.DUMMYFUNCTION("""COMPUTED_VALUE"""),"App UI should be as same as figma design")</f>
        <v>App UI should be as same as figma design</v>
      </c>
      <c r="I16" s="26" t="str">
        <f>IFERROR(__xludf.DUMMYFUNCTION("""COMPUTED_VALUE"""),"Different design noticed in apk")</f>
        <v>Different design noticed in apk</v>
      </c>
      <c r="J16" s="26" t="str">
        <f>IFERROR(__xludf.DUMMYFUNCTION("""COMPUTED_VALUE"""),"Fail")</f>
        <v>Fail</v>
      </c>
      <c r="K16" s="26" t="str">
        <f>IFERROR(__xludf.DUMMYFUNCTION("""COMPUTED_VALUE"""),"Low")</f>
        <v>Low</v>
      </c>
      <c r="L16" s="27" t="str">
        <f>IFERROR(__xludf.DUMMYFUNCTION("""COMPUTED_VALUE"""),"042.png")</f>
        <v>042.png</v>
      </c>
      <c r="M16" s="26"/>
      <c r="N16" s="26"/>
      <c r="O16" s="26" t="str">
        <f>IFERROR(__xludf.DUMMYFUNCTION("""COMPUTED_VALUE"""),"Figma will update ")</f>
        <v>Figma will update </v>
      </c>
      <c r="P16" s="26" t="str">
        <f>IFERROR(__xludf.DUMMYFUNCTION("""COMPUTED_VALUE"""),"Fahad")</f>
        <v>Fahad</v>
      </c>
      <c r="Q16" s="24"/>
      <c r="R16" s="24"/>
      <c r="S16" s="24"/>
      <c r="T16" s="24"/>
      <c r="U16" s="24"/>
      <c r="V16" s="24"/>
      <c r="W16" s="24"/>
      <c r="X16" s="24"/>
      <c r="Y16" s="24"/>
      <c r="Z16" s="24"/>
      <c r="AA16" s="24"/>
    </row>
    <row r="17">
      <c r="A17" s="25" t="s">
        <v>34</v>
      </c>
      <c r="B17" s="26" t="str">
        <f>IFERROR(__xludf.DUMMYFUNCTION("""COMPUTED_VALUE"""),"Community")</f>
        <v>Community</v>
      </c>
      <c r="C17" s="26" t="str">
        <f>IFERROR(__xludf.DUMMYFUNCTION("""COMPUTED_VALUE"""),"Community")</f>
        <v>Community</v>
      </c>
      <c r="D17" s="26" t="str">
        <f>IFERROR(__xludf.DUMMYFUNCTION("""COMPUTED_VALUE"""),"Share post button placement issue")</f>
        <v>Share post button placement issue</v>
      </c>
      <c r="E17" s="26" t="str">
        <f>IFERROR(__xludf.DUMMYFUNCTION("""COMPUTED_VALUE"""),"User need to download the Petzy apk file in their mobile device")</f>
        <v>User need to download the Petzy apk file in their mobile device</v>
      </c>
      <c r="F17" s="26" t="str">
        <f>IFERROR(__xludf.DUMMYFUNCTION("""COMPUTED_VALUE"""),"1. Open app
2. Login using valid credential
3. Click on Community
4. Click on post")</f>
        <v>1. Open app
2. Login using valid credential
3. Click on Community
4. Click on post</v>
      </c>
      <c r="G17" s="26" t="str">
        <f>IFERROR(__xludf.DUMMYFUNCTION("""COMPUTED_VALUE"""),"User Credential")</f>
        <v>User Credential</v>
      </c>
      <c r="H17" s="26" t="str">
        <f>IFERROR(__xludf.DUMMYFUNCTION("""COMPUTED_VALUE"""),"App UI should be as same as figma design")</f>
        <v>App UI should be as same as figma design</v>
      </c>
      <c r="I17" s="26" t="str">
        <f>IFERROR(__xludf.DUMMYFUNCTION("""COMPUTED_VALUE"""),"Different design noticed in apk")</f>
        <v>Different design noticed in apk</v>
      </c>
      <c r="J17" s="26" t="str">
        <f>IFERROR(__xludf.DUMMYFUNCTION("""COMPUTED_VALUE"""),"Fail")</f>
        <v>Fail</v>
      </c>
      <c r="K17" s="26" t="str">
        <f>IFERROR(__xludf.DUMMYFUNCTION("""COMPUTED_VALUE"""),"Medium")</f>
        <v>Medium</v>
      </c>
      <c r="L17" s="27" t="str">
        <f>IFERROR(__xludf.DUMMYFUNCTION("""COMPUTED_VALUE"""),"043.png")</f>
        <v>043.png</v>
      </c>
      <c r="M17" s="26"/>
      <c r="N17" s="26"/>
      <c r="O17" s="26"/>
      <c r="P17" s="26" t="str">
        <f>IFERROR(__xludf.DUMMYFUNCTION("""COMPUTED_VALUE"""),"Fahad")</f>
        <v>Fahad</v>
      </c>
      <c r="Q17" s="24"/>
      <c r="R17" s="24"/>
      <c r="S17" s="24"/>
      <c r="T17" s="24"/>
      <c r="U17" s="24"/>
      <c r="V17" s="24"/>
      <c r="W17" s="24"/>
      <c r="X17" s="24"/>
      <c r="Y17" s="24"/>
      <c r="Z17" s="24"/>
      <c r="AA17" s="24"/>
    </row>
    <row r="18">
      <c r="A18" s="25" t="s">
        <v>35</v>
      </c>
      <c r="B18" s="26" t="str">
        <f>IFERROR(__xludf.DUMMYFUNCTION("""COMPUTED_VALUE"""),"Community")</f>
        <v>Community</v>
      </c>
      <c r="C18" s="26" t="str">
        <f>IFERROR(__xludf.DUMMYFUNCTION("""COMPUTED_VALUE"""),"Community")</f>
        <v>Community</v>
      </c>
      <c r="D18" s="26" t="str">
        <f>IFERROR(__xludf.DUMMYFUNCTION("""COMPUTED_VALUE"""),"The UI looks different from the Figma design.")</f>
        <v>The UI looks different from the Figma design.</v>
      </c>
      <c r="E18" s="26" t="str">
        <f>IFERROR(__xludf.DUMMYFUNCTION("""COMPUTED_VALUE"""),"User need to download the Petzy apk file in their mobile device")</f>
        <v>User need to download the Petzy apk file in their mobile device</v>
      </c>
      <c r="F18" s="26" t="str">
        <f>IFERROR(__xludf.DUMMYFUNCTION("""COMPUTED_VALUE"""),"1. Open app
2. Login using valid credential
3. Click on Community
4. Click on post")</f>
        <v>1. Open app
2. Login using valid credential
3. Click on Community
4. Click on post</v>
      </c>
      <c r="G18" s="26" t="str">
        <f>IFERROR(__xludf.DUMMYFUNCTION("""COMPUTED_VALUE"""),"User Credential")</f>
        <v>User Credential</v>
      </c>
      <c r="H18" s="26" t="str">
        <f>IFERROR(__xludf.DUMMYFUNCTION("""COMPUTED_VALUE"""),"App UI should be as same as figma design")</f>
        <v>App UI should be as same as figma design</v>
      </c>
      <c r="I18" s="26" t="str">
        <f>IFERROR(__xludf.DUMMYFUNCTION("""COMPUTED_VALUE"""),"Different design noticed in apk")</f>
        <v>Different design noticed in apk</v>
      </c>
      <c r="J18" s="26" t="str">
        <f>IFERROR(__xludf.DUMMYFUNCTION("""COMPUTED_VALUE"""),"Fail")</f>
        <v>Fail</v>
      </c>
      <c r="K18" s="26" t="str">
        <f>IFERROR(__xludf.DUMMYFUNCTION("""COMPUTED_VALUE"""),"Medium")</f>
        <v>Medium</v>
      </c>
      <c r="L18" s="27" t="str">
        <f>IFERROR(__xludf.DUMMYFUNCTION("""COMPUTED_VALUE"""),"044.png")</f>
        <v>044.png</v>
      </c>
      <c r="M18" s="26"/>
      <c r="N18" s="26"/>
      <c r="O18" s="26"/>
      <c r="P18" s="26" t="str">
        <f>IFERROR(__xludf.DUMMYFUNCTION("""COMPUTED_VALUE"""),"Fahad")</f>
        <v>Fahad</v>
      </c>
      <c r="Q18" s="24"/>
      <c r="R18" s="24"/>
      <c r="S18" s="24"/>
      <c r="T18" s="24"/>
      <c r="U18" s="24"/>
      <c r="V18" s="24"/>
      <c r="W18" s="24"/>
      <c r="X18" s="24"/>
      <c r="Y18" s="24"/>
      <c r="Z18" s="24"/>
      <c r="AA18" s="24"/>
    </row>
    <row r="19">
      <c r="A19" s="25" t="s">
        <v>36</v>
      </c>
      <c r="B19" s="26" t="str">
        <f>IFERROR(__xludf.DUMMYFUNCTION("""COMPUTED_VALUE"""),"Community")</f>
        <v>Community</v>
      </c>
      <c r="C19" s="26" t="str">
        <f>IFERROR(__xludf.DUMMYFUNCTION("""COMPUTED_VALUE"""),"Community")</f>
        <v>Community</v>
      </c>
      <c r="D19" s="26" t="str">
        <f>IFERROR(__xludf.DUMMYFUNCTION("""COMPUTED_VALUE"""),"The feature didn’t work.")</f>
        <v>The feature didn’t work.</v>
      </c>
      <c r="E19" s="26" t="str">
        <f>IFERROR(__xludf.DUMMYFUNCTION("""COMPUTED_VALUE"""),"User need to download the Petzy apk file in their mobile device")</f>
        <v>User need to download the Petzy apk file in their mobile device</v>
      </c>
      <c r="F19" s="26" t="str">
        <f>IFERROR(__xludf.DUMMYFUNCTION("""COMPUTED_VALUE"""),"1. Open app
2. Login using valid credential
3. Click on Community
4. Click on post")</f>
        <v>1. Open app
2. Login using valid credential
3. Click on Community
4. Click on post</v>
      </c>
      <c r="G19" s="26" t="str">
        <f>IFERROR(__xludf.DUMMYFUNCTION("""COMPUTED_VALUE"""),"User Credential")</f>
        <v>User Credential</v>
      </c>
      <c r="H19" s="26" t="str">
        <f>IFERROR(__xludf.DUMMYFUNCTION("""COMPUTED_VALUE"""),"Functionality needs to be precise.")</f>
        <v>Functionality needs to be precise.</v>
      </c>
      <c r="I19" s="26" t="str">
        <f>IFERROR(__xludf.DUMMYFUNCTION("""COMPUTED_VALUE"""),"Unable to open gif")</f>
        <v>Unable to open gif</v>
      </c>
      <c r="J19" s="26" t="str">
        <f>IFERROR(__xludf.DUMMYFUNCTION("""COMPUTED_VALUE"""),"Fail")</f>
        <v>Fail</v>
      </c>
      <c r="K19" s="26" t="str">
        <f>IFERROR(__xludf.DUMMYFUNCTION("""COMPUTED_VALUE"""),"High")</f>
        <v>High</v>
      </c>
      <c r="L19" s="27" t="str">
        <f>IFERROR(__xludf.DUMMYFUNCTION("""COMPUTED_VALUE"""),"045.png")</f>
        <v>045.png</v>
      </c>
      <c r="M19" s="26"/>
      <c r="N19" s="26"/>
      <c r="O19" s="26" t="str">
        <f>IFERROR(__xludf.DUMMYFUNCTION("""COMPUTED_VALUE"""),"Rmoved this feature")</f>
        <v>Rmoved this feature</v>
      </c>
      <c r="P19" s="26" t="str">
        <f>IFERROR(__xludf.DUMMYFUNCTION("""COMPUTED_VALUE"""),"Fahad")</f>
        <v>Fahad</v>
      </c>
      <c r="Q19" s="24"/>
      <c r="R19" s="24"/>
      <c r="S19" s="24"/>
      <c r="T19" s="24"/>
      <c r="U19" s="24"/>
      <c r="V19" s="24"/>
      <c r="W19" s="24"/>
      <c r="X19" s="24"/>
      <c r="Y19" s="24"/>
      <c r="Z19" s="24"/>
      <c r="AA19" s="24"/>
    </row>
    <row r="20">
      <c r="A20" s="25" t="s">
        <v>37</v>
      </c>
      <c r="B20" s="26" t="str">
        <f>IFERROR(__xludf.DUMMYFUNCTION("""COMPUTED_VALUE"""),"Community")</f>
        <v>Community</v>
      </c>
      <c r="C20" s="26" t="str">
        <f>IFERROR(__xludf.DUMMYFUNCTION("""COMPUTED_VALUE"""),"Location")</f>
        <v>Location</v>
      </c>
      <c r="D20" s="26" t="str">
        <f>IFERROR(__xludf.DUMMYFUNCTION("""COMPUTED_VALUE"""),"Selected 2nd one but 1st one also shown as selected")</f>
        <v>Selected 2nd one but 1st one also shown as selected</v>
      </c>
      <c r="E20" s="26" t="str">
        <f>IFERROR(__xludf.DUMMYFUNCTION("""COMPUTED_VALUE"""),"User need to download the Petzy apk file in their mobile device")</f>
        <v>User need to download the Petzy apk file in their mobile device</v>
      </c>
      <c r="F20" s="26" t="str">
        <f>IFERROR(__xludf.DUMMYFUNCTION("""COMPUTED_VALUE"""),"1. Open app
2. Login using valid credential
3. Click on Home")</f>
        <v>1. Open app
2. Login using valid credential
3. Click on Home</v>
      </c>
      <c r="G20" s="26" t="str">
        <f>IFERROR(__xludf.DUMMYFUNCTION("""COMPUTED_VALUE"""),"User Credential")</f>
        <v>User Credential</v>
      </c>
      <c r="H20" s="26" t="str">
        <f>IFERROR(__xludf.DUMMYFUNCTION("""COMPUTED_VALUE"""),"Only one location should be selected")</f>
        <v>Only one location should be selected</v>
      </c>
      <c r="I20" s="26" t="str">
        <f>IFERROR(__xludf.DUMMYFUNCTION("""COMPUTED_VALUE"""),"Shown multiple location selected but only one location is selected")</f>
        <v>Shown multiple location selected but only one location is selected</v>
      </c>
      <c r="J20" s="26" t="str">
        <f>IFERROR(__xludf.DUMMYFUNCTION("""COMPUTED_VALUE"""),"Fail")</f>
        <v>Fail</v>
      </c>
      <c r="K20" s="26" t="str">
        <f>IFERROR(__xludf.DUMMYFUNCTION("""COMPUTED_VALUE"""),"Medium")</f>
        <v>Medium</v>
      </c>
      <c r="L20" s="27" t="str">
        <f>IFERROR(__xludf.DUMMYFUNCTION("""COMPUTED_VALUE"""),"049.png")</f>
        <v>049.png</v>
      </c>
      <c r="M20" s="26"/>
      <c r="N20" s="26"/>
      <c r="O20" s="26"/>
      <c r="P20" s="26" t="str">
        <f>IFERROR(__xludf.DUMMYFUNCTION("""COMPUTED_VALUE"""),"Fahad")</f>
        <v>Fahad</v>
      </c>
      <c r="Q20" s="24"/>
      <c r="R20" s="24"/>
      <c r="S20" s="24"/>
      <c r="T20" s="24"/>
      <c r="U20" s="24"/>
      <c r="V20" s="24"/>
      <c r="W20" s="24"/>
      <c r="X20" s="24"/>
      <c r="Y20" s="24"/>
      <c r="Z20" s="24"/>
      <c r="AA20" s="24"/>
    </row>
    <row r="21">
      <c r="A21" s="25" t="s">
        <v>38</v>
      </c>
      <c r="B21" s="26" t="str">
        <f>IFERROR(__xludf.DUMMYFUNCTION("""COMPUTED_VALUE"""),"Home Screen")</f>
        <v>Home Screen</v>
      </c>
      <c r="C21" s="26" t="str">
        <f>IFERROR(__xludf.DUMMYFUNCTION("""COMPUTED_VALUE"""),"Post")</f>
        <v>Post</v>
      </c>
      <c r="D21" s="26" t="str">
        <f>IFERROR(__xludf.DUMMYFUNCTION("""COMPUTED_VALUE"""),"UI different from figma")</f>
        <v>UI different from figma</v>
      </c>
      <c r="E21" s="26" t="str">
        <f>IFERROR(__xludf.DUMMYFUNCTION("""COMPUTED_VALUE"""),"User need to download the Petzy apk file in their mobile device")</f>
        <v>User need to download the Petzy apk file in their mobile device</v>
      </c>
      <c r="F21" s="26" t="str">
        <f>IFERROR(__xludf.DUMMYFUNCTION("""COMPUTED_VALUE"""),"1. Open app
2. Login using valid credential
3. Click on Home
4. Click on post")</f>
        <v>1. Open app
2. Login using valid credential
3. Click on Home
4. Click on post</v>
      </c>
      <c r="G21" s="26" t="str">
        <f>IFERROR(__xludf.DUMMYFUNCTION("""COMPUTED_VALUE"""),"User Credential")</f>
        <v>User Credential</v>
      </c>
      <c r="H21" s="26" t="str">
        <f>IFERROR(__xludf.DUMMYFUNCTION("""COMPUTED_VALUE"""),"App UI should be as same as figma design")</f>
        <v>App UI should be as same as figma design</v>
      </c>
      <c r="I21" s="26" t="str">
        <f>IFERROR(__xludf.DUMMYFUNCTION("""COMPUTED_VALUE"""),"Different design noticed in apk")</f>
        <v>Different design noticed in apk</v>
      </c>
      <c r="J21" s="26" t="str">
        <f>IFERROR(__xludf.DUMMYFUNCTION("""COMPUTED_VALUE"""),"Fail")</f>
        <v>Fail</v>
      </c>
      <c r="K21" s="26" t="str">
        <f>IFERROR(__xludf.DUMMYFUNCTION("""COMPUTED_VALUE"""),"Low")</f>
        <v>Low</v>
      </c>
      <c r="L21" s="27" t="str">
        <f>IFERROR(__xludf.DUMMYFUNCTION("""COMPUTED_VALUE"""),"051.png")</f>
        <v>051.png</v>
      </c>
      <c r="M21" s="26"/>
      <c r="N21" s="26"/>
      <c r="O21" s="26"/>
      <c r="P21" s="26" t="str">
        <f>IFERROR(__xludf.DUMMYFUNCTION("""COMPUTED_VALUE"""),"Fahad")</f>
        <v>Fahad</v>
      </c>
      <c r="Q21" s="24"/>
      <c r="R21" s="24"/>
      <c r="S21" s="24"/>
      <c r="T21" s="24"/>
      <c r="U21" s="24"/>
      <c r="V21" s="24"/>
      <c r="W21" s="24"/>
      <c r="X21" s="24"/>
      <c r="Y21" s="24"/>
      <c r="Z21" s="24"/>
      <c r="AA21" s="24"/>
    </row>
    <row r="22">
      <c r="A22" s="25" t="s">
        <v>39</v>
      </c>
      <c r="B22" s="26" t="str">
        <f>IFERROR(__xludf.DUMMYFUNCTION("""COMPUTED_VALUE"""),"Home Screen")</f>
        <v>Home Screen</v>
      </c>
      <c r="C22" s="26" t="str">
        <f>IFERROR(__xludf.DUMMYFUNCTION("""COMPUTED_VALUE"""),"Post")</f>
        <v>Post</v>
      </c>
      <c r="D22" s="26" t="str">
        <f>IFERROR(__xludf.DUMMYFUNCTION("""COMPUTED_VALUE"""),"Unable to see who like the post")</f>
        <v>Unable to see who like the post</v>
      </c>
      <c r="E22" s="26" t="str">
        <f>IFERROR(__xludf.DUMMYFUNCTION("""COMPUTED_VALUE"""),"User need to download the Petzy apk file in their mobile device")</f>
        <v>User need to download the Petzy apk file in their mobile device</v>
      </c>
      <c r="F22" s="26" t="str">
        <f>IFERROR(__xludf.DUMMYFUNCTION("""COMPUTED_VALUE"""),"1. Open app
2. Login using valid credential
3. Click on Home
4. Click on post")</f>
        <v>1. Open app
2. Login using valid credential
3. Click on Home
4. Click on post</v>
      </c>
      <c r="G22" s="26" t="str">
        <f>IFERROR(__xludf.DUMMYFUNCTION("""COMPUTED_VALUE"""),"User Credential")</f>
        <v>User Credential</v>
      </c>
      <c r="H22" s="26" t="str">
        <f>IFERROR(__xludf.DUMMYFUNCTION("""COMPUTED_VALUE"""),"User should be able to see who liked the post")</f>
        <v>User should be able to see who liked the post</v>
      </c>
      <c r="I22" s="26" t="str">
        <f>IFERROR(__xludf.DUMMYFUNCTION("""COMPUTED_VALUE"""),"Unable to see who liked the post")</f>
        <v>Unable to see who liked the post</v>
      </c>
      <c r="J22" s="26" t="str">
        <f>IFERROR(__xludf.DUMMYFUNCTION("""COMPUTED_VALUE"""),"Fail")</f>
        <v>Fail</v>
      </c>
      <c r="K22" s="26" t="str">
        <f>IFERROR(__xludf.DUMMYFUNCTION("""COMPUTED_VALUE"""),"High")</f>
        <v>High</v>
      </c>
      <c r="L22" s="27" t="str">
        <f>IFERROR(__xludf.DUMMYFUNCTION("""COMPUTED_VALUE"""),"052.png")</f>
        <v>052.png</v>
      </c>
      <c r="M22" s="26"/>
      <c r="N22" s="26"/>
      <c r="O22" s="26"/>
      <c r="P22" s="26" t="str">
        <f>IFERROR(__xludf.DUMMYFUNCTION("""COMPUTED_VALUE"""),"Fahad")</f>
        <v>Fahad</v>
      </c>
      <c r="Q22" s="24"/>
      <c r="R22" s="24"/>
      <c r="S22" s="24"/>
      <c r="T22" s="24"/>
      <c r="U22" s="24"/>
      <c r="V22" s="24"/>
      <c r="W22" s="24"/>
      <c r="X22" s="24"/>
      <c r="Y22" s="24"/>
      <c r="Z22" s="24"/>
      <c r="AA22" s="24"/>
    </row>
    <row r="23">
      <c r="A23" s="25" t="s">
        <v>40</v>
      </c>
      <c r="B23" s="26" t="str">
        <f>IFERROR(__xludf.DUMMYFUNCTION("""COMPUTED_VALUE"""),"Home Screen")</f>
        <v>Home Screen</v>
      </c>
      <c r="C23" s="26" t="str">
        <f>IFERROR(__xludf.DUMMYFUNCTION("""COMPUTED_VALUE"""),"Post")</f>
        <v>Post</v>
      </c>
      <c r="D23" s="26" t="str">
        <f>IFERROR(__xludf.DUMMYFUNCTION("""COMPUTED_VALUE"""),"Positioned in a different place; it should be on the right side.")</f>
        <v>Positioned in a different place; it should be on the right side.</v>
      </c>
      <c r="E23" s="26" t="str">
        <f>IFERROR(__xludf.DUMMYFUNCTION("""COMPUTED_VALUE"""),"User need to download the Petzy apk file in their mobile device")</f>
        <v>User need to download the Petzy apk file in their mobile device</v>
      </c>
      <c r="F23" s="26" t="str">
        <f>IFERROR(__xludf.DUMMYFUNCTION("""COMPUTED_VALUE"""),"1. Open app
2. Login using valid credential
3. Click on Home
4. Click on post")</f>
        <v>1. Open app
2. Login using valid credential
3. Click on Home
4. Click on post</v>
      </c>
      <c r="G23" s="26" t="str">
        <f>IFERROR(__xludf.DUMMYFUNCTION("""COMPUTED_VALUE"""),"User Credential")</f>
        <v>User Credential</v>
      </c>
      <c r="H23" s="26" t="str">
        <f>IFERROR(__xludf.DUMMYFUNCTION("""COMPUTED_VALUE"""),"App UI should be as same as figma design")</f>
        <v>App UI should be as same as figma design</v>
      </c>
      <c r="I23" s="26" t="str">
        <f>IFERROR(__xludf.DUMMYFUNCTION("""COMPUTED_VALUE"""),"Different design noticed in apk")</f>
        <v>Different design noticed in apk</v>
      </c>
      <c r="J23" s="26" t="str">
        <f>IFERROR(__xludf.DUMMYFUNCTION("""COMPUTED_VALUE"""),"Fail")</f>
        <v>Fail</v>
      </c>
      <c r="K23" s="26" t="str">
        <f>IFERROR(__xludf.DUMMYFUNCTION("""COMPUTED_VALUE"""),"Medium")</f>
        <v>Medium</v>
      </c>
      <c r="L23" s="27" t="str">
        <f>IFERROR(__xludf.DUMMYFUNCTION("""COMPUTED_VALUE"""),"053.png")</f>
        <v>053.png</v>
      </c>
      <c r="M23" s="26"/>
      <c r="N23" s="26"/>
      <c r="O23" s="26"/>
      <c r="P23" s="26" t="str">
        <f>IFERROR(__xludf.DUMMYFUNCTION("""COMPUTED_VALUE"""),"Fahad")</f>
        <v>Fahad</v>
      </c>
      <c r="Q23" s="24"/>
      <c r="R23" s="24"/>
      <c r="S23" s="24"/>
      <c r="T23" s="24"/>
      <c r="U23" s="24"/>
      <c r="V23" s="24"/>
      <c r="W23" s="24"/>
      <c r="X23" s="24"/>
      <c r="Y23" s="24"/>
      <c r="Z23" s="24"/>
      <c r="AA23" s="24"/>
    </row>
    <row r="24">
      <c r="A24" s="25" t="s">
        <v>41</v>
      </c>
      <c r="B24" s="26" t="str">
        <f>IFERROR(__xludf.DUMMYFUNCTION("""COMPUTED_VALUE"""),"Home Screen")</f>
        <v>Home Screen</v>
      </c>
      <c r="C24" s="26" t="str">
        <f>IFERROR(__xludf.DUMMYFUNCTION("""COMPUTED_VALUE"""),"Post")</f>
        <v>Post</v>
      </c>
      <c r="D24" s="26" t="str">
        <f>IFERROR(__xludf.DUMMYFUNCTION("""COMPUTED_VALUE"""),"Replies should expand when clicked")</f>
        <v>Replies should expand when clicked</v>
      </c>
      <c r="E24" s="26" t="str">
        <f>IFERROR(__xludf.DUMMYFUNCTION("""COMPUTED_VALUE"""),"User need to download the Petzy apk file in their mobile device")</f>
        <v>User need to download the Petzy apk file in their mobile device</v>
      </c>
      <c r="F24" s="26" t="str">
        <f>IFERROR(__xludf.DUMMYFUNCTION("""COMPUTED_VALUE"""),"1. Open app
2. Login using valid credential
3. Click on Home
4. Click on post")</f>
        <v>1. Open app
2. Login using valid credential
3. Click on Home
4. Click on post</v>
      </c>
      <c r="G24" s="26" t="str">
        <f>IFERROR(__xludf.DUMMYFUNCTION("""COMPUTED_VALUE"""),"User Credential")</f>
        <v>User Credential</v>
      </c>
      <c r="H24" s="26" t="str">
        <f>IFERROR(__xludf.DUMMYFUNCTION("""COMPUTED_VALUE"""),"Replies should start collapsed and expand when clicked.")</f>
        <v>Replies should start collapsed and expand when clicked.</v>
      </c>
      <c r="I24" s="26" t="str">
        <f>IFERROR(__xludf.DUMMYFUNCTION("""COMPUTED_VALUE"""),"Replies are expanded all the time. Static page")</f>
        <v>Replies are expanded all the time. Static page</v>
      </c>
      <c r="J24" s="26" t="str">
        <f>IFERROR(__xludf.DUMMYFUNCTION("""COMPUTED_VALUE"""),"Fail")</f>
        <v>Fail</v>
      </c>
      <c r="K24" s="26" t="str">
        <f>IFERROR(__xludf.DUMMYFUNCTION("""COMPUTED_VALUE"""),"Low")</f>
        <v>Low</v>
      </c>
      <c r="L24" s="27" t="str">
        <f>IFERROR(__xludf.DUMMYFUNCTION("""COMPUTED_VALUE"""),"054.png")</f>
        <v>054.png</v>
      </c>
      <c r="M24" s="26"/>
      <c r="N24" s="26"/>
      <c r="O24" s="26"/>
      <c r="P24" s="26" t="str">
        <f>IFERROR(__xludf.DUMMYFUNCTION("""COMPUTED_VALUE"""),"Fahad")</f>
        <v>Fahad</v>
      </c>
      <c r="Q24" s="24"/>
      <c r="R24" s="24"/>
      <c r="S24" s="24"/>
      <c r="T24" s="24"/>
      <c r="U24" s="24"/>
      <c r="V24" s="24"/>
      <c r="W24" s="24"/>
      <c r="X24" s="24"/>
      <c r="Y24" s="24"/>
      <c r="Z24" s="24"/>
      <c r="AA24" s="24"/>
    </row>
    <row r="25">
      <c r="A25" s="25" t="s">
        <v>42</v>
      </c>
      <c r="B25" s="26" t="str">
        <f>IFERROR(__xludf.DUMMYFUNCTION("""COMPUTED_VALUE"""),"Home Screen")</f>
        <v>Home Screen</v>
      </c>
      <c r="C25" s="26" t="str">
        <f>IFERROR(__xludf.DUMMYFUNCTION("""COMPUTED_VALUE"""),"Post")</f>
        <v>Post</v>
      </c>
      <c r="D25" s="26" t="str">
        <f>IFERROR(__xludf.DUMMYFUNCTION("""COMPUTED_VALUE"""),"Alignment issue in post")</f>
        <v>Alignment issue in post</v>
      </c>
      <c r="E25" s="26" t="str">
        <f>IFERROR(__xludf.DUMMYFUNCTION("""COMPUTED_VALUE"""),"User need to download the Petzy apk file in their mobile device")</f>
        <v>User need to download the Petzy apk file in their mobile device</v>
      </c>
      <c r="F25" s="26" t="str">
        <f>IFERROR(__xludf.DUMMYFUNCTION("""COMPUTED_VALUE"""),"1. Open app
2. Login using valid credential
3. Click on Home
4. Click on post")</f>
        <v>1. Open app
2. Login using valid credential
3. Click on Home
4. Click on post</v>
      </c>
      <c r="G25" s="26" t="str">
        <f>IFERROR(__xludf.DUMMYFUNCTION("""COMPUTED_VALUE"""),"User Credential")</f>
        <v>User Credential</v>
      </c>
      <c r="H25" s="26" t="str">
        <f>IFERROR(__xludf.DUMMYFUNCTION("""COMPUTED_VALUE"""),"Design and alignment should be as same as figma")</f>
        <v>Design and alignment should be as same as figma</v>
      </c>
      <c r="I25" s="26" t="str">
        <f>IFERROR(__xludf.DUMMYFUNCTION("""COMPUTED_VALUE"""),"Differen icon noticed")</f>
        <v>Differen icon noticed</v>
      </c>
      <c r="J25" s="26" t="str">
        <f>IFERROR(__xludf.DUMMYFUNCTION("""COMPUTED_VALUE"""),"Fail")</f>
        <v>Fail</v>
      </c>
      <c r="K25" s="26" t="str">
        <f>IFERROR(__xludf.DUMMYFUNCTION("""COMPUTED_VALUE"""),"Medium")</f>
        <v>Medium</v>
      </c>
      <c r="L25" s="27" t="str">
        <f>IFERROR(__xludf.DUMMYFUNCTION("""COMPUTED_VALUE"""),"072.png")</f>
        <v>072.png</v>
      </c>
      <c r="M25" s="26"/>
      <c r="N25" s="26"/>
      <c r="O25" s="26"/>
      <c r="P25" s="26" t="str">
        <f>IFERROR(__xludf.DUMMYFUNCTION("""COMPUTED_VALUE"""),"Fahad")</f>
        <v>Fahad</v>
      </c>
      <c r="Q25" s="24"/>
      <c r="R25" s="24"/>
      <c r="S25" s="24"/>
      <c r="T25" s="24"/>
      <c r="U25" s="24"/>
      <c r="V25" s="24"/>
      <c r="W25" s="24"/>
      <c r="X25" s="24"/>
      <c r="Y25" s="24"/>
      <c r="Z25" s="24"/>
      <c r="AA25" s="24"/>
    </row>
    <row r="26">
      <c r="A26" s="25" t="s">
        <v>43</v>
      </c>
      <c r="B26" s="26" t="str">
        <f>IFERROR(__xludf.DUMMYFUNCTION("""COMPUTED_VALUE"""),"Home Screen")</f>
        <v>Home Screen</v>
      </c>
      <c r="C26" s="26" t="str">
        <f>IFERROR(__xludf.DUMMYFUNCTION("""COMPUTED_VALUE"""),"Post")</f>
        <v>Post</v>
      </c>
      <c r="D26" s="26" t="str">
        <f>IFERROR(__xludf.DUMMYFUNCTION("""COMPUTED_VALUE"""),"Tag's should be clickable")</f>
        <v>Tag's should be clickable</v>
      </c>
      <c r="E26" s="26" t="str">
        <f>IFERROR(__xludf.DUMMYFUNCTION("""COMPUTED_VALUE"""),"User need to download the Petzy apk file in their mobile device")</f>
        <v>User need to download the Petzy apk file in their mobile device</v>
      </c>
      <c r="F26" s="26" t="str">
        <f>IFERROR(__xludf.DUMMYFUNCTION("""COMPUTED_VALUE"""),"1. Open app
2. Login using valid credential
3. Click on Home
4. Click on post")</f>
        <v>1. Open app
2. Login using valid credential
3. Click on Home
4. Click on post</v>
      </c>
      <c r="G26" s="26" t="str">
        <f>IFERROR(__xludf.DUMMYFUNCTION("""COMPUTED_VALUE"""),"User Credential")</f>
        <v>User Credential</v>
      </c>
      <c r="H26" s="26" t="str">
        <f>IFERROR(__xludf.DUMMYFUNCTION("""COMPUTED_VALUE"""),"Tags should be clickable and able to filter posts based on the keyword.")</f>
        <v>Tags should be clickable and able to filter posts based on the keyword.</v>
      </c>
      <c r="I26" s="26" t="str">
        <f>IFERROR(__xludf.DUMMYFUNCTION("""COMPUTED_VALUE"""),"Tags are normal text")</f>
        <v>Tags are normal text</v>
      </c>
      <c r="J26" s="26" t="str">
        <f>IFERROR(__xludf.DUMMYFUNCTION("""COMPUTED_VALUE"""),"Fail")</f>
        <v>Fail</v>
      </c>
      <c r="K26" s="26" t="str">
        <f>IFERROR(__xludf.DUMMYFUNCTION("""COMPUTED_VALUE"""),"Medium")</f>
        <v>Medium</v>
      </c>
      <c r="L26" s="27" t="str">
        <f>IFERROR(__xludf.DUMMYFUNCTION("""COMPUTED_VALUE"""),"073.png")</f>
        <v>073.png</v>
      </c>
      <c r="M26" s="26"/>
      <c r="N26" s="26"/>
      <c r="O26" s="26"/>
      <c r="P26" s="26" t="str">
        <f>IFERROR(__xludf.DUMMYFUNCTION("""COMPUTED_VALUE"""),"Fahad")</f>
        <v>Fahad</v>
      </c>
      <c r="Q26" s="24"/>
      <c r="R26" s="24"/>
      <c r="S26" s="24"/>
      <c r="T26" s="24"/>
      <c r="U26" s="24"/>
      <c r="V26" s="24"/>
      <c r="W26" s="24"/>
      <c r="X26" s="24"/>
      <c r="Y26" s="24"/>
      <c r="Z26" s="24"/>
      <c r="AA26" s="24"/>
    </row>
    <row r="27">
      <c r="A27" s="25" t="s">
        <v>44</v>
      </c>
      <c r="B27" s="26" t="str">
        <f>IFERROR(__xludf.DUMMYFUNCTION("""COMPUTED_VALUE"""),"Home Screen")</f>
        <v>Home Screen</v>
      </c>
      <c r="C27" s="26" t="str">
        <f>IFERROR(__xludf.DUMMYFUNCTION("""COMPUTED_VALUE"""),"Post")</f>
        <v>Post</v>
      </c>
      <c r="D27" s="26" t="str">
        <f>IFERROR(__xludf.DUMMYFUNCTION("""COMPUTED_VALUE"""),"The post is available, but the user profile couldn’t be found.")</f>
        <v>The post is available, but the user profile couldn’t be found.</v>
      </c>
      <c r="E27" s="26" t="str">
        <f>IFERROR(__xludf.DUMMYFUNCTION("""COMPUTED_VALUE"""),"User need to download the Petzy apk file in their mobile device")</f>
        <v>User need to download the Petzy apk file in their mobile device</v>
      </c>
      <c r="F27" s="26" t="str">
        <f>IFERROR(__xludf.DUMMYFUNCTION("""COMPUTED_VALUE"""),"1. Open app
2. Login using valid credential
3. Click on Home
4. Click on post")</f>
        <v>1. Open app
2. Login using valid credential
3. Click on Home
4. Click on post</v>
      </c>
      <c r="G27" s="26" t="str">
        <f>IFERROR(__xludf.DUMMYFUNCTION("""COMPUTED_VALUE"""),"User Credential")</f>
        <v>User Credential</v>
      </c>
      <c r="H27" s="26" t="str">
        <f>IFERROR(__xludf.DUMMYFUNCTION("""COMPUTED_VALUE"""),"A user's profile should be visible once their post is published.")</f>
        <v>A user's profile should be visible once their post is published.</v>
      </c>
      <c r="I27" s="26" t="str">
        <f>IFERROR(__xludf.DUMMYFUNCTION("""COMPUTED_VALUE"""),"Post found, but the user profile is missing.")</f>
        <v>Post found, but the user profile is missing.</v>
      </c>
      <c r="J27" s="26" t="str">
        <f>IFERROR(__xludf.DUMMYFUNCTION("""COMPUTED_VALUE"""),"Fail")</f>
        <v>Fail</v>
      </c>
      <c r="K27" s="26" t="str">
        <f>IFERROR(__xludf.DUMMYFUNCTION("""COMPUTED_VALUE"""),"High")</f>
        <v>High</v>
      </c>
      <c r="L27" s="27" t="str">
        <f>IFERROR(__xludf.DUMMYFUNCTION("""COMPUTED_VALUE"""),"075.mp4")</f>
        <v>075.mp4</v>
      </c>
      <c r="M27" s="26"/>
      <c r="N27" s="26"/>
      <c r="O27" s="26"/>
      <c r="P27" s="26" t="str">
        <f>IFERROR(__xludf.DUMMYFUNCTION("""COMPUTED_VALUE"""),"Fahad")</f>
        <v>Fahad</v>
      </c>
      <c r="Q27" s="24"/>
      <c r="R27" s="24"/>
      <c r="S27" s="24"/>
      <c r="T27" s="24"/>
      <c r="U27" s="24"/>
      <c r="V27" s="24"/>
      <c r="W27" s="24"/>
      <c r="X27" s="24"/>
      <c r="Y27" s="24"/>
      <c r="Z27" s="24"/>
      <c r="AA27" s="24"/>
    </row>
    <row r="28">
      <c r="A28" s="25" t="s">
        <v>45</v>
      </c>
      <c r="B28" s="26" t="str">
        <f>IFERROR(__xludf.DUMMYFUNCTION("""COMPUTED_VALUE"""),"Home Screen")</f>
        <v>Home Screen</v>
      </c>
      <c r="C28" s="26" t="str">
        <f>IFERROR(__xludf.DUMMYFUNCTION("""COMPUTED_VALUE"""),"Post")</f>
        <v>Post</v>
      </c>
      <c r="D28" s="26" t="str">
        <f>IFERROR(__xludf.DUMMYFUNCTION("""COMPUTED_VALUE"""),"Unable to upload the post")</f>
        <v>Unable to upload the post</v>
      </c>
      <c r="E28" s="26" t="str">
        <f>IFERROR(__xludf.DUMMYFUNCTION("""COMPUTED_VALUE"""),"User need to download the Petzy apk file in their mobile device")</f>
        <v>User need to download the Petzy apk file in their mobile device</v>
      </c>
      <c r="F28" s="26" t="str">
        <f>IFERROR(__xludf.DUMMYFUNCTION("""COMPUTED_VALUE"""),"1. Open app
2. Login using valid credential
3. Click on Home
4. Click on post")</f>
        <v>1. Open app
2. Login using valid credential
3. Click on Home
4. Click on post</v>
      </c>
      <c r="G28" s="26" t="str">
        <f>IFERROR(__xludf.DUMMYFUNCTION("""COMPUTED_VALUE"""),"User Credential")</f>
        <v>User Credential</v>
      </c>
      <c r="H28" s="26" t="str">
        <f>IFERROR(__xludf.DUMMYFUNCTION("""COMPUTED_VALUE"""),"The user should be able to upload a post without any issues.")</f>
        <v>The user should be able to upload a post without any issues.</v>
      </c>
      <c r="I28" s="26" t="str">
        <f>IFERROR(__xludf.DUMMYFUNCTION("""COMPUTED_VALUE"""),"Post upload failed")</f>
        <v>Post upload failed</v>
      </c>
      <c r="J28" s="26" t="str">
        <f>IFERROR(__xludf.DUMMYFUNCTION("""COMPUTED_VALUE"""),"Fail")</f>
        <v>Fail</v>
      </c>
      <c r="K28" s="26" t="str">
        <f>IFERROR(__xludf.DUMMYFUNCTION("""COMPUTED_VALUE"""),"High")</f>
        <v>High</v>
      </c>
      <c r="L28" s="27" t="str">
        <f>IFERROR(__xludf.DUMMYFUNCTION("""COMPUTED_VALUE"""),"076.png")</f>
        <v>076.png</v>
      </c>
      <c r="M28" s="26"/>
      <c r="N28" s="26"/>
      <c r="O28" s="26"/>
      <c r="P28" s="26" t="str">
        <f>IFERROR(__xludf.DUMMYFUNCTION("""COMPUTED_VALUE"""),"Fahad")</f>
        <v>Fahad</v>
      </c>
      <c r="Q28" s="24"/>
      <c r="R28" s="24"/>
      <c r="S28" s="24"/>
      <c r="T28" s="24"/>
      <c r="U28" s="24"/>
      <c r="V28" s="24"/>
      <c r="W28" s="24"/>
      <c r="X28" s="24"/>
      <c r="Y28" s="24"/>
      <c r="Z28" s="24"/>
      <c r="AA28" s="24"/>
    </row>
    <row r="29">
      <c r="A29" s="25" t="s">
        <v>46</v>
      </c>
      <c r="B29" s="26" t="str">
        <f>IFERROR(__xludf.DUMMYFUNCTION("""COMPUTED_VALUE"""),"Landing Page")</f>
        <v>Landing Page</v>
      </c>
      <c r="C29" s="26" t="str">
        <f>IFERROR(__xludf.DUMMYFUNCTION("""COMPUTED_VALUE"""),"Home Screen")</f>
        <v>Home Screen</v>
      </c>
      <c r="D29" s="26" t="str">
        <f>IFERROR(__xludf.DUMMYFUNCTION("""COMPUTED_VALUE"""),"Different UI design in app from figma design")</f>
        <v>Different UI design in app from figma design</v>
      </c>
      <c r="E29" s="26" t="str">
        <f>IFERROR(__xludf.DUMMYFUNCTION("""COMPUTED_VALUE"""),"User need to download the Petzy apk file in their mobile device")</f>
        <v>User need to download the Petzy apk file in their mobile device</v>
      </c>
      <c r="F29" s="26" t="str">
        <f>IFERROR(__xludf.DUMMYFUNCTION("""COMPUTED_VALUE"""),"1. Open app")</f>
        <v>1. Open app</v>
      </c>
      <c r="G29" s="26" t="str">
        <f>IFERROR(__xludf.DUMMYFUNCTION("""COMPUTED_VALUE"""),"N/A")</f>
        <v>N/A</v>
      </c>
      <c r="H29" s="26" t="str">
        <f>IFERROR(__xludf.DUMMYFUNCTION("""COMPUTED_VALUE"""),"App UI should be as same as figma design")</f>
        <v>App UI should be as same as figma design</v>
      </c>
      <c r="I29" s="26" t="str">
        <f>IFERROR(__xludf.DUMMYFUNCTION("""COMPUTED_VALUE"""),"Noticed a slightly different design in the APK.")</f>
        <v>Noticed a slightly different design in the APK.</v>
      </c>
      <c r="J29" s="26" t="str">
        <f>IFERROR(__xludf.DUMMYFUNCTION("""COMPUTED_VALUE"""),"Fail")</f>
        <v>Fail</v>
      </c>
      <c r="K29" s="26" t="str">
        <f>IFERROR(__xludf.DUMMYFUNCTION("""COMPUTED_VALUE"""),"Low")</f>
        <v>Low</v>
      </c>
      <c r="L29" s="27" t="str">
        <f>IFERROR(__xludf.DUMMYFUNCTION("""COMPUTED_VALUE"""),"001.png")</f>
        <v>001.png</v>
      </c>
      <c r="M29" s="26"/>
      <c r="N29" s="26" t="str">
        <f>IFERROR(__xludf.DUMMYFUNCTION("""COMPUTED_VALUE"""),"Solved")</f>
        <v>Solved</v>
      </c>
      <c r="O29" s="26"/>
      <c r="P29" s="26" t="str">
        <f>IFERROR(__xludf.DUMMYFUNCTION("""COMPUTED_VALUE"""),"Fahad")</f>
        <v>Fahad</v>
      </c>
      <c r="Q29" s="24"/>
      <c r="R29" s="24"/>
      <c r="S29" s="24"/>
      <c r="T29" s="24"/>
      <c r="U29" s="24"/>
      <c r="V29" s="24"/>
      <c r="W29" s="24"/>
      <c r="X29" s="24"/>
      <c r="Y29" s="24"/>
      <c r="Z29" s="24"/>
      <c r="AA29" s="24"/>
    </row>
    <row r="30">
      <c r="A30" s="25" t="s">
        <v>47</v>
      </c>
      <c r="B30" s="26" t="str">
        <f>IFERROR(__xludf.DUMMYFUNCTION("""COMPUTED_VALUE"""),"Landing Page")</f>
        <v>Landing Page</v>
      </c>
      <c r="C30" s="26" t="str">
        <f>IFERROR(__xludf.DUMMYFUNCTION("""COMPUTED_VALUE"""),"Home Screen")</f>
        <v>Home Screen</v>
      </c>
      <c r="D30" s="26" t="str">
        <f>IFERROR(__xludf.DUMMYFUNCTION("""COMPUTED_VALUE"""),"Divider line misalignment issue")</f>
        <v>Divider line misalignment issue</v>
      </c>
      <c r="E30" s="26" t="str">
        <f>IFERROR(__xludf.DUMMYFUNCTION("""COMPUTED_VALUE"""),"User need to download the Petzy apk file in their mobile device")</f>
        <v>User need to download the Petzy apk file in their mobile device</v>
      </c>
      <c r="F30" s="26" t="str">
        <f>IFERROR(__xludf.DUMMYFUNCTION("""COMPUTED_VALUE"""),"1. Open app")</f>
        <v>1. Open app</v>
      </c>
      <c r="G30" s="26" t="str">
        <f>IFERROR(__xludf.DUMMYFUNCTION("""COMPUTED_VALUE"""),"N/A")</f>
        <v>N/A</v>
      </c>
      <c r="H30" s="26" t="str">
        <f>IFERROR(__xludf.DUMMYFUNCTION("""COMPUTED_VALUE"""),"App UI should be as same as figma design")</f>
        <v>App UI should be as same as figma design</v>
      </c>
      <c r="I30" s="26" t="str">
        <f>IFERROR(__xludf.DUMMYFUNCTION("""COMPUTED_VALUE"""),"Noticed a slightly different design in the APK.")</f>
        <v>Noticed a slightly different design in the APK.</v>
      </c>
      <c r="J30" s="26" t="str">
        <f>IFERROR(__xludf.DUMMYFUNCTION("""COMPUTED_VALUE"""),"Fail")</f>
        <v>Fail</v>
      </c>
      <c r="K30" s="26" t="str">
        <f>IFERROR(__xludf.DUMMYFUNCTION("""COMPUTED_VALUE"""),"Low")</f>
        <v>Low</v>
      </c>
      <c r="L30" s="27" t="str">
        <f>IFERROR(__xludf.DUMMYFUNCTION("""COMPUTED_VALUE"""),"002.png")</f>
        <v>002.png</v>
      </c>
      <c r="M30" s="26"/>
      <c r="N30" s="26"/>
      <c r="O30" s="26"/>
      <c r="P30" s="26" t="str">
        <f>IFERROR(__xludf.DUMMYFUNCTION("""COMPUTED_VALUE"""),"Fahad")</f>
        <v>Fahad</v>
      </c>
      <c r="Q30" s="24"/>
      <c r="R30" s="24"/>
      <c r="S30" s="24"/>
      <c r="T30" s="24"/>
      <c r="U30" s="24"/>
      <c r="V30" s="24"/>
      <c r="W30" s="24"/>
      <c r="X30" s="24"/>
      <c r="Y30" s="24"/>
      <c r="Z30" s="24"/>
      <c r="AA30" s="24"/>
    </row>
    <row r="31">
      <c r="A31" s="25" t="s">
        <v>48</v>
      </c>
      <c r="B31" s="26" t="str">
        <f>IFERROR(__xludf.DUMMYFUNCTION("""COMPUTED_VALUE"""),"Landing Page")</f>
        <v>Landing Page</v>
      </c>
      <c r="C31" s="26" t="str">
        <f>IFERROR(__xludf.DUMMYFUNCTION("""COMPUTED_VALUE"""),"Home Screen")</f>
        <v>Home Screen</v>
      </c>
      <c r="D31" s="26" t="str">
        <f>IFERROR(__xludf.DUMMYFUNCTION("""COMPUTED_VALUE"""),"Noticed different option compared to Figma.")</f>
        <v>Noticed different option compared to Figma.</v>
      </c>
      <c r="E31" s="26" t="str">
        <f>IFERROR(__xludf.DUMMYFUNCTION("""COMPUTED_VALUE"""),"User need to download the Petzy apk file in their mobile device")</f>
        <v>User need to download the Petzy apk file in their mobile device</v>
      </c>
      <c r="F31" s="26" t="str">
        <f>IFERROR(__xludf.DUMMYFUNCTION("""COMPUTED_VALUE"""),"1. Open app")</f>
        <v>1. Open app</v>
      </c>
      <c r="G31" s="26" t="str">
        <f>IFERROR(__xludf.DUMMYFUNCTION("""COMPUTED_VALUE"""),"N/A")</f>
        <v>N/A</v>
      </c>
      <c r="H31" s="26" t="str">
        <f>IFERROR(__xludf.DUMMYFUNCTION("""COMPUTED_VALUE"""),"App UI should be as same as figma design")</f>
        <v>App UI should be as same as figma design</v>
      </c>
      <c r="I31" s="26" t="str">
        <f>IFERROR(__xludf.DUMMYFUNCTION("""COMPUTED_VALUE"""),"Noticed a slightly different design in the APK.")</f>
        <v>Noticed a slightly different design in the APK.</v>
      </c>
      <c r="J31" s="26" t="str">
        <f>IFERROR(__xludf.DUMMYFUNCTION("""COMPUTED_VALUE"""),"Fail")</f>
        <v>Fail</v>
      </c>
      <c r="K31" s="26" t="str">
        <f>IFERROR(__xludf.DUMMYFUNCTION("""COMPUTED_VALUE"""),"Low")</f>
        <v>Low</v>
      </c>
      <c r="L31" s="27" t="str">
        <f>IFERROR(__xludf.DUMMYFUNCTION("""COMPUTED_VALUE"""),"003.png")</f>
        <v>003.png</v>
      </c>
      <c r="M31" s="26"/>
      <c r="N31" s="26" t="str">
        <f>IFERROR(__xludf.DUMMYFUNCTION("""COMPUTED_VALUE"""),"Solved")</f>
        <v>Solved</v>
      </c>
      <c r="O31" s="26"/>
      <c r="P31" s="26" t="str">
        <f>IFERROR(__xludf.DUMMYFUNCTION("""COMPUTED_VALUE"""),"Fahad")</f>
        <v>Fahad</v>
      </c>
      <c r="Q31" s="24"/>
      <c r="R31" s="24"/>
      <c r="S31" s="24"/>
      <c r="T31" s="24"/>
      <c r="U31" s="24"/>
      <c r="V31" s="24"/>
      <c r="W31" s="24"/>
      <c r="X31" s="24"/>
      <c r="Y31" s="24"/>
      <c r="Z31" s="24"/>
      <c r="AA31" s="24"/>
    </row>
    <row r="32">
      <c r="A32" s="25" t="s">
        <v>49</v>
      </c>
      <c r="B32" s="26" t="str">
        <f>IFERROR(__xludf.DUMMYFUNCTION("""COMPUTED_VALUE"""),"Landing Page")</f>
        <v>Landing Page</v>
      </c>
      <c r="C32" s="26" t="str">
        <f>IFERROR(__xludf.DUMMYFUNCTION("""COMPUTED_VALUE"""),"Home Screen")</f>
        <v>Home Screen</v>
      </c>
      <c r="D32" s="26" t="str">
        <f>IFERROR(__xludf.DUMMYFUNCTION("""COMPUTED_VALUE"""),"Noticed a difference in how the profile name and pet name are displayed in the app compared to Figma.")</f>
        <v>Noticed a difference in how the profile name and pet name are displayed in the app compared to Figma.</v>
      </c>
      <c r="E32" s="26" t="str">
        <f>IFERROR(__xludf.DUMMYFUNCTION("""COMPUTED_VALUE"""),"User need to download the Petzy apk file in their mobile device")</f>
        <v>User need to download the Petzy apk file in their mobile device</v>
      </c>
      <c r="F32" s="26" t="str">
        <f>IFERROR(__xludf.DUMMYFUNCTION("""COMPUTED_VALUE"""),"1. Open app")</f>
        <v>1. Open app</v>
      </c>
      <c r="G32" s="26" t="str">
        <f>IFERROR(__xludf.DUMMYFUNCTION("""COMPUTED_VALUE"""),"N/A")</f>
        <v>N/A</v>
      </c>
      <c r="H32" s="26" t="str">
        <f>IFERROR(__xludf.DUMMYFUNCTION("""COMPUTED_VALUE"""),"App UI should be as same as figma design")</f>
        <v>App UI should be as same as figma design</v>
      </c>
      <c r="I32" s="26" t="str">
        <f>IFERROR(__xludf.DUMMYFUNCTION("""COMPUTED_VALUE"""),"Noticed a slightly different design in the APK.")</f>
        <v>Noticed a slightly different design in the APK.</v>
      </c>
      <c r="J32" s="26" t="str">
        <f>IFERROR(__xludf.DUMMYFUNCTION("""COMPUTED_VALUE"""),"Fail")</f>
        <v>Fail</v>
      </c>
      <c r="K32" s="26" t="str">
        <f>IFERROR(__xludf.DUMMYFUNCTION("""COMPUTED_VALUE"""),"Low")</f>
        <v>Low</v>
      </c>
      <c r="L32" s="27" t="str">
        <f>IFERROR(__xludf.DUMMYFUNCTION("""COMPUTED_VALUE"""),"004.png")</f>
        <v>004.png</v>
      </c>
      <c r="M32" s="26"/>
      <c r="N32" s="26" t="str">
        <f>IFERROR(__xludf.DUMMYFUNCTION("""COMPUTED_VALUE"""),"Solved")</f>
        <v>Solved</v>
      </c>
      <c r="O32" s="26"/>
      <c r="P32" s="26" t="str">
        <f>IFERROR(__xludf.DUMMYFUNCTION("""COMPUTED_VALUE"""),"Fahad")</f>
        <v>Fahad</v>
      </c>
      <c r="Q32" s="24"/>
      <c r="R32" s="24"/>
      <c r="S32" s="24"/>
      <c r="T32" s="24"/>
      <c r="U32" s="24"/>
      <c r="V32" s="24"/>
      <c r="W32" s="24"/>
      <c r="X32" s="24"/>
      <c r="Y32" s="24"/>
      <c r="Z32" s="24"/>
      <c r="AA32" s="24"/>
    </row>
    <row r="33">
      <c r="A33" s="25" t="s">
        <v>50</v>
      </c>
      <c r="B33" s="26" t="str">
        <f>IFERROR(__xludf.DUMMYFUNCTION("""COMPUTED_VALUE"""),"Landing Page")</f>
        <v>Landing Page</v>
      </c>
      <c r="C33" s="26" t="str">
        <f>IFERROR(__xludf.DUMMYFUNCTION("""COMPUTED_VALUE"""),"Home Screen")</f>
        <v>Home Screen</v>
      </c>
      <c r="D33" s="26" t="str">
        <f>IFERROR(__xludf.DUMMYFUNCTION("""COMPUTED_VALUE"""),"User profile and pet profile failed to load")</f>
        <v>User profile and pet profile failed to load</v>
      </c>
      <c r="E33" s="26" t="str">
        <f>IFERROR(__xludf.DUMMYFUNCTION("""COMPUTED_VALUE"""),"User need to download the Petzy apk file in their mobile device")</f>
        <v>User need to download the Petzy apk file in their mobile device</v>
      </c>
      <c r="F33" s="26" t="str">
        <f>IFERROR(__xludf.DUMMYFUNCTION("""COMPUTED_VALUE"""),"1. Open app")</f>
        <v>1. Open app</v>
      </c>
      <c r="G33" s="26" t="str">
        <f>IFERROR(__xludf.DUMMYFUNCTION("""COMPUTED_VALUE"""),"N/A")</f>
        <v>N/A</v>
      </c>
      <c r="H33" s="26" t="str">
        <f>IFERROR(__xludf.DUMMYFUNCTION("""COMPUTED_VALUE"""),"User profile and pet profile should be visible in app")</f>
        <v>User profile and pet profile should be visible in app</v>
      </c>
      <c r="I33" s="26" t="str">
        <f>IFERROR(__xludf.DUMMYFUNCTION("""COMPUTED_VALUE"""),"Failed to load profile of user and pet. Authorization token missing ")</f>
        <v>Failed to load profile of user and pet. Authorization token missing </v>
      </c>
      <c r="J33" s="26" t="str">
        <f>IFERROR(__xludf.DUMMYFUNCTION("""COMPUTED_VALUE"""),"Fail")</f>
        <v>Fail</v>
      </c>
      <c r="K33" s="26" t="str">
        <f>IFERROR(__xludf.DUMMYFUNCTION("""COMPUTED_VALUE"""),"High")</f>
        <v>High</v>
      </c>
      <c r="L33" s="27" t="str">
        <f>IFERROR(__xludf.DUMMYFUNCTION("""COMPUTED_VALUE"""),"005.mp4")</f>
        <v>005.mp4</v>
      </c>
      <c r="M33" s="26"/>
      <c r="N33" s="26" t="str">
        <f>IFERROR(__xludf.DUMMYFUNCTION("""COMPUTED_VALUE"""),"Solved")</f>
        <v>Solved</v>
      </c>
      <c r="O33" s="26"/>
      <c r="P33" s="26" t="str">
        <f>IFERROR(__xludf.DUMMYFUNCTION("""COMPUTED_VALUE"""),"Fahad")</f>
        <v>Fahad</v>
      </c>
      <c r="Q33" s="24"/>
      <c r="R33" s="24"/>
      <c r="S33" s="24"/>
      <c r="T33" s="24"/>
      <c r="U33" s="24"/>
      <c r="V33" s="24"/>
      <c r="W33" s="24"/>
      <c r="X33" s="24"/>
      <c r="Y33" s="24"/>
      <c r="Z33" s="24"/>
      <c r="AA33" s="24"/>
    </row>
    <row r="34">
      <c r="A34" s="25" t="s">
        <v>51</v>
      </c>
      <c r="B34" s="26" t="str">
        <f>IFERROR(__xludf.DUMMYFUNCTION("""COMPUTED_VALUE"""),"Landing Page")</f>
        <v>Landing Page</v>
      </c>
      <c r="C34" s="26" t="str">
        <f>IFERROR(__xludf.DUMMYFUNCTION("""COMPUTED_VALUE"""),"Home Screen")</f>
        <v>Home Screen</v>
      </c>
      <c r="D34" s="26" t="str">
        <f>IFERROR(__xludf.DUMMYFUNCTION("""COMPUTED_VALUE"""),"same operation in different method")</f>
        <v>same operation in different method</v>
      </c>
      <c r="E34" s="26" t="str">
        <f>IFERROR(__xludf.DUMMYFUNCTION("""COMPUTED_VALUE"""),"User need to download the Petzy apk file in their mobile device")</f>
        <v>User need to download the Petzy apk file in their mobile device</v>
      </c>
      <c r="F34" s="26" t="str">
        <f>IFERROR(__xludf.DUMMYFUNCTION("""COMPUTED_VALUE"""),"1. Open app
2. Login using Valid Credential")</f>
        <v>1. Open app
2. Login using Valid Credential</v>
      </c>
      <c r="G34" s="26" t="str">
        <f>IFERROR(__xludf.DUMMYFUNCTION("""COMPUTED_VALUE"""),"User Credential")</f>
        <v>User Credential</v>
      </c>
      <c r="H34" s="26" t="str">
        <f>IFERROR(__xludf.DUMMYFUNCTION("""COMPUTED_VALUE"""),"Operation method should be one way")</f>
        <v>Operation method should be one way</v>
      </c>
      <c r="I34" s="26" t="str">
        <f>IFERROR(__xludf.DUMMYFUNCTION("""COMPUTED_VALUE"""),"Multiple method for one operation")</f>
        <v>Multiple method for one operation</v>
      </c>
      <c r="J34" s="26" t="str">
        <f>IFERROR(__xludf.DUMMYFUNCTION("""COMPUTED_VALUE"""),"Fail")</f>
        <v>Fail</v>
      </c>
      <c r="K34" s="26" t="str">
        <f>IFERROR(__xludf.DUMMYFUNCTION("""COMPUTED_VALUE"""),"Low")</f>
        <v>Low</v>
      </c>
      <c r="L34" s="27" t="str">
        <f>IFERROR(__xludf.DUMMYFUNCTION("""COMPUTED_VALUE"""),"012.png")</f>
        <v>012.png</v>
      </c>
      <c r="M34" s="26"/>
      <c r="N34" s="26" t="str">
        <f>IFERROR(__xludf.DUMMYFUNCTION("""COMPUTED_VALUE"""),"Solved")</f>
        <v>Solved</v>
      </c>
      <c r="O34" s="26"/>
      <c r="P34" s="26" t="str">
        <f>IFERROR(__xludf.DUMMYFUNCTION("""COMPUTED_VALUE"""),"Fahad")</f>
        <v>Fahad</v>
      </c>
      <c r="Q34" s="24"/>
      <c r="R34" s="24"/>
      <c r="S34" s="24"/>
      <c r="T34" s="24"/>
      <c r="U34" s="24"/>
      <c r="V34" s="24"/>
      <c r="W34" s="24"/>
      <c r="X34" s="24"/>
      <c r="Y34" s="24"/>
      <c r="Z34" s="24"/>
      <c r="AA34" s="24"/>
    </row>
    <row r="35">
      <c r="A35" s="25" t="s">
        <v>52</v>
      </c>
      <c r="B35" s="26" t="str">
        <f>IFERROR(__xludf.DUMMYFUNCTION("""COMPUTED_VALUE"""),"Landing Page")</f>
        <v>Landing Page</v>
      </c>
      <c r="C35" s="26" t="str">
        <f>IFERROR(__xludf.DUMMYFUNCTION("""COMPUTED_VALUE"""),"Home Screen")</f>
        <v>Home Screen</v>
      </c>
      <c r="D35" s="26" t="str">
        <f>IFERROR(__xludf.DUMMYFUNCTION("""COMPUTED_VALUE"""),"Different UI for Home button")</f>
        <v>Different UI for Home button</v>
      </c>
      <c r="E35" s="26" t="str">
        <f>IFERROR(__xludf.DUMMYFUNCTION("""COMPUTED_VALUE"""),"User need to download the Petzy apk file in their mobile device")</f>
        <v>User need to download the Petzy apk file in their mobile device</v>
      </c>
      <c r="F35" s="26" t="str">
        <f>IFERROR(__xludf.DUMMYFUNCTION("""COMPUTED_VALUE"""),"1. Open app
2. Login using Valid Credential")</f>
        <v>1. Open app
2. Login using Valid Credential</v>
      </c>
      <c r="G35" s="26" t="str">
        <f>IFERROR(__xludf.DUMMYFUNCTION("""COMPUTED_VALUE"""),"User Credential")</f>
        <v>User Credential</v>
      </c>
      <c r="H35" s="26" t="str">
        <f>IFERROR(__xludf.DUMMYFUNCTION("""COMPUTED_VALUE"""),"App UI should be as same as figma design")</f>
        <v>App UI should be as same as figma design</v>
      </c>
      <c r="I35" s="26" t="str">
        <f>IFERROR(__xludf.DUMMYFUNCTION("""COMPUTED_VALUE"""),"Noticed a slightly different design for Home button in the APK.")</f>
        <v>Noticed a slightly different design for Home button in the APK.</v>
      </c>
      <c r="J35" s="26" t="str">
        <f>IFERROR(__xludf.DUMMYFUNCTION("""COMPUTED_VALUE"""),"Fail")</f>
        <v>Fail</v>
      </c>
      <c r="K35" s="26" t="str">
        <f>IFERROR(__xludf.DUMMYFUNCTION("""COMPUTED_VALUE"""),"Low")</f>
        <v>Low</v>
      </c>
      <c r="L35" s="27" t="str">
        <f>IFERROR(__xludf.DUMMYFUNCTION("""COMPUTED_VALUE"""),"013.png")</f>
        <v>013.png</v>
      </c>
      <c r="M35" s="26"/>
      <c r="N35" s="26" t="str">
        <f>IFERROR(__xludf.DUMMYFUNCTION("""COMPUTED_VALUE"""),"Solved")</f>
        <v>Solved</v>
      </c>
      <c r="O35" s="26"/>
      <c r="P35" s="26" t="str">
        <f>IFERROR(__xludf.DUMMYFUNCTION("""COMPUTED_VALUE"""),"Fahad")</f>
        <v>Fahad</v>
      </c>
      <c r="Q35" s="24"/>
      <c r="R35" s="24"/>
      <c r="S35" s="24"/>
      <c r="T35" s="24"/>
      <c r="U35" s="24"/>
      <c r="V35" s="24"/>
      <c r="W35" s="24"/>
      <c r="X35" s="24"/>
      <c r="Y35" s="24"/>
      <c r="Z35" s="24"/>
      <c r="AA35" s="24"/>
    </row>
    <row r="36">
      <c r="A36" s="25" t="s">
        <v>53</v>
      </c>
      <c r="B36" s="26" t="str">
        <f>IFERROR(__xludf.DUMMYFUNCTION("""COMPUTED_VALUE"""),"Landing Page")</f>
        <v>Landing Page</v>
      </c>
      <c r="C36" s="26" t="str">
        <f>IFERROR(__xludf.DUMMYFUNCTION("""COMPUTED_VALUE"""),"Home Screen")</f>
        <v>Home Screen</v>
      </c>
      <c r="D36" s="26" t="str">
        <f>IFERROR(__xludf.DUMMYFUNCTION("""COMPUTED_VALUE"""),"Gesture overlay issue")</f>
        <v>Gesture overlay issue</v>
      </c>
      <c r="E36" s="26" t="str">
        <f>IFERROR(__xludf.DUMMYFUNCTION("""COMPUTED_VALUE"""),"User need to download the Petzy apk file in their mobile device")</f>
        <v>User need to download the Petzy apk file in their mobile device</v>
      </c>
      <c r="F36" s="26" t="str">
        <f>IFERROR(__xludf.DUMMYFUNCTION("""COMPUTED_VALUE"""),"1. Open app
2. Login using valid credential")</f>
        <v>1. Open app
2. Login using valid credential</v>
      </c>
      <c r="G36" s="26" t="str">
        <f>IFERROR(__xludf.DUMMYFUNCTION("""COMPUTED_VALUE"""),"User Credential")</f>
        <v>User Credential</v>
      </c>
      <c r="H36" s="26" t="str">
        <f>IFERROR(__xludf.DUMMYFUNCTION("""COMPUTED_VALUE"""),"Phone UI gesture overlay with App UI")</f>
        <v>Phone UI gesture overlay with App UI</v>
      </c>
      <c r="I36" s="26" t="str">
        <f>IFERROR(__xludf.DUMMYFUNCTION("""COMPUTED_VALUE"""),"UI should not overlapped with phone UI")</f>
        <v>UI should not overlapped with phone UI</v>
      </c>
      <c r="J36" s="26" t="str">
        <f>IFERROR(__xludf.DUMMYFUNCTION("""COMPUTED_VALUE"""),"Fail")</f>
        <v>Fail</v>
      </c>
      <c r="K36" s="26" t="str">
        <f>IFERROR(__xludf.DUMMYFUNCTION("""COMPUTED_VALUE"""),"High")</f>
        <v>High</v>
      </c>
      <c r="L36" s="27" t="str">
        <f>IFERROR(__xludf.DUMMYFUNCTION("""COMPUTED_VALUE"""),"034.png")</f>
        <v>034.png</v>
      </c>
      <c r="M36" s="26"/>
      <c r="N36" s="26"/>
      <c r="O36" s="26"/>
      <c r="P36" s="26" t="str">
        <f>IFERROR(__xludf.DUMMYFUNCTION("""COMPUTED_VALUE"""),"Fahad")</f>
        <v>Fahad</v>
      </c>
      <c r="Q36" s="24"/>
      <c r="R36" s="24"/>
      <c r="S36" s="24"/>
      <c r="T36" s="24"/>
      <c r="U36" s="24"/>
      <c r="V36" s="24"/>
      <c r="W36" s="24"/>
      <c r="X36" s="24"/>
      <c r="Y36" s="24"/>
      <c r="Z36" s="24"/>
      <c r="AA36" s="24"/>
    </row>
    <row r="37">
      <c r="A37" s="25" t="s">
        <v>54</v>
      </c>
      <c r="B37" s="26" t="str">
        <f>IFERROR(__xludf.DUMMYFUNCTION("""COMPUTED_VALUE"""),"Landing Page")</f>
        <v>Landing Page</v>
      </c>
      <c r="C37" s="26" t="str">
        <f>IFERROR(__xludf.DUMMYFUNCTION("""COMPUTED_VALUE"""),"Home Screen")</f>
        <v>Home Screen</v>
      </c>
      <c r="D37" s="26" t="str">
        <f>IFERROR(__xludf.DUMMYFUNCTION("""COMPUTED_VALUE"""),"AI Chatbot missing in home screen")</f>
        <v>AI Chatbot missing in home screen</v>
      </c>
      <c r="E37" s="26" t="str">
        <f>IFERROR(__xludf.DUMMYFUNCTION("""COMPUTED_VALUE"""),"User need to download the Petzy apk file in their mobile device")</f>
        <v>User need to download the Petzy apk file in their mobile device</v>
      </c>
      <c r="F37" s="26" t="str">
        <f>IFERROR(__xludf.DUMMYFUNCTION("""COMPUTED_VALUE"""),"1. Open app
2. Login using valid credential")</f>
        <v>1. Open app
2. Login using valid credential</v>
      </c>
      <c r="G37" s="26" t="str">
        <f>IFERROR(__xludf.DUMMYFUNCTION("""COMPUTED_VALUE"""),"User Credential")</f>
        <v>User Credential</v>
      </c>
      <c r="H37" s="26" t="str">
        <f>IFERROR(__xludf.DUMMYFUNCTION("""COMPUTED_VALUE"""),"AI chatbot should be present in home screen as per as client requirement")</f>
        <v>AI chatbot should be present in home screen as per as client requirement</v>
      </c>
      <c r="I37" s="26" t="str">
        <f>IFERROR(__xludf.DUMMYFUNCTION("""COMPUTED_VALUE"""),"Missing AI chatbot in home screen")</f>
        <v>Missing AI chatbot in home screen</v>
      </c>
      <c r="J37" s="26" t="str">
        <f>IFERROR(__xludf.DUMMYFUNCTION("""COMPUTED_VALUE"""),"Fail")</f>
        <v>Fail</v>
      </c>
      <c r="K37" s="26" t="str">
        <f>IFERROR(__xludf.DUMMYFUNCTION("""COMPUTED_VALUE"""),"High")</f>
        <v>High</v>
      </c>
      <c r="L37" s="27" t="str">
        <f>IFERROR(__xludf.DUMMYFUNCTION("""COMPUTED_VALUE"""),"035.png")</f>
        <v>035.png</v>
      </c>
      <c r="M37" s="26"/>
      <c r="N37" s="26"/>
      <c r="O37" s="26" t="str">
        <f>IFERROR(__xludf.DUMMYFUNCTION("""COMPUTED_VALUE"""),"Client will be implement later")</f>
        <v>Client will be implement later</v>
      </c>
      <c r="P37" s="26" t="str">
        <f>IFERROR(__xludf.DUMMYFUNCTION("""COMPUTED_VALUE"""),"Fahad")</f>
        <v>Fahad</v>
      </c>
      <c r="Q37" s="24"/>
      <c r="R37" s="24"/>
      <c r="S37" s="24"/>
      <c r="T37" s="24"/>
      <c r="U37" s="24"/>
      <c r="V37" s="24"/>
      <c r="W37" s="24"/>
      <c r="X37" s="24"/>
      <c r="Y37" s="24"/>
      <c r="Z37" s="24"/>
      <c r="AA37" s="24"/>
    </row>
    <row r="38">
      <c r="A38" s="25" t="s">
        <v>55</v>
      </c>
      <c r="B38" s="26" t="str">
        <f>IFERROR(__xludf.DUMMYFUNCTION("""COMPUTED_VALUE"""),"Landing Page")</f>
        <v>Landing Page</v>
      </c>
      <c r="C38" s="26" t="str">
        <f>IFERROR(__xludf.DUMMYFUNCTION("""COMPUTED_VALUE"""),"Home Screen")</f>
        <v>Home Screen</v>
      </c>
      <c r="D38" s="26" t="str">
        <f>IFERROR(__xludf.DUMMYFUNCTION("""COMPUTED_VALUE"""),"Encountered a request timeout")</f>
        <v>Encountered a request timeout</v>
      </c>
      <c r="E38" s="26" t="str">
        <f>IFERROR(__xludf.DUMMYFUNCTION("""COMPUTED_VALUE"""),"User need to download the Petzy apk file in their mobile device")</f>
        <v>User need to download the Petzy apk file in their mobile device</v>
      </c>
      <c r="F38" s="26" t="str">
        <f>IFERROR(__xludf.DUMMYFUNCTION("""COMPUTED_VALUE"""),"1. Open app
2. Login using valid credential
3. Click on Home")</f>
        <v>1. Open app
2. Login using valid credential
3. Click on Home</v>
      </c>
      <c r="G38" s="26" t="str">
        <f>IFERROR(__xludf.DUMMYFUNCTION("""COMPUTED_VALUE"""),"User Credential")</f>
        <v>User Credential</v>
      </c>
      <c r="H38" s="26" t="str">
        <f>IFERROR(__xludf.DUMMYFUNCTION("""COMPUTED_VALUE"""),"User should be able to use the app without encountering request time out")</f>
        <v>User should be able to use the app without encountering request time out</v>
      </c>
      <c r="I38" s="26" t="str">
        <f>IFERROR(__xludf.DUMMYFUNCTION("""COMPUTED_VALUE"""),"Faced request timeout in home screen")</f>
        <v>Faced request timeout in home screen</v>
      </c>
      <c r="J38" s="26" t="str">
        <f>IFERROR(__xludf.DUMMYFUNCTION("""COMPUTED_VALUE"""),"Fail")</f>
        <v>Fail</v>
      </c>
      <c r="K38" s="26" t="str">
        <f>IFERROR(__xludf.DUMMYFUNCTION("""COMPUTED_VALUE"""),"High")</f>
        <v>High</v>
      </c>
      <c r="L38" s="27" t="str">
        <f>IFERROR(__xludf.DUMMYFUNCTION("""COMPUTED_VALUE"""),"046.png")</f>
        <v>046.png</v>
      </c>
      <c r="M38" s="26"/>
      <c r="N38" s="26"/>
      <c r="O38" s="26"/>
      <c r="P38" s="26" t="str">
        <f>IFERROR(__xludf.DUMMYFUNCTION("""COMPUTED_VALUE"""),"Fahad")</f>
        <v>Fahad</v>
      </c>
      <c r="Q38" s="24"/>
      <c r="R38" s="24"/>
      <c r="S38" s="24"/>
      <c r="T38" s="24"/>
      <c r="U38" s="24"/>
      <c r="V38" s="24"/>
      <c r="W38" s="24"/>
      <c r="X38" s="24"/>
      <c r="Y38" s="24"/>
      <c r="Z38" s="24"/>
      <c r="AA38" s="24"/>
    </row>
    <row r="39">
      <c r="A39" s="25" t="s">
        <v>56</v>
      </c>
      <c r="B39" s="26" t="str">
        <f>IFERROR(__xludf.DUMMYFUNCTION("""COMPUTED_VALUE"""),"Landing Page")</f>
        <v>Landing Page</v>
      </c>
      <c r="C39" s="26" t="str">
        <f>IFERROR(__xludf.DUMMYFUNCTION("""COMPUTED_VALUE"""),"Home Screen")</f>
        <v>Home Screen</v>
      </c>
      <c r="D39" s="26" t="str">
        <f>IFERROR(__xludf.DUMMYFUNCTION("""COMPUTED_VALUE"""),"Unable to display updated profile picture")</f>
        <v>Unable to display updated profile picture</v>
      </c>
      <c r="E39" s="26" t="str">
        <f>IFERROR(__xludf.DUMMYFUNCTION("""COMPUTED_VALUE"""),"User need to download the Petzy apk file in their mobile device")</f>
        <v>User need to download the Petzy apk file in their mobile device</v>
      </c>
      <c r="F39" s="26" t="str">
        <f>IFERROR(__xludf.DUMMYFUNCTION("""COMPUTED_VALUE"""),"1. Open app
2. Login using valid credential
3. Click on Home")</f>
        <v>1. Open app
2. Login using valid credential
3. Click on Home</v>
      </c>
      <c r="G39" s="26" t="str">
        <f>IFERROR(__xludf.DUMMYFUNCTION("""COMPUTED_VALUE"""),"User Credential")</f>
        <v>User Credential</v>
      </c>
      <c r="H39" s="26" t="str">
        <f>IFERROR(__xludf.DUMMYFUNCTION("""COMPUTED_VALUE"""),"The updated profile picture should load quickly and appear seamlessly.")</f>
        <v>The updated profile picture should load quickly and appear seamlessly.</v>
      </c>
      <c r="I39" s="26" t="str">
        <f>IFERROR(__xludf.DUMMYFUNCTION("""COMPUTED_VALUE"""),"Failed to display updated profile picture")</f>
        <v>Failed to display updated profile picture</v>
      </c>
      <c r="J39" s="26" t="str">
        <f>IFERROR(__xludf.DUMMYFUNCTION("""COMPUTED_VALUE"""),"Fail")</f>
        <v>Fail</v>
      </c>
      <c r="K39" s="26" t="str">
        <f>IFERROR(__xludf.DUMMYFUNCTION("""COMPUTED_VALUE"""),"Medium")</f>
        <v>Medium</v>
      </c>
      <c r="L39" s="27" t="str">
        <f>IFERROR(__xludf.DUMMYFUNCTION("""COMPUTED_VALUE"""),"048.png")</f>
        <v>048.png</v>
      </c>
      <c r="M39" s="26"/>
      <c r="N39" s="26"/>
      <c r="O39" s="26"/>
      <c r="P39" s="26" t="str">
        <f>IFERROR(__xludf.DUMMYFUNCTION("""COMPUTED_VALUE"""),"Fahad")</f>
        <v>Fahad</v>
      </c>
      <c r="Q39" s="24"/>
      <c r="R39" s="24"/>
      <c r="S39" s="24"/>
      <c r="T39" s="24"/>
      <c r="U39" s="24"/>
      <c r="V39" s="24"/>
      <c r="W39" s="24"/>
      <c r="X39" s="24"/>
      <c r="Y39" s="24"/>
      <c r="Z39" s="24"/>
      <c r="AA39" s="24"/>
    </row>
    <row r="40">
      <c r="A40" s="25" t="s">
        <v>57</v>
      </c>
      <c r="B40" s="26" t="str">
        <f>IFERROR(__xludf.DUMMYFUNCTION("""COMPUTED_VALUE"""),"Landing Page")</f>
        <v>Landing Page</v>
      </c>
      <c r="C40" s="26" t="str">
        <f>IFERROR(__xludf.DUMMYFUNCTION("""COMPUTED_VALUE"""),"Home Screen")</f>
        <v>Home Screen</v>
      </c>
      <c r="D40" s="26" t="str">
        <f>IFERROR(__xludf.DUMMYFUNCTION("""COMPUTED_VALUE"""),"Recent post is not displayed at top")</f>
        <v>Recent post is not displayed at top</v>
      </c>
      <c r="E40" s="26" t="str">
        <f>IFERROR(__xludf.DUMMYFUNCTION("""COMPUTED_VALUE"""),"User need to download the Petzy apk file in their mobile device")</f>
        <v>User need to download the Petzy apk file in their mobile device</v>
      </c>
      <c r="F40" s="26" t="str">
        <f>IFERROR(__xludf.DUMMYFUNCTION("""COMPUTED_VALUE"""),"1. Open app
2. Login using valid credential
3. Click on Home")</f>
        <v>1. Open app
2. Login using valid credential
3. Click on Home</v>
      </c>
      <c r="G40" s="26" t="str">
        <f>IFERROR(__xludf.DUMMYFUNCTION("""COMPUTED_VALUE"""),"User Credential")</f>
        <v>User Credential</v>
      </c>
      <c r="H40" s="26" t="str">
        <f>IFERROR(__xludf.DUMMYFUNCTION("""COMPUTED_VALUE"""),"Recent post should be displayed at top of home screen")</f>
        <v>Recent post should be displayed at top of home screen</v>
      </c>
      <c r="I40" s="26" t="str">
        <f>IFERROR(__xludf.DUMMYFUNCTION("""COMPUTED_VALUE"""),"The top post was published an hour ago, and the second post was shared recently.")</f>
        <v>The top post was published an hour ago, and the second post was shared recently.</v>
      </c>
      <c r="J40" s="26" t="str">
        <f>IFERROR(__xludf.DUMMYFUNCTION("""COMPUTED_VALUE"""),"Fail")</f>
        <v>Fail</v>
      </c>
      <c r="K40" s="26" t="str">
        <f>IFERROR(__xludf.DUMMYFUNCTION("""COMPUTED_VALUE"""),"Medium")</f>
        <v>Medium</v>
      </c>
      <c r="L40" s="27" t="str">
        <f>IFERROR(__xludf.DUMMYFUNCTION("""COMPUTED_VALUE"""),"050.mp4")</f>
        <v>050.mp4</v>
      </c>
      <c r="M40" s="26"/>
      <c r="N40" s="26"/>
      <c r="O40" s="26"/>
      <c r="P40" s="26" t="str">
        <f>IFERROR(__xludf.DUMMYFUNCTION("""COMPUTED_VALUE"""),"Fahad")</f>
        <v>Fahad</v>
      </c>
      <c r="Q40" s="24"/>
      <c r="R40" s="24"/>
      <c r="S40" s="24"/>
      <c r="T40" s="24"/>
      <c r="U40" s="24"/>
      <c r="V40" s="24"/>
      <c r="W40" s="24"/>
      <c r="X40" s="24"/>
      <c r="Y40" s="24"/>
      <c r="Z40" s="24"/>
      <c r="AA40" s="24"/>
    </row>
    <row r="41">
      <c r="A41" s="25" t="s">
        <v>58</v>
      </c>
      <c r="B41" s="26" t="str">
        <f>IFERROR(__xludf.DUMMYFUNCTION("""COMPUTED_VALUE"""),"Landing Page")</f>
        <v>Landing Page</v>
      </c>
      <c r="C41" s="26" t="str">
        <f>IFERROR(__xludf.DUMMYFUNCTION("""COMPUTED_VALUE"""),"Landing Page")</f>
        <v>Landing Page</v>
      </c>
      <c r="D41" s="26" t="str">
        <f>IFERROR(__xludf.DUMMYFUNCTION("""COMPUTED_VALUE"""),"Different landing page than in Figma")</f>
        <v>Different landing page than in Figma</v>
      </c>
      <c r="E41" s="26" t="str">
        <f>IFERROR(__xludf.DUMMYFUNCTION("""COMPUTED_VALUE"""),"User need to download the Petzy apk file in their mobile device")</f>
        <v>User need to download the Petzy apk file in their mobile device</v>
      </c>
      <c r="F41" s="26" t="str">
        <f>IFERROR(__xludf.DUMMYFUNCTION("""COMPUTED_VALUE"""),"1. Open app")</f>
        <v>1. Open app</v>
      </c>
      <c r="G41" s="26" t="str">
        <f>IFERROR(__xludf.DUMMYFUNCTION("""COMPUTED_VALUE"""),"User Credential")</f>
        <v>User Credential</v>
      </c>
      <c r="H41" s="26" t="str">
        <f>IFERROR(__xludf.DUMMYFUNCTION("""COMPUTED_VALUE"""),"Design and alignment should be as same as figma")</f>
        <v>Design and alignment should be as same as figma</v>
      </c>
      <c r="I41" s="26" t="str">
        <f>IFERROR(__xludf.DUMMYFUNCTION("""COMPUTED_VALUE"""),"Differen icon noticed")</f>
        <v>Differen icon noticed</v>
      </c>
      <c r="J41" s="26" t="str">
        <f>IFERROR(__xludf.DUMMYFUNCTION("""COMPUTED_VALUE"""),"Fail")</f>
        <v>Fail</v>
      </c>
      <c r="K41" s="26" t="str">
        <f>IFERROR(__xludf.DUMMYFUNCTION("""COMPUTED_VALUE"""),"Medium")</f>
        <v>Medium</v>
      </c>
      <c r="L41" s="27" t="str">
        <f>IFERROR(__xludf.DUMMYFUNCTION("""COMPUTED_VALUE"""),"077.png")</f>
        <v>077.png</v>
      </c>
      <c r="M41" s="26"/>
      <c r="N41" s="26"/>
      <c r="O41" s="26"/>
      <c r="P41" s="26" t="str">
        <f>IFERROR(__xludf.DUMMYFUNCTION("""COMPUTED_VALUE"""),"Fahad")</f>
        <v>Fahad</v>
      </c>
      <c r="Q41" s="24"/>
      <c r="R41" s="24"/>
      <c r="S41" s="24"/>
      <c r="T41" s="24"/>
      <c r="U41" s="24"/>
      <c r="V41" s="24"/>
      <c r="W41" s="24"/>
      <c r="X41" s="24"/>
      <c r="Y41" s="24"/>
      <c r="Z41" s="24"/>
      <c r="AA41" s="24"/>
    </row>
    <row r="42">
      <c r="A42" s="25" t="s">
        <v>59</v>
      </c>
      <c r="B42" s="26" t="str">
        <f>IFERROR(__xludf.DUMMYFUNCTION("""COMPUTED_VALUE"""),"Landing Page")</f>
        <v>Landing Page</v>
      </c>
      <c r="C42" s="26" t="str">
        <f>IFERROR(__xludf.DUMMYFUNCTION("""COMPUTED_VALUE"""),"Landing Page")</f>
        <v>Landing Page</v>
      </c>
      <c r="D42" s="26" t="str">
        <f>IFERROR(__xludf.DUMMYFUNCTION("""COMPUTED_VALUE"""),"The back button closes the app immediately without prompting the user to confirm if they want to exit.")</f>
        <v>The back button closes the app immediately without prompting the user to confirm if they want to exit.</v>
      </c>
      <c r="E42" s="26" t="str">
        <f>IFERROR(__xludf.DUMMYFUNCTION("""COMPUTED_VALUE"""),"User need to download the Petzy apk file in their mobile device")</f>
        <v>User need to download the Petzy apk file in their mobile device</v>
      </c>
      <c r="F42" s="26" t="str">
        <f>IFERROR(__xludf.DUMMYFUNCTION("""COMPUTED_VALUE"""),"1. Open app")</f>
        <v>1. Open app</v>
      </c>
      <c r="G42" s="26" t="str">
        <f>IFERROR(__xludf.DUMMYFUNCTION("""COMPUTED_VALUE"""),"User Credential")</f>
        <v>User Credential</v>
      </c>
      <c r="H42" s="26" t="str">
        <f>IFERROR(__xludf.DUMMYFUNCTION("""COMPUTED_VALUE"""),"Pressing the back button will take the user to the home page, and pressing it again will bring up a prompt asking if the client wants to quit the app.")</f>
        <v>Pressing the back button will take the user to the home page, and pressing it again will bring up a prompt asking if the client wants to quit the app.</v>
      </c>
      <c r="I42" s="26" t="str">
        <f>IFERROR(__xludf.DUMMYFUNCTION("""COMPUTED_VALUE"""),"App closes directly from the page")</f>
        <v>App closes directly from the page</v>
      </c>
      <c r="J42" s="26" t="str">
        <f>IFERROR(__xludf.DUMMYFUNCTION("""COMPUTED_VALUE"""),"Fail")</f>
        <v>Fail</v>
      </c>
      <c r="K42" s="26" t="str">
        <f>IFERROR(__xludf.DUMMYFUNCTION("""COMPUTED_VALUE"""),"Medium")</f>
        <v>Medium</v>
      </c>
      <c r="L42" s="27" t="str">
        <f>IFERROR(__xludf.DUMMYFUNCTION("""COMPUTED_VALUE"""),"083.mp4")</f>
        <v>083.mp4</v>
      </c>
      <c r="M42" s="26"/>
      <c r="N42" s="26"/>
      <c r="O42" s="26"/>
      <c r="P42" s="26" t="str">
        <f>IFERROR(__xludf.DUMMYFUNCTION("""COMPUTED_VALUE"""),"Fahad")</f>
        <v>Fahad</v>
      </c>
      <c r="Q42" s="24"/>
      <c r="R42" s="24"/>
      <c r="S42" s="24"/>
      <c r="T42" s="24"/>
      <c r="U42" s="24"/>
      <c r="V42" s="24"/>
      <c r="W42" s="24"/>
      <c r="X42" s="24"/>
      <c r="Y42" s="24"/>
      <c r="Z42" s="24"/>
      <c r="AA42" s="24"/>
    </row>
    <row r="43">
      <c r="A43" s="25" t="s">
        <v>60</v>
      </c>
      <c r="B43" s="26" t="str">
        <f>IFERROR(__xludf.DUMMYFUNCTION("""COMPUTED_VALUE"""),"Landing Page")</f>
        <v>Landing Page</v>
      </c>
      <c r="C43" s="26" t="str">
        <f>IFERROR(__xludf.DUMMYFUNCTION("""COMPUTED_VALUE"""),"Login Screen")</f>
        <v>Login Screen</v>
      </c>
      <c r="D43" s="26" t="str">
        <f>IFERROR(__xludf.DUMMYFUNCTION("""COMPUTED_VALUE"""),"The placeholder value is set as a number, not in a specific format.")</f>
        <v>The placeholder value is set as a number, not in a specific format.</v>
      </c>
      <c r="E43" s="26" t="str">
        <f>IFERROR(__xludf.DUMMYFUNCTION("""COMPUTED_VALUE"""),"User need to download the Petzy apk file in their mobile device")</f>
        <v>User need to download the Petzy apk file in their mobile device</v>
      </c>
      <c r="F43" s="26" t="str">
        <f>IFERROR(__xludf.DUMMYFUNCTION("""COMPUTED_VALUE"""),"1. Open app
2. Click on Login Button")</f>
        <v>1. Open app
2. Click on Login Button</v>
      </c>
      <c r="G43" s="26" t="str">
        <f>IFERROR(__xludf.DUMMYFUNCTION("""COMPUTED_VALUE"""),"N/A")</f>
        <v>N/A</v>
      </c>
      <c r="H43" s="26" t="str">
        <f>IFERROR(__xludf.DUMMYFUNCTION("""COMPUTED_VALUE"""),"Placeholder value should be set as format, not as actual number")</f>
        <v>Placeholder value should be set as format, not as actual number</v>
      </c>
      <c r="I43" s="26" t="str">
        <f>IFERROR(__xludf.DUMMYFUNCTION("""COMPUTED_VALUE"""),"Actual phone number is set as placeholder value")</f>
        <v>Actual phone number is set as placeholder value</v>
      </c>
      <c r="J43" s="26" t="str">
        <f>IFERROR(__xludf.DUMMYFUNCTION("""COMPUTED_VALUE"""),"Fail")</f>
        <v>Fail</v>
      </c>
      <c r="K43" s="26" t="str">
        <f>IFERROR(__xludf.DUMMYFUNCTION("""COMPUTED_VALUE"""),"Low")</f>
        <v>Low</v>
      </c>
      <c r="L43" s="27" t="str">
        <f>IFERROR(__xludf.DUMMYFUNCTION("""COMPUTED_VALUE"""),"006.png")</f>
        <v>006.png</v>
      </c>
      <c r="M43" s="26"/>
      <c r="N43" s="26" t="str">
        <f>IFERROR(__xludf.DUMMYFUNCTION("""COMPUTED_VALUE"""),"Solved")</f>
        <v>Solved</v>
      </c>
      <c r="O43" s="26"/>
      <c r="P43" s="26" t="str">
        <f>IFERROR(__xludf.DUMMYFUNCTION("""COMPUTED_VALUE"""),"Fahad")</f>
        <v>Fahad</v>
      </c>
      <c r="Q43" s="24"/>
      <c r="R43" s="24"/>
      <c r="S43" s="24"/>
      <c r="T43" s="24"/>
      <c r="U43" s="24"/>
      <c r="V43" s="24"/>
      <c r="W43" s="24"/>
      <c r="X43" s="24"/>
      <c r="Y43" s="24"/>
      <c r="Z43" s="24"/>
      <c r="AA43" s="24"/>
    </row>
    <row r="44">
      <c r="A44" s="25" t="s">
        <v>61</v>
      </c>
      <c r="B44" s="26" t="str">
        <f>IFERROR(__xludf.DUMMYFUNCTION("""COMPUTED_VALUE"""),"Landing Page")</f>
        <v>Landing Page</v>
      </c>
      <c r="C44" s="26" t="str">
        <f>IFERROR(__xludf.DUMMYFUNCTION("""COMPUTED_VALUE"""),"Login Screen")</f>
        <v>Login Screen</v>
      </c>
      <c r="D44" s="26" t="str">
        <f>IFERROR(__xludf.DUMMYFUNCTION("""COMPUTED_VALUE"""),"No limit set for input ")</f>
        <v>No limit set for input </v>
      </c>
      <c r="E44" s="26" t="str">
        <f>IFERROR(__xludf.DUMMYFUNCTION("""COMPUTED_VALUE"""),"User need to download the Petzy apk file in their mobile device")</f>
        <v>User need to download the Petzy apk file in their mobile device</v>
      </c>
      <c r="F44" s="26" t="str">
        <f>IFERROR(__xludf.DUMMYFUNCTION("""COMPUTED_VALUE"""),"1. Open app
2. Click on Login Button")</f>
        <v>1. Open app
2. Click on Login Button</v>
      </c>
      <c r="G44" s="26" t="str">
        <f>IFERROR(__xludf.DUMMYFUNCTION("""COMPUTED_VALUE"""),"N/A")</f>
        <v>N/A</v>
      </c>
      <c r="H44" s="26" t="str">
        <f>IFERROR(__xludf.DUMMYFUNCTION("""COMPUTED_VALUE"""),"Input field limit should be fixed . it should be 3-15 digit")</f>
        <v>Input field limit should be fixed . it should be 3-15 digit</v>
      </c>
      <c r="I44" s="26" t="str">
        <f>IFERROR(__xludf.DUMMYFUNCTION("""COMPUTED_VALUE"""),"There’s no limit set for the phone number input.")</f>
        <v>There’s no limit set for the phone number input.</v>
      </c>
      <c r="J44" s="26" t="str">
        <f>IFERROR(__xludf.DUMMYFUNCTION("""COMPUTED_VALUE"""),"Fail")</f>
        <v>Fail</v>
      </c>
      <c r="K44" s="26" t="str">
        <f>IFERROR(__xludf.DUMMYFUNCTION("""COMPUTED_VALUE"""),"Medium")</f>
        <v>Medium</v>
      </c>
      <c r="L44" s="27" t="str">
        <f>IFERROR(__xludf.DUMMYFUNCTION("""COMPUTED_VALUE"""),"008.png")</f>
        <v>008.png</v>
      </c>
      <c r="M44" s="26"/>
      <c r="N44" s="26" t="str">
        <f>IFERROR(__xludf.DUMMYFUNCTION("""COMPUTED_VALUE"""),"Solved")</f>
        <v>Solved</v>
      </c>
      <c r="O44" s="26"/>
      <c r="P44" s="26" t="str">
        <f>IFERROR(__xludf.DUMMYFUNCTION("""COMPUTED_VALUE"""),"Fahad")</f>
        <v>Fahad</v>
      </c>
      <c r="Q44" s="24"/>
      <c r="R44" s="24"/>
      <c r="S44" s="24"/>
      <c r="T44" s="24"/>
      <c r="U44" s="24"/>
      <c r="V44" s="24"/>
      <c r="W44" s="24"/>
      <c r="X44" s="24"/>
      <c r="Y44" s="24"/>
      <c r="Z44" s="24"/>
      <c r="AA44" s="24"/>
    </row>
    <row r="45">
      <c r="A45" s="25" t="s">
        <v>62</v>
      </c>
      <c r="B45" s="26" t="str">
        <f>IFERROR(__xludf.DUMMYFUNCTION("""COMPUTED_VALUE"""),"Landing Page")</f>
        <v>Landing Page</v>
      </c>
      <c r="C45" s="26" t="str">
        <f>IFERROR(__xludf.DUMMYFUNCTION("""COMPUTED_VALUE"""),"Login Screen")</f>
        <v>Login Screen</v>
      </c>
      <c r="D45" s="26" t="str">
        <f>IFERROR(__xludf.DUMMYFUNCTION("""COMPUTED_VALUE"""),"Naver &amp; kakao login gateway is not implemented")</f>
        <v>Naver &amp; kakao login gateway is not implemented</v>
      </c>
      <c r="E45" s="26" t="str">
        <f>IFERROR(__xludf.DUMMYFUNCTION("""COMPUTED_VALUE"""),"User need to download the Petzy apk file in their mobile device")</f>
        <v>User need to download the Petzy apk file in their mobile device</v>
      </c>
      <c r="F45" s="26" t="str">
        <f>IFERROR(__xludf.DUMMYFUNCTION("""COMPUTED_VALUE"""),"1. Open app
2. Click on Login Button")</f>
        <v>1. Open app
2. Click on Login Button</v>
      </c>
      <c r="G45" s="26" t="str">
        <f>IFERROR(__xludf.DUMMYFUNCTION("""COMPUTED_VALUE"""),"N/A")</f>
        <v>N/A</v>
      </c>
      <c r="H45" s="26" t="str">
        <f>IFERROR(__xludf.DUMMYFUNCTION("""COMPUTED_VALUE"""),"All 3 payment login should be implemented ")</f>
        <v>All 3 payment login should be implemented </v>
      </c>
      <c r="I45" s="26" t="str">
        <f>IFERROR(__xludf.DUMMYFUNCTION("""COMPUTED_VALUE"""),"Only google login gateway is functional")</f>
        <v>Only google login gateway is functional</v>
      </c>
      <c r="J45" s="26" t="str">
        <f>IFERROR(__xludf.DUMMYFUNCTION("""COMPUTED_VALUE"""),"Fail")</f>
        <v>Fail</v>
      </c>
      <c r="K45" s="26" t="str">
        <f>IFERROR(__xludf.DUMMYFUNCTION("""COMPUTED_VALUE"""),"High")</f>
        <v>High</v>
      </c>
      <c r="L45" s="27" t="str">
        <f>IFERROR(__xludf.DUMMYFUNCTION("""COMPUTED_VALUE"""),"009.png")</f>
        <v>009.png</v>
      </c>
      <c r="M45" s="26"/>
      <c r="N45" s="26"/>
      <c r="O45" s="26" t="str">
        <f>IFERROR(__xludf.DUMMYFUNCTION("""COMPUTED_VALUE"""),"waiting for backend")</f>
        <v>waiting for backend</v>
      </c>
      <c r="P45" s="26" t="str">
        <f>IFERROR(__xludf.DUMMYFUNCTION("""COMPUTED_VALUE"""),"Fahad")</f>
        <v>Fahad</v>
      </c>
      <c r="Q45" s="24"/>
      <c r="R45" s="24"/>
      <c r="S45" s="24"/>
      <c r="T45" s="24"/>
      <c r="U45" s="24"/>
      <c r="V45" s="24"/>
      <c r="W45" s="24"/>
      <c r="X45" s="24"/>
      <c r="Y45" s="24"/>
      <c r="Z45" s="24"/>
      <c r="AA45" s="24"/>
    </row>
    <row r="46">
      <c r="A46" s="25" t="s">
        <v>63</v>
      </c>
      <c r="B46" s="26" t="str">
        <f>IFERROR(__xludf.DUMMYFUNCTION("""COMPUTED_VALUE"""),"Landing Page")</f>
        <v>Landing Page</v>
      </c>
      <c r="C46" s="26" t="str">
        <f>IFERROR(__xludf.DUMMYFUNCTION("""COMPUTED_VALUE"""),"Login Screen")</f>
        <v>Login Screen</v>
      </c>
      <c r="D46" s="26" t="str">
        <f>IFERROR(__xludf.DUMMYFUNCTION("""COMPUTED_VALUE"""),"Overlapped issue in login page")</f>
        <v>Overlapped issue in login page</v>
      </c>
      <c r="E46" s="26" t="str">
        <f>IFERROR(__xludf.DUMMYFUNCTION("""COMPUTED_VALUE"""),"User need to download the Petzy apk file in their mobile device")</f>
        <v>User need to download the Petzy apk file in their mobile device</v>
      </c>
      <c r="F46" s="26" t="str">
        <f>IFERROR(__xludf.DUMMYFUNCTION("""COMPUTED_VALUE"""),"1. Open app
2. Click on Login Button")</f>
        <v>1. Open app
2. Click on Login Button</v>
      </c>
      <c r="G46" s="26" t="str">
        <f>IFERROR(__xludf.DUMMYFUNCTION("""COMPUTED_VALUE"""),"N/A")</f>
        <v>N/A</v>
      </c>
      <c r="H46" s="26" t="str">
        <f>IFERROR(__xludf.DUMMYFUNCTION("""COMPUTED_VALUE"""),"No overlapped issue should be visible in app")</f>
        <v>No overlapped issue should be visible in app</v>
      </c>
      <c r="I46" s="26" t="str">
        <f>IFERROR(__xludf.DUMMYFUNCTION("""COMPUTED_VALUE"""),"Faced overlapped issue in login paeg with keyboard")</f>
        <v>Faced overlapped issue in login paeg with keyboard</v>
      </c>
      <c r="J46" s="26" t="str">
        <f>IFERROR(__xludf.DUMMYFUNCTION("""COMPUTED_VALUE"""),"Fail")</f>
        <v>Fail</v>
      </c>
      <c r="K46" s="26" t="str">
        <f>IFERROR(__xludf.DUMMYFUNCTION("""COMPUTED_VALUE"""),"Medium")</f>
        <v>Medium</v>
      </c>
      <c r="L46" s="27" t="str">
        <f>IFERROR(__xludf.DUMMYFUNCTION("""COMPUTED_VALUE"""),"010.png")</f>
        <v>010.png</v>
      </c>
      <c r="M46" s="26"/>
      <c r="N46" s="26" t="str">
        <f>IFERROR(__xludf.DUMMYFUNCTION("""COMPUTED_VALUE"""),"Solved")</f>
        <v>Solved</v>
      </c>
      <c r="O46" s="26"/>
      <c r="P46" s="26" t="str">
        <f>IFERROR(__xludf.DUMMYFUNCTION("""COMPUTED_VALUE"""),"Fahad")</f>
        <v>Fahad</v>
      </c>
      <c r="Q46" s="24"/>
      <c r="R46" s="24"/>
      <c r="S46" s="24"/>
      <c r="T46" s="24"/>
      <c r="U46" s="24"/>
      <c r="V46" s="24"/>
      <c r="W46" s="24"/>
      <c r="X46" s="24"/>
      <c r="Y46" s="24"/>
      <c r="Z46" s="24"/>
      <c r="AA46" s="24"/>
    </row>
    <row r="47">
      <c r="A47" s="25" t="s">
        <v>64</v>
      </c>
      <c r="B47" s="26" t="str">
        <f>IFERROR(__xludf.DUMMYFUNCTION("""COMPUTED_VALUE"""),"Landing Page")</f>
        <v>Landing Page</v>
      </c>
      <c r="C47" s="26" t="str">
        <f>IFERROR(__xludf.DUMMYFUNCTION("""COMPUTED_VALUE"""),"Menu")</f>
        <v>Menu</v>
      </c>
      <c r="D47" s="26" t="str">
        <f>IFERROR(__xludf.DUMMYFUNCTION("""COMPUTED_VALUE"""),"Same icon used for different feature")</f>
        <v>Same icon used for different feature</v>
      </c>
      <c r="E47" s="26" t="str">
        <f>IFERROR(__xludf.DUMMYFUNCTION("""COMPUTED_VALUE"""),"User need to download the Petzy apk file in their mobile device")</f>
        <v>User need to download the Petzy apk file in their mobile device</v>
      </c>
      <c r="F47" s="26" t="str">
        <f>IFERROR(__xludf.DUMMYFUNCTION("""COMPUTED_VALUE"""),"1. Open app
2. Login using Valid Credential
3. Click on menu")</f>
        <v>1. Open app
2. Login using Valid Credential
3. Click on menu</v>
      </c>
      <c r="G47" s="26" t="str">
        <f>IFERROR(__xludf.DUMMYFUNCTION("""COMPUTED_VALUE"""),"User Credential")</f>
        <v>User Credential</v>
      </c>
      <c r="H47" s="26" t="str">
        <f>IFERROR(__xludf.DUMMYFUNCTION("""COMPUTED_VALUE"""),"Icon should be different for each feature")</f>
        <v>Icon should be different for each feature</v>
      </c>
      <c r="I47" s="26" t="str">
        <f>IFERROR(__xludf.DUMMYFUNCTION("""COMPUTED_VALUE"""),"same icon used for different feature")</f>
        <v>same icon used for different feature</v>
      </c>
      <c r="J47" s="26" t="str">
        <f>IFERROR(__xludf.DUMMYFUNCTION("""COMPUTED_VALUE"""),"Fail")</f>
        <v>Fail</v>
      </c>
      <c r="K47" s="26" t="str">
        <f>IFERROR(__xludf.DUMMYFUNCTION("""COMPUTED_VALUE"""),"Low")</f>
        <v>Low</v>
      </c>
      <c r="L47" s="27" t="str">
        <f>IFERROR(__xludf.DUMMYFUNCTION("""COMPUTED_VALUE"""),"014.png")</f>
        <v>014.png</v>
      </c>
      <c r="M47" s="26"/>
      <c r="N47" s="26" t="str">
        <f>IFERROR(__xludf.DUMMYFUNCTION("""COMPUTED_VALUE"""),"Solved")</f>
        <v>Solved</v>
      </c>
      <c r="O47" s="26"/>
      <c r="P47" s="26" t="str">
        <f>IFERROR(__xludf.DUMMYFUNCTION("""COMPUTED_VALUE"""),"Fahad")</f>
        <v>Fahad</v>
      </c>
      <c r="Q47" s="24"/>
      <c r="R47" s="24"/>
      <c r="S47" s="24"/>
      <c r="T47" s="24"/>
      <c r="U47" s="24"/>
      <c r="V47" s="24"/>
      <c r="W47" s="24"/>
      <c r="X47" s="24"/>
      <c r="Y47" s="24"/>
      <c r="Z47" s="24"/>
      <c r="AA47" s="24"/>
    </row>
    <row r="48">
      <c r="A48" s="25" t="s">
        <v>65</v>
      </c>
      <c r="B48" s="26" t="str">
        <f>IFERROR(__xludf.DUMMYFUNCTION("""COMPUTED_VALUE"""),"Landing Page")</f>
        <v>Landing Page</v>
      </c>
      <c r="C48" s="26" t="str">
        <f>IFERROR(__xludf.DUMMYFUNCTION("""COMPUTED_VALUE"""),"Menu")</f>
        <v>Menu</v>
      </c>
      <c r="D48" s="26" t="str">
        <f>IFERROR(__xludf.DUMMYFUNCTION("""COMPUTED_VALUE"""),"Notification icon is missing in quick access")</f>
        <v>Notification icon is missing in quick access</v>
      </c>
      <c r="E48" s="26" t="str">
        <f>IFERROR(__xludf.DUMMYFUNCTION("""COMPUTED_VALUE"""),"User need to download the Petzy apk file in their mobile device")</f>
        <v>User need to download the Petzy apk file in their mobile device</v>
      </c>
      <c r="F48" s="26" t="str">
        <f>IFERROR(__xludf.DUMMYFUNCTION("""COMPUTED_VALUE"""),"1. Open app
2. Login using Valid Credential
3. Click on menu")</f>
        <v>1. Open app
2. Login using Valid Credential
3. Click on menu</v>
      </c>
      <c r="G48" s="26" t="str">
        <f>IFERROR(__xludf.DUMMYFUNCTION("""COMPUTED_VALUE"""),"User Credential")</f>
        <v>User Credential</v>
      </c>
      <c r="H48" s="26" t="str">
        <f>IFERROR(__xludf.DUMMYFUNCTION("""COMPUTED_VALUE"""),"Design and features should be positioned accurately.")</f>
        <v>Design and features should be positioned accurately.</v>
      </c>
      <c r="I48" s="26" t="str">
        <f>IFERROR(__xludf.DUMMYFUNCTION("""COMPUTED_VALUE"""),"Notification feature is missing in the quick access")</f>
        <v>Notification feature is missing in the quick access</v>
      </c>
      <c r="J48" s="26" t="str">
        <f>IFERROR(__xludf.DUMMYFUNCTION("""COMPUTED_VALUE"""),"Fail")</f>
        <v>Fail</v>
      </c>
      <c r="K48" s="26" t="str">
        <f>IFERROR(__xludf.DUMMYFUNCTION("""COMPUTED_VALUE"""),"Low")</f>
        <v>Low</v>
      </c>
      <c r="L48" s="27" t="str">
        <f>IFERROR(__xludf.DUMMYFUNCTION("""COMPUTED_VALUE"""),"015.png")</f>
        <v>015.png</v>
      </c>
      <c r="M48" s="26"/>
      <c r="N48" s="26" t="str">
        <f>IFERROR(__xludf.DUMMYFUNCTION("""COMPUTED_VALUE"""),"Solved")</f>
        <v>Solved</v>
      </c>
      <c r="O48" s="26" t="str">
        <f>IFERROR(__xludf.DUMMYFUNCTION("""COMPUTED_VALUE"""),"Need Remove From Figma")</f>
        <v>Need Remove From Figma</v>
      </c>
      <c r="P48" s="26" t="str">
        <f>IFERROR(__xludf.DUMMYFUNCTION("""COMPUTED_VALUE"""),"Fahad")</f>
        <v>Fahad</v>
      </c>
      <c r="Q48" s="24"/>
      <c r="R48" s="24"/>
      <c r="S48" s="24"/>
      <c r="T48" s="24"/>
      <c r="U48" s="24"/>
      <c r="V48" s="24"/>
      <c r="W48" s="24"/>
      <c r="X48" s="24"/>
      <c r="Y48" s="24"/>
      <c r="Z48" s="24"/>
      <c r="AA48" s="24"/>
    </row>
    <row r="49">
      <c r="A49" s="25" t="s">
        <v>66</v>
      </c>
      <c r="B49" s="26" t="str">
        <f>IFERROR(__xludf.DUMMYFUNCTION("""COMPUTED_VALUE"""),"Landing Page")</f>
        <v>Landing Page</v>
      </c>
      <c r="C49" s="26" t="str">
        <f>IFERROR(__xludf.DUMMYFUNCTION("""COMPUTED_VALUE"""),"Menu")</f>
        <v>Menu</v>
      </c>
      <c r="D49" s="26" t="str">
        <f>IFERROR(__xludf.DUMMYFUNCTION("""COMPUTED_VALUE"""),"missing icons of top hotel catagories")</f>
        <v>missing icons of top hotel catagories</v>
      </c>
      <c r="E49" s="26" t="str">
        <f>IFERROR(__xludf.DUMMYFUNCTION("""COMPUTED_VALUE"""),"User need to download the Petzy apk file in their mobile device")</f>
        <v>User need to download the Petzy apk file in their mobile device</v>
      </c>
      <c r="F49" s="26" t="str">
        <f>IFERROR(__xludf.DUMMYFUNCTION("""COMPUTED_VALUE"""),"1. Open app
2. Login using Valid Credential
3. Click on menu")</f>
        <v>1. Open app
2. Login using Valid Credential
3. Click on menu</v>
      </c>
      <c r="G49" s="26" t="str">
        <f>IFERROR(__xludf.DUMMYFUNCTION("""COMPUTED_VALUE"""),"User Credential")</f>
        <v>User Credential</v>
      </c>
      <c r="H49" s="26" t="str">
        <f>IFERROR(__xludf.DUMMYFUNCTION("""COMPUTED_VALUE"""),"Icons should be placed accurately in the app")</f>
        <v>Icons should be placed accurately in the app</v>
      </c>
      <c r="I49" s="26" t="str">
        <f>IFERROR(__xludf.DUMMYFUNCTION("""COMPUTED_VALUE"""),"Missing top hotel catagory icon ")</f>
        <v>Missing top hotel catagory icon </v>
      </c>
      <c r="J49" s="26" t="str">
        <f>IFERROR(__xludf.DUMMYFUNCTION("""COMPUTED_VALUE"""),"Fail")</f>
        <v>Fail</v>
      </c>
      <c r="K49" s="26" t="str">
        <f>IFERROR(__xludf.DUMMYFUNCTION("""COMPUTED_VALUE"""),"Medium")</f>
        <v>Medium</v>
      </c>
      <c r="L49" s="27" t="str">
        <f>IFERROR(__xludf.DUMMYFUNCTION("""COMPUTED_VALUE"""),"016.png")</f>
        <v>016.png</v>
      </c>
      <c r="M49" s="26"/>
      <c r="N49" s="26" t="str">
        <f>IFERROR(__xludf.DUMMYFUNCTION("""COMPUTED_VALUE"""),"Solved")</f>
        <v>Solved</v>
      </c>
      <c r="O49" s="26"/>
      <c r="P49" s="26" t="str">
        <f>IFERROR(__xludf.DUMMYFUNCTION("""COMPUTED_VALUE"""),"Fahad")</f>
        <v>Fahad</v>
      </c>
      <c r="Q49" s="24"/>
      <c r="R49" s="24"/>
      <c r="S49" s="24"/>
      <c r="T49" s="24"/>
      <c r="U49" s="24"/>
      <c r="V49" s="24"/>
      <c r="W49" s="24"/>
      <c r="X49" s="24"/>
      <c r="Y49" s="24"/>
      <c r="Z49" s="24"/>
      <c r="AA49" s="24"/>
    </row>
    <row r="50">
      <c r="A50" s="25" t="s">
        <v>67</v>
      </c>
      <c r="B50" s="26" t="str">
        <f>IFERROR(__xludf.DUMMYFUNCTION("""COMPUTED_VALUE"""),"Landing Page")</f>
        <v>Landing Page</v>
      </c>
      <c r="C50" s="26" t="str">
        <f>IFERROR(__xludf.DUMMYFUNCTION("""COMPUTED_VALUE"""),"Menu")</f>
        <v>Menu</v>
      </c>
      <c r="D50" s="26" t="str">
        <f>IFERROR(__xludf.DUMMYFUNCTION("""COMPUTED_VALUE"""),"Top package category missing")</f>
        <v>Top package category missing</v>
      </c>
      <c r="E50" s="26" t="str">
        <f>IFERROR(__xludf.DUMMYFUNCTION("""COMPUTED_VALUE"""),"User need to download the Petzy apk file in their mobile device")</f>
        <v>User need to download the Petzy apk file in their mobile device</v>
      </c>
      <c r="F50" s="26" t="str">
        <f>IFERROR(__xludf.DUMMYFUNCTION("""COMPUTED_VALUE"""),"1. Open app
2. Login using Valid Credential
3. Click on menu")</f>
        <v>1. Open app
2. Login using Valid Credential
3. Click on menu</v>
      </c>
      <c r="G50" s="26" t="str">
        <f>IFERROR(__xludf.DUMMYFUNCTION("""COMPUTED_VALUE"""),"User Credential")</f>
        <v>User Credential</v>
      </c>
      <c r="H50" s="26" t="str">
        <f>IFERROR(__xludf.DUMMYFUNCTION("""COMPUTED_VALUE"""),"The package list needs to be shown accurately.")</f>
        <v>The package list needs to be shown accurately.</v>
      </c>
      <c r="I50" s="26" t="str">
        <f>IFERROR(__xludf.DUMMYFUNCTION("""COMPUTED_VALUE"""),"Missing top package catagory is app")</f>
        <v>Missing top package catagory is app</v>
      </c>
      <c r="J50" s="26" t="str">
        <f>IFERROR(__xludf.DUMMYFUNCTION("""COMPUTED_VALUE"""),"Fail")</f>
        <v>Fail</v>
      </c>
      <c r="K50" s="26" t="str">
        <f>IFERROR(__xludf.DUMMYFUNCTION("""COMPUTED_VALUE"""),"High")</f>
        <v>High</v>
      </c>
      <c r="L50" s="27" t="str">
        <f>IFERROR(__xludf.DUMMYFUNCTION("""COMPUTED_VALUE"""),"017.png")</f>
        <v>017.png</v>
      </c>
      <c r="M50" s="26"/>
      <c r="N50" s="26"/>
      <c r="O50" s="26"/>
      <c r="P50" s="26" t="str">
        <f>IFERROR(__xludf.DUMMYFUNCTION("""COMPUTED_VALUE"""),"Fahad")</f>
        <v>Fahad</v>
      </c>
      <c r="Q50" s="24"/>
      <c r="R50" s="24"/>
      <c r="S50" s="24"/>
      <c r="T50" s="24"/>
      <c r="U50" s="24"/>
      <c r="V50" s="24"/>
      <c r="W50" s="24"/>
      <c r="X50" s="24"/>
      <c r="Y50" s="24"/>
      <c r="Z50" s="24"/>
      <c r="AA50" s="24"/>
    </row>
    <row r="51">
      <c r="A51" s="25" t="s">
        <v>68</v>
      </c>
      <c r="B51" s="26" t="str">
        <f>IFERROR(__xludf.DUMMYFUNCTION("""COMPUTED_VALUE"""),"Landing Page")</f>
        <v>Landing Page</v>
      </c>
      <c r="C51" s="26" t="str">
        <f>IFERROR(__xludf.DUMMYFUNCTION("""COMPUTED_VALUE"""),"Menu")</f>
        <v>Menu</v>
      </c>
      <c r="D51" s="26" t="str">
        <f>IFERROR(__xludf.DUMMYFUNCTION("""COMPUTED_VALUE"""),"Server error in pet wash")</f>
        <v>Server error in pet wash</v>
      </c>
      <c r="E51" s="26" t="str">
        <f>IFERROR(__xludf.DUMMYFUNCTION("""COMPUTED_VALUE"""),"User need to download the Petzy apk file in their mobile device")</f>
        <v>User need to download the Petzy apk file in their mobile device</v>
      </c>
      <c r="F51" s="26" t="str">
        <f>IFERROR(__xludf.DUMMYFUNCTION("""COMPUTED_VALUE"""),"1. Open app
2. Login using Valid Credential
3. Click on menu
4. Click on Pet wash")</f>
        <v>1. Open app
2. Login using Valid Credential
3. Click on menu
4. Click on Pet wash</v>
      </c>
      <c r="G51" s="26" t="str">
        <f>IFERROR(__xludf.DUMMYFUNCTION("""COMPUTED_VALUE"""),"User Credential")</f>
        <v>User Credential</v>
      </c>
      <c r="H51" s="26" t="str">
        <f>IFERROR(__xludf.DUMMYFUNCTION("""COMPUTED_VALUE"""),"Should not display server error  in app on client side")</f>
        <v>Should not display server error  in app on client side</v>
      </c>
      <c r="I51" s="26" t="str">
        <f>IFERROR(__xludf.DUMMYFUNCTION("""COMPUTED_VALUE"""),"Shows server error in app")</f>
        <v>Shows server error in app</v>
      </c>
      <c r="J51" s="26" t="str">
        <f>IFERROR(__xludf.DUMMYFUNCTION("""COMPUTED_VALUE"""),"Fail")</f>
        <v>Fail</v>
      </c>
      <c r="K51" s="26" t="str">
        <f>IFERROR(__xludf.DUMMYFUNCTION("""COMPUTED_VALUE"""),"High")</f>
        <v>High</v>
      </c>
      <c r="L51" s="27" t="str">
        <f>IFERROR(__xludf.DUMMYFUNCTION("""COMPUTED_VALUE"""),"018.png")</f>
        <v>018.png</v>
      </c>
      <c r="M51" s="26"/>
      <c r="N51" s="26" t="str">
        <f>IFERROR(__xludf.DUMMYFUNCTION("""COMPUTED_VALUE"""),"Solved")</f>
        <v>Solved</v>
      </c>
      <c r="O51" s="26"/>
      <c r="P51" s="26" t="str">
        <f>IFERROR(__xludf.DUMMYFUNCTION("""COMPUTED_VALUE"""),"Fahad")</f>
        <v>Fahad</v>
      </c>
      <c r="Q51" s="24"/>
      <c r="R51" s="24"/>
      <c r="S51" s="24"/>
      <c r="T51" s="24"/>
      <c r="U51" s="24"/>
      <c r="V51" s="24"/>
      <c r="W51" s="24"/>
      <c r="X51" s="24"/>
      <c r="Y51" s="24"/>
      <c r="Z51" s="24"/>
      <c r="AA51" s="24"/>
    </row>
    <row r="52">
      <c r="A52" s="25" t="s">
        <v>69</v>
      </c>
      <c r="B52" s="26" t="str">
        <f>IFERROR(__xludf.DUMMYFUNCTION("""COMPUTED_VALUE"""),"Landing Page")</f>
        <v>Landing Page</v>
      </c>
      <c r="C52" s="26" t="str">
        <f>IFERROR(__xludf.DUMMYFUNCTION("""COMPUTED_VALUE"""),"Menu")</f>
        <v>Menu</v>
      </c>
      <c r="D52" s="26" t="str">
        <f>IFERROR(__xludf.DUMMYFUNCTION("""COMPUTED_VALUE"""),"Server error in pet grooming")</f>
        <v>Server error in pet grooming</v>
      </c>
      <c r="E52" s="26" t="str">
        <f>IFERROR(__xludf.DUMMYFUNCTION("""COMPUTED_VALUE"""),"User need to download the Petzy apk file in their mobile device")</f>
        <v>User need to download the Petzy apk file in their mobile device</v>
      </c>
      <c r="F52" s="26" t="str">
        <f>IFERROR(__xludf.DUMMYFUNCTION("""COMPUTED_VALUE"""),"1. Open app
2. Login using Valid Credential
3. Click on menu
4. Click on Pet grooming")</f>
        <v>1. Open app
2. Login using Valid Credential
3. Click on menu
4. Click on Pet grooming</v>
      </c>
      <c r="G52" s="26" t="str">
        <f>IFERROR(__xludf.DUMMYFUNCTION("""COMPUTED_VALUE"""),"User Credential")</f>
        <v>User Credential</v>
      </c>
      <c r="H52" s="26" t="str">
        <f>IFERROR(__xludf.DUMMYFUNCTION("""COMPUTED_VALUE"""),"Should not display server error  in app on client side")</f>
        <v>Should not display server error  in app on client side</v>
      </c>
      <c r="I52" s="26" t="str">
        <f>IFERROR(__xludf.DUMMYFUNCTION("""COMPUTED_VALUE"""),"Shows server error in app")</f>
        <v>Shows server error in app</v>
      </c>
      <c r="J52" s="26" t="str">
        <f>IFERROR(__xludf.DUMMYFUNCTION("""COMPUTED_VALUE"""),"Fail")</f>
        <v>Fail</v>
      </c>
      <c r="K52" s="26" t="str">
        <f>IFERROR(__xludf.DUMMYFUNCTION("""COMPUTED_VALUE"""),"High")</f>
        <v>High</v>
      </c>
      <c r="L52" s="27" t="str">
        <f>IFERROR(__xludf.DUMMYFUNCTION("""COMPUTED_VALUE"""),"019.png")</f>
        <v>019.png</v>
      </c>
      <c r="M52" s="26"/>
      <c r="N52" s="26" t="str">
        <f>IFERROR(__xludf.DUMMYFUNCTION("""COMPUTED_VALUE"""),"Solved")</f>
        <v>Solved</v>
      </c>
      <c r="O52" s="26"/>
      <c r="P52" s="26" t="str">
        <f>IFERROR(__xludf.DUMMYFUNCTION("""COMPUTED_VALUE"""),"Fahad")</f>
        <v>Fahad</v>
      </c>
      <c r="Q52" s="24"/>
      <c r="R52" s="24"/>
      <c r="S52" s="24"/>
      <c r="T52" s="24"/>
      <c r="U52" s="24"/>
      <c r="V52" s="24"/>
      <c r="W52" s="24"/>
      <c r="X52" s="24"/>
      <c r="Y52" s="24"/>
      <c r="Z52" s="24"/>
      <c r="AA52" s="24"/>
    </row>
    <row r="53">
      <c r="A53" s="25" t="s">
        <v>70</v>
      </c>
      <c r="B53" s="26" t="str">
        <f>IFERROR(__xludf.DUMMYFUNCTION("""COMPUTED_VALUE"""),"Landing Page")</f>
        <v>Landing Page</v>
      </c>
      <c r="C53" s="26" t="str">
        <f>IFERROR(__xludf.DUMMYFUNCTION("""COMPUTED_VALUE"""),"Menu")</f>
        <v>Menu</v>
      </c>
      <c r="D53" s="26" t="str">
        <f>IFERROR(__xludf.DUMMYFUNCTION("""COMPUTED_VALUE"""),"Server error in nail cutting")</f>
        <v>Server error in nail cutting</v>
      </c>
      <c r="E53" s="26" t="str">
        <f>IFERROR(__xludf.DUMMYFUNCTION("""COMPUTED_VALUE"""),"User need to download the Petzy apk file in their mobile device")</f>
        <v>User need to download the Petzy apk file in their mobile device</v>
      </c>
      <c r="F53" s="26" t="str">
        <f>IFERROR(__xludf.DUMMYFUNCTION("""COMPUTED_VALUE"""),"1. Open app
2. Login using Valid Credential
3. Click on menu
4. Click on Nail Cutting")</f>
        <v>1. Open app
2. Login using Valid Credential
3. Click on menu
4. Click on Nail Cutting</v>
      </c>
      <c r="G53" s="26" t="str">
        <f>IFERROR(__xludf.DUMMYFUNCTION("""COMPUTED_VALUE"""),"User Credential")</f>
        <v>User Credential</v>
      </c>
      <c r="H53" s="26" t="str">
        <f>IFERROR(__xludf.DUMMYFUNCTION("""COMPUTED_VALUE"""),"Should not display server error  in app on client side")</f>
        <v>Should not display server error  in app on client side</v>
      </c>
      <c r="I53" s="26" t="str">
        <f>IFERROR(__xludf.DUMMYFUNCTION("""COMPUTED_VALUE"""),"Shows server error in app")</f>
        <v>Shows server error in app</v>
      </c>
      <c r="J53" s="26" t="str">
        <f>IFERROR(__xludf.DUMMYFUNCTION("""COMPUTED_VALUE"""),"Fail")</f>
        <v>Fail</v>
      </c>
      <c r="K53" s="26" t="str">
        <f>IFERROR(__xludf.DUMMYFUNCTION("""COMPUTED_VALUE"""),"High")</f>
        <v>High</v>
      </c>
      <c r="L53" s="27" t="str">
        <f>IFERROR(__xludf.DUMMYFUNCTION("""COMPUTED_VALUE"""),"020.png")</f>
        <v>020.png</v>
      </c>
      <c r="M53" s="26"/>
      <c r="N53" s="26" t="str">
        <f>IFERROR(__xludf.DUMMYFUNCTION("""COMPUTED_VALUE"""),"Solved")</f>
        <v>Solved</v>
      </c>
      <c r="O53" s="26"/>
      <c r="P53" s="26" t="str">
        <f>IFERROR(__xludf.DUMMYFUNCTION("""COMPUTED_VALUE"""),"Fahad")</f>
        <v>Fahad</v>
      </c>
      <c r="Q53" s="24"/>
      <c r="R53" s="24"/>
      <c r="S53" s="24"/>
      <c r="T53" s="24"/>
      <c r="U53" s="24"/>
      <c r="V53" s="24"/>
      <c r="W53" s="24"/>
      <c r="X53" s="24"/>
      <c r="Y53" s="24"/>
      <c r="Z53" s="24"/>
      <c r="AA53" s="24"/>
    </row>
    <row r="54">
      <c r="A54" s="25" t="s">
        <v>71</v>
      </c>
      <c r="B54" s="26" t="str">
        <f>IFERROR(__xludf.DUMMYFUNCTION("""COMPUTED_VALUE"""),"Landing Page")</f>
        <v>Landing Page</v>
      </c>
      <c r="C54" s="26" t="str">
        <f>IFERROR(__xludf.DUMMYFUNCTION("""COMPUTED_VALUE"""),"Menu")</f>
        <v>Menu</v>
      </c>
      <c r="D54" s="26" t="str">
        <f>IFERROR(__xludf.DUMMYFUNCTION("""COMPUTED_VALUE"""),"Server error in teeth cleaning section")</f>
        <v>Server error in teeth cleaning section</v>
      </c>
      <c r="E54" s="26" t="str">
        <f>IFERROR(__xludf.DUMMYFUNCTION("""COMPUTED_VALUE"""),"User need to download the Petzy apk file in their mobile device")</f>
        <v>User need to download the Petzy apk file in their mobile device</v>
      </c>
      <c r="F54" s="26" t="str">
        <f>IFERROR(__xludf.DUMMYFUNCTION("""COMPUTED_VALUE"""),"1. Open app
2. Login using Valid Credential
3. Click on menu
4. Click on Teeth Cleaning")</f>
        <v>1. Open app
2. Login using Valid Credential
3. Click on menu
4. Click on Teeth Cleaning</v>
      </c>
      <c r="G54" s="26" t="str">
        <f>IFERROR(__xludf.DUMMYFUNCTION("""COMPUTED_VALUE"""),"User Credential")</f>
        <v>User Credential</v>
      </c>
      <c r="H54" s="26" t="str">
        <f>IFERROR(__xludf.DUMMYFUNCTION("""COMPUTED_VALUE"""),"Should not display server error  in app on client side")</f>
        <v>Should not display server error  in app on client side</v>
      </c>
      <c r="I54" s="26" t="str">
        <f>IFERROR(__xludf.DUMMYFUNCTION("""COMPUTED_VALUE"""),"Shows server error in app")</f>
        <v>Shows server error in app</v>
      </c>
      <c r="J54" s="26" t="str">
        <f>IFERROR(__xludf.DUMMYFUNCTION("""COMPUTED_VALUE"""),"Fail")</f>
        <v>Fail</v>
      </c>
      <c r="K54" s="26" t="str">
        <f>IFERROR(__xludf.DUMMYFUNCTION("""COMPUTED_VALUE"""),"High")</f>
        <v>High</v>
      </c>
      <c r="L54" s="27" t="str">
        <f>IFERROR(__xludf.DUMMYFUNCTION("""COMPUTED_VALUE"""),"021.png")</f>
        <v>021.png</v>
      </c>
      <c r="M54" s="26"/>
      <c r="N54" s="26" t="str">
        <f>IFERROR(__xludf.DUMMYFUNCTION("""COMPUTED_VALUE"""),"Solved")</f>
        <v>Solved</v>
      </c>
      <c r="O54" s="26"/>
      <c r="P54" s="26" t="str">
        <f>IFERROR(__xludf.DUMMYFUNCTION("""COMPUTED_VALUE"""),"Fahad")</f>
        <v>Fahad</v>
      </c>
      <c r="Q54" s="24"/>
      <c r="R54" s="24"/>
      <c r="S54" s="24"/>
      <c r="T54" s="24"/>
      <c r="U54" s="24"/>
      <c r="V54" s="24"/>
      <c r="W54" s="24"/>
      <c r="X54" s="24"/>
      <c r="Y54" s="24"/>
      <c r="Z54" s="24"/>
      <c r="AA54" s="24"/>
    </row>
    <row r="55">
      <c r="A55" s="25" t="s">
        <v>72</v>
      </c>
      <c r="B55" s="26" t="str">
        <f>IFERROR(__xludf.DUMMYFUNCTION("""COMPUTED_VALUE"""),"Landing Page")</f>
        <v>Landing Page</v>
      </c>
      <c r="C55" s="26" t="str">
        <f>IFERROR(__xludf.DUMMYFUNCTION("""COMPUTED_VALUE"""),"Menu")</f>
        <v>Menu</v>
      </c>
      <c r="D55" s="26" t="str">
        <f>IFERROR(__xludf.DUMMYFUNCTION("""COMPUTED_VALUE"""),"Server error in paw cleaning")</f>
        <v>Server error in paw cleaning</v>
      </c>
      <c r="E55" s="26" t="str">
        <f>IFERROR(__xludf.DUMMYFUNCTION("""COMPUTED_VALUE"""),"User need to download the Petzy apk file in their mobile device")</f>
        <v>User need to download the Petzy apk file in their mobile device</v>
      </c>
      <c r="F55" s="26" t="str">
        <f>IFERROR(__xludf.DUMMYFUNCTION("""COMPUTED_VALUE"""),"1. Open app
2. Login using Valid Credential
3. Click on menu
4. Click on Paw Cleaning")</f>
        <v>1. Open app
2. Login using Valid Credential
3. Click on menu
4. Click on Paw Cleaning</v>
      </c>
      <c r="G55" s="26" t="str">
        <f>IFERROR(__xludf.DUMMYFUNCTION("""COMPUTED_VALUE"""),"User Credential")</f>
        <v>User Credential</v>
      </c>
      <c r="H55" s="26" t="str">
        <f>IFERROR(__xludf.DUMMYFUNCTION("""COMPUTED_VALUE"""),"Should not display server error  in app on client side")</f>
        <v>Should not display server error  in app on client side</v>
      </c>
      <c r="I55" s="26" t="str">
        <f>IFERROR(__xludf.DUMMYFUNCTION("""COMPUTED_VALUE"""),"Shows server error in app")</f>
        <v>Shows server error in app</v>
      </c>
      <c r="J55" s="26" t="str">
        <f>IFERROR(__xludf.DUMMYFUNCTION("""COMPUTED_VALUE"""),"Fail")</f>
        <v>Fail</v>
      </c>
      <c r="K55" s="26" t="str">
        <f>IFERROR(__xludf.DUMMYFUNCTION("""COMPUTED_VALUE"""),"High")</f>
        <v>High</v>
      </c>
      <c r="L55" s="27" t="str">
        <f>IFERROR(__xludf.DUMMYFUNCTION("""COMPUTED_VALUE"""),"022.png")</f>
        <v>022.png</v>
      </c>
      <c r="M55" s="26"/>
      <c r="N55" s="26" t="str">
        <f>IFERROR(__xludf.DUMMYFUNCTION("""COMPUTED_VALUE"""),"Solved")</f>
        <v>Solved</v>
      </c>
      <c r="O55" s="26"/>
      <c r="P55" s="26" t="str">
        <f>IFERROR(__xludf.DUMMYFUNCTION("""COMPUTED_VALUE"""),"Fahad")</f>
        <v>Fahad</v>
      </c>
      <c r="Q55" s="24"/>
      <c r="R55" s="24"/>
      <c r="S55" s="24"/>
      <c r="T55" s="24"/>
      <c r="U55" s="24"/>
      <c r="V55" s="24"/>
      <c r="W55" s="24"/>
      <c r="X55" s="24"/>
      <c r="Y55" s="24"/>
      <c r="Z55" s="24"/>
      <c r="AA55" s="24"/>
    </row>
    <row r="56">
      <c r="A56" s="25" t="s">
        <v>73</v>
      </c>
      <c r="B56" s="26" t="str">
        <f>IFERROR(__xludf.DUMMYFUNCTION("""COMPUTED_VALUE"""),"Landing Page")</f>
        <v>Landing Page</v>
      </c>
      <c r="C56" s="26" t="str">
        <f>IFERROR(__xludf.DUMMYFUNCTION("""COMPUTED_VALUE"""),"OTP")</f>
        <v>OTP</v>
      </c>
      <c r="D56" s="26" t="str">
        <f>IFERROR(__xludf.DUMMYFUNCTION("""COMPUTED_VALUE"""),"Page flow broken.Failed to load OTP page")</f>
        <v>Page flow broken.Failed to load OTP page</v>
      </c>
      <c r="E56" s="26" t="str">
        <f>IFERROR(__xludf.DUMMYFUNCTION("""COMPUTED_VALUE"""),"User need to download the Petzy apk file in their mobile device")</f>
        <v>User need to download the Petzy apk file in their mobile device</v>
      </c>
      <c r="F56" s="26" t="str">
        <f>IFERROR(__xludf.DUMMYFUNCTION("""COMPUTED_VALUE"""),"1. Open app
2. Click on Login Button
3. Input number and click login")</f>
        <v>1. Open app
2. Click on Login Button
3. Input number and click login</v>
      </c>
      <c r="G56" s="26" t="str">
        <f>IFERROR(__xludf.DUMMYFUNCTION("""COMPUTED_VALUE"""),"N/A")</f>
        <v>N/A</v>
      </c>
      <c r="H56" s="26" t="str">
        <f>IFERROR(__xludf.DUMMYFUNCTION("""COMPUTED_VALUE"""),"Page flow should be accurate")</f>
        <v>Page flow should be accurate</v>
      </c>
      <c r="I56" s="26" t="str">
        <f>IFERROR(__xludf.DUMMYFUNCTION("""COMPUTED_VALUE"""),"OTP page missing in phone login section")</f>
        <v>OTP page missing in phone login section</v>
      </c>
      <c r="J56" s="26" t="str">
        <f>IFERROR(__xludf.DUMMYFUNCTION("""COMPUTED_VALUE"""),"Fail")</f>
        <v>Fail</v>
      </c>
      <c r="K56" s="26" t="str">
        <f>IFERROR(__xludf.DUMMYFUNCTION("""COMPUTED_VALUE"""),"High")</f>
        <v>High</v>
      </c>
      <c r="L56" s="27" t="str">
        <f>IFERROR(__xludf.DUMMYFUNCTION("""COMPUTED_VALUE"""),"011.mp4")</f>
        <v>011.mp4</v>
      </c>
      <c r="M56" s="26"/>
      <c r="N56" s="26"/>
      <c r="O56" s="26"/>
      <c r="P56" s="26" t="str">
        <f>IFERROR(__xludf.DUMMYFUNCTION("""COMPUTED_VALUE"""),"Fahad")</f>
        <v>Fahad</v>
      </c>
      <c r="Q56" s="24"/>
      <c r="R56" s="24"/>
      <c r="S56" s="24"/>
      <c r="T56" s="24"/>
      <c r="U56" s="24"/>
      <c r="V56" s="24"/>
      <c r="W56" s="24"/>
      <c r="X56" s="24"/>
      <c r="Y56" s="24"/>
      <c r="Z56" s="24"/>
      <c r="AA56" s="24"/>
    </row>
    <row r="57">
      <c r="A57" s="25" t="s">
        <v>74</v>
      </c>
      <c r="B57" s="26" t="str">
        <f>IFERROR(__xludf.DUMMYFUNCTION("""COMPUTED_VALUE"""),"Landing Page")</f>
        <v>Landing Page</v>
      </c>
      <c r="C57" s="26" t="str">
        <f>IFERROR(__xludf.DUMMYFUNCTION("""COMPUTED_VALUE"""),"Profile")</f>
        <v>Profile</v>
      </c>
      <c r="D57" s="26" t="str">
        <f>IFERROR(__xludf.DUMMYFUNCTION("""COMPUTED_VALUE"""),"took more than 10 minutes to display updated profile picture")</f>
        <v>took more than 10 minutes to display updated profile picture</v>
      </c>
      <c r="E57" s="26" t="str">
        <f>IFERROR(__xludf.DUMMYFUNCTION("""COMPUTED_VALUE"""),"User need to download the Petzy apk file in their mobile device")</f>
        <v>User need to download the Petzy apk file in their mobile device</v>
      </c>
      <c r="F57" s="26" t="str">
        <f>IFERROR(__xludf.DUMMYFUNCTION("""COMPUTED_VALUE"""),"1. Open app
2. Login using valid credential
3. Goto Profile section")</f>
        <v>1. Open app
2. Login using valid credential
3. Goto Profile section</v>
      </c>
      <c r="G57" s="26" t="str">
        <f>IFERROR(__xludf.DUMMYFUNCTION("""COMPUTED_VALUE"""),"User Credential")</f>
        <v>User Credential</v>
      </c>
      <c r="H57" s="26" t="str">
        <f>IFERROR(__xludf.DUMMYFUNCTION("""COMPUTED_VALUE"""),"The updated profile picture should be displayed seamlessly.")</f>
        <v>The updated profile picture should be displayed seamlessly.</v>
      </c>
      <c r="I57" s="26" t="str">
        <f>IFERROR(__xludf.DUMMYFUNCTION("""COMPUTED_VALUE"""),"Took more than waiting time to load and display the updated profile picture")</f>
        <v>Took more than waiting time to load and display the updated profile picture</v>
      </c>
      <c r="J57" s="26" t="str">
        <f>IFERROR(__xludf.DUMMYFUNCTION("""COMPUTED_VALUE"""),"Fail")</f>
        <v>Fail</v>
      </c>
      <c r="K57" s="26" t="str">
        <f>IFERROR(__xludf.DUMMYFUNCTION("""COMPUTED_VALUE"""),"Medium")</f>
        <v>Medium</v>
      </c>
      <c r="L57" s="27" t="str">
        <f>IFERROR(__xludf.DUMMYFUNCTION("""COMPUTED_VALUE"""),"047.png")</f>
        <v>047.png</v>
      </c>
      <c r="M57" s="26"/>
      <c r="N57" s="26"/>
      <c r="O57" s="26"/>
      <c r="P57" s="26" t="str">
        <f>IFERROR(__xludf.DUMMYFUNCTION("""COMPUTED_VALUE"""),"Fahad")</f>
        <v>Fahad</v>
      </c>
      <c r="Q57" s="24"/>
      <c r="R57" s="24"/>
      <c r="S57" s="24"/>
      <c r="T57" s="24"/>
      <c r="U57" s="24"/>
      <c r="V57" s="24"/>
      <c r="W57" s="24"/>
      <c r="X57" s="24"/>
      <c r="Y57" s="24"/>
      <c r="Z57" s="24"/>
      <c r="AA57" s="24"/>
    </row>
    <row r="58">
      <c r="A58" s="25" t="s">
        <v>75</v>
      </c>
      <c r="B58" s="26" t="str">
        <f>IFERROR(__xludf.DUMMYFUNCTION("""COMPUTED_VALUE"""),"Landing Page")</f>
        <v>Landing Page</v>
      </c>
      <c r="C58" s="26" t="str">
        <f>IFERROR(__xludf.DUMMYFUNCTION("""COMPUTED_VALUE"""),"Signup Screen")</f>
        <v>Signup Screen</v>
      </c>
      <c r="D58" s="26" t="str">
        <f>IFERROR(__xludf.DUMMYFUNCTION("""COMPUTED_VALUE"""),"Required field are not mentioned in signup page")</f>
        <v>Required field are not mentioned in signup page</v>
      </c>
      <c r="E58" s="26" t="str">
        <f>IFERROR(__xludf.DUMMYFUNCTION("""COMPUTED_VALUE"""),"User need to download the Petzy apk file in their mobile device")</f>
        <v>User need to download the Petzy apk file in their mobile device</v>
      </c>
      <c r="F58" s="26" t="str">
        <f>IFERROR(__xludf.DUMMYFUNCTION("""COMPUTED_VALUE"""),"1. Open app
2. Click on Login Button
3. Click on signup ")</f>
        <v>1. Open app
2. Click on Login Button
3. Click on signup </v>
      </c>
      <c r="G58" s="26" t="str">
        <f>IFERROR(__xludf.DUMMYFUNCTION("""COMPUTED_VALUE"""),"N/A")</f>
        <v>N/A</v>
      </c>
      <c r="H58" s="26" t="str">
        <f>IFERROR(__xludf.DUMMYFUNCTION("""COMPUTED_VALUE"""),"Required fields should be mentioned in input title")</f>
        <v>Required fields should be mentioned in input title</v>
      </c>
      <c r="I58" s="26" t="str">
        <f>IFERROR(__xludf.DUMMYFUNCTION("""COMPUTED_VALUE"""),"Not mentioned any required fields")</f>
        <v>Not mentioned any required fields</v>
      </c>
      <c r="J58" s="26" t="str">
        <f>IFERROR(__xludf.DUMMYFUNCTION("""COMPUTED_VALUE"""),"Fail")</f>
        <v>Fail</v>
      </c>
      <c r="K58" s="26" t="str">
        <f>IFERROR(__xludf.DUMMYFUNCTION("""COMPUTED_VALUE"""),"Medium")</f>
        <v>Medium</v>
      </c>
      <c r="L58" s="27" t="str">
        <f>IFERROR(__xludf.DUMMYFUNCTION("""COMPUTED_VALUE"""),"007.png")</f>
        <v>007.png</v>
      </c>
      <c r="M58" s="26"/>
      <c r="N58" s="26" t="str">
        <f>IFERROR(__xludf.DUMMYFUNCTION("""COMPUTED_VALUE"""),"Solved")</f>
        <v>Solved</v>
      </c>
      <c r="O58" s="26"/>
      <c r="P58" s="26" t="str">
        <f>IFERROR(__xludf.DUMMYFUNCTION("""COMPUTED_VALUE"""),"Fahad")</f>
        <v>Fahad</v>
      </c>
      <c r="Q58" s="24"/>
      <c r="R58" s="24"/>
      <c r="S58" s="24"/>
      <c r="T58" s="24"/>
      <c r="U58" s="24"/>
      <c r="V58" s="24"/>
      <c r="W58" s="24"/>
      <c r="X58" s="24"/>
      <c r="Y58" s="24"/>
      <c r="Z58" s="24"/>
      <c r="AA58" s="24"/>
    </row>
    <row r="59">
      <c r="A59" s="25" t="s">
        <v>76</v>
      </c>
      <c r="B59" s="26" t="str">
        <f>IFERROR(__xludf.DUMMYFUNCTION("""COMPUTED_VALUE"""),"Landing Page")</f>
        <v>Landing Page</v>
      </c>
      <c r="C59" s="26" t="str">
        <f>IFERROR(__xludf.DUMMYFUNCTION("""COMPUTED_VALUE"""),"Story")</f>
        <v>Story</v>
      </c>
      <c r="D59" s="26" t="str">
        <f>IFERROR(__xludf.DUMMYFUNCTION("""COMPUTED_VALUE"""),"Failed to show others/friends story")</f>
        <v>Failed to show others/friends story</v>
      </c>
      <c r="E59" s="26" t="str">
        <f>IFERROR(__xludf.DUMMYFUNCTION("""COMPUTED_VALUE"""),"User need to download the Petzy apk file in their mobile device")</f>
        <v>User need to download the Petzy apk file in their mobile device</v>
      </c>
      <c r="F59" s="26" t="str">
        <f>IFERROR(__xludf.DUMMYFUNCTION("""COMPUTED_VALUE"""),"1. Open app
2. Login using Valid Credential
3. Click on Friends Story")</f>
        <v>1. Open app
2. Login using Valid Credential
3. Click on Friends Story</v>
      </c>
      <c r="G59" s="26" t="str">
        <f>IFERROR(__xludf.DUMMYFUNCTION("""COMPUTED_VALUE"""),"User Credential")</f>
        <v>User Credential</v>
      </c>
      <c r="H59" s="26" t="str">
        <f>IFERROR(__xludf.DUMMYFUNCTION("""COMPUTED_VALUE"""),"Story should be displayed properly")</f>
        <v>Story should be displayed properly</v>
      </c>
      <c r="I59" s="26" t="str">
        <f>IFERROR(__xludf.DUMMYFUNCTION("""COMPUTED_VALUE"""),"Failed to display story of others")</f>
        <v>Failed to display story of others</v>
      </c>
      <c r="J59" s="26" t="str">
        <f>IFERROR(__xludf.DUMMYFUNCTION("""COMPUTED_VALUE"""),"Fail")</f>
        <v>Fail</v>
      </c>
      <c r="K59" s="26" t="str">
        <f>IFERROR(__xludf.DUMMYFUNCTION("""COMPUTED_VALUE"""),"High")</f>
        <v>High</v>
      </c>
      <c r="L59" s="27" t="str">
        <f>IFERROR(__xludf.DUMMYFUNCTION("""COMPUTED_VALUE"""),"025.mp4")</f>
        <v>025.mp4</v>
      </c>
      <c r="M59" s="26"/>
      <c r="N59" s="26"/>
      <c r="O59" s="26"/>
      <c r="P59" s="26" t="str">
        <f>IFERROR(__xludf.DUMMYFUNCTION("""COMPUTED_VALUE"""),"Fahad")</f>
        <v>Fahad</v>
      </c>
      <c r="Q59" s="24"/>
      <c r="R59" s="24"/>
      <c r="S59" s="24"/>
      <c r="T59" s="24"/>
      <c r="U59" s="24"/>
      <c r="V59" s="24"/>
      <c r="W59" s="24"/>
      <c r="X59" s="24"/>
      <c r="Y59" s="24"/>
      <c r="Z59" s="24"/>
      <c r="AA59" s="24"/>
    </row>
    <row r="60">
      <c r="A60" s="25" t="s">
        <v>77</v>
      </c>
      <c r="B60" s="26" t="str">
        <f>IFERROR(__xludf.DUMMYFUNCTION("""COMPUTED_VALUE"""),"Menu")</f>
        <v>Menu</v>
      </c>
      <c r="C60" s="26" t="str">
        <f>IFERROR(__xludf.DUMMYFUNCTION("""COMPUTED_VALUE"""),"My Cart")</f>
        <v>My Cart</v>
      </c>
      <c r="D60" s="26" t="str">
        <f>IFERROR(__xludf.DUMMYFUNCTION("""COMPUTED_VALUE"""),"The cart page failed to display the correct message.")</f>
        <v>The cart page failed to display the correct message.</v>
      </c>
      <c r="E60" s="26" t="str">
        <f>IFERROR(__xludf.DUMMYFUNCTION("""COMPUTED_VALUE"""),"User need to download the Petzy apk file in their mobile device")</f>
        <v>User need to download the Petzy apk file in their mobile device</v>
      </c>
      <c r="F60" s="26" t="str">
        <f>IFERROR(__xludf.DUMMYFUNCTION("""COMPUTED_VALUE"""),"1. Open app
2. Login using Valid Credential
3. Click on menu
4. Select My cart")</f>
        <v>1. Open app
2. Login using Valid Credential
3. Click on menu
4. Select My cart</v>
      </c>
      <c r="G60" s="26" t="str">
        <f>IFERROR(__xludf.DUMMYFUNCTION("""COMPUTED_VALUE"""),"User Credential")</f>
        <v>User Credential</v>
      </c>
      <c r="H60" s="26" t="str">
        <f>IFERROR(__xludf.DUMMYFUNCTION("""COMPUTED_VALUE"""),"The page should display correctly even when the cart is empty.")</f>
        <v>The page should display correctly even when the cart is empty.</v>
      </c>
      <c r="I60" s="26" t="str">
        <f>IFERROR(__xludf.DUMMYFUNCTION("""COMPUTED_VALUE"""),"Showing incorrect message when the cart is empty")</f>
        <v>Showing incorrect message when the cart is empty</v>
      </c>
      <c r="J60" s="26" t="str">
        <f>IFERROR(__xludf.DUMMYFUNCTION("""COMPUTED_VALUE"""),"Fail")</f>
        <v>Fail</v>
      </c>
      <c r="K60" s="26" t="str">
        <f>IFERROR(__xludf.DUMMYFUNCTION("""COMPUTED_VALUE"""),"High")</f>
        <v>High</v>
      </c>
      <c r="L60" s="27" t="str">
        <f>IFERROR(__xludf.DUMMYFUNCTION("""COMPUTED_VALUE"""),"023.png")</f>
        <v>023.png</v>
      </c>
      <c r="M60" s="26"/>
      <c r="N60" s="26"/>
      <c r="O60" s="26"/>
      <c r="P60" s="26" t="str">
        <f>IFERROR(__xludf.DUMMYFUNCTION("""COMPUTED_VALUE"""),"Fahad")</f>
        <v>Fahad</v>
      </c>
      <c r="Q60" s="24"/>
      <c r="R60" s="24"/>
      <c r="S60" s="24"/>
      <c r="T60" s="24"/>
      <c r="U60" s="24"/>
      <c r="V60" s="24"/>
      <c r="W60" s="24"/>
      <c r="X60" s="24"/>
      <c r="Y60" s="24"/>
      <c r="Z60" s="24"/>
      <c r="AA60" s="24"/>
    </row>
    <row r="61">
      <c r="A61" s="25" t="s">
        <v>78</v>
      </c>
      <c r="B61" s="26" t="str">
        <f>IFERROR(__xludf.DUMMYFUNCTION("""COMPUTED_VALUE"""),"Menu")</f>
        <v>Menu</v>
      </c>
      <c r="C61" s="26" t="str">
        <f>IFERROR(__xludf.DUMMYFUNCTION("""COMPUTED_VALUE"""),"Notification")</f>
        <v>Notification</v>
      </c>
      <c r="D61" s="26" t="str">
        <f>IFERROR(__xludf.DUMMYFUNCTION("""COMPUTED_VALUE"""),"JWT Expire message shown instead of notification")</f>
        <v>JWT Expire message shown instead of notification</v>
      </c>
      <c r="E61" s="26" t="str">
        <f>IFERROR(__xludf.DUMMYFUNCTION("""COMPUTED_VALUE"""),"User need to download the Petzy apk file in their mobile device")</f>
        <v>User need to download the Petzy apk file in their mobile device</v>
      </c>
      <c r="F61" s="26" t="str">
        <f>IFERROR(__xludf.DUMMYFUNCTION("""COMPUTED_VALUE"""),"1. Open app
2. Login using Valid Credential
3. Click on menu
4. Click on Notification")</f>
        <v>1. Open app
2. Login using Valid Credential
3. Click on menu
4. Click on Notification</v>
      </c>
      <c r="G61" s="26" t="str">
        <f>IFERROR(__xludf.DUMMYFUNCTION("""COMPUTED_VALUE"""),"User Credential")</f>
        <v>User Credential</v>
      </c>
      <c r="H61" s="26" t="str">
        <f>IFERROR(__xludf.DUMMYFUNCTION("""COMPUTED_VALUE"""),"The app’s notifications should be displayed correctly.")</f>
        <v>The app’s notifications should be displayed correctly.</v>
      </c>
      <c r="I61" s="26" t="str">
        <f>IFERROR(__xludf.DUMMYFUNCTION("""COMPUTED_VALUE"""),"Unable to display the correct notification.")</f>
        <v>Unable to display the correct notification.</v>
      </c>
      <c r="J61" s="26" t="str">
        <f>IFERROR(__xludf.DUMMYFUNCTION("""COMPUTED_VALUE"""),"Fail")</f>
        <v>Fail</v>
      </c>
      <c r="K61" s="26" t="str">
        <f>IFERROR(__xludf.DUMMYFUNCTION("""COMPUTED_VALUE"""),"Medium")</f>
        <v>Medium</v>
      </c>
      <c r="L61" s="27" t="str">
        <f>IFERROR(__xludf.DUMMYFUNCTION("""COMPUTED_VALUE"""),"024.png")</f>
        <v>024.png</v>
      </c>
      <c r="M61" s="26"/>
      <c r="N61" s="26"/>
      <c r="O61" s="26"/>
      <c r="P61" s="26" t="str">
        <f>IFERROR(__xludf.DUMMYFUNCTION("""COMPUTED_VALUE"""),"Fahad")</f>
        <v>Fahad</v>
      </c>
      <c r="Q61" s="24"/>
      <c r="R61" s="24"/>
      <c r="S61" s="24"/>
      <c r="T61" s="24"/>
      <c r="U61" s="24"/>
      <c r="V61" s="24"/>
      <c r="W61" s="24"/>
      <c r="X61" s="24"/>
      <c r="Y61" s="24"/>
      <c r="Z61" s="24"/>
      <c r="AA61" s="24"/>
    </row>
    <row r="62">
      <c r="A62" s="25" t="s">
        <v>79</v>
      </c>
      <c r="B62" s="26" t="str">
        <f>IFERROR(__xludf.DUMMYFUNCTION("""COMPUTED_VALUE"""),"Messages")</f>
        <v>Messages</v>
      </c>
      <c r="C62" s="26" t="str">
        <f>IFERROR(__xludf.DUMMYFUNCTION("""COMPUTED_VALUE"""),"Community")</f>
        <v>Community</v>
      </c>
      <c r="D62" s="26" t="str">
        <f>IFERROR(__xludf.DUMMYFUNCTION("""COMPUTED_VALUE"""),"Wasn’t able to create the community.")</f>
        <v>Wasn’t able to create the community.</v>
      </c>
      <c r="E62" s="26" t="str">
        <f>IFERROR(__xludf.DUMMYFUNCTION("""COMPUTED_VALUE"""),"User need to download the Petzy apk file in their mobile device")</f>
        <v>User need to download the Petzy apk file in their mobile device</v>
      </c>
      <c r="F62" s="26" t="str">
        <f>IFERROR(__xludf.DUMMYFUNCTION("""COMPUTED_VALUE"""),"1. Open app
2. Login using valid credential
3. Click on Messages
4. Click on Community")</f>
        <v>1. Open app
2. Login using valid credential
3. Click on Messages
4. Click on Community</v>
      </c>
      <c r="G62" s="26" t="str">
        <f>IFERROR(__xludf.DUMMYFUNCTION("""COMPUTED_VALUE"""),"User Credential")</f>
        <v>User Credential</v>
      </c>
      <c r="H62" s="26" t="str">
        <f>IFERROR(__xludf.DUMMYFUNCTION("""COMPUTED_VALUE"""),"User should be able to create community without facing any issue")</f>
        <v>User should be able to create community without facing any issue</v>
      </c>
      <c r="I62" s="26" t="str">
        <f>IFERROR(__xludf.DUMMYFUNCTION("""COMPUTED_VALUE"""),"Failed to create community")</f>
        <v>Failed to create community</v>
      </c>
      <c r="J62" s="26" t="str">
        <f>IFERROR(__xludf.DUMMYFUNCTION("""COMPUTED_VALUE"""),"Fail")</f>
        <v>Fail</v>
      </c>
      <c r="K62" s="26" t="str">
        <f>IFERROR(__xludf.DUMMYFUNCTION("""COMPUTED_VALUE"""),"High")</f>
        <v>High</v>
      </c>
      <c r="L62" s="27" t="str">
        <f>IFERROR(__xludf.DUMMYFUNCTION("""COMPUTED_VALUE"""),"081.png")</f>
        <v>081.png</v>
      </c>
      <c r="M62" s="26"/>
      <c r="N62" s="26"/>
      <c r="O62" s="26"/>
      <c r="P62" s="26" t="str">
        <f>IFERROR(__xludf.DUMMYFUNCTION("""COMPUTED_VALUE"""),"Fahad")</f>
        <v>Fahad</v>
      </c>
      <c r="Q62" s="24"/>
      <c r="R62" s="24"/>
      <c r="S62" s="24"/>
      <c r="T62" s="24"/>
      <c r="U62" s="24"/>
      <c r="V62" s="24"/>
      <c r="W62" s="24"/>
      <c r="X62" s="24"/>
      <c r="Y62" s="24"/>
      <c r="Z62" s="24"/>
      <c r="AA62" s="24"/>
    </row>
    <row r="63">
      <c r="A63" s="25" t="s">
        <v>80</v>
      </c>
      <c r="B63" s="26" t="str">
        <f>IFERROR(__xludf.DUMMYFUNCTION("""COMPUTED_VALUE"""),"Messages")</f>
        <v>Messages</v>
      </c>
      <c r="C63" s="26" t="str">
        <f>IFERROR(__xludf.DUMMYFUNCTION("""COMPUTED_VALUE"""),"Community")</f>
        <v>Community</v>
      </c>
      <c r="D63" s="26" t="str">
        <f>IFERROR(__xludf.DUMMYFUNCTION("""COMPUTED_VALUE"""),"The cancel button isn’t working properly.")</f>
        <v>The cancel button isn’t working properly.</v>
      </c>
      <c r="E63" s="26" t="str">
        <f>IFERROR(__xludf.DUMMYFUNCTION("""COMPUTED_VALUE"""),"User need to download the Petzy apk file in their mobile device")</f>
        <v>User need to download the Petzy apk file in their mobile device</v>
      </c>
      <c r="F63" s="26" t="str">
        <f>IFERROR(__xludf.DUMMYFUNCTION("""COMPUTED_VALUE"""),"1. Open app
2. Login using valid credential
3. Click on Messages
4. Click on community")</f>
        <v>1. Open app
2. Login using valid credential
3. Click on Messages
4. Click on community</v>
      </c>
      <c r="G63" s="26" t="str">
        <f>IFERROR(__xludf.DUMMYFUNCTION("""COMPUTED_VALUE"""),"User Credential")</f>
        <v>User Credential</v>
      </c>
      <c r="H63" s="26" t="str">
        <f>IFERROR(__xludf.DUMMYFUNCTION("""COMPUTED_VALUE"""),"The cancel button needs to work properly.")</f>
        <v>The cancel button needs to work properly.</v>
      </c>
      <c r="I63" s="26" t="str">
        <f>IFERROR(__xludf.DUMMYFUNCTION("""COMPUTED_VALUE"""),"The cancel button functionality failed.")</f>
        <v>The cancel button functionality failed.</v>
      </c>
      <c r="J63" s="26" t="str">
        <f>IFERROR(__xludf.DUMMYFUNCTION("""COMPUTED_VALUE"""),"Fail")</f>
        <v>Fail</v>
      </c>
      <c r="K63" s="26" t="str">
        <f>IFERROR(__xludf.DUMMYFUNCTION("""COMPUTED_VALUE"""),"High")</f>
        <v>High</v>
      </c>
      <c r="L63" s="27" t="str">
        <f>IFERROR(__xludf.DUMMYFUNCTION("""COMPUTED_VALUE"""),"082.png")</f>
        <v>082.png</v>
      </c>
      <c r="M63" s="26"/>
      <c r="N63" s="26"/>
      <c r="O63" s="26"/>
      <c r="P63" s="26" t="str">
        <f>IFERROR(__xludf.DUMMYFUNCTION("""COMPUTED_VALUE"""),"Fahad")</f>
        <v>Fahad</v>
      </c>
      <c r="Q63" s="24"/>
      <c r="R63" s="24"/>
      <c r="S63" s="24"/>
      <c r="T63" s="24"/>
      <c r="U63" s="24"/>
      <c r="V63" s="24"/>
      <c r="W63" s="24"/>
      <c r="X63" s="24"/>
      <c r="Y63" s="24"/>
      <c r="Z63" s="24"/>
      <c r="AA63" s="24"/>
    </row>
    <row r="64">
      <c r="A64" s="25" t="s">
        <v>81</v>
      </c>
      <c r="B64" s="26" t="str">
        <f>IFERROR(__xludf.DUMMYFUNCTION("""COMPUTED_VALUE"""),"Messages")</f>
        <v>Messages</v>
      </c>
      <c r="C64" s="26" t="str">
        <f>IFERROR(__xludf.DUMMYFUNCTION("""COMPUTED_VALUE"""),"Group")</f>
        <v>Group</v>
      </c>
      <c r="D64" s="26" t="str">
        <f>IFERROR(__xludf.DUMMYFUNCTION("""COMPUTED_VALUE"""),"Encountering an error while trying to create a group.")</f>
        <v>Encountering an error while trying to create a group.</v>
      </c>
      <c r="E64" s="26" t="str">
        <f>IFERROR(__xludf.DUMMYFUNCTION("""COMPUTED_VALUE"""),"User need to download the Petzy apk file in their mobile device")</f>
        <v>User need to download the Petzy apk file in their mobile device</v>
      </c>
      <c r="F64" s="26" t="str">
        <f>IFERROR(__xludf.DUMMYFUNCTION("""COMPUTED_VALUE"""),"1. Open app
2. Login using valid credential
3. Click on Messages
4. Click on group")</f>
        <v>1. Open app
2. Login using valid credential
3. Click on Messages
4. Click on group</v>
      </c>
      <c r="G64" s="26" t="str">
        <f>IFERROR(__xludf.DUMMYFUNCTION("""COMPUTED_VALUE"""),"User Credential")</f>
        <v>User Credential</v>
      </c>
      <c r="H64" s="26" t="str">
        <f>IFERROR(__xludf.DUMMYFUNCTION("""COMPUTED_VALUE"""),"User should be able to create group without facing any issue")</f>
        <v>User should be able to create group without facing any issue</v>
      </c>
      <c r="I64" s="26" t="str">
        <f>IFERROR(__xludf.DUMMYFUNCTION("""COMPUTED_VALUE"""),"Failed to create group")</f>
        <v>Failed to create group</v>
      </c>
      <c r="J64" s="26" t="str">
        <f>IFERROR(__xludf.DUMMYFUNCTION("""COMPUTED_VALUE"""),"Fail")</f>
        <v>Fail</v>
      </c>
      <c r="K64" s="26" t="str">
        <f>IFERROR(__xludf.DUMMYFUNCTION("""COMPUTED_VALUE"""),"High")</f>
        <v>High</v>
      </c>
      <c r="L64" s="27" t="str">
        <f>IFERROR(__xludf.DUMMYFUNCTION("""COMPUTED_VALUE"""),"079.png")</f>
        <v>079.png</v>
      </c>
      <c r="M64" s="26"/>
      <c r="N64" s="26"/>
      <c r="O64" s="26"/>
      <c r="P64" s="26" t="str">
        <f>IFERROR(__xludf.DUMMYFUNCTION("""COMPUTED_VALUE"""),"Fahad")</f>
        <v>Fahad</v>
      </c>
      <c r="Q64" s="24"/>
      <c r="R64" s="24"/>
      <c r="S64" s="24"/>
      <c r="T64" s="24"/>
      <c r="U64" s="24"/>
      <c r="V64" s="24"/>
      <c r="W64" s="24"/>
      <c r="X64" s="24"/>
      <c r="Y64" s="24"/>
      <c r="Z64" s="24"/>
      <c r="AA64" s="24"/>
    </row>
    <row r="65">
      <c r="A65" s="25" t="s">
        <v>82</v>
      </c>
      <c r="B65" s="26" t="str">
        <f>IFERROR(__xludf.DUMMYFUNCTION("""COMPUTED_VALUE"""),"Messages")</f>
        <v>Messages</v>
      </c>
      <c r="C65" s="26" t="str">
        <f>IFERROR(__xludf.DUMMYFUNCTION("""COMPUTED_VALUE"""),"Group")</f>
        <v>Group</v>
      </c>
      <c r="D65" s="26" t="str">
        <f>IFERROR(__xludf.DUMMYFUNCTION("""COMPUTED_VALUE"""),"The cancel button isn’t working properly.")</f>
        <v>The cancel button isn’t working properly.</v>
      </c>
      <c r="E65" s="26" t="str">
        <f>IFERROR(__xludf.DUMMYFUNCTION("""COMPUTED_VALUE"""),"User need to download the Petzy apk file in their mobile device")</f>
        <v>User need to download the Petzy apk file in their mobile device</v>
      </c>
      <c r="F65" s="26" t="str">
        <f>IFERROR(__xludf.DUMMYFUNCTION("""COMPUTED_VALUE"""),"1. Open app
2. Login using valid credential
3. Click on Messages
4. Click on group")</f>
        <v>1. Open app
2. Login using valid credential
3. Click on Messages
4. Click on group</v>
      </c>
      <c r="G65" s="26" t="str">
        <f>IFERROR(__xludf.DUMMYFUNCTION("""COMPUTED_VALUE"""),"User Credential")</f>
        <v>User Credential</v>
      </c>
      <c r="H65" s="26" t="str">
        <f>IFERROR(__xludf.DUMMYFUNCTION("""COMPUTED_VALUE"""),"The cancel button needs to work properly.")</f>
        <v>The cancel button needs to work properly.</v>
      </c>
      <c r="I65" s="26" t="str">
        <f>IFERROR(__xludf.DUMMYFUNCTION("""COMPUTED_VALUE"""),"The cancel button functionality failed.")</f>
        <v>The cancel button functionality failed.</v>
      </c>
      <c r="J65" s="26" t="str">
        <f>IFERROR(__xludf.DUMMYFUNCTION("""COMPUTED_VALUE"""),"Fail")</f>
        <v>Fail</v>
      </c>
      <c r="K65" s="26" t="str">
        <f>IFERROR(__xludf.DUMMYFUNCTION("""COMPUTED_VALUE"""),"High")</f>
        <v>High</v>
      </c>
      <c r="L65" s="27" t="str">
        <f>IFERROR(__xludf.DUMMYFUNCTION("""COMPUTED_VALUE"""),"080.png")</f>
        <v>080.png</v>
      </c>
      <c r="M65" s="26"/>
      <c r="N65" s="26"/>
      <c r="O65" s="26"/>
      <c r="P65" s="26" t="str">
        <f>IFERROR(__xludf.DUMMYFUNCTION("""COMPUTED_VALUE"""),"Fahad")</f>
        <v>Fahad</v>
      </c>
      <c r="Q65" s="24"/>
      <c r="R65" s="24"/>
      <c r="S65" s="24"/>
      <c r="T65" s="24"/>
      <c r="U65" s="24"/>
      <c r="V65" s="24"/>
      <c r="W65" s="24"/>
      <c r="X65" s="24"/>
      <c r="Y65" s="24"/>
      <c r="Z65" s="24"/>
      <c r="AA65" s="24"/>
    </row>
    <row r="66">
      <c r="A66" s="25" t="s">
        <v>83</v>
      </c>
      <c r="B66" s="26" t="str">
        <f>IFERROR(__xludf.DUMMYFUNCTION("""COMPUTED_VALUE"""),"Messages")</f>
        <v>Messages</v>
      </c>
      <c r="C66" s="26" t="str">
        <f>IFERROR(__xludf.DUMMYFUNCTION("""COMPUTED_VALUE"""),"Messages")</f>
        <v>Messages</v>
      </c>
      <c r="D66" s="26" t="str">
        <f>IFERROR(__xludf.DUMMYFUNCTION("""COMPUTED_VALUE"""),"JWT token expired in message")</f>
        <v>JWT token expired in message</v>
      </c>
      <c r="E66" s="26" t="str">
        <f>IFERROR(__xludf.DUMMYFUNCTION("""COMPUTED_VALUE"""),"User need to download the Petzy apk file in their mobile device")</f>
        <v>User need to download the Petzy apk file in their mobile device</v>
      </c>
      <c r="F66" s="26" t="str">
        <f>IFERROR(__xludf.DUMMYFUNCTION("""COMPUTED_VALUE"""),"1. Open app
2. Login using valid credential
3. Click on Messages")</f>
        <v>1. Open app
2. Login using valid credential
3. Click on Messages</v>
      </c>
      <c r="G66" s="26" t="str">
        <f>IFERROR(__xludf.DUMMYFUNCTION("""COMPUTED_VALUE"""),"User Credential")</f>
        <v>User Credential</v>
      </c>
      <c r="H66" s="26" t="str">
        <f>IFERROR(__xludf.DUMMYFUNCTION("""COMPUTED_VALUE"""),"Message should display to the user properly")</f>
        <v>Message should display to the user properly</v>
      </c>
      <c r="I66" s="26" t="str">
        <f>IFERROR(__xludf.DUMMYFUNCTION("""COMPUTED_VALUE"""),"Failed to open message. JWT token expire")</f>
        <v>Failed to open message. JWT token expire</v>
      </c>
      <c r="J66" s="26" t="str">
        <f>IFERROR(__xludf.DUMMYFUNCTION("""COMPUTED_VALUE"""),"Fail")</f>
        <v>Fail</v>
      </c>
      <c r="K66" s="26" t="str">
        <f>IFERROR(__xludf.DUMMYFUNCTION("""COMPUTED_VALUE"""),"High")</f>
        <v>High</v>
      </c>
      <c r="L66" s="27" t="str">
        <f>IFERROR(__xludf.DUMMYFUNCTION("""COMPUTED_VALUE"""),"063.png")</f>
        <v>063.png</v>
      </c>
      <c r="M66" s="26"/>
      <c r="N66" s="26"/>
      <c r="O66" s="26"/>
      <c r="P66" s="26" t="str">
        <f>IFERROR(__xludf.DUMMYFUNCTION("""COMPUTED_VALUE"""),"Fahad")</f>
        <v>Fahad</v>
      </c>
      <c r="Q66" s="24"/>
      <c r="R66" s="24"/>
      <c r="S66" s="24"/>
      <c r="T66" s="24"/>
      <c r="U66" s="24"/>
      <c r="V66" s="24"/>
      <c r="W66" s="24"/>
      <c r="X66" s="24"/>
      <c r="Y66" s="24"/>
      <c r="Z66" s="24"/>
      <c r="AA66" s="24"/>
    </row>
    <row r="67">
      <c r="A67" s="25" t="s">
        <v>84</v>
      </c>
      <c r="B67" s="26" t="str">
        <f>IFERROR(__xludf.DUMMYFUNCTION("""COMPUTED_VALUE"""),"Messages")</f>
        <v>Messages</v>
      </c>
      <c r="C67" s="26" t="str">
        <f>IFERROR(__xludf.DUMMYFUNCTION("""COMPUTED_VALUE"""),"Messages")</f>
        <v>Messages</v>
      </c>
      <c r="D67" s="26" t="str">
        <f>IFERROR(__xludf.DUMMYFUNCTION("""COMPUTED_VALUE"""),"No latest conversation found but title remains")</f>
        <v>No latest conversation found but title remains</v>
      </c>
      <c r="E67" s="26" t="str">
        <f>IFERROR(__xludf.DUMMYFUNCTION("""COMPUTED_VALUE"""),"User need to download the Petzy apk file in their mobile device")</f>
        <v>User need to download the Petzy apk file in their mobile device</v>
      </c>
      <c r="F67" s="26" t="str">
        <f>IFERROR(__xludf.DUMMYFUNCTION("""COMPUTED_VALUE"""),"1. Open app
2. Login using valid credential
3. Click on Messages")</f>
        <v>1. Open app
2. Login using valid credential
3. Click on Messages</v>
      </c>
      <c r="G67" s="26" t="str">
        <f>IFERROR(__xludf.DUMMYFUNCTION("""COMPUTED_VALUE"""),"User Credential")</f>
        <v>User Credential</v>
      </c>
      <c r="H67" s="26" t="str">
        <f>IFERROR(__xludf.DUMMYFUNCTION("""COMPUTED_VALUE"""),"If the content is visible, the title should appear.")</f>
        <v>If the content is visible, the title should appear.</v>
      </c>
      <c r="I67" s="26" t="str">
        <f>IFERROR(__xludf.DUMMYFUNCTION("""COMPUTED_VALUE"""),"No content available but title is displayed")</f>
        <v>No content available but title is displayed</v>
      </c>
      <c r="J67" s="26" t="str">
        <f>IFERROR(__xludf.DUMMYFUNCTION("""COMPUTED_VALUE"""),"Fail")</f>
        <v>Fail</v>
      </c>
      <c r="K67" s="26" t="str">
        <f>IFERROR(__xludf.DUMMYFUNCTION("""COMPUTED_VALUE"""),"Medium")</f>
        <v>Medium</v>
      </c>
      <c r="L67" s="27" t="str">
        <f>IFERROR(__xludf.DUMMYFUNCTION("""COMPUTED_VALUE"""),"064.png")</f>
        <v>064.png</v>
      </c>
      <c r="M67" s="26"/>
      <c r="N67" s="26"/>
      <c r="O67" s="26"/>
      <c r="P67" s="26" t="str">
        <f>IFERROR(__xludf.DUMMYFUNCTION("""COMPUTED_VALUE"""),"Fahad")</f>
        <v>Fahad</v>
      </c>
      <c r="Q67" s="24"/>
      <c r="R67" s="24"/>
      <c r="S67" s="24"/>
      <c r="T67" s="24"/>
      <c r="U67" s="24"/>
      <c r="V67" s="24"/>
      <c r="W67" s="24"/>
      <c r="X67" s="24"/>
      <c r="Y67" s="24"/>
      <c r="Z67" s="24"/>
      <c r="AA67" s="24"/>
    </row>
    <row r="68">
      <c r="A68" s="25" t="s">
        <v>85</v>
      </c>
      <c r="B68" s="26" t="str">
        <f>IFERROR(__xludf.DUMMYFUNCTION("""COMPUTED_VALUE"""),"Messages")</f>
        <v>Messages</v>
      </c>
      <c r="C68" s="26" t="str">
        <f>IFERROR(__xludf.DUMMYFUNCTION("""COMPUTED_VALUE"""),"Messages")</f>
        <v>Messages</v>
      </c>
      <c r="D68" s="26" t="str">
        <f>IFERROR(__xludf.DUMMYFUNCTION("""COMPUTED_VALUE"""),"The channel join button didn’t update after joining.")</f>
        <v>The channel join button didn’t update after joining.</v>
      </c>
      <c r="E68" s="26" t="str">
        <f>IFERROR(__xludf.DUMMYFUNCTION("""COMPUTED_VALUE"""),"User need to download the Petzy apk file in their mobile device")</f>
        <v>User need to download the Petzy apk file in their mobile device</v>
      </c>
      <c r="F68" s="26" t="str">
        <f>IFERROR(__xludf.DUMMYFUNCTION("""COMPUTED_VALUE"""),"1. Open app
2. Login using valid credential
3. Click on Messages")</f>
        <v>1. Open app
2. Login using valid credential
3. Click on Messages</v>
      </c>
      <c r="G68" s="26" t="str">
        <f>IFERROR(__xludf.DUMMYFUNCTION("""COMPUTED_VALUE"""),"User Credential")</f>
        <v>User Credential</v>
      </c>
      <c r="H68" s="26" t="str">
        <f>IFERROR(__xludf.DUMMYFUNCTION("""COMPUTED_VALUE"""),"The Join button should change to Joined when a user joins a channel.")</f>
        <v>The Join button should change to Joined when a user joins a channel.</v>
      </c>
      <c r="I68" s="26" t="str">
        <f>IFERROR(__xludf.DUMMYFUNCTION("""COMPUTED_VALUE"""),"The join button still shows as ""Join"" even after the user has joined the channel.")</f>
        <v>The join button still shows as "Join" even after the user has joined the channel.</v>
      </c>
      <c r="J68" s="26" t="str">
        <f>IFERROR(__xludf.DUMMYFUNCTION("""COMPUTED_VALUE"""),"Fail")</f>
        <v>Fail</v>
      </c>
      <c r="K68" s="26" t="str">
        <f>IFERROR(__xludf.DUMMYFUNCTION("""COMPUTED_VALUE"""),"Medium")</f>
        <v>Medium</v>
      </c>
      <c r="L68" s="27" t="str">
        <f>IFERROR(__xludf.DUMMYFUNCTION("""COMPUTED_VALUE"""),"065.png")</f>
        <v>065.png</v>
      </c>
      <c r="M68" s="26"/>
      <c r="N68" s="26"/>
      <c r="O68" s="26"/>
      <c r="P68" s="26" t="str">
        <f>IFERROR(__xludf.DUMMYFUNCTION("""COMPUTED_VALUE"""),"Fahad")</f>
        <v>Fahad</v>
      </c>
      <c r="Q68" s="24"/>
      <c r="R68" s="24"/>
      <c r="S68" s="24"/>
      <c r="T68" s="24"/>
      <c r="U68" s="24"/>
      <c r="V68" s="24"/>
      <c r="W68" s="24"/>
      <c r="X68" s="24"/>
      <c r="Y68" s="24"/>
      <c r="Z68" s="24"/>
      <c r="AA68" s="24"/>
    </row>
    <row r="69">
      <c r="A69" s="25" t="s">
        <v>86</v>
      </c>
      <c r="B69" s="26" t="str">
        <f>IFERROR(__xludf.DUMMYFUNCTION("""COMPUTED_VALUE"""),"Messages")</f>
        <v>Messages</v>
      </c>
      <c r="C69" s="26" t="str">
        <f>IFERROR(__xludf.DUMMYFUNCTION("""COMPUTED_VALUE"""),"Messages")</f>
        <v>Messages</v>
      </c>
      <c r="D69" s="26" t="str">
        <f>IFERROR(__xludf.DUMMYFUNCTION("""COMPUTED_VALUE"""),"Back button is not integrated in message page")</f>
        <v>Back button is not integrated in message page</v>
      </c>
      <c r="E69" s="26" t="str">
        <f>IFERROR(__xludf.DUMMYFUNCTION("""COMPUTED_VALUE"""),"User need to download the Petzy apk file in their mobile device")</f>
        <v>User need to download the Petzy apk file in their mobile device</v>
      </c>
      <c r="F69" s="26" t="str">
        <f>IFERROR(__xludf.DUMMYFUNCTION("""COMPUTED_VALUE"""),"1. Open app
2. Login using valid credential
3. Click on Messages")</f>
        <v>1. Open app
2. Login using valid credential
3. Click on Messages</v>
      </c>
      <c r="G69" s="26" t="str">
        <f>IFERROR(__xludf.DUMMYFUNCTION("""COMPUTED_VALUE"""),"User Credential")</f>
        <v>User Credential</v>
      </c>
      <c r="H69" s="26" t="str">
        <f>IFERROR(__xludf.DUMMYFUNCTION("""COMPUTED_VALUE"""),"The back button should be visible on every page.")</f>
        <v>The back button should be visible on every page.</v>
      </c>
      <c r="I69" s="26" t="str">
        <f>IFERROR(__xludf.DUMMYFUNCTION("""COMPUTED_VALUE"""),"No back button is visible in message page")</f>
        <v>No back button is visible in message page</v>
      </c>
      <c r="J69" s="26" t="str">
        <f>IFERROR(__xludf.DUMMYFUNCTION("""COMPUTED_VALUE"""),"Fail")</f>
        <v>Fail</v>
      </c>
      <c r="K69" s="26" t="str">
        <f>IFERROR(__xludf.DUMMYFUNCTION("""COMPUTED_VALUE"""),"High")</f>
        <v>High</v>
      </c>
      <c r="L69" s="27" t="str">
        <f>IFERROR(__xludf.DUMMYFUNCTION("""COMPUTED_VALUE"""),"066.mp4")</f>
        <v>066.mp4</v>
      </c>
      <c r="M69" s="26"/>
      <c r="N69" s="26"/>
      <c r="O69" s="26"/>
      <c r="P69" s="26" t="str">
        <f>IFERROR(__xludf.DUMMYFUNCTION("""COMPUTED_VALUE"""),"Fahad")</f>
        <v>Fahad</v>
      </c>
      <c r="Q69" s="24"/>
      <c r="R69" s="24"/>
      <c r="S69" s="24"/>
      <c r="T69" s="24"/>
      <c r="U69" s="24"/>
      <c r="V69" s="24"/>
      <c r="W69" s="24"/>
      <c r="X69" s="24"/>
      <c r="Y69" s="24"/>
      <c r="Z69" s="24"/>
      <c r="AA69" s="24"/>
    </row>
    <row r="70">
      <c r="A70" s="25" t="s">
        <v>87</v>
      </c>
      <c r="B70" s="26" t="str">
        <f>IFERROR(__xludf.DUMMYFUNCTION("""COMPUTED_VALUE"""),"Messages")</f>
        <v>Messages</v>
      </c>
      <c r="C70" s="26" t="str">
        <f>IFERROR(__xludf.DUMMYFUNCTION("""COMPUTED_VALUE"""),"Messages")</f>
        <v>Messages</v>
      </c>
      <c r="D70" s="26" t="str">
        <f>IFERROR(__xludf.DUMMYFUNCTION("""COMPUTED_VALUE"""),"Button not functional")</f>
        <v>Button not functional</v>
      </c>
      <c r="E70" s="26" t="str">
        <f>IFERROR(__xludf.DUMMYFUNCTION("""COMPUTED_VALUE"""),"User need to download the Petzy apk file in their mobile device")</f>
        <v>User need to download the Petzy apk file in their mobile device</v>
      </c>
      <c r="F70" s="26" t="str">
        <f>IFERROR(__xludf.DUMMYFUNCTION("""COMPUTED_VALUE"""),"1. Open app
2. Login using valid credential
3. Click on Messages")</f>
        <v>1. Open app
2. Login using valid credential
3. Click on Messages</v>
      </c>
      <c r="G70" s="26" t="str">
        <f>IFERROR(__xludf.DUMMYFUNCTION("""COMPUTED_VALUE"""),"User Credential")</f>
        <v>User Credential</v>
      </c>
      <c r="H70" s="26" t="str">
        <f>IFERROR(__xludf.DUMMYFUNCTION("""COMPUTED_VALUE"""),"The create group button should be functional.")</f>
        <v>The create group button should be functional.</v>
      </c>
      <c r="I70" s="26" t="str">
        <f>IFERROR(__xludf.DUMMYFUNCTION("""COMPUTED_VALUE"""),"Button is not functional")</f>
        <v>Button is not functional</v>
      </c>
      <c r="J70" s="26" t="str">
        <f>IFERROR(__xludf.DUMMYFUNCTION("""COMPUTED_VALUE"""),"Fail")</f>
        <v>Fail</v>
      </c>
      <c r="K70" s="26" t="str">
        <f>IFERROR(__xludf.DUMMYFUNCTION("""COMPUTED_VALUE"""),"Medium")</f>
        <v>Medium</v>
      </c>
      <c r="L70" s="27" t="str">
        <f>IFERROR(__xludf.DUMMYFUNCTION("""COMPUTED_VALUE"""),"067.png")</f>
        <v>067.png</v>
      </c>
      <c r="M70" s="26"/>
      <c r="N70" s="26"/>
      <c r="O70" s="26"/>
      <c r="P70" s="26" t="str">
        <f>IFERROR(__xludf.DUMMYFUNCTION("""COMPUTED_VALUE"""),"Fahad")</f>
        <v>Fahad</v>
      </c>
      <c r="Q70" s="24"/>
      <c r="R70" s="24"/>
      <c r="S70" s="24"/>
      <c r="T70" s="24"/>
      <c r="U70" s="24"/>
      <c r="V70" s="24"/>
      <c r="W70" s="24"/>
      <c r="X70" s="24"/>
      <c r="Y70" s="24"/>
      <c r="Z70" s="24"/>
      <c r="AA70" s="24"/>
    </row>
    <row r="71">
      <c r="A71" s="25" t="s">
        <v>88</v>
      </c>
      <c r="B71" s="26" t="str">
        <f>IFERROR(__xludf.DUMMYFUNCTION("""COMPUTED_VALUE"""),"My Profile")</f>
        <v>My Profile</v>
      </c>
      <c r="C71" s="26" t="str">
        <f>IFERROR(__xludf.DUMMYFUNCTION("""COMPUTED_VALUE"""),"Add Pet")</f>
        <v>Add Pet</v>
      </c>
      <c r="D71" s="26" t="str">
        <f>IFERROR(__xludf.DUMMYFUNCTION("""COMPUTED_VALUE"""),"Icon different from figma")</f>
        <v>Icon different from figma</v>
      </c>
      <c r="E71" s="26" t="str">
        <f>IFERROR(__xludf.DUMMYFUNCTION("""COMPUTED_VALUE"""),"User need to download the Petzy apk file in their mobile device")</f>
        <v>User need to download the Petzy apk file in their mobile device</v>
      </c>
      <c r="F71" s="26" t="str">
        <f>IFERROR(__xludf.DUMMYFUNCTION("""COMPUTED_VALUE"""),"1. Open app
2. Login using valid credential
3. Goto my profile
4. Click on Add Pet")</f>
        <v>1. Open app
2. Login using valid credential
3. Goto my profile
4. Click on Add Pet</v>
      </c>
      <c r="G71" s="26" t="str">
        <f>IFERROR(__xludf.DUMMYFUNCTION("""COMPUTED_VALUE"""),"User Credential")</f>
        <v>User Credential</v>
      </c>
      <c r="H71" s="26" t="str">
        <f>IFERROR(__xludf.DUMMYFUNCTION("""COMPUTED_VALUE"""),"Design and icon should be as same as figma")</f>
        <v>Design and icon should be as same as figma</v>
      </c>
      <c r="I71" s="26" t="str">
        <f>IFERROR(__xludf.DUMMYFUNCTION("""COMPUTED_VALUE"""),"Differen icon noticed")</f>
        <v>Differen icon noticed</v>
      </c>
      <c r="J71" s="26" t="str">
        <f>IFERROR(__xludf.DUMMYFUNCTION("""COMPUTED_VALUE"""),"Fail")</f>
        <v>Fail</v>
      </c>
      <c r="K71" s="26" t="str">
        <f>IFERROR(__xludf.DUMMYFUNCTION("""COMPUTED_VALUE"""),"Low")</f>
        <v>Low</v>
      </c>
      <c r="L71" s="27" t="str">
        <f>IFERROR(__xludf.DUMMYFUNCTION("""COMPUTED_VALUE"""),"068.png")</f>
        <v>068.png</v>
      </c>
      <c r="M71" s="26"/>
      <c r="N71" s="26"/>
      <c r="O71" s="26"/>
      <c r="P71" s="26" t="str">
        <f>IFERROR(__xludf.DUMMYFUNCTION("""COMPUTED_VALUE"""),"Fahad")</f>
        <v>Fahad</v>
      </c>
      <c r="Q71" s="24"/>
      <c r="R71" s="24"/>
      <c r="S71" s="24"/>
      <c r="T71" s="24"/>
      <c r="U71" s="24"/>
      <c r="V71" s="24"/>
      <c r="W71" s="24"/>
      <c r="X71" s="24"/>
      <c r="Y71" s="24"/>
      <c r="Z71" s="24"/>
      <c r="AA71" s="24"/>
    </row>
    <row r="72">
      <c r="A72" s="25" t="s">
        <v>89</v>
      </c>
      <c r="B72" s="26" t="str">
        <f>IFERROR(__xludf.DUMMYFUNCTION("""COMPUTED_VALUE"""),"My Profile")</f>
        <v>My Profile</v>
      </c>
      <c r="C72" s="26" t="str">
        <f>IFERROR(__xludf.DUMMYFUNCTION("""COMPUTED_VALUE"""),"Add Pet")</f>
        <v>Add Pet</v>
      </c>
      <c r="D72" s="26" t="str">
        <f>IFERROR(__xludf.DUMMYFUNCTION("""COMPUTED_VALUE"""),"weight icon is missing in app")</f>
        <v>weight icon is missing in app</v>
      </c>
      <c r="E72" s="26" t="str">
        <f>IFERROR(__xludf.DUMMYFUNCTION("""COMPUTED_VALUE"""),"User need to download the Petzy apk file in their mobile device")</f>
        <v>User need to download the Petzy apk file in their mobile device</v>
      </c>
      <c r="F72" s="26" t="str">
        <f>IFERROR(__xludf.DUMMYFUNCTION("""COMPUTED_VALUE"""),"1. Open app
2. Login using valid credential
3. Goto my profile
4. Click on Add Pet")</f>
        <v>1. Open app
2. Login using valid credential
3. Goto my profile
4. Click on Add Pet</v>
      </c>
      <c r="G72" s="26" t="str">
        <f>IFERROR(__xludf.DUMMYFUNCTION("""COMPUTED_VALUE"""),"User Credential")</f>
        <v>User Credential</v>
      </c>
      <c r="H72" s="26" t="str">
        <f>IFERROR(__xludf.DUMMYFUNCTION("""COMPUTED_VALUE"""),"Design and icon should be as same as figma")</f>
        <v>Design and icon should be as same as figma</v>
      </c>
      <c r="I72" s="26" t="str">
        <f>IFERROR(__xludf.DUMMYFUNCTION("""COMPUTED_VALUE"""),"Differen icon noticed")</f>
        <v>Differen icon noticed</v>
      </c>
      <c r="J72" s="26" t="str">
        <f>IFERROR(__xludf.DUMMYFUNCTION("""COMPUTED_VALUE"""),"Fail")</f>
        <v>Fail</v>
      </c>
      <c r="K72" s="26" t="str">
        <f>IFERROR(__xludf.DUMMYFUNCTION("""COMPUTED_VALUE"""),"Low")</f>
        <v>Low</v>
      </c>
      <c r="L72" s="27" t="str">
        <f>IFERROR(__xludf.DUMMYFUNCTION("""COMPUTED_VALUE"""),"069.png")</f>
        <v>069.png</v>
      </c>
      <c r="M72" s="26"/>
      <c r="N72" s="26"/>
      <c r="O72" s="26"/>
      <c r="P72" s="26" t="str">
        <f>IFERROR(__xludf.DUMMYFUNCTION("""COMPUTED_VALUE"""),"Fahad")</f>
        <v>Fahad</v>
      </c>
      <c r="Q72" s="24"/>
      <c r="R72" s="24"/>
      <c r="S72" s="24"/>
      <c r="T72" s="24"/>
      <c r="U72" s="24"/>
      <c r="V72" s="24"/>
      <c r="W72" s="24"/>
      <c r="X72" s="24"/>
      <c r="Y72" s="24"/>
      <c r="Z72" s="24"/>
      <c r="AA72" s="24"/>
    </row>
    <row r="73">
      <c r="A73" s="25" t="s">
        <v>90</v>
      </c>
      <c r="B73" s="26" t="str">
        <f>IFERROR(__xludf.DUMMYFUNCTION("""COMPUTED_VALUE"""),"My Profile")</f>
        <v>My Profile</v>
      </c>
      <c r="C73" s="26" t="str">
        <f>IFERROR(__xludf.DUMMYFUNCTION("""COMPUTED_VALUE"""),"Add Pet")</f>
        <v>Add Pet</v>
      </c>
      <c r="D73" s="26" t="str">
        <f>IFERROR(__xludf.DUMMYFUNCTION("""COMPUTED_VALUE"""),"Different icon used in app")</f>
        <v>Different icon used in app</v>
      </c>
      <c r="E73" s="26" t="str">
        <f>IFERROR(__xludf.DUMMYFUNCTION("""COMPUTED_VALUE"""),"User need to download the Petzy apk file in their mobile device")</f>
        <v>User need to download the Petzy apk file in their mobile device</v>
      </c>
      <c r="F73" s="26" t="str">
        <f>IFERROR(__xludf.DUMMYFUNCTION("""COMPUTED_VALUE"""),"1. Open app
2. Login using valid credential
3. Goto my profile
4. Click on Add Pet")</f>
        <v>1. Open app
2. Login using valid credential
3. Goto my profile
4. Click on Add Pet</v>
      </c>
      <c r="G73" s="26" t="str">
        <f>IFERROR(__xludf.DUMMYFUNCTION("""COMPUTED_VALUE"""),"User Credential")</f>
        <v>User Credential</v>
      </c>
      <c r="H73" s="26" t="str">
        <f>IFERROR(__xludf.DUMMYFUNCTION("""COMPUTED_VALUE"""),"Design and icon should be as same as figma")</f>
        <v>Design and icon should be as same as figma</v>
      </c>
      <c r="I73" s="26" t="str">
        <f>IFERROR(__xludf.DUMMYFUNCTION("""COMPUTED_VALUE"""),"Differen icon noticed")</f>
        <v>Differen icon noticed</v>
      </c>
      <c r="J73" s="26" t="str">
        <f>IFERROR(__xludf.DUMMYFUNCTION("""COMPUTED_VALUE"""),"Fail")</f>
        <v>Fail</v>
      </c>
      <c r="K73" s="26" t="str">
        <f>IFERROR(__xludf.DUMMYFUNCTION("""COMPUTED_VALUE"""),"Low")</f>
        <v>Low</v>
      </c>
      <c r="L73" s="27" t="str">
        <f>IFERROR(__xludf.DUMMYFUNCTION("""COMPUTED_VALUE"""),"070.png")</f>
        <v>070.png</v>
      </c>
      <c r="M73" s="26"/>
      <c r="N73" s="26"/>
      <c r="O73" s="26"/>
      <c r="P73" s="26" t="str">
        <f>IFERROR(__xludf.DUMMYFUNCTION("""COMPUTED_VALUE"""),"Fahad")</f>
        <v>Fahad</v>
      </c>
      <c r="Q73" s="24"/>
      <c r="R73" s="24"/>
      <c r="S73" s="24"/>
      <c r="T73" s="24"/>
      <c r="U73" s="24"/>
      <c r="V73" s="24"/>
      <c r="W73" s="24"/>
      <c r="X73" s="24"/>
      <c r="Y73" s="24"/>
      <c r="Z73" s="24"/>
      <c r="AA73" s="24"/>
    </row>
    <row r="74">
      <c r="A74" s="25" t="s">
        <v>91</v>
      </c>
      <c r="B74" s="26" t="str">
        <f>IFERROR(__xludf.DUMMYFUNCTION("""COMPUTED_VALUE"""),"My Profile")</f>
        <v>My Profile</v>
      </c>
      <c r="C74" s="26" t="str">
        <f>IFERROR(__xludf.DUMMYFUNCTION("""COMPUTED_VALUE"""),"Add Pet")</f>
        <v>Add Pet</v>
      </c>
      <c r="D74" s="26" t="str">
        <f>IFERROR(__xludf.DUMMYFUNCTION("""COMPUTED_VALUE"""),"Failed to add pet")</f>
        <v>Failed to add pet</v>
      </c>
      <c r="E74" s="26" t="str">
        <f>IFERROR(__xludf.DUMMYFUNCTION("""COMPUTED_VALUE"""),"User need to download the Petzy apk file in their mobile device")</f>
        <v>User need to download the Petzy apk file in their mobile device</v>
      </c>
      <c r="F74" s="26" t="str">
        <f>IFERROR(__xludf.DUMMYFUNCTION("""COMPUTED_VALUE"""),"1. Open app
2. Login using valid credential
3. Goto my profile
4. Click on Add Pet")</f>
        <v>1. Open app
2. Login using valid credential
3. Goto my profile
4. Click on Add Pet</v>
      </c>
      <c r="G74" s="26" t="str">
        <f>IFERROR(__xludf.DUMMYFUNCTION("""COMPUTED_VALUE"""),"User Credential")</f>
        <v>User Credential</v>
      </c>
      <c r="H74" s="26" t="str">
        <f>IFERROR(__xludf.DUMMYFUNCTION("""COMPUTED_VALUE"""),"User should be able to add pet in their profile")</f>
        <v>User should be able to add pet in their profile</v>
      </c>
      <c r="I74" s="26" t="str">
        <f>IFERROR(__xludf.DUMMYFUNCTION("""COMPUTED_VALUE"""),"Failed to add pet")</f>
        <v>Failed to add pet</v>
      </c>
      <c r="J74" s="26" t="str">
        <f>IFERROR(__xludf.DUMMYFUNCTION("""COMPUTED_VALUE"""),"Fail")</f>
        <v>Fail</v>
      </c>
      <c r="K74" s="26" t="str">
        <f>IFERROR(__xludf.DUMMYFUNCTION("""COMPUTED_VALUE"""),"High")</f>
        <v>High</v>
      </c>
      <c r="L74" s="27" t="str">
        <f>IFERROR(__xludf.DUMMYFUNCTION("""COMPUTED_VALUE"""),"071.png")</f>
        <v>071.png</v>
      </c>
      <c r="M74" s="26"/>
      <c r="N74" s="26"/>
      <c r="O74" s="26"/>
      <c r="P74" s="26" t="str">
        <f>IFERROR(__xludf.DUMMYFUNCTION("""COMPUTED_VALUE"""),"Fahad")</f>
        <v>Fahad</v>
      </c>
      <c r="Q74" s="24"/>
      <c r="R74" s="24"/>
      <c r="S74" s="24"/>
      <c r="T74" s="24"/>
      <c r="U74" s="24"/>
      <c r="V74" s="24"/>
      <c r="W74" s="24"/>
      <c r="X74" s="24"/>
      <c r="Y74" s="24"/>
      <c r="Z74" s="24"/>
      <c r="AA74" s="24"/>
    </row>
    <row r="75">
      <c r="A75" s="25" t="s">
        <v>92</v>
      </c>
      <c r="B75" s="26" t="str">
        <f>IFERROR(__xludf.DUMMYFUNCTION("""COMPUTED_VALUE"""),"My Profile")</f>
        <v>My Profile</v>
      </c>
      <c r="C75" s="26" t="str">
        <f>IFERROR(__xludf.DUMMYFUNCTION("""COMPUTED_VALUE"""),"My Profile")</f>
        <v>My Profile</v>
      </c>
      <c r="D75" s="26" t="str">
        <f>IFERROR(__xludf.DUMMYFUNCTION("""COMPUTED_VALUE"""),"Friend request option missing")</f>
        <v>Friend request option missing</v>
      </c>
      <c r="E75" s="26" t="str">
        <f>IFERROR(__xludf.DUMMYFUNCTION("""COMPUTED_VALUE"""),"User need to download the Petzy apk file in their mobile device")</f>
        <v>User need to download the Petzy apk file in their mobile device</v>
      </c>
      <c r="F75" s="26" t="str">
        <f>IFERROR(__xludf.DUMMYFUNCTION("""COMPUTED_VALUE"""),"1. Open app
2. Login using valid credential
3. Click on Story")</f>
        <v>1. Open app
2. Login using valid credential
3. Click on Story</v>
      </c>
      <c r="G75" s="26" t="str">
        <f>IFERROR(__xludf.DUMMYFUNCTION("""COMPUTED_VALUE"""),"User Credential")</f>
        <v>User Credential</v>
      </c>
      <c r="H75" s="26" t="str">
        <f>IFERROR(__xludf.DUMMYFUNCTION("""COMPUTED_VALUE"""),"App UI and module should be as same as figma design")</f>
        <v>App UI and module should be as same as figma design</v>
      </c>
      <c r="I75" s="26" t="str">
        <f>IFERROR(__xludf.DUMMYFUNCTION("""COMPUTED_VALUE"""),"Module missing in app")</f>
        <v>Module missing in app</v>
      </c>
      <c r="J75" s="26" t="str">
        <f>IFERROR(__xludf.DUMMYFUNCTION("""COMPUTED_VALUE"""),"Fail")</f>
        <v>Fail</v>
      </c>
      <c r="K75" s="26" t="str">
        <f>IFERROR(__xludf.DUMMYFUNCTION("""COMPUTED_VALUE"""),"High")</f>
        <v>High</v>
      </c>
      <c r="L75" s="27" t="str">
        <f>IFERROR(__xludf.DUMMYFUNCTION("""COMPUTED_VALUE"""),"058.png")</f>
        <v>058.png</v>
      </c>
      <c r="M75" s="26"/>
      <c r="N75" s="26"/>
      <c r="O75" s="26"/>
      <c r="P75" s="26" t="str">
        <f>IFERROR(__xludf.DUMMYFUNCTION("""COMPUTED_VALUE"""),"Fahad")</f>
        <v>Fahad</v>
      </c>
      <c r="Q75" s="24"/>
      <c r="R75" s="24"/>
      <c r="S75" s="24"/>
      <c r="T75" s="24"/>
      <c r="U75" s="24"/>
      <c r="V75" s="24"/>
      <c r="W75" s="24"/>
      <c r="X75" s="24"/>
      <c r="Y75" s="24"/>
      <c r="Z75" s="24"/>
      <c r="AA75" s="24"/>
    </row>
    <row r="76">
      <c r="A76" s="25" t="s">
        <v>93</v>
      </c>
      <c r="B76" s="26" t="str">
        <f>IFERROR(__xludf.DUMMYFUNCTION("""COMPUTED_VALUE"""),"My Profile")</f>
        <v>My Profile</v>
      </c>
      <c r="C76" s="26" t="str">
        <f>IFERROR(__xludf.DUMMYFUNCTION("""COMPUTED_VALUE"""),"My Profile")</f>
        <v>My Profile</v>
      </c>
      <c r="D76" s="26" t="str">
        <f>IFERROR(__xludf.DUMMYFUNCTION("""COMPUTED_VALUE"""),"Change cover photo option missing")</f>
        <v>Change cover photo option missing</v>
      </c>
      <c r="E76" s="26" t="str">
        <f>IFERROR(__xludf.DUMMYFUNCTION("""COMPUTED_VALUE"""),"User need to download the Petzy apk file in their mobile device")</f>
        <v>User need to download the Petzy apk file in their mobile device</v>
      </c>
      <c r="F76" s="26" t="str">
        <f>IFERROR(__xludf.DUMMYFUNCTION("""COMPUTED_VALUE"""),"1. Open app
2. Login using valid credential
3. Goto my profile")</f>
        <v>1. Open app
2. Login using valid credential
3. Goto my profile</v>
      </c>
      <c r="G76" s="26" t="str">
        <f>IFERROR(__xludf.DUMMYFUNCTION("""COMPUTED_VALUE"""),"User Credential")</f>
        <v>User Credential</v>
      </c>
      <c r="H76" s="26" t="str">
        <f>IFERROR(__xludf.DUMMYFUNCTION("""COMPUTED_VALUE"""),"Features should be placed accurately according to the Figma design.")</f>
        <v>Features should be placed accurately according to the Figma design.</v>
      </c>
      <c r="I76" s="26" t="str">
        <f>IFERROR(__xludf.DUMMYFUNCTION("""COMPUTED_VALUE"""),"Feature missing in app")</f>
        <v>Feature missing in app</v>
      </c>
      <c r="J76" s="26" t="str">
        <f>IFERROR(__xludf.DUMMYFUNCTION("""COMPUTED_VALUE"""),"Fail")</f>
        <v>Fail</v>
      </c>
      <c r="K76" s="26" t="str">
        <f>IFERROR(__xludf.DUMMYFUNCTION("""COMPUTED_VALUE"""),"High")</f>
        <v>High</v>
      </c>
      <c r="L76" s="27" t="str">
        <f>IFERROR(__xludf.DUMMYFUNCTION("""COMPUTED_VALUE"""),"059.png")</f>
        <v>059.png</v>
      </c>
      <c r="M76" s="26"/>
      <c r="N76" s="26"/>
      <c r="O76" s="26"/>
      <c r="P76" s="26" t="str">
        <f>IFERROR(__xludf.DUMMYFUNCTION("""COMPUTED_VALUE"""),"Fahad")</f>
        <v>Fahad</v>
      </c>
      <c r="Q76" s="24"/>
      <c r="R76" s="24"/>
      <c r="S76" s="24"/>
      <c r="T76" s="24"/>
      <c r="U76" s="24"/>
      <c r="V76" s="24"/>
      <c r="W76" s="24"/>
      <c r="X76" s="24"/>
      <c r="Y76" s="24"/>
      <c r="Z76" s="24"/>
      <c r="AA76" s="24"/>
    </row>
    <row r="77">
      <c r="A77" s="25" t="s">
        <v>94</v>
      </c>
      <c r="B77" s="26" t="str">
        <f>IFERROR(__xludf.DUMMYFUNCTION("""COMPUTED_VALUE"""),"My Profile")</f>
        <v>My Profile</v>
      </c>
      <c r="C77" s="26" t="str">
        <f>IFERROR(__xludf.DUMMYFUNCTION("""COMPUTED_VALUE"""),"My Profile")</f>
        <v>My Profile</v>
      </c>
      <c r="D77" s="26" t="str">
        <f>IFERROR(__xludf.DUMMYFUNCTION("""COMPUTED_VALUE"""),"Add a pet option cut on side and it is scrollable which should be fit to window")</f>
        <v>Add a pet option cut on side and it is scrollable which should be fit to window</v>
      </c>
      <c r="E77" s="26" t="str">
        <f>IFERROR(__xludf.DUMMYFUNCTION("""COMPUTED_VALUE"""),"User need to download the Petzy apk file in their mobile device")</f>
        <v>User need to download the Petzy apk file in their mobile device</v>
      </c>
      <c r="F77" s="26" t="str">
        <f>IFERROR(__xludf.DUMMYFUNCTION("""COMPUTED_VALUE"""),"1. Open app
2. Login using valid credential
3. Goto my profile")</f>
        <v>1. Open app
2. Login using valid credential
3. Goto my profile</v>
      </c>
      <c r="G77" s="26" t="str">
        <f>IFERROR(__xludf.DUMMYFUNCTION("""COMPUTED_VALUE"""),"User Credential")</f>
        <v>User Credential</v>
      </c>
      <c r="H77" s="26" t="str">
        <f>IFERROR(__xludf.DUMMYFUNCTION("""COMPUTED_VALUE"""),"It should be static and fit to window")</f>
        <v>It should be static and fit to window</v>
      </c>
      <c r="I77" s="26" t="str">
        <f>IFERROR(__xludf.DUMMYFUNCTION("""COMPUTED_VALUE"""),"Feature scrollable and cut on one side")</f>
        <v>Feature scrollable and cut on one side</v>
      </c>
      <c r="J77" s="26" t="str">
        <f>IFERROR(__xludf.DUMMYFUNCTION("""COMPUTED_VALUE"""),"Fail")</f>
        <v>Fail</v>
      </c>
      <c r="K77" s="26" t="str">
        <f>IFERROR(__xludf.DUMMYFUNCTION("""COMPUTED_VALUE"""),"Medium")</f>
        <v>Medium</v>
      </c>
      <c r="L77" s="27" t="str">
        <f>IFERROR(__xludf.DUMMYFUNCTION("""COMPUTED_VALUE"""),"060.png")</f>
        <v>060.png</v>
      </c>
      <c r="M77" s="26"/>
      <c r="N77" s="26"/>
      <c r="O77" s="26"/>
      <c r="P77" s="26" t="str">
        <f>IFERROR(__xludf.DUMMYFUNCTION("""COMPUTED_VALUE"""),"Fahad")</f>
        <v>Fahad</v>
      </c>
      <c r="Q77" s="24"/>
      <c r="R77" s="24"/>
      <c r="S77" s="24"/>
      <c r="T77" s="24"/>
      <c r="U77" s="24"/>
      <c r="V77" s="24"/>
      <c r="W77" s="24"/>
      <c r="X77" s="24"/>
      <c r="Y77" s="24"/>
      <c r="Z77" s="24"/>
      <c r="AA77" s="24"/>
    </row>
    <row r="78">
      <c r="A78" s="25" t="s">
        <v>95</v>
      </c>
      <c r="B78" s="26" t="str">
        <f>IFERROR(__xludf.DUMMYFUNCTION("""COMPUTED_VALUE"""),"My Profile")</f>
        <v>My Profile</v>
      </c>
      <c r="C78" s="26" t="str">
        <f>IFERROR(__xludf.DUMMYFUNCTION("""COMPUTED_VALUE"""),"My Profile")</f>
        <v>My Profile</v>
      </c>
      <c r="D78" s="26" t="str">
        <f>IFERROR(__xludf.DUMMYFUNCTION("""COMPUTED_VALUE"""),"Missing post option in profile")</f>
        <v>Missing post option in profile</v>
      </c>
      <c r="E78" s="26" t="str">
        <f>IFERROR(__xludf.DUMMYFUNCTION("""COMPUTED_VALUE"""),"User need to download the Petzy apk file in their mobile device")</f>
        <v>User need to download the Petzy apk file in their mobile device</v>
      </c>
      <c r="F78" s="26" t="str">
        <f>IFERROR(__xludf.DUMMYFUNCTION("""COMPUTED_VALUE"""),"1. Open app
2. Login using valid credential
3. Goto my profile")</f>
        <v>1. Open app
2. Login using valid credential
3. Goto my profile</v>
      </c>
      <c r="G78" s="26" t="str">
        <f>IFERROR(__xludf.DUMMYFUNCTION("""COMPUTED_VALUE"""),"User Credential")</f>
        <v>User Credential</v>
      </c>
      <c r="H78" s="26" t="str">
        <f>IFERROR(__xludf.DUMMYFUNCTION("""COMPUTED_VALUE"""),"App UI should be as same as figma design")</f>
        <v>App UI should be as same as figma design</v>
      </c>
      <c r="I78" s="26" t="str">
        <f>IFERROR(__xludf.DUMMYFUNCTION("""COMPUTED_VALUE"""),"Different design noticed in apk")</f>
        <v>Different design noticed in apk</v>
      </c>
      <c r="J78" s="26" t="str">
        <f>IFERROR(__xludf.DUMMYFUNCTION("""COMPUTED_VALUE"""),"Fail")</f>
        <v>Fail</v>
      </c>
      <c r="K78" s="26" t="str">
        <f>IFERROR(__xludf.DUMMYFUNCTION("""COMPUTED_VALUE"""),"High")</f>
        <v>High</v>
      </c>
      <c r="L78" s="27" t="str">
        <f>IFERROR(__xludf.DUMMYFUNCTION("""COMPUTED_VALUE"""),"061.png")</f>
        <v>061.png</v>
      </c>
      <c r="M78" s="26"/>
      <c r="N78" s="26"/>
      <c r="O78" s="26"/>
      <c r="P78" s="26" t="str">
        <f>IFERROR(__xludf.DUMMYFUNCTION("""COMPUTED_VALUE"""),"Fahad")</f>
        <v>Fahad</v>
      </c>
      <c r="Q78" s="24"/>
      <c r="R78" s="24"/>
      <c r="S78" s="24"/>
      <c r="T78" s="24"/>
      <c r="U78" s="24"/>
      <c r="V78" s="24"/>
      <c r="W78" s="24"/>
      <c r="X78" s="24"/>
      <c r="Y78" s="24"/>
      <c r="Z78" s="24"/>
      <c r="AA78" s="24"/>
    </row>
    <row r="79">
      <c r="A79" s="25" t="s">
        <v>96</v>
      </c>
      <c r="B79" s="26" t="str">
        <f>IFERROR(__xludf.DUMMYFUNCTION("""COMPUTED_VALUE"""),"My Profile")</f>
        <v>My Profile</v>
      </c>
      <c r="C79" s="26" t="str">
        <f>IFERROR(__xludf.DUMMYFUNCTION("""COMPUTED_VALUE"""),"My Profile")</f>
        <v>My Profile</v>
      </c>
      <c r="D79" s="26" t="str">
        <f>IFERROR(__xludf.DUMMYFUNCTION("""COMPUTED_VALUE"""),"JWT token expire on my profile")</f>
        <v>JWT token expire on my profile</v>
      </c>
      <c r="E79" s="26" t="str">
        <f>IFERROR(__xludf.DUMMYFUNCTION("""COMPUTED_VALUE"""),"User need to download the Petzy apk file in their mobile device")</f>
        <v>User need to download the Petzy apk file in their mobile device</v>
      </c>
      <c r="F79" s="26" t="str">
        <f>IFERROR(__xludf.DUMMYFUNCTION("""COMPUTED_VALUE"""),"1. Open app
2. Login using valid credential
3. Goto my profile")</f>
        <v>1. Open app
2. Login using valid credential
3. Goto my profile</v>
      </c>
      <c r="G79" s="26" t="str">
        <f>IFERROR(__xludf.DUMMYFUNCTION("""COMPUTED_VALUE"""),"User Credential")</f>
        <v>User Credential</v>
      </c>
      <c r="H79" s="26" t="str">
        <f>IFERROR(__xludf.DUMMYFUNCTION("""COMPUTED_VALUE"""),"The user should be able to view their profile without any problems.")</f>
        <v>The user should be able to view their profile without any problems.</v>
      </c>
      <c r="I79" s="26" t="str">
        <f>IFERROR(__xludf.DUMMYFUNCTION("""COMPUTED_VALUE"""),"JWT token expire in profile")</f>
        <v>JWT token expire in profile</v>
      </c>
      <c r="J79" s="26" t="str">
        <f>IFERROR(__xludf.DUMMYFUNCTION("""COMPUTED_VALUE"""),"Fail")</f>
        <v>Fail</v>
      </c>
      <c r="K79" s="26" t="str">
        <f>IFERROR(__xludf.DUMMYFUNCTION("""COMPUTED_VALUE"""),"High")</f>
        <v>High</v>
      </c>
      <c r="L79" s="27" t="str">
        <f>IFERROR(__xludf.DUMMYFUNCTION("""COMPUTED_VALUE"""),"062.png")</f>
        <v>062.png</v>
      </c>
      <c r="M79" s="26"/>
      <c r="N79" s="26"/>
      <c r="O79" s="26"/>
      <c r="P79" s="26" t="str">
        <f>IFERROR(__xludf.DUMMYFUNCTION("""COMPUTED_VALUE"""),"Fahad")</f>
        <v>Fahad</v>
      </c>
      <c r="Q79" s="24"/>
      <c r="R79" s="24"/>
      <c r="S79" s="24"/>
      <c r="T79" s="24"/>
      <c r="U79" s="24"/>
      <c r="V79" s="24"/>
      <c r="W79" s="24"/>
      <c r="X79" s="24"/>
      <c r="Y79" s="24"/>
      <c r="Z79" s="24"/>
      <c r="AA79" s="24"/>
    </row>
    <row r="80">
      <c r="A80" s="25" t="s">
        <v>97</v>
      </c>
      <c r="B80" s="26" t="str">
        <f>IFERROR(__xludf.DUMMYFUNCTION("""COMPUTED_VALUE"""),"Notification")</f>
        <v>Notification</v>
      </c>
      <c r="C80" s="26" t="str">
        <f>IFERROR(__xludf.DUMMYFUNCTION("""COMPUTED_VALUE"""),"Notification")</f>
        <v>Notification</v>
      </c>
      <c r="D80" s="26" t="str">
        <f>IFERROR(__xludf.DUMMYFUNCTION("""COMPUTED_VALUE"""),"Different UI implemented than figma")</f>
        <v>Different UI implemented than figma</v>
      </c>
      <c r="E80" s="26" t="str">
        <f>IFERROR(__xludf.DUMMYFUNCTION("""COMPUTED_VALUE"""),"User need to download the Petzy apk file in their mobile device")</f>
        <v>User need to download the Petzy apk file in their mobile device</v>
      </c>
      <c r="F80" s="26" t="str">
        <f>IFERROR(__xludf.DUMMYFUNCTION("""COMPUTED_VALUE"""),"1. Open app
2. Login using Valid Credential
3. Click on Notification")</f>
        <v>1. Open app
2. Login using Valid Credential
3. Click on Notification</v>
      </c>
      <c r="G80" s="26" t="str">
        <f>IFERROR(__xludf.DUMMYFUNCTION("""COMPUTED_VALUE"""),"User Credential")</f>
        <v>User Credential</v>
      </c>
      <c r="H80" s="26" t="str">
        <f>IFERROR(__xludf.DUMMYFUNCTION("""COMPUTED_VALUE"""),"App UI should be as same as figma design")</f>
        <v>App UI should be as same as figma design</v>
      </c>
      <c r="I80" s="26" t="str">
        <f>IFERROR(__xludf.DUMMYFUNCTION("""COMPUTED_VALUE"""),"Different design noticed in apk")</f>
        <v>Different design noticed in apk</v>
      </c>
      <c r="J80" s="26" t="str">
        <f>IFERROR(__xludf.DUMMYFUNCTION("""COMPUTED_VALUE"""),"Fail")</f>
        <v>Fail</v>
      </c>
      <c r="K80" s="26" t="str">
        <f>IFERROR(__xludf.DUMMYFUNCTION("""COMPUTED_VALUE"""),"Low")</f>
        <v>Low</v>
      </c>
      <c r="L80" s="27" t="str">
        <f>IFERROR(__xludf.DUMMYFUNCTION("""COMPUTED_VALUE"""),"031.png")</f>
        <v>031.png</v>
      </c>
      <c r="M80" s="26"/>
      <c r="N80" s="26"/>
      <c r="O80" s="26"/>
      <c r="P80" s="26" t="str">
        <f>IFERROR(__xludf.DUMMYFUNCTION("""COMPUTED_VALUE"""),"Fahad")</f>
        <v>Fahad</v>
      </c>
      <c r="Q80" s="24"/>
      <c r="R80" s="24"/>
      <c r="S80" s="24"/>
      <c r="T80" s="24"/>
      <c r="U80" s="24"/>
      <c r="V80" s="24"/>
      <c r="W80" s="24"/>
      <c r="X80" s="24"/>
      <c r="Y80" s="24"/>
      <c r="Z80" s="24"/>
      <c r="AA80" s="24"/>
    </row>
    <row r="81">
      <c r="A81" s="25" t="s">
        <v>98</v>
      </c>
      <c r="B81" s="26" t="str">
        <f>IFERROR(__xludf.DUMMYFUNCTION("""COMPUTED_VALUE"""),"Notification")</f>
        <v>Notification</v>
      </c>
      <c r="C81" s="26" t="str">
        <f>IFERROR(__xludf.DUMMYFUNCTION("""COMPUTED_VALUE"""),"Notification")</f>
        <v>Notification</v>
      </c>
      <c r="D81" s="26" t="str">
        <f>IFERROR(__xludf.DUMMYFUNCTION("""COMPUTED_VALUE"""),"Different UI implemented than figma")</f>
        <v>Different UI implemented than figma</v>
      </c>
      <c r="E81" s="26" t="str">
        <f>IFERROR(__xludf.DUMMYFUNCTION("""COMPUTED_VALUE"""),"User need to download the Petzy apk file in their mobile device")</f>
        <v>User need to download the Petzy apk file in their mobile device</v>
      </c>
      <c r="F81" s="26" t="str">
        <f>IFERROR(__xludf.DUMMYFUNCTION("""COMPUTED_VALUE"""),"1. Open app
2. Login using Valid Credential
3. Click on Notification")</f>
        <v>1. Open app
2. Login using Valid Credential
3. Click on Notification</v>
      </c>
      <c r="G81" s="26" t="str">
        <f>IFERROR(__xludf.DUMMYFUNCTION("""COMPUTED_VALUE"""),"User Credential")</f>
        <v>User Credential</v>
      </c>
      <c r="H81" s="26" t="str">
        <f>IFERROR(__xludf.DUMMYFUNCTION("""COMPUTED_VALUE"""),"App UI should be as same as figma design")</f>
        <v>App UI should be as same as figma design</v>
      </c>
      <c r="I81" s="26" t="str">
        <f>IFERROR(__xludf.DUMMYFUNCTION("""COMPUTED_VALUE"""),"Different design noticed in apk")</f>
        <v>Different design noticed in apk</v>
      </c>
      <c r="J81" s="26" t="str">
        <f>IFERROR(__xludf.DUMMYFUNCTION("""COMPUTED_VALUE"""),"Fail")</f>
        <v>Fail</v>
      </c>
      <c r="K81" s="26" t="str">
        <f>IFERROR(__xludf.DUMMYFUNCTION("""COMPUTED_VALUE"""),"Low")</f>
        <v>Low</v>
      </c>
      <c r="L81" s="27" t="str">
        <f>IFERROR(__xludf.DUMMYFUNCTION("""COMPUTED_VALUE"""),"032.png")</f>
        <v>032.png</v>
      </c>
      <c r="M81" s="26"/>
      <c r="N81" s="26"/>
      <c r="O81" s="26"/>
      <c r="P81" s="26" t="str">
        <f>IFERROR(__xludf.DUMMYFUNCTION("""COMPUTED_VALUE"""),"Fahad")</f>
        <v>Fahad</v>
      </c>
      <c r="Q81" s="24"/>
      <c r="R81" s="24"/>
      <c r="S81" s="24"/>
      <c r="T81" s="24"/>
      <c r="U81" s="24"/>
      <c r="V81" s="24"/>
      <c r="W81" s="24"/>
      <c r="X81" s="24"/>
      <c r="Y81" s="24"/>
      <c r="Z81" s="24"/>
      <c r="AA81" s="24"/>
    </row>
    <row r="82">
      <c r="A82" s="25" t="s">
        <v>99</v>
      </c>
      <c r="B82" s="26" t="str">
        <f>IFERROR(__xludf.DUMMYFUNCTION("""COMPUTED_VALUE"""),"Pet Hotel")</f>
        <v>Pet Hotel</v>
      </c>
      <c r="C82" s="26" t="str">
        <f>IFERROR(__xludf.DUMMYFUNCTION("""COMPUTED_VALUE"""),"Pet Hotel")</f>
        <v>Pet Hotel</v>
      </c>
      <c r="D82" s="26" t="str">
        <f>IFERROR(__xludf.DUMMYFUNCTION("""COMPUTED_VALUE"""),"The booking icon is missing in the pet hotel.")</f>
        <v>The booking icon is missing in the pet hotel.</v>
      </c>
      <c r="E82" s="26" t="str">
        <f>IFERROR(__xludf.DUMMYFUNCTION("""COMPUTED_VALUE"""),"User need to download the Petzy apk file in their mobile device")</f>
        <v>User need to download the Petzy apk file in their mobile device</v>
      </c>
      <c r="F82" s="26" t="str">
        <f>IFERROR(__xludf.DUMMYFUNCTION("""COMPUTED_VALUE"""),"1. Open app
2. Login using valid credential
3. Click on Menu
4. Select Pet Hotel")</f>
        <v>1. Open app
2. Login using valid credential
3. Click on Menu
4. Select Pet Hotel</v>
      </c>
      <c r="G82" s="26" t="str">
        <f>IFERROR(__xludf.DUMMYFUNCTION("""COMPUTED_VALUE"""),"User Credential")</f>
        <v>User Credential</v>
      </c>
      <c r="H82" s="26" t="str">
        <f>IFERROR(__xludf.DUMMYFUNCTION("""COMPUTED_VALUE"""),"The icon and design should match exactly as they appear in Figma.")</f>
        <v>The icon and design should match exactly as they appear in Figma.</v>
      </c>
      <c r="I82" s="26" t="str">
        <f>IFERROR(__xludf.DUMMYFUNCTION("""COMPUTED_VALUE"""),"A difference between the app and Figma has been noticed.")</f>
        <v>A difference between the app and Figma has been noticed.</v>
      </c>
      <c r="J82" s="26" t="str">
        <f>IFERROR(__xludf.DUMMYFUNCTION("""COMPUTED_VALUE"""),"Fail")</f>
        <v>Fail</v>
      </c>
      <c r="K82" s="26" t="str">
        <f>IFERROR(__xludf.DUMMYFUNCTION("""COMPUTED_VALUE"""),"Medium")</f>
        <v>Medium</v>
      </c>
      <c r="L82" s="27" t="str">
        <f>IFERROR(__xludf.DUMMYFUNCTION("""COMPUTED_VALUE"""),"085.png")</f>
        <v>085.png</v>
      </c>
      <c r="M82" s="26"/>
      <c r="N82" s="26"/>
      <c r="O82" s="26"/>
      <c r="P82" s="26" t="str">
        <f>IFERROR(__xludf.DUMMYFUNCTION("""COMPUTED_VALUE"""),"Fahad")</f>
        <v>Fahad</v>
      </c>
      <c r="Q82" s="24"/>
      <c r="R82" s="24"/>
      <c r="S82" s="24"/>
      <c r="T82" s="24"/>
      <c r="U82" s="24"/>
      <c r="V82" s="24"/>
      <c r="W82" s="24"/>
      <c r="X82" s="24"/>
      <c r="Y82" s="24"/>
      <c r="Z82" s="24"/>
      <c r="AA82" s="24"/>
    </row>
    <row r="83">
      <c r="A83" s="25" t="s">
        <v>100</v>
      </c>
      <c r="B83" s="26" t="str">
        <f>IFERROR(__xludf.DUMMYFUNCTION("""COMPUTED_VALUE"""),"Pet Hotel")</f>
        <v>Pet Hotel</v>
      </c>
      <c r="C83" s="26" t="str">
        <f>IFERROR(__xludf.DUMMYFUNCTION("""COMPUTED_VALUE"""),"Pet Hotel")</f>
        <v>Pet Hotel</v>
      </c>
      <c r="D83" s="26" t="str">
        <f>IFERROR(__xludf.DUMMYFUNCTION("""COMPUTED_VALUE"""),"pension stay and apartment hotel missing")</f>
        <v>pension stay and apartment hotel missing</v>
      </c>
      <c r="E83" s="26" t="str">
        <f>IFERROR(__xludf.DUMMYFUNCTION("""COMPUTED_VALUE"""),"User need to download the Petzy apk file in their mobile device")</f>
        <v>User need to download the Petzy apk file in their mobile device</v>
      </c>
      <c r="F83" s="26" t="str">
        <f>IFERROR(__xludf.DUMMYFUNCTION("""COMPUTED_VALUE"""),"1. Open app
2. Login using valid credential
3. Click on Menu
4. Select Pet Hotel")</f>
        <v>1. Open app
2. Login using valid credential
3. Click on Menu
4. Select Pet Hotel</v>
      </c>
      <c r="G83" s="26" t="str">
        <f>IFERROR(__xludf.DUMMYFUNCTION("""COMPUTED_VALUE"""),"User Credential")</f>
        <v>User Credential</v>
      </c>
      <c r="H83" s="26" t="str">
        <f>IFERROR(__xludf.DUMMYFUNCTION("""COMPUTED_VALUE"""),"The icon and design should match exactly as they appear in Figma.")</f>
        <v>The icon and design should match exactly as they appear in Figma.</v>
      </c>
      <c r="I83" s="26" t="str">
        <f>IFERROR(__xludf.DUMMYFUNCTION("""COMPUTED_VALUE"""),"A difference between the app and Figma has been noticed.")</f>
        <v>A difference between the app and Figma has been noticed.</v>
      </c>
      <c r="J83" s="26" t="str">
        <f>IFERROR(__xludf.DUMMYFUNCTION("""COMPUTED_VALUE"""),"Fail")</f>
        <v>Fail</v>
      </c>
      <c r="K83" s="26" t="str">
        <f>IFERROR(__xludf.DUMMYFUNCTION("""COMPUTED_VALUE"""),"Medium")</f>
        <v>Medium</v>
      </c>
      <c r="L83" s="27" t="str">
        <f>IFERROR(__xludf.DUMMYFUNCTION("""COMPUTED_VALUE"""),"086.png")</f>
        <v>086.png</v>
      </c>
      <c r="M83" s="26"/>
      <c r="N83" s="26"/>
      <c r="O83" s="26"/>
      <c r="P83" s="26" t="str">
        <f>IFERROR(__xludf.DUMMYFUNCTION("""COMPUTED_VALUE"""),"Fahad")</f>
        <v>Fahad</v>
      </c>
      <c r="Q83" s="24"/>
      <c r="R83" s="24"/>
      <c r="S83" s="24"/>
      <c r="T83" s="24"/>
      <c r="U83" s="24"/>
      <c r="V83" s="24"/>
      <c r="W83" s="24"/>
      <c r="X83" s="24"/>
      <c r="Y83" s="24"/>
      <c r="Z83" s="24"/>
      <c r="AA83" s="24"/>
    </row>
    <row r="84">
      <c r="A84" s="25" t="s">
        <v>101</v>
      </c>
      <c r="B84" s="26" t="str">
        <f>IFERROR(__xludf.DUMMYFUNCTION("""COMPUTED_VALUE"""),"Pet Hotel")</f>
        <v>Pet Hotel</v>
      </c>
      <c r="C84" s="26" t="str">
        <f>IFERROR(__xludf.DUMMYFUNCTION("""COMPUTED_VALUE"""),"Pet Hotel")</f>
        <v>Pet Hotel</v>
      </c>
      <c r="D84" s="26" t="str">
        <f>IFERROR(__xludf.DUMMYFUNCTION("""COMPUTED_VALUE"""),"Can't add as a wishlist")</f>
        <v>Can't add as a wishlist</v>
      </c>
      <c r="E84" s="26" t="str">
        <f>IFERROR(__xludf.DUMMYFUNCTION("""COMPUTED_VALUE"""),"User need to download the Petzy apk file in their mobile device")</f>
        <v>User need to download the Petzy apk file in their mobile device</v>
      </c>
      <c r="F84" s="26" t="str">
        <f>IFERROR(__xludf.DUMMYFUNCTION("""COMPUTED_VALUE"""),"1. Open app
2. Login using valid credential
3. Click on Menu
4. Select Pet Hotel")</f>
        <v>1. Open app
2. Login using valid credential
3. Click on Menu
4. Select Pet Hotel</v>
      </c>
      <c r="G84" s="26" t="str">
        <f>IFERROR(__xludf.DUMMYFUNCTION("""COMPUTED_VALUE"""),"User Credential")</f>
        <v>User Credential</v>
      </c>
      <c r="H84" s="26" t="str">
        <f>IFERROR(__xludf.DUMMYFUNCTION("""COMPUTED_VALUE"""),"It should store the wishlist data and display it on the pet hotel page.")</f>
        <v>It should store the wishlist data and display it on the pet hotel page.</v>
      </c>
      <c r="I84" s="26" t="str">
        <f>IFERROR(__xludf.DUMMYFUNCTION("""COMPUTED_VALUE"""),"Unable to store and display data in the pet hotel system.")</f>
        <v>Unable to store and display data in the pet hotel system.</v>
      </c>
      <c r="J84" s="26" t="str">
        <f>IFERROR(__xludf.DUMMYFUNCTION("""COMPUTED_VALUE"""),"Fail")</f>
        <v>Fail</v>
      </c>
      <c r="K84" s="26" t="str">
        <f>IFERROR(__xludf.DUMMYFUNCTION("""COMPUTED_VALUE"""),"High")</f>
        <v>High</v>
      </c>
      <c r="L84" s="27" t="str">
        <f>IFERROR(__xludf.DUMMYFUNCTION("""COMPUTED_VALUE"""),"087.mp4")</f>
        <v>087.mp4</v>
      </c>
      <c r="M84" s="26"/>
      <c r="N84" s="26"/>
      <c r="O84" s="26"/>
      <c r="P84" s="26" t="str">
        <f>IFERROR(__xludf.DUMMYFUNCTION("""COMPUTED_VALUE"""),"Fahad")</f>
        <v>Fahad</v>
      </c>
      <c r="Q84" s="24"/>
      <c r="R84" s="24"/>
      <c r="S84" s="24"/>
      <c r="T84" s="24"/>
      <c r="U84" s="24"/>
      <c r="V84" s="24"/>
      <c r="W84" s="24"/>
      <c r="X84" s="24"/>
      <c r="Y84" s="24"/>
      <c r="Z84" s="24"/>
      <c r="AA84" s="24"/>
    </row>
    <row r="85">
      <c r="A85" s="25" t="s">
        <v>102</v>
      </c>
      <c r="B85" s="26" t="str">
        <f>IFERROR(__xludf.DUMMYFUNCTION("""COMPUTED_VALUE"""),"Pet Hotel")</f>
        <v>Pet Hotel</v>
      </c>
      <c r="C85" s="26" t="str">
        <f>IFERROR(__xludf.DUMMYFUNCTION("""COMPUTED_VALUE"""),"Pet Hotel")</f>
        <v>Pet Hotel</v>
      </c>
      <c r="D85" s="26" t="str">
        <f>IFERROR(__xludf.DUMMYFUNCTION("""COMPUTED_VALUE"""),"Share option is not integrated in app")</f>
        <v>Share option is not integrated in app</v>
      </c>
      <c r="E85" s="26" t="str">
        <f>IFERROR(__xludf.DUMMYFUNCTION("""COMPUTED_VALUE"""),"User need to download the Petzy apk file in their mobile device")</f>
        <v>User need to download the Petzy apk file in their mobile device</v>
      </c>
      <c r="F85" s="26" t="str">
        <f>IFERROR(__xludf.DUMMYFUNCTION("""COMPUTED_VALUE"""),"1. Open app
2. Login using valid credential
3. Click on Menu
4. Select Pet Hotel
5. Select a pet hotel")</f>
        <v>1. Open app
2. Login using valid credential
3. Click on Menu
4. Select Pet Hotel
5. Select a pet hotel</v>
      </c>
      <c r="G85" s="26" t="str">
        <f>IFERROR(__xludf.DUMMYFUNCTION("""COMPUTED_VALUE"""),"User Credential")</f>
        <v>User Credential</v>
      </c>
      <c r="H85" s="26" t="str">
        <f>IFERROR(__xludf.DUMMYFUNCTION("""COMPUTED_VALUE"""),"Design and featue should be as same as figma")</f>
        <v>Design and featue should be as same as figma</v>
      </c>
      <c r="I85" s="26" t="str">
        <f>IFERROR(__xludf.DUMMYFUNCTION("""COMPUTED_VALUE"""),"The share option in the app is missing, even though it’s available in Figma.")</f>
        <v>The share option in the app is missing, even though it’s available in Figma.</v>
      </c>
      <c r="J85" s="26" t="str">
        <f>IFERROR(__xludf.DUMMYFUNCTION("""COMPUTED_VALUE"""),"Fail")</f>
        <v>Fail</v>
      </c>
      <c r="K85" s="26" t="str">
        <f>IFERROR(__xludf.DUMMYFUNCTION("""COMPUTED_VALUE"""),"High")</f>
        <v>High</v>
      </c>
      <c r="L85" s="27" t="str">
        <f>IFERROR(__xludf.DUMMYFUNCTION("""COMPUTED_VALUE"""),"088.png")</f>
        <v>088.png</v>
      </c>
      <c r="M85" s="26"/>
      <c r="N85" s="26"/>
      <c r="O85" s="26"/>
      <c r="P85" s="26" t="str">
        <f>IFERROR(__xludf.DUMMYFUNCTION("""COMPUTED_VALUE"""),"Fahad")</f>
        <v>Fahad</v>
      </c>
      <c r="Q85" s="24"/>
      <c r="R85" s="24"/>
      <c r="S85" s="24"/>
      <c r="T85" s="24"/>
      <c r="U85" s="24"/>
      <c r="V85" s="24"/>
      <c r="W85" s="24"/>
      <c r="X85" s="24"/>
      <c r="Y85" s="24"/>
      <c r="Z85" s="24"/>
      <c r="AA85" s="24"/>
    </row>
    <row r="86">
      <c r="A86" s="25" t="s">
        <v>103</v>
      </c>
      <c r="B86" s="26" t="str">
        <f>IFERROR(__xludf.DUMMYFUNCTION("""COMPUTED_VALUE"""),"Pet Hotel")</f>
        <v>Pet Hotel</v>
      </c>
      <c r="C86" s="26" t="str">
        <f>IFERROR(__xludf.DUMMYFUNCTION("""COMPUTED_VALUE"""),"Pet Hotel")</f>
        <v>Pet Hotel</v>
      </c>
      <c r="D86" s="26" t="str">
        <f>IFERROR(__xludf.DUMMYFUNCTION("""COMPUTED_VALUE"""),"The booking icon is missing in the pet hotel.")</f>
        <v>The booking icon is missing in the pet hotel.</v>
      </c>
      <c r="E86" s="26" t="str">
        <f>IFERROR(__xludf.DUMMYFUNCTION("""COMPUTED_VALUE"""),"User need to download the Petzy apk file in their mobile device")</f>
        <v>User need to download the Petzy apk file in their mobile device</v>
      </c>
      <c r="F86" s="26" t="str">
        <f>IFERROR(__xludf.DUMMYFUNCTION("""COMPUTED_VALUE"""),"1. Open app
2. Login using valid credential
3. Click on Menu
4. Select Pet Hotel
5. Select a hotel and click on book icon")</f>
        <v>1. Open app
2. Login using valid credential
3. Click on Menu
4. Select Pet Hotel
5. Select a hotel and click on book icon</v>
      </c>
      <c r="G86" s="26" t="str">
        <f>IFERROR(__xludf.DUMMYFUNCTION("""COMPUTED_VALUE"""),"User Credential")</f>
        <v>User Credential</v>
      </c>
      <c r="H86" s="26" t="str">
        <f>IFERROR(__xludf.DUMMYFUNCTION("""COMPUTED_VALUE"""),"The icon and design should match exactly as they appear in Figma.")</f>
        <v>The icon and design should match exactly as they appear in Figma.</v>
      </c>
      <c r="I86" s="26" t="str">
        <f>IFERROR(__xludf.DUMMYFUNCTION("""COMPUTED_VALUE"""),"A difference between the app and Figma has been noticed.")</f>
        <v>A difference between the app and Figma has been noticed.</v>
      </c>
      <c r="J86" s="26" t="str">
        <f>IFERROR(__xludf.DUMMYFUNCTION("""COMPUTED_VALUE"""),"Fail")</f>
        <v>Fail</v>
      </c>
      <c r="K86" s="26" t="str">
        <f>IFERROR(__xludf.DUMMYFUNCTION("""COMPUTED_VALUE"""),"Medium")</f>
        <v>Medium</v>
      </c>
      <c r="L86" s="27" t="str">
        <f>IFERROR(__xludf.DUMMYFUNCTION("""COMPUTED_VALUE"""),"089.png")</f>
        <v>089.png</v>
      </c>
      <c r="M86" s="26"/>
      <c r="N86" s="26"/>
      <c r="O86" s="26"/>
      <c r="P86" s="26" t="str">
        <f>IFERROR(__xludf.DUMMYFUNCTION("""COMPUTED_VALUE"""),"Fahad")</f>
        <v>Fahad</v>
      </c>
      <c r="Q86" s="24"/>
      <c r="R86" s="24"/>
      <c r="S86" s="24"/>
      <c r="T86" s="24"/>
      <c r="U86" s="24"/>
      <c r="V86" s="24"/>
      <c r="W86" s="24"/>
      <c r="X86" s="24"/>
      <c r="Y86" s="24"/>
      <c r="Z86" s="24"/>
      <c r="AA86" s="24"/>
    </row>
    <row r="87">
      <c r="A87" s="25" t="s">
        <v>104</v>
      </c>
      <c r="B87" s="26" t="str">
        <f>IFERROR(__xludf.DUMMYFUNCTION("""COMPUTED_VALUE"""),"Pet Hotel")</f>
        <v>Pet Hotel</v>
      </c>
      <c r="C87" s="26" t="str">
        <f>IFERROR(__xludf.DUMMYFUNCTION("""COMPUTED_VALUE"""),"Pet Hotel")</f>
        <v>Pet Hotel</v>
      </c>
      <c r="D87" s="26" t="str">
        <f>IFERROR(__xludf.DUMMYFUNCTION("""COMPUTED_VALUE"""),"country code is not implemented")</f>
        <v>country code is not implemented</v>
      </c>
      <c r="E87" s="26" t="str">
        <f>IFERROR(__xludf.DUMMYFUNCTION("""COMPUTED_VALUE"""),"User need to download the Petzy apk file in their mobile device")</f>
        <v>User need to download the Petzy apk file in their mobile device</v>
      </c>
      <c r="F87" s="26" t="str">
        <f>IFERROR(__xludf.DUMMYFUNCTION("""COMPUTED_VALUE"""),"1. Open app
2. Login using valid credential
3. Click on Menu
4. Select Pet Hotel
5. Select a hotel and click on book icon")</f>
        <v>1. Open app
2. Login using valid credential
3. Click on Menu
4. Select Pet Hotel
5. Select a hotel and click on book icon</v>
      </c>
      <c r="G87" s="26" t="str">
        <f>IFERROR(__xludf.DUMMYFUNCTION("""COMPUTED_VALUE"""),"User Credential")</f>
        <v>User Credential</v>
      </c>
      <c r="H87" s="26" t="str">
        <f>IFERROR(__xludf.DUMMYFUNCTION("""COMPUTED_VALUE"""),"Contry code in phone number input field should be placed perfectly")</f>
        <v>Contry code in phone number input field should be placed perfectly</v>
      </c>
      <c r="I87" s="26" t="str">
        <f>IFERROR(__xludf.DUMMYFUNCTION("""COMPUTED_VALUE"""),"Missing contry code in phone number input field")</f>
        <v>Missing contry code in phone number input field</v>
      </c>
      <c r="J87" s="26" t="str">
        <f>IFERROR(__xludf.DUMMYFUNCTION("""COMPUTED_VALUE"""),"Fail")</f>
        <v>Fail</v>
      </c>
      <c r="K87" s="26" t="str">
        <f>IFERROR(__xludf.DUMMYFUNCTION("""COMPUTED_VALUE"""),"Low")</f>
        <v>Low</v>
      </c>
      <c r="L87" s="27" t="str">
        <f>IFERROR(__xludf.DUMMYFUNCTION("""COMPUTED_VALUE"""),"090.png")</f>
        <v>090.png</v>
      </c>
      <c r="M87" s="26"/>
      <c r="N87" s="26"/>
      <c r="O87" s="26"/>
      <c r="P87" s="26" t="str">
        <f>IFERROR(__xludf.DUMMYFUNCTION("""COMPUTED_VALUE"""),"Fahad")</f>
        <v>Fahad</v>
      </c>
      <c r="Q87" s="24"/>
      <c r="R87" s="24"/>
      <c r="S87" s="24"/>
      <c r="T87" s="24"/>
      <c r="U87" s="24"/>
      <c r="V87" s="24"/>
      <c r="W87" s="24"/>
      <c r="X87" s="24"/>
      <c r="Y87" s="24"/>
      <c r="Z87" s="24"/>
      <c r="AA87" s="24"/>
    </row>
    <row r="88">
      <c r="A88" s="25" t="s">
        <v>105</v>
      </c>
      <c r="B88" s="26" t="str">
        <f>IFERROR(__xludf.DUMMYFUNCTION("""COMPUTED_VALUE"""),"QR")</f>
        <v>QR</v>
      </c>
      <c r="C88" s="26" t="str">
        <f>IFERROR(__xludf.DUMMYFUNCTION("""COMPUTED_VALUE"""),"QR")</f>
        <v>QR</v>
      </c>
      <c r="D88" s="26" t="str">
        <f>IFERROR(__xludf.DUMMYFUNCTION("""COMPUTED_VALUE"""),"Failed to scan QR code from image")</f>
        <v>Failed to scan QR code from image</v>
      </c>
      <c r="E88" s="26" t="str">
        <f>IFERROR(__xludf.DUMMYFUNCTION("""COMPUTED_VALUE"""),"User need to download the Petzy apk file in their mobile device")</f>
        <v>User need to download the Petzy apk file in their mobile device</v>
      </c>
      <c r="F88" s="26" t="str">
        <f>IFERROR(__xludf.DUMMYFUNCTION("""COMPUTED_VALUE"""),"1. Open app
2. Login using valid credential
3. Click on QR")</f>
        <v>1. Open app
2. Login using valid credential
3. Click on QR</v>
      </c>
      <c r="G88" s="26" t="str">
        <f>IFERROR(__xludf.DUMMYFUNCTION("""COMPUTED_VALUE"""),"User Credential")</f>
        <v>User Credential</v>
      </c>
      <c r="H88" s="26" t="str">
        <f>IFERROR(__xludf.DUMMYFUNCTION("""COMPUTED_VALUE"""),"Should be able to scan qt data properly")</f>
        <v>Should be able to scan qt data properly</v>
      </c>
      <c r="I88" s="26" t="str">
        <f>IFERROR(__xludf.DUMMYFUNCTION("""COMPUTED_VALUE"""),"Failed to scan qr data from image")</f>
        <v>Failed to scan qr data from image</v>
      </c>
      <c r="J88" s="26" t="str">
        <f>IFERROR(__xludf.DUMMYFUNCTION("""COMPUTED_VALUE"""),"Fail")</f>
        <v>Fail</v>
      </c>
      <c r="K88" s="26" t="str">
        <f>IFERROR(__xludf.DUMMYFUNCTION("""COMPUTED_VALUE"""),"Medium")</f>
        <v>Medium</v>
      </c>
      <c r="L88" s="27" t="str">
        <f>IFERROR(__xludf.DUMMYFUNCTION("""COMPUTED_VALUE"""),"033.mp4")</f>
        <v>033.mp4</v>
      </c>
      <c r="M88" s="26"/>
      <c r="N88" s="26"/>
      <c r="O88" s="26"/>
      <c r="P88" s="26" t="str">
        <f>IFERROR(__xludf.DUMMYFUNCTION("""COMPUTED_VALUE"""),"Fahad")</f>
        <v>Fahad</v>
      </c>
      <c r="Q88" s="24"/>
      <c r="R88" s="24"/>
      <c r="S88" s="24"/>
      <c r="T88" s="24"/>
      <c r="U88" s="24"/>
      <c r="V88" s="24"/>
      <c r="W88" s="24"/>
      <c r="X88" s="24"/>
      <c r="Y88" s="24"/>
      <c r="Z88" s="24"/>
      <c r="AA88" s="24"/>
    </row>
    <row r="89">
      <c r="A89" s="25" t="s">
        <v>106</v>
      </c>
      <c r="B89" s="26" t="str">
        <f>IFERROR(__xludf.DUMMYFUNCTION("""COMPUTED_VALUE"""),"Shorts")</f>
        <v>Shorts</v>
      </c>
      <c r="C89" s="26" t="str">
        <f>IFERROR(__xludf.DUMMYFUNCTION("""COMPUTED_VALUE"""),"Comment")</f>
        <v>Comment</v>
      </c>
      <c r="D89" s="26" t="str">
        <f>IFERROR(__xludf.DUMMYFUNCTION("""COMPUTED_VALUE"""),"Reply on comment is not integrated")</f>
        <v>Reply on comment is not integrated</v>
      </c>
      <c r="E89" s="26" t="str">
        <f>IFERROR(__xludf.DUMMYFUNCTION("""COMPUTED_VALUE"""),"User need to download the Petzy apk file in their mobile device")</f>
        <v>User need to download the Petzy apk file in their mobile device</v>
      </c>
      <c r="F89" s="26" t="str">
        <f>IFERROR(__xludf.DUMMYFUNCTION("""COMPUTED_VALUE"""),"1. Open app
2. Login using valid credential
3. Click on shorts
4. Click on comment")</f>
        <v>1. Open app
2. Login using valid credential
3. Click on shorts
4. Click on comment</v>
      </c>
      <c r="G89" s="26" t="str">
        <f>IFERROR(__xludf.DUMMYFUNCTION("""COMPUTED_VALUE"""),"User Credential")</f>
        <v>User Credential</v>
      </c>
      <c r="H89" s="26" t="str">
        <f>IFERROR(__xludf.DUMMYFUNCTION("""COMPUTED_VALUE"""),"User should be able to reply on comment in short section")</f>
        <v>User should be able to reply on comment in short section</v>
      </c>
      <c r="I89" s="26" t="str">
        <f>IFERROR(__xludf.DUMMYFUNCTION("""COMPUTED_VALUE"""),"Failed to reply on comment and like comment")</f>
        <v>Failed to reply on comment and like comment</v>
      </c>
      <c r="J89" s="26" t="str">
        <f>IFERROR(__xludf.DUMMYFUNCTION("""COMPUTED_VALUE"""),"Fail")</f>
        <v>Fail</v>
      </c>
      <c r="K89" s="26" t="str">
        <f>IFERROR(__xludf.DUMMYFUNCTION("""COMPUTED_VALUE"""),"High")</f>
        <v>High</v>
      </c>
      <c r="L89" s="27" t="str">
        <f>IFERROR(__xludf.DUMMYFUNCTION("""COMPUTED_VALUE"""),"036.png")</f>
        <v>036.png</v>
      </c>
      <c r="M89" s="26"/>
      <c r="N89" s="26" t="str">
        <f>IFERROR(__xludf.DUMMYFUNCTION("""COMPUTED_VALUE"""),"Solved")</f>
        <v>Solved</v>
      </c>
      <c r="O89" s="26"/>
      <c r="P89" s="26" t="str">
        <f>IFERROR(__xludf.DUMMYFUNCTION("""COMPUTED_VALUE"""),"Fahad")</f>
        <v>Fahad</v>
      </c>
      <c r="Q89" s="24"/>
      <c r="R89" s="24"/>
      <c r="S89" s="24"/>
      <c r="T89" s="24"/>
      <c r="U89" s="24"/>
      <c r="V89" s="24"/>
      <c r="W89" s="24"/>
      <c r="X89" s="24"/>
      <c r="Y89" s="24"/>
      <c r="Z89" s="24"/>
      <c r="AA89" s="24"/>
    </row>
    <row r="90">
      <c r="A90" s="25" t="s">
        <v>107</v>
      </c>
      <c r="B90" s="26" t="str">
        <f>IFERROR(__xludf.DUMMYFUNCTION("""COMPUTED_VALUE"""),"Shorts")</f>
        <v>Shorts</v>
      </c>
      <c r="C90" s="26" t="str">
        <f>IFERROR(__xludf.DUMMYFUNCTION("""COMPUTED_VALUE"""),"Like")</f>
        <v>Like</v>
      </c>
      <c r="D90" s="26" t="str">
        <f>IFERROR(__xludf.DUMMYFUNCTION("""COMPUTED_VALUE"""),"JWT token expire on like button")</f>
        <v>JWT token expire on like button</v>
      </c>
      <c r="E90" s="26" t="str">
        <f>IFERROR(__xludf.DUMMYFUNCTION("""COMPUTED_VALUE"""),"User need to download the Petzy apk file in their mobile device")</f>
        <v>User need to download the Petzy apk file in their mobile device</v>
      </c>
      <c r="F90" s="26" t="str">
        <f>IFERROR(__xludf.DUMMYFUNCTION("""COMPUTED_VALUE"""),"1. Open app
2. Login using Valid Credential
3. Click on Shorts")</f>
        <v>1. Open app
2. Login using Valid Credential
3. Click on Shorts</v>
      </c>
      <c r="G90" s="26" t="str">
        <f>IFERROR(__xludf.DUMMYFUNCTION("""COMPUTED_VALUE"""),"User Credential")</f>
        <v>User Credential</v>
      </c>
      <c r="H90" s="26" t="str">
        <f>IFERROR(__xludf.DUMMYFUNCTION("""COMPUTED_VALUE"""),"User should be able to like shorts video")</f>
        <v>User should be able to like shorts video</v>
      </c>
      <c r="I90" s="26" t="str">
        <f>IFERROR(__xludf.DUMMYFUNCTION("""COMPUTED_VALUE"""),"Failed to store like on shorts , JWT token expires")</f>
        <v>Failed to store like on shorts , JWT token expires</v>
      </c>
      <c r="J90" s="26" t="str">
        <f>IFERROR(__xludf.DUMMYFUNCTION("""COMPUTED_VALUE"""),"Fail")</f>
        <v>Fail</v>
      </c>
      <c r="K90" s="26" t="str">
        <f>IFERROR(__xludf.DUMMYFUNCTION("""COMPUTED_VALUE"""),"High")</f>
        <v>High</v>
      </c>
      <c r="L90" s="27" t="str">
        <f>IFERROR(__xludf.DUMMYFUNCTION("""COMPUTED_VALUE"""),"029.png")</f>
        <v>029.png</v>
      </c>
      <c r="M90" s="26"/>
      <c r="N90" s="26"/>
      <c r="O90" s="26"/>
      <c r="P90" s="26" t="str">
        <f>IFERROR(__xludf.DUMMYFUNCTION("""COMPUTED_VALUE"""),"Fahad")</f>
        <v>Fahad</v>
      </c>
      <c r="Q90" s="24"/>
      <c r="R90" s="24"/>
      <c r="S90" s="24"/>
      <c r="T90" s="24"/>
      <c r="U90" s="24"/>
      <c r="V90" s="24"/>
      <c r="W90" s="24"/>
      <c r="X90" s="24"/>
      <c r="Y90" s="24"/>
      <c r="Z90" s="24"/>
      <c r="AA90" s="24"/>
    </row>
    <row r="91">
      <c r="A91" s="25" t="s">
        <v>108</v>
      </c>
      <c r="B91" s="26" t="str">
        <f>IFERROR(__xludf.DUMMYFUNCTION("""COMPUTED_VALUE"""),"Shorts")</f>
        <v>Shorts</v>
      </c>
      <c r="C91" s="26" t="str">
        <f>IFERROR(__xludf.DUMMYFUNCTION("""COMPUTED_VALUE"""),"Shorts")</f>
        <v>Shorts</v>
      </c>
      <c r="D91" s="26" t="str">
        <f>IFERROR(__xludf.DUMMYFUNCTION("""COMPUTED_VALUE"""),"The displayed video and the actual video are not the same.")</f>
        <v>The displayed video and the actual video are not the same.</v>
      </c>
      <c r="E91" s="26" t="str">
        <f>IFERROR(__xludf.DUMMYFUNCTION("""COMPUTED_VALUE"""),"User need to download the Petzy apk file in their mobile device")</f>
        <v>User need to download the Petzy apk file in their mobile device</v>
      </c>
      <c r="F91" s="26" t="str">
        <f>IFERROR(__xludf.DUMMYFUNCTION("""COMPUTED_VALUE"""),"1. Open app
2. Login using valid credential
3. Click on shorts")</f>
        <v>1. Open app
2. Login using valid credential
3. Click on shorts</v>
      </c>
      <c r="G91" s="26" t="str">
        <f>IFERROR(__xludf.DUMMYFUNCTION("""COMPUTED_VALUE"""),"User Credential")</f>
        <v>User Credential</v>
      </c>
      <c r="H91" s="26" t="str">
        <f>IFERROR(__xludf.DUMMYFUNCTION("""COMPUTED_VALUE"""),"The thumbnail video and the actual video should be the same.")</f>
        <v>The thumbnail video and the actual video should be the same.</v>
      </c>
      <c r="I91" s="26" t="str">
        <f>IFERROR(__xludf.DUMMYFUNCTION("""COMPUTED_VALUE"""),"The video and thumbnail should be the same.")</f>
        <v>The video and thumbnail should be the same.</v>
      </c>
      <c r="J91" s="26" t="str">
        <f>IFERROR(__xludf.DUMMYFUNCTION("""COMPUTED_VALUE"""),"Fail")</f>
        <v>Fail</v>
      </c>
      <c r="K91" s="26" t="str">
        <f>IFERROR(__xludf.DUMMYFUNCTION("""COMPUTED_VALUE"""),"Medium")</f>
        <v>Medium</v>
      </c>
      <c r="L91" s="27" t="str">
        <f>IFERROR(__xludf.DUMMYFUNCTION("""COMPUTED_VALUE"""),"084.mp4")</f>
        <v>084.mp4</v>
      </c>
      <c r="M91" s="26"/>
      <c r="N91" s="26"/>
      <c r="O91" s="26"/>
      <c r="P91" s="26" t="str">
        <f>IFERROR(__xludf.DUMMYFUNCTION("""COMPUTED_VALUE"""),"Fahad")</f>
        <v>Fahad</v>
      </c>
      <c r="Q91" s="24"/>
      <c r="R91" s="24"/>
      <c r="S91" s="24"/>
      <c r="T91" s="24"/>
      <c r="U91" s="24"/>
      <c r="V91" s="24"/>
      <c r="W91" s="24"/>
      <c r="X91" s="24"/>
      <c r="Y91" s="24"/>
      <c r="Z91" s="24"/>
      <c r="AA91" s="24"/>
    </row>
    <row r="92">
      <c r="A92" s="25" t="s">
        <v>109</v>
      </c>
      <c r="B92" s="26" t="str">
        <f>IFERROR(__xludf.DUMMYFUNCTION("""COMPUTED_VALUE"""),"Shorts")</f>
        <v>Shorts</v>
      </c>
      <c r="C92" s="26" t="str">
        <f>IFERROR(__xludf.DUMMYFUNCTION("""COMPUTED_VALUE"""),"Upload")</f>
        <v>Upload</v>
      </c>
      <c r="D92" s="26" t="str">
        <f>IFERROR(__xludf.DUMMYFUNCTION("""COMPUTED_VALUE"""),"JWT token expire. Unable to upload shorts video")</f>
        <v>JWT token expire. Unable to upload shorts video</v>
      </c>
      <c r="E92" s="26" t="str">
        <f>IFERROR(__xludf.DUMMYFUNCTION("""COMPUTED_VALUE"""),"User need to download the Petzy apk file in their mobile device")</f>
        <v>User need to download the Petzy apk file in their mobile device</v>
      </c>
      <c r="F92" s="26" t="str">
        <f>IFERROR(__xludf.DUMMYFUNCTION("""COMPUTED_VALUE"""),"1. Open app
2. Login using Valid Credential
3. Click on Shorts")</f>
        <v>1. Open app
2. Login using Valid Credential
3. Click on Shorts</v>
      </c>
      <c r="G92" s="26" t="str">
        <f>IFERROR(__xludf.DUMMYFUNCTION("""COMPUTED_VALUE"""),"User Credential")</f>
        <v>User Credential</v>
      </c>
      <c r="H92" s="26" t="str">
        <f>IFERROR(__xludf.DUMMYFUNCTION("""COMPUTED_VALUE"""),"User should be able to upload shorts video without facing any issues")</f>
        <v>User should be able to upload shorts video without facing any issues</v>
      </c>
      <c r="I92" s="26" t="str">
        <f>IFERROR(__xludf.DUMMYFUNCTION("""COMPUTED_VALUE"""),"Failed to upload shorts , JWT token expires")</f>
        <v>Failed to upload shorts , JWT token expires</v>
      </c>
      <c r="J92" s="26" t="str">
        <f>IFERROR(__xludf.DUMMYFUNCTION("""COMPUTED_VALUE"""),"Fail")</f>
        <v>Fail</v>
      </c>
      <c r="K92" s="26" t="str">
        <f>IFERROR(__xludf.DUMMYFUNCTION("""COMPUTED_VALUE"""),"High")</f>
        <v>High</v>
      </c>
      <c r="L92" s="27" t="str">
        <f>IFERROR(__xludf.DUMMYFUNCTION("""COMPUTED_VALUE"""),"030.png")</f>
        <v>030.png</v>
      </c>
      <c r="M92" s="26"/>
      <c r="N92" s="26"/>
      <c r="O92" s="26"/>
      <c r="P92" s="26" t="str">
        <f>IFERROR(__xludf.DUMMYFUNCTION("""COMPUTED_VALUE"""),"Fahad")</f>
        <v>Fahad</v>
      </c>
      <c r="Q92" s="24"/>
      <c r="R92" s="24"/>
      <c r="S92" s="24"/>
      <c r="T92" s="24"/>
      <c r="U92" s="24"/>
      <c r="V92" s="24"/>
      <c r="W92" s="24"/>
      <c r="X92" s="24"/>
      <c r="Y92" s="24"/>
      <c r="Z92" s="24"/>
      <c r="AA92" s="24"/>
    </row>
    <row r="93">
      <c r="A93" s="25" t="s">
        <v>110</v>
      </c>
      <c r="B93" s="26" t="str">
        <f>IFERROR(__xludf.DUMMYFUNCTION("""COMPUTED_VALUE"""),"Story")</f>
        <v>Story</v>
      </c>
      <c r="C93" s="26" t="str">
        <f>IFERROR(__xludf.DUMMYFUNCTION("""COMPUTED_VALUE"""),"Story")</f>
        <v>Story</v>
      </c>
      <c r="D93" s="26" t="str">
        <f>IFERROR(__xludf.DUMMYFUNCTION("""COMPUTED_VALUE"""),"Location picker is not integrated")</f>
        <v>Location picker is not integrated</v>
      </c>
      <c r="E93" s="26" t="str">
        <f>IFERROR(__xludf.DUMMYFUNCTION("""COMPUTED_VALUE"""),"User need to download the Petzy apk file in their mobile device")</f>
        <v>User need to download the Petzy apk file in their mobile device</v>
      </c>
      <c r="F93" s="26" t="str">
        <f>IFERROR(__xludf.DUMMYFUNCTION("""COMPUTED_VALUE"""),"1. Open app
2. Login using Valid Credential
3. Click on Friends Story")</f>
        <v>1. Open app
2. Login using Valid Credential
3. Click on Friends Story</v>
      </c>
      <c r="G93" s="26" t="str">
        <f>IFERROR(__xludf.DUMMYFUNCTION("""COMPUTED_VALUE"""),"User Credential")</f>
        <v>User Credential</v>
      </c>
      <c r="H93" s="26" t="str">
        <f>IFERROR(__xludf.DUMMYFUNCTION("""COMPUTED_VALUE"""),"Location picker should be integrated in the location input field")</f>
        <v>Location picker should be integrated in the location input field</v>
      </c>
      <c r="I93" s="26" t="str">
        <f>IFERROR(__xludf.DUMMYFUNCTION("""COMPUTED_VALUE"""),"Manual location input has been noticed")</f>
        <v>Manual location input has been noticed</v>
      </c>
      <c r="J93" s="26" t="str">
        <f>IFERROR(__xludf.DUMMYFUNCTION("""COMPUTED_VALUE"""),"Fail")</f>
        <v>Fail</v>
      </c>
      <c r="K93" s="26" t="str">
        <f>IFERROR(__xludf.DUMMYFUNCTION("""COMPUTED_VALUE"""),"Medium")</f>
        <v>Medium</v>
      </c>
      <c r="L93" s="27" t="str">
        <f>IFERROR(__xludf.DUMMYFUNCTION("""COMPUTED_VALUE"""),"026.png")</f>
        <v>026.png</v>
      </c>
      <c r="M93" s="26"/>
      <c r="N93" s="26"/>
      <c r="O93" s="26"/>
      <c r="P93" s="26" t="str">
        <f>IFERROR(__xludf.DUMMYFUNCTION("""COMPUTED_VALUE"""),"Fahad")</f>
        <v>Fahad</v>
      </c>
      <c r="Q93" s="24"/>
      <c r="R93" s="24"/>
      <c r="S93" s="24"/>
      <c r="T93" s="24"/>
      <c r="U93" s="24"/>
      <c r="V93" s="24"/>
      <c r="W93" s="24"/>
      <c r="X93" s="24"/>
      <c r="Y93" s="24"/>
      <c r="Z93" s="24"/>
      <c r="AA93" s="24"/>
    </row>
    <row r="94">
      <c r="A94" s="25" t="s">
        <v>111</v>
      </c>
      <c r="B94" s="26" t="str">
        <f>IFERROR(__xludf.DUMMYFUNCTION("""COMPUTED_VALUE"""),"Story")</f>
        <v>Story</v>
      </c>
      <c r="C94" s="26" t="str">
        <f>IFERROR(__xludf.DUMMYFUNCTION("""COMPUTED_VALUE"""),"Story")</f>
        <v>Story</v>
      </c>
      <c r="D94" s="26" t="str">
        <f>IFERROR(__xludf.DUMMYFUNCTION("""COMPUTED_VALUE"""),"Can share images as stories, but sharing live videos in stories isn’t available.")</f>
        <v>Can share images as stories, but sharing live videos in stories isn’t available.</v>
      </c>
      <c r="E94" s="26" t="str">
        <f>IFERROR(__xludf.DUMMYFUNCTION("""COMPUTED_VALUE"""),"User need to download the Petzy apk file in their mobile device")</f>
        <v>User need to download the Petzy apk file in their mobile device</v>
      </c>
      <c r="F94" s="26" t="str">
        <f>IFERROR(__xludf.DUMMYFUNCTION("""COMPUTED_VALUE"""),"1. Open app
2. Login using Valid Credential
3. Click on Friends Story")</f>
        <v>1. Open app
2. Login using Valid Credential
3. Click on Friends Story</v>
      </c>
      <c r="G94" s="26" t="str">
        <f>IFERROR(__xludf.DUMMYFUNCTION("""COMPUTED_VALUE"""),"User Credential")</f>
        <v>User Credential</v>
      </c>
      <c r="H94" s="26" t="str">
        <f>IFERROR(__xludf.DUMMYFUNCTION("""COMPUTED_VALUE"""),"User should be able to share live capture image and video as story")</f>
        <v>User should be able to share live capture image and video as story</v>
      </c>
      <c r="I94" s="26" t="str">
        <f>IFERROR(__xludf.DUMMYFUNCTION("""COMPUTED_VALUE"""),"Only live capture image is shareble in story but video is not")</f>
        <v>Only live capture image is shareble in story but video is not</v>
      </c>
      <c r="J94" s="26" t="str">
        <f>IFERROR(__xludf.DUMMYFUNCTION("""COMPUTED_VALUE"""),"Fail")</f>
        <v>Fail</v>
      </c>
      <c r="K94" s="26" t="str">
        <f>IFERROR(__xludf.DUMMYFUNCTION("""COMPUTED_VALUE"""),"High")</f>
        <v>High</v>
      </c>
      <c r="L94" s="27" t="str">
        <f>IFERROR(__xludf.DUMMYFUNCTION("""COMPUTED_VALUE"""),"027.png")</f>
        <v>027.png</v>
      </c>
      <c r="M94" s="26"/>
      <c r="N94" s="26"/>
      <c r="O94" s="26"/>
      <c r="P94" s="26" t="str">
        <f>IFERROR(__xludf.DUMMYFUNCTION("""COMPUTED_VALUE"""),"Fahad")</f>
        <v>Fahad</v>
      </c>
      <c r="Q94" s="24"/>
      <c r="R94" s="24"/>
      <c r="S94" s="24"/>
      <c r="T94" s="24"/>
      <c r="U94" s="24"/>
      <c r="V94" s="24"/>
      <c r="W94" s="24"/>
      <c r="X94" s="24"/>
      <c r="Y94" s="24"/>
      <c r="Z94" s="24"/>
      <c r="AA94" s="24"/>
    </row>
    <row r="95">
      <c r="A95" s="25" t="s">
        <v>112</v>
      </c>
      <c r="B95" s="26" t="str">
        <f>IFERROR(__xludf.DUMMYFUNCTION("""COMPUTED_VALUE"""),"Story")</f>
        <v>Story</v>
      </c>
      <c r="C95" s="26" t="str">
        <f>IFERROR(__xludf.DUMMYFUNCTION("""COMPUTED_VALUE"""),"Story")</f>
        <v>Story</v>
      </c>
      <c r="D95" s="26" t="str">
        <f>IFERROR(__xludf.DUMMYFUNCTION("""COMPUTED_VALUE"""),"unable to upload story")</f>
        <v>unable to upload story</v>
      </c>
      <c r="E95" s="26" t="str">
        <f>IFERROR(__xludf.DUMMYFUNCTION("""COMPUTED_VALUE"""),"User need to download the Petzy apk file in their mobile device")</f>
        <v>User need to download the Petzy apk file in their mobile device</v>
      </c>
      <c r="F95" s="26" t="str">
        <f>IFERROR(__xludf.DUMMYFUNCTION("""COMPUTED_VALUE"""),"1. Open app
2. Login using Valid Credential
3. Click on Story")</f>
        <v>1. Open app
2. Login using Valid Credential
3. Click on Story</v>
      </c>
      <c r="G95" s="26" t="str">
        <f>IFERROR(__xludf.DUMMYFUNCTION("""COMPUTED_VALUE"""),"User Credential")</f>
        <v>User Credential</v>
      </c>
      <c r="H95" s="26" t="str">
        <f>IFERROR(__xludf.DUMMYFUNCTION("""COMPUTED_VALUE"""),"The story should upload smoothly without any errors.")</f>
        <v>The story should upload smoothly without any errors.</v>
      </c>
      <c r="I95" s="26" t="str">
        <f>IFERROR(__xludf.DUMMYFUNCTION("""COMPUTED_VALUE"""),"Failed to upload story. JWT token expires")</f>
        <v>Failed to upload story. JWT token expires</v>
      </c>
      <c r="J95" s="26" t="str">
        <f>IFERROR(__xludf.DUMMYFUNCTION("""COMPUTED_VALUE"""),"Fail")</f>
        <v>Fail</v>
      </c>
      <c r="K95" s="26" t="str">
        <f>IFERROR(__xludf.DUMMYFUNCTION("""COMPUTED_VALUE"""),"High")</f>
        <v>High</v>
      </c>
      <c r="L95" s="27" t="str">
        <f>IFERROR(__xludf.DUMMYFUNCTION("""COMPUTED_VALUE"""),"028.png")</f>
        <v>028.png</v>
      </c>
      <c r="M95" s="26"/>
      <c r="N95" s="26"/>
      <c r="O95" s="26"/>
      <c r="P95" s="26" t="str">
        <f>IFERROR(__xludf.DUMMYFUNCTION("""COMPUTED_VALUE"""),"Fahad")</f>
        <v>Fahad</v>
      </c>
      <c r="Q95" s="24"/>
      <c r="R95" s="24"/>
      <c r="S95" s="24"/>
      <c r="T95" s="24"/>
      <c r="U95" s="24"/>
      <c r="V95" s="24"/>
      <c r="W95" s="24"/>
      <c r="X95" s="24"/>
      <c r="Y95" s="24"/>
      <c r="Z95" s="24"/>
      <c r="AA95" s="24"/>
    </row>
    <row r="96">
      <c r="A96" s="25" t="s">
        <v>113</v>
      </c>
      <c r="B96" s="26" t="str">
        <f>IFERROR(__xludf.DUMMYFUNCTION("""COMPUTED_VALUE"""),"Story")</f>
        <v>Story</v>
      </c>
      <c r="C96" s="26" t="str">
        <f>IFERROR(__xludf.DUMMYFUNCTION("""COMPUTED_VALUE"""),"Story")</f>
        <v>Story</v>
      </c>
      <c r="D96" s="26" t="str">
        <f>IFERROR(__xludf.DUMMYFUNCTION("""COMPUTED_VALUE"""),"Failed to upload story. Request timeout")</f>
        <v>Failed to upload story. Request timeout</v>
      </c>
      <c r="E96" s="26" t="str">
        <f>IFERROR(__xludf.DUMMYFUNCTION("""COMPUTED_VALUE"""),"User need to download the Petzy apk file in their mobile device")</f>
        <v>User need to download the Petzy apk file in their mobile device</v>
      </c>
      <c r="F96" s="26" t="str">
        <f>IFERROR(__xludf.DUMMYFUNCTION("""COMPUTED_VALUE"""),"1. Open app
2. Login using valid credential
3. Click on Story")</f>
        <v>1. Open app
2. Login using valid credential
3. Click on Story</v>
      </c>
      <c r="G96" s="26" t="str">
        <f>IFERROR(__xludf.DUMMYFUNCTION("""COMPUTED_VALUE"""),"User Credential")</f>
        <v>User Credential</v>
      </c>
      <c r="H96" s="26" t="str">
        <f>IFERROR(__xludf.DUMMYFUNCTION("""COMPUTED_VALUE"""),"User should be able to upload story without any issue")</f>
        <v>User should be able to upload story without any issue</v>
      </c>
      <c r="I96" s="26" t="str">
        <f>IFERROR(__xludf.DUMMYFUNCTION("""COMPUTED_VALUE"""),"Failed to upload story")</f>
        <v>Failed to upload story</v>
      </c>
      <c r="J96" s="26" t="str">
        <f>IFERROR(__xludf.DUMMYFUNCTION("""COMPUTED_VALUE"""),"Fail")</f>
        <v>Fail</v>
      </c>
      <c r="K96" s="26" t="str">
        <f>IFERROR(__xludf.DUMMYFUNCTION("""COMPUTED_VALUE"""),"High")</f>
        <v>High</v>
      </c>
      <c r="L96" s="27" t="str">
        <f>IFERROR(__xludf.DUMMYFUNCTION("""COMPUTED_VALUE"""),"055.mp4")</f>
        <v>055.mp4</v>
      </c>
      <c r="M96" s="26"/>
      <c r="N96" s="26"/>
      <c r="O96" s="26"/>
      <c r="P96" s="26" t="str">
        <f>IFERROR(__xludf.DUMMYFUNCTION("""COMPUTED_VALUE"""),"Fahad")</f>
        <v>Fahad</v>
      </c>
      <c r="Q96" s="24"/>
      <c r="R96" s="24"/>
      <c r="S96" s="24"/>
      <c r="T96" s="24"/>
      <c r="U96" s="24"/>
      <c r="V96" s="24"/>
      <c r="W96" s="24"/>
      <c r="X96" s="24"/>
      <c r="Y96" s="24"/>
      <c r="Z96" s="24"/>
      <c r="AA96" s="24"/>
    </row>
    <row r="97">
      <c r="A97" s="25" t="s">
        <v>114</v>
      </c>
      <c r="B97" s="26" t="str">
        <f>IFERROR(__xludf.DUMMYFUNCTION("""COMPUTED_VALUE"""),"Story")</f>
        <v>Story</v>
      </c>
      <c r="C97" s="26" t="str">
        <f>IFERROR(__xludf.DUMMYFUNCTION("""COMPUTED_VALUE"""),"Story")</f>
        <v>Story</v>
      </c>
      <c r="D97" s="26" t="str">
        <f>IFERROR(__xludf.DUMMYFUNCTION("""COMPUTED_VALUE"""),"After upload story, page doesn't redirect to home")</f>
        <v>After upload story, page doesn't redirect to home</v>
      </c>
      <c r="E97" s="26" t="str">
        <f>IFERROR(__xludf.DUMMYFUNCTION("""COMPUTED_VALUE"""),"User need to download the Petzy apk file in their mobile device")</f>
        <v>User need to download the Petzy apk file in their mobile device</v>
      </c>
      <c r="F97" s="26" t="str">
        <f>IFERROR(__xludf.DUMMYFUNCTION("""COMPUTED_VALUE"""),"1. Open app
2. Login using valid credential
3. Click on Story")</f>
        <v>1. Open app
2. Login using valid credential
3. Click on Story</v>
      </c>
      <c r="G97" s="26" t="str">
        <f>IFERROR(__xludf.DUMMYFUNCTION("""COMPUTED_VALUE"""),"User Credential")</f>
        <v>User Credential</v>
      </c>
      <c r="H97" s="26" t="str">
        <f>IFERROR(__xludf.DUMMYFUNCTION("""COMPUTED_VALUE"""),"After successful story upload, it should redirect to home page")</f>
        <v>After successful story upload, it should redirect to home page</v>
      </c>
      <c r="I97" s="26" t="str">
        <f>IFERROR(__xludf.DUMMYFUNCTION("""COMPUTED_VALUE"""),"Stays in create story page after uploading a story")</f>
        <v>Stays in create story page after uploading a story</v>
      </c>
      <c r="J97" s="26" t="str">
        <f>IFERROR(__xludf.DUMMYFUNCTION("""COMPUTED_VALUE"""),"Fail")</f>
        <v>Fail</v>
      </c>
      <c r="K97" s="26" t="str">
        <f>IFERROR(__xludf.DUMMYFUNCTION("""COMPUTED_VALUE"""),"Medium")</f>
        <v>Medium</v>
      </c>
      <c r="L97" s="27" t="str">
        <f>IFERROR(__xludf.DUMMYFUNCTION("""COMPUTED_VALUE"""),"056.mp4")</f>
        <v>056.mp4</v>
      </c>
      <c r="M97" s="26"/>
      <c r="N97" s="26"/>
      <c r="O97" s="26"/>
      <c r="P97" s="26" t="str">
        <f>IFERROR(__xludf.DUMMYFUNCTION("""COMPUTED_VALUE"""),"Fahad")</f>
        <v>Fahad</v>
      </c>
      <c r="Q97" s="24"/>
      <c r="R97" s="24"/>
      <c r="S97" s="24"/>
      <c r="T97" s="24"/>
      <c r="U97" s="24"/>
      <c r="V97" s="24"/>
      <c r="W97" s="24"/>
      <c r="X97" s="24"/>
      <c r="Y97" s="24"/>
      <c r="Z97" s="24"/>
      <c r="AA97" s="24"/>
    </row>
    <row r="98">
      <c r="A98" s="25" t="s">
        <v>115</v>
      </c>
      <c r="B98" s="26" t="str">
        <f>IFERROR(__xludf.DUMMYFUNCTION("""COMPUTED_VALUE"""),"Story")</f>
        <v>Story</v>
      </c>
      <c r="C98" s="26" t="str">
        <f>IFERROR(__xludf.DUMMYFUNCTION("""COMPUTED_VALUE"""),"Story")</f>
        <v>Story</v>
      </c>
      <c r="D98" s="26" t="str">
        <f>IFERROR(__xludf.DUMMYFUNCTION("""COMPUTED_VALUE"""),"Failed to view story")</f>
        <v>Failed to view story</v>
      </c>
      <c r="E98" s="26" t="str">
        <f>IFERROR(__xludf.DUMMYFUNCTION("""COMPUTED_VALUE"""),"User need to download the Petzy apk file in their mobile device")</f>
        <v>User need to download the Petzy apk file in their mobile device</v>
      </c>
      <c r="F98" s="26" t="str">
        <f>IFERROR(__xludf.DUMMYFUNCTION("""COMPUTED_VALUE"""),"1. Open app
2. Login using valid credential
3. Click on Story")</f>
        <v>1. Open app
2. Login using valid credential
3. Click on Story</v>
      </c>
      <c r="G98" s="26" t="str">
        <f>IFERROR(__xludf.DUMMYFUNCTION("""COMPUTED_VALUE"""),"User Credential")</f>
        <v>User Credential</v>
      </c>
      <c r="H98" s="26" t="str">
        <f>IFERROR(__xludf.DUMMYFUNCTION("""COMPUTED_VALUE"""),"User should be able to see story without any issue")</f>
        <v>User should be able to see story without any issue</v>
      </c>
      <c r="I98" s="26" t="str">
        <f>IFERROR(__xludf.DUMMYFUNCTION("""COMPUTED_VALUE"""),"Failed to display uploaded story")</f>
        <v>Failed to display uploaded story</v>
      </c>
      <c r="J98" s="26" t="str">
        <f>IFERROR(__xludf.DUMMYFUNCTION("""COMPUTED_VALUE"""),"Fail")</f>
        <v>Fail</v>
      </c>
      <c r="K98" s="26" t="str">
        <f>IFERROR(__xludf.DUMMYFUNCTION("""COMPUTED_VALUE"""),"High")</f>
        <v>High</v>
      </c>
      <c r="L98" s="27" t="str">
        <f>IFERROR(__xludf.DUMMYFUNCTION("""COMPUTED_VALUE"""),"057.mp4")</f>
        <v>057.mp4</v>
      </c>
      <c r="M98" s="26"/>
      <c r="N98" s="26"/>
      <c r="O98" s="26"/>
      <c r="P98" s="26" t="str">
        <f>IFERROR(__xludf.DUMMYFUNCTION("""COMPUTED_VALUE"""),"Fahad")</f>
        <v>Fahad</v>
      </c>
      <c r="Q98" s="24"/>
      <c r="R98" s="24"/>
      <c r="S98" s="24"/>
      <c r="T98" s="24"/>
      <c r="U98" s="24"/>
      <c r="V98" s="24"/>
      <c r="W98" s="24"/>
      <c r="X98" s="24"/>
      <c r="Y98" s="24"/>
      <c r="Z98" s="24"/>
      <c r="AA98" s="24"/>
    </row>
    <row r="99">
      <c r="A99" s="25" t="s">
        <v>116</v>
      </c>
      <c r="B99" s="26" t="str">
        <f>IFERROR(__xludf.DUMMYFUNCTION("""COMPUTED_VALUE"""),"Story")</f>
        <v>Story</v>
      </c>
      <c r="C99" s="26" t="str">
        <f>IFERROR(__xludf.DUMMYFUNCTION("""COMPUTED_VALUE"""),"Story")</f>
        <v>Story</v>
      </c>
      <c r="D99" s="26" t="str">
        <f>IFERROR(__xludf.DUMMYFUNCTION("""COMPUTED_VALUE"""),"Uploaded a different image, but this one was displayed instead.")</f>
        <v>Uploaded a different image, but this one was displayed instead.</v>
      </c>
      <c r="E99" s="26" t="str">
        <f>IFERROR(__xludf.DUMMYFUNCTION("""COMPUTED_VALUE"""),"User need to download the Petzy apk file in their mobile device")</f>
        <v>User need to download the Petzy apk file in their mobile device</v>
      </c>
      <c r="F99" s="26" t="str">
        <f>IFERROR(__xludf.DUMMYFUNCTION("""COMPUTED_VALUE"""),"1. Open app
2. Login using valid credential
3. Click on Story")</f>
        <v>1. Open app
2. Login using valid credential
3. Click on Story</v>
      </c>
      <c r="G99" s="26" t="str">
        <f>IFERROR(__xludf.DUMMYFUNCTION("""COMPUTED_VALUE"""),"User Credential")</f>
        <v>User Credential</v>
      </c>
      <c r="H99" s="26" t="str">
        <f>IFERROR(__xludf.DUMMYFUNCTION("""COMPUTED_VALUE"""),"Users should be able to update their preferred picture as a story.")</f>
        <v>Users should be able to update their preferred picture as a story.</v>
      </c>
      <c r="I99" s="26" t="str">
        <f>IFERROR(__xludf.DUMMYFUNCTION("""COMPUTED_VALUE"""),"The default image is showing as the story instead of the one selected.")</f>
        <v>The default image is showing as the story instead of the one selected.</v>
      </c>
      <c r="J99" s="26" t="str">
        <f>IFERROR(__xludf.DUMMYFUNCTION("""COMPUTED_VALUE"""),"Fail")</f>
        <v>Fail</v>
      </c>
      <c r="K99" s="26" t="str">
        <f>IFERROR(__xludf.DUMMYFUNCTION("""COMPUTED_VALUE"""),"High")</f>
        <v>High</v>
      </c>
      <c r="L99" s="27" t="str">
        <f>IFERROR(__xludf.DUMMYFUNCTION("""COMPUTED_VALUE"""),"074.png")</f>
        <v>074.png</v>
      </c>
      <c r="M99" s="26"/>
      <c r="N99" s="26"/>
      <c r="O99" s="26"/>
      <c r="P99" s="26" t="str">
        <f>IFERROR(__xludf.DUMMYFUNCTION("""COMPUTED_VALUE"""),"Fahad")</f>
        <v>Fahad</v>
      </c>
      <c r="Q99" s="24"/>
      <c r="R99" s="24"/>
      <c r="S99" s="24"/>
      <c r="T99" s="24"/>
      <c r="U99" s="24"/>
      <c r="V99" s="24"/>
      <c r="W99" s="24"/>
      <c r="X99" s="24"/>
      <c r="Y99" s="24"/>
      <c r="Z99" s="24"/>
      <c r="AA99" s="24"/>
    </row>
    <row r="100">
      <c r="A100" s="26" t="s">
        <v>117</v>
      </c>
      <c r="B100" s="26" t="str">
        <f>IFERROR(__xludf.DUMMYFUNCTION("""COMPUTED_VALUE"""),"Story")</f>
        <v>Story</v>
      </c>
      <c r="C100" s="26" t="str">
        <f>IFERROR(__xludf.DUMMYFUNCTION("""COMPUTED_VALUE"""),"Story")</f>
        <v>Story</v>
      </c>
      <c r="D100" s="26" t="str">
        <f>IFERROR(__xludf.DUMMYFUNCTION("""COMPUTED_VALUE"""),"The story countdown timer logic hasn’t been implemented yet.")</f>
        <v>The story countdown timer logic hasn’t been implemented yet.</v>
      </c>
      <c r="E100" s="26" t="str">
        <f>IFERROR(__xludf.DUMMYFUNCTION("""COMPUTED_VALUE"""),"User need to download the Petzy apk file in their mobile device")</f>
        <v>User need to download the Petzy apk file in their mobile device</v>
      </c>
      <c r="F100" s="26" t="str">
        <f>IFERROR(__xludf.DUMMYFUNCTION("""COMPUTED_VALUE"""),"1. Open app
2. Login using valid credential
3. Click on Story")</f>
        <v>1. Open app
2. Login using valid credential
3. Click on Story</v>
      </c>
      <c r="G100" s="26" t="str">
        <f>IFERROR(__xludf.DUMMYFUNCTION("""COMPUTED_VALUE"""),"User Credential")</f>
        <v>User Credential</v>
      </c>
      <c r="H100" s="26" t="str">
        <f>IFERROR(__xludf.DUMMYFUNCTION("""COMPUTED_VALUE"""),"The story will be visible 24 hours after uploading.")</f>
        <v>The story will be visible 24 hours after uploading.</v>
      </c>
      <c r="I100" s="26" t="str">
        <f>IFERROR(__xludf.DUMMYFUNCTION("""COMPUTED_VALUE"""),"The story expiration timer logic has not been implemented.")</f>
        <v>The story expiration timer logic has not been implemented.</v>
      </c>
      <c r="J100" s="26" t="str">
        <f>IFERROR(__xludf.DUMMYFUNCTION("""COMPUTED_VALUE"""),"Fail")</f>
        <v>Fail</v>
      </c>
      <c r="K100" s="26" t="str">
        <f>IFERROR(__xludf.DUMMYFUNCTION("""COMPUTED_VALUE"""),"High")</f>
        <v>High</v>
      </c>
      <c r="L100" s="27" t="str">
        <f>IFERROR(__xludf.DUMMYFUNCTION("""COMPUTED_VALUE"""),"078.png")</f>
        <v>078.png</v>
      </c>
      <c r="M100" s="26"/>
      <c r="N100" s="26"/>
      <c r="O100" s="26"/>
      <c r="P100" s="26" t="str">
        <f>IFERROR(__xludf.DUMMYFUNCTION("""COMPUTED_VALUE"""),"Fahad")</f>
        <v>Fahad</v>
      </c>
      <c r="Q100" s="24"/>
      <c r="R100" s="24"/>
      <c r="S100" s="24"/>
      <c r="T100" s="24"/>
      <c r="U100" s="24"/>
      <c r="V100" s="24"/>
      <c r="W100" s="24"/>
      <c r="X100" s="24"/>
      <c r="Y100" s="24"/>
      <c r="Z100" s="24"/>
      <c r="AA100" s="24"/>
    </row>
    <row r="101">
      <c r="A101" s="26"/>
      <c r="B101" s="26"/>
      <c r="C101" s="26"/>
      <c r="D101" s="26"/>
      <c r="E101" s="26"/>
      <c r="F101" s="26"/>
      <c r="G101" s="26"/>
      <c r="H101" s="26"/>
      <c r="I101" s="26"/>
      <c r="J101" s="26"/>
      <c r="K101" s="26"/>
      <c r="L101" s="26"/>
      <c r="M101" s="26"/>
      <c r="N101" s="26"/>
      <c r="O101" s="26"/>
      <c r="P101" s="26"/>
      <c r="Q101" s="24"/>
      <c r="R101" s="24"/>
      <c r="S101" s="24"/>
      <c r="T101" s="24"/>
      <c r="U101" s="24"/>
      <c r="V101" s="24"/>
      <c r="W101" s="24"/>
      <c r="X101" s="24"/>
      <c r="Y101" s="24"/>
      <c r="Z101" s="24"/>
      <c r="AA101" s="24"/>
    </row>
    <row r="102">
      <c r="A102" s="26"/>
      <c r="B102" s="26"/>
      <c r="C102" s="26"/>
      <c r="D102" s="26"/>
      <c r="E102" s="26"/>
      <c r="F102" s="26"/>
      <c r="G102" s="26"/>
      <c r="H102" s="26"/>
      <c r="I102" s="26"/>
      <c r="J102" s="26"/>
      <c r="K102" s="26"/>
      <c r="L102" s="26"/>
      <c r="M102" s="26"/>
      <c r="N102" s="26"/>
      <c r="O102" s="26"/>
      <c r="P102" s="26"/>
      <c r="Q102" s="24"/>
      <c r="R102" s="24"/>
      <c r="S102" s="24"/>
      <c r="T102" s="24"/>
      <c r="U102" s="24"/>
      <c r="V102" s="24"/>
      <c r="W102" s="24"/>
      <c r="X102" s="24"/>
      <c r="Y102" s="24"/>
      <c r="Z102" s="24"/>
      <c r="AA102" s="24"/>
    </row>
    <row r="103">
      <c r="A103" s="26"/>
      <c r="B103" s="26"/>
      <c r="C103" s="26"/>
      <c r="D103" s="26"/>
      <c r="E103" s="26"/>
      <c r="F103" s="26"/>
      <c r="G103" s="26"/>
      <c r="H103" s="26"/>
      <c r="I103" s="26"/>
      <c r="J103" s="26"/>
      <c r="K103" s="26"/>
      <c r="L103" s="26"/>
      <c r="M103" s="26"/>
      <c r="N103" s="26"/>
      <c r="O103" s="26"/>
      <c r="P103" s="26"/>
      <c r="Q103" s="24"/>
      <c r="R103" s="24"/>
      <c r="S103" s="24"/>
      <c r="T103" s="24"/>
      <c r="U103" s="24"/>
      <c r="V103" s="24"/>
      <c r="W103" s="24"/>
      <c r="X103" s="24"/>
      <c r="Y103" s="24"/>
      <c r="Z103" s="24"/>
      <c r="AA103" s="24"/>
    </row>
    <row r="104">
      <c r="A104" s="26"/>
      <c r="B104" s="26"/>
      <c r="C104" s="26"/>
      <c r="D104" s="26"/>
      <c r="E104" s="26"/>
      <c r="F104" s="26"/>
      <c r="G104" s="26"/>
      <c r="H104" s="26"/>
      <c r="I104" s="26"/>
      <c r="J104" s="26"/>
      <c r="K104" s="26"/>
      <c r="L104" s="26"/>
      <c r="M104" s="26"/>
      <c r="N104" s="26"/>
      <c r="O104" s="26"/>
      <c r="P104" s="26"/>
      <c r="Q104" s="24"/>
      <c r="R104" s="24"/>
      <c r="S104" s="24"/>
      <c r="T104" s="24"/>
      <c r="U104" s="24"/>
      <c r="V104" s="24"/>
      <c r="W104" s="24"/>
      <c r="X104" s="24"/>
      <c r="Y104" s="24"/>
      <c r="Z104" s="24"/>
      <c r="AA104" s="24"/>
    </row>
    <row r="105">
      <c r="A105" s="26"/>
      <c r="B105" s="26"/>
      <c r="C105" s="26"/>
      <c r="D105" s="26"/>
      <c r="E105" s="26"/>
      <c r="F105" s="26"/>
      <c r="G105" s="26"/>
      <c r="H105" s="26"/>
      <c r="I105" s="26"/>
      <c r="J105" s="26"/>
      <c r="K105" s="26"/>
      <c r="L105" s="26"/>
      <c r="M105" s="26"/>
      <c r="N105" s="26"/>
      <c r="O105" s="26"/>
      <c r="P105" s="26"/>
      <c r="Q105" s="24"/>
      <c r="R105" s="24"/>
      <c r="S105" s="24"/>
      <c r="T105" s="24"/>
      <c r="U105" s="24"/>
      <c r="V105" s="24"/>
      <c r="W105" s="24"/>
      <c r="X105" s="24"/>
      <c r="Y105" s="24"/>
      <c r="Z105" s="24"/>
      <c r="AA105" s="24"/>
    </row>
    <row r="106">
      <c r="A106" s="26"/>
      <c r="B106" s="26"/>
      <c r="C106" s="26"/>
      <c r="D106" s="26"/>
      <c r="E106" s="26"/>
      <c r="F106" s="26"/>
      <c r="G106" s="26"/>
      <c r="H106" s="26"/>
      <c r="I106" s="26"/>
      <c r="J106" s="26"/>
      <c r="K106" s="26"/>
      <c r="L106" s="26"/>
      <c r="M106" s="26"/>
      <c r="N106" s="26"/>
      <c r="O106" s="26"/>
      <c r="P106" s="26"/>
      <c r="Q106" s="24"/>
      <c r="R106" s="24"/>
      <c r="S106" s="24"/>
      <c r="T106" s="24"/>
      <c r="U106" s="24"/>
      <c r="V106" s="24"/>
      <c r="W106" s="24"/>
      <c r="X106" s="24"/>
      <c r="Y106" s="24"/>
      <c r="Z106" s="24"/>
      <c r="AA106" s="24"/>
    </row>
    <row r="107">
      <c r="A107" s="28"/>
      <c r="B107" s="28"/>
      <c r="C107" s="28"/>
      <c r="D107" s="28"/>
      <c r="E107" s="28"/>
      <c r="F107" s="28"/>
      <c r="G107" s="28"/>
      <c r="H107" s="28"/>
      <c r="I107" s="28"/>
      <c r="J107" s="28"/>
      <c r="K107" s="28"/>
      <c r="L107" s="28"/>
      <c r="M107" s="28"/>
      <c r="N107" s="28"/>
      <c r="O107" s="28"/>
      <c r="P107" s="28"/>
    </row>
    <row r="108">
      <c r="A108" s="28"/>
      <c r="B108" s="28"/>
      <c r="C108" s="28"/>
      <c r="D108" s="28"/>
      <c r="E108" s="28"/>
      <c r="F108" s="28"/>
      <c r="G108" s="28"/>
      <c r="H108" s="28"/>
      <c r="I108" s="28"/>
      <c r="J108" s="28"/>
      <c r="K108" s="28"/>
      <c r="L108" s="28"/>
      <c r="M108" s="28"/>
      <c r="N108" s="28"/>
      <c r="O108" s="28"/>
      <c r="P108" s="28"/>
    </row>
    <row r="109">
      <c r="A109" s="28"/>
      <c r="B109" s="28"/>
      <c r="C109" s="28"/>
      <c r="D109" s="28"/>
      <c r="E109" s="28"/>
      <c r="F109" s="28"/>
      <c r="G109" s="28"/>
      <c r="H109" s="28"/>
      <c r="I109" s="28"/>
      <c r="J109" s="28"/>
      <c r="K109" s="28"/>
      <c r="L109" s="28"/>
      <c r="M109" s="28"/>
      <c r="N109" s="28"/>
      <c r="O109" s="28"/>
      <c r="P109" s="28"/>
    </row>
    <row r="110">
      <c r="A110" s="28"/>
      <c r="B110" s="28"/>
      <c r="C110" s="28"/>
      <c r="D110" s="28"/>
      <c r="E110" s="28"/>
      <c r="F110" s="28"/>
      <c r="G110" s="28"/>
      <c r="H110" s="28"/>
      <c r="I110" s="28"/>
      <c r="J110" s="28"/>
      <c r="K110" s="28"/>
      <c r="L110" s="28"/>
      <c r="M110" s="28"/>
      <c r="N110" s="28"/>
      <c r="O110" s="28"/>
      <c r="P110" s="28"/>
    </row>
    <row r="111">
      <c r="A111" s="28"/>
      <c r="B111" s="28"/>
      <c r="C111" s="28"/>
      <c r="D111" s="28"/>
      <c r="E111" s="28"/>
      <c r="F111" s="28"/>
      <c r="G111" s="28"/>
      <c r="H111" s="28"/>
      <c r="I111" s="28"/>
      <c r="J111" s="28"/>
      <c r="K111" s="28"/>
      <c r="L111" s="28"/>
      <c r="M111" s="28"/>
      <c r="N111" s="28"/>
      <c r="O111" s="28"/>
      <c r="P111" s="28"/>
    </row>
    <row r="112">
      <c r="A112" s="28"/>
      <c r="B112" s="28"/>
      <c r="C112" s="28"/>
      <c r="D112" s="28"/>
      <c r="E112" s="28"/>
      <c r="F112" s="28"/>
      <c r="G112" s="28"/>
      <c r="H112" s="28"/>
      <c r="I112" s="28"/>
      <c r="J112" s="28"/>
      <c r="K112" s="28"/>
      <c r="L112" s="28"/>
      <c r="M112" s="28"/>
      <c r="N112" s="28"/>
      <c r="O112" s="28"/>
      <c r="P112" s="28"/>
    </row>
    <row r="113">
      <c r="A113" s="28"/>
      <c r="B113" s="28"/>
      <c r="C113" s="28"/>
      <c r="D113" s="28"/>
      <c r="E113" s="28"/>
      <c r="F113" s="28"/>
      <c r="G113" s="28"/>
      <c r="H113" s="28"/>
      <c r="I113" s="28"/>
      <c r="J113" s="28"/>
      <c r="K113" s="28"/>
      <c r="L113" s="28"/>
      <c r="M113" s="28"/>
      <c r="N113" s="28"/>
      <c r="O113" s="28"/>
      <c r="P113" s="28"/>
    </row>
    <row r="114">
      <c r="A114" s="28"/>
      <c r="B114" s="28"/>
      <c r="C114" s="28"/>
      <c r="D114" s="28"/>
      <c r="E114" s="28"/>
      <c r="F114" s="28"/>
      <c r="G114" s="28"/>
      <c r="H114" s="28"/>
      <c r="I114" s="28"/>
      <c r="J114" s="28"/>
      <c r="K114" s="28"/>
      <c r="L114" s="28"/>
      <c r="M114" s="28"/>
      <c r="N114" s="28"/>
      <c r="O114" s="28"/>
      <c r="P114" s="28"/>
    </row>
    <row r="115">
      <c r="A115" s="28"/>
      <c r="B115" s="28"/>
      <c r="C115" s="28"/>
      <c r="D115" s="28"/>
      <c r="E115" s="28"/>
      <c r="F115" s="28"/>
      <c r="G115" s="28"/>
      <c r="H115" s="28"/>
      <c r="I115" s="28"/>
      <c r="J115" s="28"/>
      <c r="K115" s="28"/>
      <c r="L115" s="28"/>
      <c r="M115" s="28"/>
      <c r="N115" s="28"/>
      <c r="O115" s="28"/>
      <c r="P115" s="28"/>
    </row>
    <row r="116">
      <c r="A116" s="28"/>
      <c r="B116" s="28"/>
      <c r="C116" s="28"/>
      <c r="D116" s="28"/>
      <c r="E116" s="28"/>
      <c r="F116" s="28"/>
      <c r="G116" s="28"/>
      <c r="H116" s="28"/>
      <c r="I116" s="28"/>
      <c r="J116" s="28"/>
      <c r="K116" s="28"/>
      <c r="L116" s="28"/>
      <c r="M116" s="28"/>
      <c r="N116" s="28"/>
      <c r="O116" s="28"/>
      <c r="P116" s="28"/>
    </row>
    <row r="117">
      <c r="A117" s="28"/>
      <c r="B117" s="28"/>
      <c r="C117" s="28"/>
      <c r="D117" s="28"/>
      <c r="E117" s="28"/>
      <c r="F117" s="28"/>
      <c r="G117" s="28"/>
      <c r="H117" s="28"/>
      <c r="I117" s="28"/>
      <c r="J117" s="28"/>
      <c r="K117" s="28"/>
      <c r="L117" s="28"/>
      <c r="M117" s="28"/>
      <c r="N117" s="28"/>
      <c r="O117" s="28"/>
      <c r="P117" s="28"/>
    </row>
    <row r="118">
      <c r="A118" s="28"/>
      <c r="B118" s="28"/>
      <c r="C118" s="28"/>
      <c r="D118" s="28"/>
      <c r="E118" s="28"/>
      <c r="F118" s="28"/>
      <c r="G118" s="28"/>
      <c r="H118" s="28"/>
      <c r="I118" s="28"/>
      <c r="J118" s="28"/>
      <c r="K118" s="28"/>
      <c r="L118" s="28"/>
      <c r="M118" s="28"/>
      <c r="N118" s="28"/>
      <c r="O118" s="28"/>
      <c r="P118" s="28"/>
    </row>
    <row r="119">
      <c r="A119" s="28"/>
      <c r="B119" s="28"/>
      <c r="C119" s="28"/>
      <c r="D119" s="28"/>
      <c r="E119" s="28"/>
      <c r="F119" s="28"/>
      <c r="G119" s="28"/>
      <c r="H119" s="28"/>
      <c r="I119" s="28"/>
      <c r="J119" s="28"/>
      <c r="K119" s="28"/>
      <c r="L119" s="28"/>
      <c r="M119" s="28"/>
      <c r="N119" s="28"/>
      <c r="O119" s="28"/>
      <c r="P119" s="28"/>
    </row>
    <row r="120">
      <c r="A120" s="28"/>
      <c r="B120" s="28"/>
      <c r="C120" s="28"/>
      <c r="D120" s="28"/>
      <c r="E120" s="28"/>
      <c r="F120" s="28"/>
      <c r="G120" s="28"/>
      <c r="H120" s="28"/>
      <c r="I120" s="28"/>
      <c r="J120" s="28"/>
      <c r="K120" s="28"/>
      <c r="L120" s="28"/>
      <c r="M120" s="28"/>
      <c r="N120" s="28"/>
      <c r="O120" s="28"/>
      <c r="P120" s="28"/>
    </row>
    <row r="121">
      <c r="A121" s="28"/>
      <c r="B121" s="28"/>
      <c r="C121" s="28"/>
      <c r="D121" s="28"/>
      <c r="E121" s="28"/>
      <c r="F121" s="28"/>
      <c r="G121" s="28"/>
      <c r="H121" s="28"/>
      <c r="I121" s="28"/>
      <c r="J121" s="28"/>
      <c r="K121" s="28"/>
      <c r="L121" s="28"/>
      <c r="M121" s="28"/>
      <c r="N121" s="28"/>
      <c r="O121" s="28"/>
      <c r="P121" s="28"/>
    </row>
    <row r="122">
      <c r="A122" s="28"/>
      <c r="B122" s="28"/>
      <c r="C122" s="28"/>
      <c r="D122" s="28"/>
      <c r="E122" s="28"/>
      <c r="F122" s="28"/>
      <c r="G122" s="28"/>
      <c r="H122" s="28"/>
      <c r="I122" s="28"/>
      <c r="J122" s="28"/>
      <c r="K122" s="28"/>
      <c r="L122" s="28"/>
      <c r="M122" s="28"/>
      <c r="N122" s="28"/>
      <c r="O122" s="28"/>
      <c r="P122" s="28"/>
    </row>
    <row r="123">
      <c r="A123" s="28"/>
      <c r="B123" s="28"/>
      <c r="C123" s="28"/>
      <c r="D123" s="28"/>
      <c r="E123" s="28"/>
      <c r="F123" s="28"/>
      <c r="G123" s="28"/>
      <c r="H123" s="28"/>
      <c r="I123" s="28"/>
      <c r="J123" s="28"/>
      <c r="K123" s="28"/>
      <c r="L123" s="28"/>
      <c r="M123" s="28"/>
      <c r="N123" s="28"/>
      <c r="O123" s="28"/>
      <c r="P123" s="28"/>
    </row>
    <row r="124">
      <c r="A124" s="28"/>
      <c r="B124" s="28"/>
      <c r="C124" s="28"/>
      <c r="D124" s="28"/>
      <c r="E124" s="28"/>
      <c r="F124" s="28"/>
      <c r="G124" s="28"/>
      <c r="H124" s="28"/>
      <c r="I124" s="28"/>
      <c r="J124" s="28"/>
      <c r="K124" s="28"/>
      <c r="L124" s="28"/>
      <c r="M124" s="28"/>
      <c r="N124" s="28"/>
      <c r="O124" s="28"/>
      <c r="P124" s="28"/>
    </row>
    <row r="125">
      <c r="A125" s="28"/>
      <c r="B125" s="28"/>
      <c r="C125" s="28"/>
      <c r="D125" s="28"/>
      <c r="E125" s="28"/>
      <c r="F125" s="28"/>
      <c r="G125" s="28"/>
      <c r="H125" s="28"/>
      <c r="I125" s="28"/>
      <c r="J125" s="28"/>
      <c r="K125" s="28"/>
      <c r="L125" s="28"/>
      <c r="M125" s="28"/>
      <c r="N125" s="28"/>
      <c r="O125" s="28"/>
      <c r="P125" s="28"/>
    </row>
    <row r="126">
      <c r="A126" s="28"/>
      <c r="B126" s="28"/>
      <c r="C126" s="28"/>
      <c r="D126" s="28"/>
      <c r="E126" s="28"/>
      <c r="F126" s="28"/>
      <c r="G126" s="28"/>
      <c r="H126" s="28"/>
      <c r="I126" s="28"/>
      <c r="J126" s="28"/>
      <c r="K126" s="28"/>
      <c r="L126" s="28"/>
      <c r="M126" s="28"/>
      <c r="N126" s="28"/>
      <c r="O126" s="28"/>
      <c r="P126" s="28"/>
    </row>
    <row r="127">
      <c r="A127" s="28"/>
      <c r="B127" s="28"/>
      <c r="C127" s="28"/>
      <c r="D127" s="28"/>
      <c r="E127" s="28"/>
      <c r="F127" s="28"/>
      <c r="G127" s="28"/>
      <c r="H127" s="28"/>
      <c r="I127" s="28"/>
      <c r="J127" s="28"/>
      <c r="K127" s="28"/>
      <c r="L127" s="28"/>
      <c r="M127" s="28"/>
      <c r="N127" s="28"/>
      <c r="O127" s="28"/>
      <c r="P127" s="28"/>
    </row>
    <row r="128">
      <c r="A128" s="28"/>
      <c r="B128" s="28"/>
      <c r="C128" s="28"/>
      <c r="D128" s="28"/>
      <c r="E128" s="28"/>
      <c r="F128" s="28"/>
      <c r="G128" s="28"/>
      <c r="H128" s="28"/>
      <c r="I128" s="28"/>
      <c r="J128" s="28"/>
      <c r="K128" s="28"/>
      <c r="L128" s="28"/>
      <c r="M128" s="28"/>
      <c r="N128" s="28"/>
      <c r="O128" s="28"/>
      <c r="P128" s="28"/>
    </row>
    <row r="129">
      <c r="A129" s="28"/>
      <c r="B129" s="28"/>
      <c r="C129" s="28"/>
      <c r="D129" s="28"/>
      <c r="E129" s="28"/>
      <c r="F129" s="28"/>
      <c r="G129" s="28"/>
      <c r="H129" s="28"/>
      <c r="I129" s="28"/>
      <c r="J129" s="28"/>
      <c r="K129" s="28"/>
      <c r="L129" s="28"/>
      <c r="M129" s="28"/>
      <c r="N129" s="28"/>
      <c r="O129" s="28"/>
      <c r="P129" s="28"/>
    </row>
    <row r="130">
      <c r="A130" s="28"/>
      <c r="B130" s="28"/>
      <c r="C130" s="28"/>
      <c r="D130" s="28"/>
      <c r="E130" s="28"/>
      <c r="F130" s="28"/>
      <c r="G130" s="28"/>
      <c r="H130" s="28"/>
      <c r="I130" s="28"/>
      <c r="J130" s="28"/>
      <c r="K130" s="28"/>
      <c r="L130" s="28"/>
      <c r="M130" s="28"/>
      <c r="N130" s="28"/>
      <c r="O130" s="28"/>
      <c r="P130" s="28"/>
    </row>
    <row r="131">
      <c r="A131" s="28"/>
      <c r="B131" s="28"/>
      <c r="C131" s="28"/>
      <c r="D131" s="28"/>
      <c r="E131" s="28"/>
      <c r="F131" s="28"/>
      <c r="G131" s="28"/>
      <c r="H131" s="28"/>
      <c r="I131" s="28"/>
      <c r="J131" s="28"/>
      <c r="K131" s="28"/>
      <c r="L131" s="28"/>
      <c r="M131" s="28"/>
      <c r="N131" s="28"/>
      <c r="O131" s="28"/>
      <c r="P131" s="28"/>
    </row>
    <row r="132">
      <c r="A132" s="28"/>
      <c r="B132" s="28"/>
      <c r="C132" s="28"/>
      <c r="D132" s="28"/>
      <c r="E132" s="28"/>
      <c r="F132" s="28"/>
      <c r="G132" s="28"/>
      <c r="H132" s="28"/>
      <c r="I132" s="28"/>
      <c r="J132" s="28"/>
      <c r="K132" s="28"/>
      <c r="L132" s="28"/>
      <c r="M132" s="28"/>
      <c r="N132" s="28"/>
      <c r="O132" s="28"/>
      <c r="P132" s="28"/>
    </row>
    <row r="133">
      <c r="A133" s="28"/>
      <c r="B133" s="28"/>
      <c r="C133" s="28"/>
      <c r="D133" s="28"/>
      <c r="E133" s="28"/>
      <c r="F133" s="28"/>
      <c r="G133" s="28"/>
      <c r="H133" s="28"/>
      <c r="I133" s="28"/>
      <c r="J133" s="28"/>
      <c r="K133" s="28"/>
      <c r="L133" s="28"/>
      <c r="M133" s="28"/>
      <c r="N133" s="28"/>
      <c r="O133" s="28"/>
      <c r="P133" s="28"/>
    </row>
    <row r="134">
      <c r="A134" s="28"/>
      <c r="B134" s="28"/>
      <c r="C134" s="28"/>
      <c r="D134" s="28"/>
      <c r="E134" s="28"/>
      <c r="F134" s="28"/>
      <c r="G134" s="28"/>
      <c r="H134" s="28"/>
      <c r="I134" s="28"/>
      <c r="J134" s="28"/>
      <c r="K134" s="28"/>
      <c r="L134" s="28"/>
      <c r="M134" s="28"/>
      <c r="N134" s="28"/>
      <c r="O134" s="28"/>
      <c r="P134" s="28"/>
    </row>
    <row r="135">
      <c r="A135" s="28"/>
      <c r="B135" s="28"/>
      <c r="C135" s="28"/>
      <c r="D135" s="28"/>
      <c r="E135" s="28"/>
      <c r="F135" s="28"/>
      <c r="G135" s="28"/>
      <c r="H135" s="28"/>
      <c r="I135" s="28"/>
      <c r="J135" s="28"/>
      <c r="K135" s="28"/>
      <c r="L135" s="28"/>
      <c r="M135" s="28"/>
      <c r="N135" s="28"/>
      <c r="O135" s="28"/>
      <c r="P135" s="28"/>
    </row>
    <row r="136">
      <c r="A136" s="28"/>
      <c r="B136" s="28"/>
      <c r="C136" s="28"/>
      <c r="D136" s="28"/>
      <c r="E136" s="28"/>
      <c r="F136" s="28"/>
      <c r="G136" s="28"/>
      <c r="H136" s="28"/>
      <c r="I136" s="28"/>
      <c r="J136" s="28"/>
      <c r="K136" s="28"/>
      <c r="L136" s="28"/>
      <c r="M136" s="28"/>
      <c r="N136" s="28"/>
      <c r="O136" s="28"/>
      <c r="P136" s="28"/>
    </row>
    <row r="137">
      <c r="A137" s="28"/>
      <c r="B137" s="28"/>
      <c r="C137" s="28"/>
      <c r="D137" s="28"/>
      <c r="E137" s="28"/>
      <c r="F137" s="28"/>
      <c r="G137" s="28"/>
      <c r="H137" s="28"/>
      <c r="I137" s="28"/>
      <c r="J137" s="28"/>
      <c r="K137" s="28"/>
      <c r="L137" s="28"/>
      <c r="M137" s="28"/>
      <c r="N137" s="28"/>
      <c r="O137" s="28"/>
      <c r="P137" s="28"/>
    </row>
    <row r="138">
      <c r="A138" s="28"/>
      <c r="B138" s="28"/>
      <c r="C138" s="28"/>
      <c r="D138" s="28"/>
      <c r="E138" s="28"/>
      <c r="F138" s="28"/>
      <c r="G138" s="28"/>
      <c r="H138" s="28"/>
      <c r="I138" s="28"/>
      <c r="J138" s="28"/>
      <c r="K138" s="28"/>
      <c r="L138" s="28"/>
      <c r="M138" s="28"/>
      <c r="N138" s="28"/>
      <c r="O138" s="28"/>
      <c r="P138" s="28"/>
    </row>
    <row r="139">
      <c r="A139" s="28"/>
      <c r="B139" s="28"/>
      <c r="C139" s="28"/>
      <c r="D139" s="28"/>
      <c r="E139" s="28"/>
      <c r="F139" s="28"/>
      <c r="G139" s="28"/>
      <c r="H139" s="28"/>
      <c r="I139" s="28"/>
      <c r="J139" s="28"/>
      <c r="K139" s="28"/>
      <c r="L139" s="28"/>
      <c r="M139" s="28"/>
      <c r="N139" s="28"/>
      <c r="O139" s="28"/>
      <c r="P139" s="28"/>
    </row>
    <row r="140">
      <c r="A140" s="28"/>
      <c r="B140" s="28"/>
      <c r="C140" s="28"/>
      <c r="D140" s="28"/>
      <c r="E140" s="28"/>
      <c r="F140" s="28"/>
      <c r="G140" s="28"/>
      <c r="H140" s="28"/>
      <c r="I140" s="28"/>
      <c r="J140" s="28"/>
      <c r="K140" s="28"/>
      <c r="L140" s="28"/>
      <c r="M140" s="28"/>
      <c r="N140" s="28"/>
      <c r="O140" s="28"/>
      <c r="P140" s="28"/>
    </row>
    <row r="141">
      <c r="A141" s="28"/>
      <c r="B141" s="28"/>
      <c r="C141" s="28"/>
      <c r="D141" s="28"/>
      <c r="E141" s="28"/>
      <c r="F141" s="28"/>
      <c r="G141" s="28"/>
      <c r="H141" s="28"/>
      <c r="I141" s="28"/>
      <c r="J141" s="28"/>
      <c r="K141" s="28"/>
      <c r="L141" s="28"/>
      <c r="M141" s="28"/>
      <c r="N141" s="28"/>
      <c r="O141" s="28"/>
      <c r="P141" s="28"/>
    </row>
    <row r="142">
      <c r="A142" s="28"/>
      <c r="B142" s="28"/>
      <c r="C142" s="28"/>
      <c r="D142" s="28"/>
      <c r="E142" s="28"/>
      <c r="F142" s="28"/>
      <c r="G142" s="28"/>
      <c r="H142" s="28"/>
      <c r="I142" s="28"/>
      <c r="J142" s="28"/>
      <c r="K142" s="28"/>
      <c r="L142" s="28"/>
      <c r="M142" s="28"/>
      <c r="N142" s="28"/>
      <c r="O142" s="28"/>
      <c r="P142" s="28"/>
    </row>
    <row r="143">
      <c r="A143" s="28"/>
      <c r="B143" s="28"/>
      <c r="C143" s="28"/>
      <c r="D143" s="28"/>
      <c r="E143" s="28"/>
      <c r="F143" s="28"/>
      <c r="G143" s="28"/>
      <c r="H143" s="28"/>
      <c r="I143" s="28"/>
      <c r="J143" s="28"/>
      <c r="K143" s="28"/>
      <c r="L143" s="28"/>
      <c r="M143" s="28"/>
      <c r="N143" s="28"/>
      <c r="O143" s="28"/>
      <c r="P143" s="28"/>
    </row>
    <row r="144">
      <c r="A144" s="28"/>
      <c r="B144" s="28"/>
      <c r="C144" s="28"/>
      <c r="D144" s="28"/>
      <c r="E144" s="28"/>
      <c r="F144" s="28"/>
      <c r="G144" s="28"/>
      <c r="H144" s="28"/>
      <c r="I144" s="28"/>
      <c r="J144" s="28"/>
      <c r="K144" s="28"/>
      <c r="L144" s="28"/>
      <c r="M144" s="28"/>
      <c r="N144" s="28"/>
      <c r="O144" s="28"/>
      <c r="P144" s="28"/>
    </row>
    <row r="145">
      <c r="A145" s="28"/>
      <c r="B145" s="28"/>
      <c r="C145" s="28"/>
      <c r="D145" s="28"/>
      <c r="E145" s="28"/>
      <c r="F145" s="28"/>
      <c r="G145" s="28"/>
      <c r="H145" s="28"/>
      <c r="I145" s="28"/>
      <c r="J145" s="28"/>
      <c r="K145" s="28"/>
      <c r="L145" s="28"/>
      <c r="M145" s="28"/>
      <c r="N145" s="28"/>
      <c r="O145" s="28"/>
      <c r="P145" s="28"/>
    </row>
    <row r="146">
      <c r="A146" s="28"/>
      <c r="B146" s="28"/>
      <c r="C146" s="28"/>
      <c r="D146" s="28"/>
      <c r="E146" s="28"/>
      <c r="F146" s="28"/>
      <c r="G146" s="28"/>
      <c r="H146" s="28"/>
      <c r="I146" s="28"/>
      <c r="J146" s="28"/>
      <c r="K146" s="28"/>
      <c r="L146" s="28"/>
      <c r="M146" s="28"/>
      <c r="N146" s="28"/>
      <c r="O146" s="28"/>
      <c r="P146" s="28"/>
    </row>
    <row r="147">
      <c r="A147" s="28"/>
      <c r="B147" s="28"/>
      <c r="C147" s="28"/>
      <c r="D147" s="28"/>
      <c r="E147" s="28"/>
      <c r="F147" s="28"/>
      <c r="G147" s="28"/>
      <c r="H147" s="28"/>
      <c r="I147" s="28"/>
      <c r="J147" s="28"/>
      <c r="K147" s="28"/>
      <c r="L147" s="28"/>
      <c r="M147" s="28"/>
      <c r="N147" s="28"/>
      <c r="O147" s="28"/>
      <c r="P147" s="28"/>
    </row>
    <row r="148">
      <c r="A148" s="28"/>
      <c r="B148" s="28"/>
      <c r="C148" s="28"/>
      <c r="D148" s="28"/>
      <c r="E148" s="28"/>
      <c r="F148" s="28"/>
      <c r="G148" s="28"/>
      <c r="H148" s="28"/>
      <c r="I148" s="28"/>
      <c r="J148" s="28"/>
      <c r="K148" s="28"/>
      <c r="L148" s="28"/>
      <c r="M148" s="28"/>
      <c r="N148" s="28"/>
      <c r="O148" s="28"/>
      <c r="P148" s="28"/>
    </row>
    <row r="149">
      <c r="A149" s="28"/>
      <c r="B149" s="28"/>
      <c r="C149" s="28"/>
      <c r="D149" s="28"/>
      <c r="E149" s="28"/>
      <c r="F149" s="28"/>
      <c r="G149" s="28"/>
      <c r="H149" s="28"/>
      <c r="I149" s="28"/>
      <c r="J149" s="28"/>
      <c r="K149" s="28"/>
      <c r="L149" s="28"/>
      <c r="M149" s="28"/>
      <c r="N149" s="28"/>
      <c r="O149" s="28"/>
      <c r="P149" s="28"/>
    </row>
    <row r="150">
      <c r="A150" s="28"/>
      <c r="B150" s="28"/>
      <c r="C150" s="28"/>
      <c r="D150" s="28"/>
      <c r="E150" s="28"/>
      <c r="F150" s="28"/>
      <c r="G150" s="28"/>
      <c r="H150" s="28"/>
      <c r="I150" s="28"/>
      <c r="J150" s="28"/>
      <c r="K150" s="28"/>
      <c r="L150" s="28"/>
      <c r="M150" s="28"/>
      <c r="N150" s="28"/>
      <c r="O150" s="28"/>
      <c r="P150" s="28"/>
    </row>
    <row r="151">
      <c r="A151" s="28"/>
      <c r="B151" s="28"/>
      <c r="C151" s="28"/>
      <c r="D151" s="28"/>
      <c r="E151" s="28"/>
      <c r="F151" s="28"/>
      <c r="G151" s="28"/>
      <c r="H151" s="28"/>
      <c r="I151" s="28"/>
      <c r="J151" s="28"/>
      <c r="K151" s="28"/>
      <c r="L151" s="28"/>
      <c r="M151" s="28"/>
      <c r="N151" s="28"/>
      <c r="O151" s="28"/>
      <c r="P151" s="28"/>
    </row>
    <row r="152">
      <c r="A152" s="28"/>
      <c r="B152" s="28"/>
      <c r="C152" s="28"/>
      <c r="D152" s="28"/>
      <c r="E152" s="28"/>
      <c r="F152" s="28"/>
      <c r="G152" s="28"/>
      <c r="H152" s="28"/>
      <c r="I152" s="28"/>
      <c r="J152" s="28"/>
      <c r="K152" s="28"/>
      <c r="L152" s="28"/>
      <c r="M152" s="28"/>
      <c r="N152" s="28"/>
      <c r="O152" s="28"/>
      <c r="P152" s="28"/>
    </row>
    <row r="153">
      <c r="A153" s="28"/>
      <c r="B153" s="28"/>
      <c r="C153" s="28"/>
      <c r="D153" s="28"/>
      <c r="E153" s="28"/>
      <c r="F153" s="28"/>
      <c r="G153" s="28"/>
      <c r="H153" s="28"/>
      <c r="I153" s="28"/>
      <c r="J153" s="28"/>
      <c r="K153" s="28"/>
      <c r="L153" s="28"/>
      <c r="M153" s="28"/>
      <c r="N153" s="28"/>
      <c r="O153" s="28"/>
      <c r="P153" s="28"/>
    </row>
    <row r="154">
      <c r="A154" s="28"/>
      <c r="B154" s="28"/>
      <c r="C154" s="28"/>
      <c r="D154" s="28"/>
      <c r="E154" s="28"/>
      <c r="F154" s="28"/>
      <c r="G154" s="28"/>
      <c r="H154" s="28"/>
      <c r="I154" s="28"/>
      <c r="J154" s="28"/>
      <c r="K154" s="28"/>
      <c r="L154" s="28"/>
      <c r="M154" s="28"/>
      <c r="N154" s="28"/>
      <c r="O154" s="28"/>
      <c r="P154" s="28"/>
    </row>
    <row r="155">
      <c r="A155" s="28"/>
      <c r="B155" s="28"/>
      <c r="C155" s="28"/>
      <c r="D155" s="28"/>
      <c r="E155" s="28"/>
      <c r="F155" s="28"/>
      <c r="G155" s="28"/>
      <c r="H155" s="28"/>
      <c r="I155" s="28"/>
      <c r="J155" s="28"/>
      <c r="K155" s="28"/>
      <c r="L155" s="28"/>
      <c r="M155" s="28"/>
      <c r="N155" s="28"/>
      <c r="O155" s="28"/>
      <c r="P155" s="28"/>
    </row>
    <row r="156">
      <c r="A156" s="28"/>
      <c r="B156" s="28"/>
      <c r="C156" s="28"/>
      <c r="D156" s="28"/>
      <c r="E156" s="28"/>
      <c r="F156" s="28"/>
      <c r="G156" s="28"/>
      <c r="H156" s="28"/>
      <c r="I156" s="28"/>
      <c r="J156" s="28"/>
      <c r="K156" s="28"/>
      <c r="L156" s="28"/>
      <c r="M156" s="28"/>
      <c r="N156" s="28"/>
      <c r="O156" s="28"/>
      <c r="P156" s="28"/>
    </row>
    <row r="157">
      <c r="A157" s="28"/>
      <c r="B157" s="28"/>
      <c r="C157" s="28"/>
      <c r="D157" s="28"/>
      <c r="E157" s="28"/>
      <c r="F157" s="28"/>
      <c r="G157" s="28"/>
      <c r="H157" s="28"/>
      <c r="I157" s="28"/>
      <c r="J157" s="28"/>
      <c r="K157" s="28"/>
      <c r="L157" s="28"/>
      <c r="M157" s="28"/>
      <c r="N157" s="28"/>
      <c r="O157" s="28"/>
      <c r="P157" s="28"/>
    </row>
    <row r="158">
      <c r="A158" s="28"/>
      <c r="B158" s="28"/>
      <c r="C158" s="28"/>
      <c r="D158" s="28"/>
      <c r="E158" s="28"/>
      <c r="F158" s="28"/>
      <c r="G158" s="28"/>
      <c r="H158" s="28"/>
      <c r="I158" s="28"/>
      <c r="J158" s="28"/>
      <c r="K158" s="28"/>
      <c r="L158" s="28"/>
      <c r="M158" s="28"/>
      <c r="N158" s="28"/>
      <c r="O158" s="28"/>
      <c r="P158" s="28"/>
    </row>
    <row r="159">
      <c r="A159" s="28"/>
      <c r="B159" s="28"/>
      <c r="C159" s="28"/>
      <c r="D159" s="28"/>
      <c r="E159" s="28"/>
      <c r="F159" s="28"/>
      <c r="G159" s="28"/>
      <c r="H159" s="28"/>
      <c r="I159" s="28"/>
      <c r="J159" s="28"/>
      <c r="K159" s="28"/>
      <c r="L159" s="28"/>
      <c r="M159" s="28"/>
      <c r="N159" s="28"/>
      <c r="O159" s="28"/>
      <c r="P159" s="28"/>
    </row>
    <row r="160">
      <c r="A160" s="28"/>
      <c r="B160" s="28"/>
      <c r="C160" s="28"/>
      <c r="D160" s="28"/>
      <c r="E160" s="28"/>
      <c r="F160" s="28"/>
      <c r="G160" s="28"/>
      <c r="H160" s="28"/>
      <c r="I160" s="28"/>
      <c r="J160" s="28"/>
      <c r="K160" s="28"/>
      <c r="L160" s="28"/>
      <c r="M160" s="28"/>
      <c r="N160" s="28"/>
      <c r="O160" s="28"/>
      <c r="P160" s="28"/>
    </row>
    <row r="161">
      <c r="A161" s="28"/>
      <c r="B161" s="28"/>
      <c r="C161" s="28"/>
      <c r="D161" s="28"/>
      <c r="E161" s="28"/>
      <c r="F161" s="28"/>
      <c r="G161" s="28"/>
      <c r="H161" s="28"/>
      <c r="I161" s="28"/>
      <c r="J161" s="28"/>
      <c r="K161" s="28"/>
      <c r="L161" s="28"/>
      <c r="M161" s="28"/>
      <c r="N161" s="28"/>
      <c r="O161" s="28"/>
      <c r="P161" s="28"/>
    </row>
    <row r="162">
      <c r="A162" s="28"/>
      <c r="B162" s="28"/>
      <c r="C162" s="28"/>
      <c r="D162" s="28"/>
      <c r="E162" s="28"/>
      <c r="F162" s="28"/>
      <c r="G162" s="28"/>
      <c r="H162" s="28"/>
      <c r="I162" s="28"/>
      <c r="J162" s="28"/>
      <c r="K162" s="28"/>
      <c r="L162" s="28"/>
      <c r="M162" s="28"/>
      <c r="N162" s="28"/>
      <c r="O162" s="28"/>
      <c r="P162" s="28"/>
    </row>
    <row r="163">
      <c r="A163" s="28"/>
      <c r="B163" s="28"/>
      <c r="C163" s="28"/>
      <c r="D163" s="28"/>
      <c r="E163" s="28"/>
      <c r="F163" s="28"/>
      <c r="G163" s="28"/>
      <c r="H163" s="28"/>
      <c r="I163" s="28"/>
      <c r="J163" s="28"/>
      <c r="K163" s="28"/>
      <c r="L163" s="28"/>
      <c r="M163" s="28"/>
      <c r="N163" s="28"/>
      <c r="O163" s="28"/>
      <c r="P163" s="28"/>
    </row>
    <row r="164">
      <c r="A164" s="28"/>
      <c r="B164" s="28"/>
      <c r="C164" s="28"/>
      <c r="D164" s="28"/>
      <c r="E164" s="28"/>
      <c r="F164" s="28"/>
      <c r="G164" s="28"/>
      <c r="H164" s="28"/>
      <c r="I164" s="28"/>
      <c r="J164" s="28"/>
      <c r="K164" s="28"/>
      <c r="L164" s="28"/>
      <c r="M164" s="28"/>
      <c r="N164" s="28"/>
      <c r="O164" s="28"/>
      <c r="P164" s="28"/>
    </row>
    <row r="165">
      <c r="A165" s="28"/>
      <c r="B165" s="28"/>
      <c r="C165" s="28"/>
      <c r="D165" s="28"/>
      <c r="E165" s="28"/>
      <c r="F165" s="28"/>
      <c r="G165" s="28"/>
      <c r="H165" s="28"/>
      <c r="I165" s="28"/>
      <c r="J165" s="28"/>
      <c r="K165" s="28"/>
      <c r="L165" s="28"/>
      <c r="M165" s="28"/>
      <c r="N165" s="28"/>
      <c r="O165" s="28"/>
      <c r="P165" s="28"/>
    </row>
    <row r="166">
      <c r="A166" s="28"/>
      <c r="B166" s="28"/>
      <c r="C166" s="28"/>
      <c r="D166" s="28"/>
      <c r="E166" s="28"/>
      <c r="F166" s="28"/>
      <c r="G166" s="28"/>
      <c r="H166" s="28"/>
      <c r="I166" s="28"/>
      <c r="J166" s="28"/>
      <c r="K166" s="28"/>
      <c r="L166" s="28"/>
      <c r="M166" s="28"/>
      <c r="N166" s="28"/>
      <c r="O166" s="28"/>
      <c r="P166" s="28"/>
    </row>
    <row r="167">
      <c r="A167" s="28"/>
      <c r="B167" s="28"/>
      <c r="C167" s="28"/>
      <c r="D167" s="28"/>
      <c r="E167" s="28"/>
      <c r="F167" s="28"/>
      <c r="G167" s="28"/>
      <c r="H167" s="28"/>
      <c r="I167" s="28"/>
      <c r="J167" s="28"/>
      <c r="K167" s="28"/>
      <c r="L167" s="28"/>
      <c r="M167" s="28"/>
      <c r="N167" s="28"/>
      <c r="O167" s="28"/>
      <c r="P167" s="28"/>
    </row>
    <row r="168">
      <c r="A168" s="28"/>
      <c r="B168" s="28"/>
      <c r="C168" s="28"/>
      <c r="D168" s="28"/>
      <c r="E168" s="28"/>
      <c r="F168" s="28"/>
      <c r="G168" s="28"/>
      <c r="H168" s="28"/>
      <c r="I168" s="28"/>
      <c r="J168" s="28"/>
      <c r="K168" s="28"/>
      <c r="L168" s="28"/>
      <c r="M168" s="28"/>
      <c r="N168" s="28"/>
      <c r="O168" s="28"/>
      <c r="P168" s="28"/>
    </row>
    <row r="169">
      <c r="A169" s="28"/>
      <c r="B169" s="28"/>
      <c r="C169" s="28"/>
      <c r="D169" s="28"/>
      <c r="E169" s="28"/>
      <c r="F169" s="28"/>
      <c r="G169" s="28"/>
      <c r="H169" s="28"/>
      <c r="I169" s="28"/>
      <c r="J169" s="28"/>
      <c r="K169" s="28"/>
      <c r="L169" s="28"/>
      <c r="M169" s="28"/>
      <c r="N169" s="28"/>
      <c r="O169" s="28"/>
      <c r="P169" s="28"/>
    </row>
    <row r="170">
      <c r="A170" s="28"/>
      <c r="B170" s="28"/>
      <c r="C170" s="28"/>
      <c r="D170" s="28"/>
      <c r="E170" s="28"/>
      <c r="F170" s="28"/>
      <c r="G170" s="28"/>
      <c r="H170" s="28"/>
      <c r="I170" s="28"/>
      <c r="J170" s="28"/>
      <c r="K170" s="28"/>
      <c r="L170" s="28"/>
      <c r="M170" s="28"/>
      <c r="N170" s="28"/>
      <c r="O170" s="28"/>
      <c r="P170" s="28"/>
    </row>
    <row r="171">
      <c r="A171" s="28"/>
      <c r="B171" s="28"/>
      <c r="C171" s="28"/>
      <c r="D171" s="28"/>
      <c r="E171" s="28"/>
      <c r="F171" s="28"/>
      <c r="G171" s="28"/>
      <c r="H171" s="28"/>
      <c r="I171" s="28"/>
      <c r="J171" s="28"/>
      <c r="K171" s="28"/>
      <c r="L171" s="28"/>
      <c r="M171" s="28"/>
      <c r="N171" s="28"/>
      <c r="O171" s="28"/>
      <c r="P171" s="28"/>
    </row>
    <row r="172">
      <c r="A172" s="28"/>
      <c r="B172" s="28"/>
      <c r="C172" s="28"/>
      <c r="D172" s="28"/>
      <c r="E172" s="28"/>
      <c r="F172" s="28"/>
      <c r="G172" s="28"/>
      <c r="H172" s="28"/>
      <c r="I172" s="28"/>
      <c r="J172" s="28"/>
      <c r="K172" s="28"/>
      <c r="L172" s="28"/>
      <c r="M172" s="28"/>
      <c r="N172" s="28"/>
      <c r="O172" s="28"/>
      <c r="P172" s="28"/>
    </row>
    <row r="173">
      <c r="A173" s="28"/>
      <c r="B173" s="28"/>
      <c r="C173" s="28"/>
      <c r="D173" s="28"/>
      <c r="E173" s="28"/>
      <c r="F173" s="28"/>
      <c r="G173" s="28"/>
      <c r="H173" s="28"/>
      <c r="I173" s="28"/>
      <c r="J173" s="28"/>
      <c r="K173" s="28"/>
      <c r="L173" s="28"/>
      <c r="M173" s="28"/>
      <c r="N173" s="28"/>
      <c r="O173" s="28"/>
      <c r="P173" s="28"/>
    </row>
    <row r="174">
      <c r="A174" s="28"/>
      <c r="B174" s="28"/>
      <c r="C174" s="28"/>
      <c r="D174" s="28"/>
      <c r="E174" s="28"/>
      <c r="F174" s="28"/>
      <c r="G174" s="28"/>
      <c r="H174" s="28"/>
      <c r="I174" s="28"/>
      <c r="J174" s="28"/>
      <c r="K174" s="28"/>
      <c r="L174" s="28"/>
      <c r="M174" s="28"/>
      <c r="N174" s="28"/>
      <c r="O174" s="28"/>
      <c r="P174" s="28"/>
    </row>
    <row r="175">
      <c r="A175" s="28"/>
      <c r="B175" s="28"/>
      <c r="C175" s="28"/>
      <c r="D175" s="28"/>
      <c r="E175" s="28"/>
      <c r="F175" s="28"/>
      <c r="G175" s="28"/>
      <c r="H175" s="28"/>
      <c r="I175" s="28"/>
      <c r="J175" s="28"/>
      <c r="K175" s="28"/>
      <c r="L175" s="28"/>
      <c r="M175" s="28"/>
      <c r="N175" s="28"/>
      <c r="O175" s="28"/>
      <c r="P175" s="28"/>
    </row>
    <row r="176">
      <c r="A176" s="28"/>
      <c r="B176" s="28"/>
      <c r="C176" s="28"/>
      <c r="D176" s="28"/>
      <c r="E176" s="28"/>
      <c r="F176" s="28"/>
      <c r="G176" s="28"/>
      <c r="H176" s="28"/>
      <c r="I176" s="28"/>
      <c r="J176" s="28"/>
      <c r="K176" s="28"/>
      <c r="L176" s="28"/>
      <c r="M176" s="28"/>
      <c r="N176" s="28"/>
      <c r="O176" s="28"/>
      <c r="P176" s="28"/>
    </row>
    <row r="177">
      <c r="A177" s="28"/>
      <c r="B177" s="28"/>
      <c r="C177" s="28"/>
      <c r="D177" s="28"/>
      <c r="E177" s="28"/>
      <c r="F177" s="28"/>
      <c r="G177" s="28"/>
      <c r="H177" s="28"/>
      <c r="I177" s="28"/>
      <c r="J177" s="28"/>
      <c r="K177" s="28"/>
      <c r="L177" s="28"/>
      <c r="M177" s="28"/>
      <c r="N177" s="28"/>
      <c r="O177" s="28"/>
      <c r="P177" s="28"/>
    </row>
    <row r="178">
      <c r="A178" s="28"/>
      <c r="B178" s="28"/>
      <c r="C178" s="28"/>
      <c r="D178" s="28"/>
      <c r="E178" s="28"/>
      <c r="F178" s="28"/>
      <c r="G178" s="28"/>
      <c r="H178" s="28"/>
      <c r="I178" s="28"/>
      <c r="J178" s="28"/>
      <c r="K178" s="28"/>
      <c r="L178" s="28"/>
      <c r="M178" s="28"/>
      <c r="N178" s="28"/>
      <c r="O178" s="28"/>
      <c r="P178" s="28"/>
    </row>
    <row r="179">
      <c r="A179" s="28"/>
      <c r="B179" s="28"/>
      <c r="C179" s="28"/>
      <c r="D179" s="28"/>
      <c r="E179" s="28"/>
      <c r="F179" s="28"/>
      <c r="G179" s="28"/>
      <c r="H179" s="28"/>
      <c r="I179" s="28"/>
      <c r="J179" s="28"/>
      <c r="K179" s="28"/>
      <c r="L179" s="28"/>
      <c r="M179" s="28"/>
      <c r="N179" s="28"/>
      <c r="O179" s="28"/>
      <c r="P179" s="28"/>
    </row>
    <row r="180">
      <c r="A180" s="28"/>
      <c r="B180" s="28"/>
      <c r="C180" s="28"/>
      <c r="D180" s="28"/>
      <c r="E180" s="28"/>
      <c r="F180" s="28"/>
      <c r="G180" s="28"/>
      <c r="H180" s="28"/>
      <c r="I180" s="28"/>
      <c r="J180" s="28"/>
      <c r="K180" s="28"/>
      <c r="L180" s="28"/>
      <c r="M180" s="28"/>
      <c r="N180" s="28"/>
      <c r="O180" s="28"/>
      <c r="P180" s="28"/>
    </row>
    <row r="181">
      <c r="A181" s="28"/>
      <c r="B181" s="28"/>
      <c r="C181" s="28"/>
      <c r="D181" s="28"/>
      <c r="E181" s="28"/>
      <c r="F181" s="28"/>
      <c r="G181" s="28"/>
      <c r="H181" s="28"/>
      <c r="I181" s="28"/>
      <c r="J181" s="28"/>
      <c r="K181" s="28"/>
      <c r="L181" s="28"/>
      <c r="M181" s="28"/>
      <c r="N181" s="28"/>
      <c r="O181" s="28"/>
      <c r="P181" s="28"/>
    </row>
    <row r="182">
      <c r="A182" s="28"/>
      <c r="B182" s="28"/>
      <c r="C182" s="28"/>
      <c r="D182" s="28"/>
      <c r="E182" s="28"/>
      <c r="F182" s="28"/>
      <c r="G182" s="28"/>
      <c r="H182" s="28"/>
      <c r="I182" s="28"/>
      <c r="J182" s="28"/>
      <c r="K182" s="28"/>
      <c r="L182" s="28"/>
      <c r="M182" s="28"/>
      <c r="N182" s="28"/>
      <c r="O182" s="28"/>
      <c r="P182" s="28"/>
    </row>
    <row r="183">
      <c r="A183" s="28"/>
      <c r="B183" s="28"/>
      <c r="C183" s="28"/>
      <c r="D183" s="28"/>
      <c r="E183" s="28"/>
      <c r="F183" s="28"/>
      <c r="G183" s="28"/>
      <c r="H183" s="28"/>
      <c r="I183" s="28"/>
      <c r="J183" s="28"/>
      <c r="K183" s="28"/>
      <c r="L183" s="28"/>
      <c r="M183" s="28"/>
      <c r="N183" s="28"/>
      <c r="O183" s="28"/>
      <c r="P183" s="28"/>
    </row>
    <row r="184">
      <c r="A184" s="28"/>
      <c r="B184" s="28"/>
      <c r="C184" s="28"/>
      <c r="D184" s="28"/>
      <c r="E184" s="28"/>
      <c r="F184" s="28"/>
      <c r="G184" s="28"/>
      <c r="H184" s="28"/>
      <c r="I184" s="28"/>
      <c r="J184" s="28"/>
      <c r="K184" s="28"/>
      <c r="L184" s="28"/>
      <c r="M184" s="28"/>
      <c r="N184" s="28"/>
      <c r="O184" s="28"/>
      <c r="P184" s="28"/>
    </row>
    <row r="185">
      <c r="A185" s="28"/>
      <c r="B185" s="28"/>
      <c r="C185" s="28"/>
      <c r="D185" s="28"/>
      <c r="E185" s="28"/>
      <c r="F185" s="28"/>
      <c r="G185" s="28"/>
      <c r="H185" s="28"/>
      <c r="I185" s="28"/>
      <c r="J185" s="28"/>
      <c r="K185" s="28"/>
      <c r="L185" s="28"/>
      <c r="M185" s="28"/>
      <c r="N185" s="28"/>
      <c r="O185" s="28"/>
      <c r="P185" s="28"/>
    </row>
    <row r="186">
      <c r="A186" s="28"/>
      <c r="B186" s="28"/>
      <c r="C186" s="28"/>
      <c r="D186" s="28"/>
      <c r="E186" s="28"/>
      <c r="F186" s="28"/>
      <c r="G186" s="28"/>
      <c r="H186" s="28"/>
      <c r="I186" s="28"/>
      <c r="J186" s="28"/>
      <c r="K186" s="28"/>
      <c r="L186" s="28"/>
      <c r="M186" s="28"/>
      <c r="N186" s="28"/>
      <c r="O186" s="28"/>
      <c r="P186" s="28"/>
    </row>
    <row r="187">
      <c r="A187" s="28"/>
      <c r="B187" s="28"/>
      <c r="C187" s="28"/>
      <c r="D187" s="28"/>
      <c r="E187" s="28"/>
      <c r="F187" s="28"/>
      <c r="G187" s="28"/>
      <c r="H187" s="28"/>
      <c r="I187" s="28"/>
      <c r="J187" s="28"/>
      <c r="K187" s="28"/>
      <c r="L187" s="28"/>
      <c r="M187" s="28"/>
      <c r="N187" s="28"/>
      <c r="O187" s="28"/>
      <c r="P187" s="28"/>
    </row>
    <row r="188">
      <c r="A188" s="28"/>
      <c r="B188" s="28"/>
      <c r="C188" s="28"/>
      <c r="D188" s="28"/>
      <c r="E188" s="28"/>
      <c r="F188" s="28"/>
      <c r="G188" s="28"/>
      <c r="H188" s="28"/>
      <c r="I188" s="28"/>
      <c r="J188" s="28"/>
      <c r="K188" s="28"/>
      <c r="L188" s="28"/>
      <c r="M188" s="28"/>
      <c r="N188" s="28"/>
      <c r="O188" s="28"/>
      <c r="P188" s="28"/>
    </row>
    <row r="189">
      <c r="A189" s="28"/>
      <c r="B189" s="28"/>
      <c r="C189" s="28"/>
      <c r="D189" s="28"/>
      <c r="E189" s="28"/>
      <c r="F189" s="28"/>
      <c r="G189" s="28"/>
      <c r="H189" s="28"/>
      <c r="I189" s="28"/>
      <c r="J189" s="28"/>
      <c r="K189" s="28"/>
      <c r="L189" s="28"/>
      <c r="M189" s="28"/>
      <c r="N189" s="28"/>
      <c r="O189" s="28"/>
      <c r="P189" s="28"/>
    </row>
    <row r="190">
      <c r="A190" s="28"/>
      <c r="B190" s="28"/>
      <c r="C190" s="28"/>
      <c r="D190" s="28"/>
      <c r="E190" s="28"/>
      <c r="F190" s="28"/>
      <c r="G190" s="28"/>
      <c r="H190" s="28"/>
      <c r="I190" s="28"/>
      <c r="J190" s="28"/>
      <c r="K190" s="28"/>
      <c r="L190" s="28"/>
      <c r="M190" s="28"/>
      <c r="N190" s="28"/>
      <c r="O190" s="28"/>
      <c r="P190" s="28"/>
    </row>
    <row r="191">
      <c r="A191" s="28"/>
      <c r="B191" s="28"/>
      <c r="C191" s="28"/>
      <c r="D191" s="28"/>
      <c r="E191" s="28"/>
      <c r="F191" s="28"/>
      <c r="G191" s="28"/>
      <c r="H191" s="28"/>
      <c r="I191" s="28"/>
      <c r="J191" s="28"/>
      <c r="K191" s="28"/>
      <c r="L191" s="28"/>
      <c r="M191" s="28"/>
      <c r="N191" s="28"/>
      <c r="O191" s="28"/>
      <c r="P191" s="28"/>
    </row>
    <row r="192">
      <c r="A192" s="28"/>
      <c r="B192" s="28"/>
      <c r="C192" s="28"/>
      <c r="D192" s="28"/>
      <c r="E192" s="28"/>
      <c r="F192" s="28"/>
      <c r="G192" s="28"/>
      <c r="H192" s="28"/>
      <c r="I192" s="28"/>
      <c r="J192" s="28"/>
      <c r="K192" s="28"/>
      <c r="L192" s="28"/>
      <c r="M192" s="28"/>
      <c r="N192" s="28"/>
      <c r="O192" s="28"/>
      <c r="P192" s="28"/>
    </row>
    <row r="193">
      <c r="A193" s="28"/>
      <c r="B193" s="28"/>
      <c r="C193" s="28"/>
      <c r="D193" s="28"/>
      <c r="E193" s="28"/>
      <c r="F193" s="28"/>
      <c r="G193" s="28"/>
      <c r="H193" s="28"/>
      <c r="I193" s="28"/>
      <c r="J193" s="28"/>
      <c r="K193" s="28"/>
      <c r="L193" s="28"/>
      <c r="M193" s="28"/>
      <c r="N193" s="28"/>
      <c r="O193" s="28"/>
      <c r="P193" s="28"/>
    </row>
    <row r="194">
      <c r="A194" s="28"/>
      <c r="B194" s="28"/>
      <c r="C194" s="28"/>
      <c r="D194" s="28"/>
      <c r="E194" s="28"/>
      <c r="F194" s="28"/>
      <c r="G194" s="28"/>
      <c r="H194" s="28"/>
      <c r="I194" s="28"/>
      <c r="J194" s="28"/>
      <c r="K194" s="28"/>
      <c r="L194" s="28"/>
      <c r="M194" s="28"/>
      <c r="N194" s="28"/>
      <c r="O194" s="28"/>
      <c r="P194" s="28"/>
    </row>
    <row r="195">
      <c r="A195" s="28"/>
      <c r="B195" s="28"/>
      <c r="C195" s="28"/>
      <c r="D195" s="28"/>
      <c r="E195" s="28"/>
      <c r="F195" s="28"/>
      <c r="G195" s="28"/>
      <c r="H195" s="28"/>
      <c r="I195" s="28"/>
      <c r="J195" s="28"/>
      <c r="K195" s="28"/>
      <c r="L195" s="28"/>
      <c r="M195" s="28"/>
      <c r="N195" s="28"/>
      <c r="O195" s="28"/>
      <c r="P195" s="28"/>
    </row>
    <row r="196">
      <c r="A196" s="28"/>
      <c r="B196" s="28"/>
      <c r="C196" s="28"/>
      <c r="D196" s="28"/>
      <c r="E196" s="28"/>
      <c r="F196" s="28"/>
      <c r="G196" s="28"/>
      <c r="H196" s="28"/>
      <c r="I196" s="28"/>
      <c r="J196" s="28"/>
      <c r="K196" s="28"/>
      <c r="L196" s="28"/>
      <c r="M196" s="28"/>
      <c r="N196" s="28"/>
      <c r="O196" s="28"/>
      <c r="P196" s="28"/>
    </row>
    <row r="197">
      <c r="A197" s="28"/>
      <c r="B197" s="28"/>
      <c r="C197" s="28"/>
      <c r="D197" s="28"/>
      <c r="E197" s="28"/>
      <c r="F197" s="28"/>
      <c r="G197" s="28"/>
      <c r="H197" s="28"/>
      <c r="I197" s="28"/>
      <c r="J197" s="28"/>
      <c r="K197" s="28"/>
      <c r="L197" s="28"/>
      <c r="M197" s="28"/>
      <c r="N197" s="28"/>
      <c r="O197" s="28"/>
      <c r="P197" s="28"/>
    </row>
    <row r="198">
      <c r="A198" s="28"/>
      <c r="B198" s="28"/>
      <c r="C198" s="28"/>
      <c r="D198" s="28"/>
      <c r="E198" s="28"/>
      <c r="F198" s="28"/>
      <c r="G198" s="28"/>
      <c r="H198" s="28"/>
      <c r="I198" s="28"/>
      <c r="J198" s="28"/>
      <c r="K198" s="28"/>
      <c r="L198" s="28"/>
      <c r="M198" s="28"/>
      <c r="N198" s="28"/>
      <c r="O198" s="28"/>
      <c r="P198" s="28"/>
    </row>
    <row r="199">
      <c r="A199" s="28"/>
      <c r="B199" s="28"/>
      <c r="C199" s="28"/>
      <c r="D199" s="28"/>
      <c r="E199" s="28"/>
      <c r="F199" s="28"/>
      <c r="G199" s="28"/>
      <c r="H199" s="28"/>
      <c r="I199" s="28"/>
      <c r="J199" s="28"/>
      <c r="K199" s="28"/>
      <c r="L199" s="28"/>
      <c r="M199" s="28"/>
      <c r="N199" s="28"/>
      <c r="O199" s="28"/>
      <c r="P199" s="28"/>
    </row>
    <row r="200">
      <c r="A200" s="28"/>
      <c r="B200" s="28"/>
      <c r="C200" s="28"/>
      <c r="D200" s="28"/>
      <c r="E200" s="28"/>
      <c r="F200" s="28"/>
      <c r="G200" s="28"/>
      <c r="H200" s="28"/>
      <c r="I200" s="28"/>
      <c r="J200" s="28"/>
      <c r="K200" s="28"/>
      <c r="L200" s="28"/>
      <c r="M200" s="28"/>
      <c r="N200" s="28"/>
      <c r="O200" s="28"/>
      <c r="P200" s="28"/>
    </row>
    <row r="201">
      <c r="A201" s="28"/>
      <c r="B201" s="28"/>
      <c r="C201" s="28"/>
      <c r="D201" s="28"/>
      <c r="E201" s="28"/>
      <c r="F201" s="28"/>
      <c r="G201" s="28"/>
      <c r="H201" s="28"/>
      <c r="I201" s="28"/>
      <c r="J201" s="28"/>
      <c r="K201" s="28"/>
      <c r="L201" s="28"/>
      <c r="M201" s="28"/>
      <c r="N201" s="28"/>
      <c r="O201" s="28"/>
      <c r="P201" s="28"/>
    </row>
    <row r="202">
      <c r="A202" s="28"/>
      <c r="B202" s="28"/>
      <c r="C202" s="28"/>
      <c r="D202" s="28"/>
      <c r="E202" s="28"/>
      <c r="F202" s="28"/>
      <c r="G202" s="28"/>
      <c r="H202" s="28"/>
      <c r="I202" s="28"/>
      <c r="J202" s="28"/>
      <c r="K202" s="28"/>
      <c r="L202" s="28"/>
      <c r="M202" s="28"/>
      <c r="N202" s="28"/>
      <c r="O202" s="28"/>
      <c r="P202" s="28"/>
    </row>
    <row r="203">
      <c r="A203" s="28"/>
      <c r="B203" s="28"/>
      <c r="C203" s="28"/>
      <c r="D203" s="28"/>
      <c r="E203" s="28"/>
      <c r="F203" s="28"/>
      <c r="G203" s="28"/>
      <c r="H203" s="28"/>
      <c r="I203" s="28"/>
      <c r="J203" s="28"/>
      <c r="K203" s="28"/>
      <c r="L203" s="28"/>
      <c r="M203" s="28"/>
      <c r="N203" s="28"/>
      <c r="O203" s="28"/>
      <c r="P203" s="28"/>
    </row>
    <row r="204">
      <c r="A204" s="28"/>
      <c r="B204" s="28"/>
      <c r="C204" s="28"/>
      <c r="D204" s="28"/>
      <c r="E204" s="28"/>
      <c r="F204" s="28"/>
      <c r="G204" s="28"/>
      <c r="H204" s="28"/>
      <c r="I204" s="28"/>
      <c r="J204" s="28"/>
      <c r="K204" s="28"/>
      <c r="L204" s="28"/>
      <c r="M204" s="28"/>
      <c r="N204" s="28"/>
      <c r="O204" s="28"/>
      <c r="P204" s="28"/>
    </row>
    <row r="205">
      <c r="A205" s="28"/>
      <c r="B205" s="28"/>
      <c r="C205" s="28"/>
      <c r="D205" s="28"/>
      <c r="E205" s="28"/>
      <c r="F205" s="28"/>
      <c r="G205" s="28"/>
      <c r="H205" s="28"/>
      <c r="I205" s="28"/>
      <c r="J205" s="28"/>
      <c r="K205" s="28"/>
      <c r="L205" s="28"/>
      <c r="M205" s="28"/>
      <c r="N205" s="28"/>
      <c r="O205" s="28"/>
      <c r="P205" s="28"/>
    </row>
    <row r="206">
      <c r="A206" s="28"/>
      <c r="B206" s="28"/>
      <c r="C206" s="28"/>
      <c r="D206" s="28"/>
      <c r="E206" s="28"/>
      <c r="F206" s="28"/>
      <c r="G206" s="28"/>
      <c r="H206" s="28"/>
      <c r="I206" s="28"/>
      <c r="J206" s="28"/>
      <c r="K206" s="28"/>
      <c r="L206" s="28"/>
      <c r="M206" s="28"/>
      <c r="N206" s="28"/>
      <c r="O206" s="28"/>
      <c r="P206" s="28"/>
    </row>
    <row r="207">
      <c r="A207" s="28"/>
      <c r="B207" s="28"/>
      <c r="C207" s="28"/>
      <c r="D207" s="28"/>
      <c r="E207" s="28"/>
      <c r="F207" s="28"/>
      <c r="G207" s="28"/>
      <c r="H207" s="28"/>
      <c r="I207" s="28"/>
      <c r="J207" s="28"/>
      <c r="K207" s="28"/>
      <c r="L207" s="28"/>
      <c r="M207" s="28"/>
      <c r="N207" s="28"/>
      <c r="O207" s="28"/>
      <c r="P207" s="28"/>
    </row>
    <row r="208">
      <c r="A208" s="28"/>
      <c r="B208" s="28"/>
      <c r="C208" s="28"/>
      <c r="D208" s="28"/>
      <c r="E208" s="28"/>
      <c r="F208" s="28"/>
      <c r="G208" s="28"/>
      <c r="H208" s="28"/>
      <c r="I208" s="28"/>
      <c r="J208" s="28"/>
      <c r="K208" s="28"/>
      <c r="L208" s="28"/>
      <c r="M208" s="28"/>
      <c r="N208" s="28"/>
      <c r="O208" s="28"/>
      <c r="P208" s="28"/>
    </row>
    <row r="209">
      <c r="A209" s="28"/>
      <c r="B209" s="28"/>
      <c r="C209" s="28"/>
      <c r="D209" s="28"/>
      <c r="E209" s="28"/>
      <c r="F209" s="28"/>
      <c r="G209" s="28"/>
      <c r="H209" s="28"/>
      <c r="I209" s="28"/>
      <c r="J209" s="28"/>
      <c r="K209" s="28"/>
      <c r="L209" s="28"/>
      <c r="M209" s="28"/>
      <c r="N209" s="28"/>
      <c r="O209" s="28"/>
      <c r="P209" s="28"/>
    </row>
    <row r="210">
      <c r="A210" s="28"/>
      <c r="B210" s="28"/>
      <c r="C210" s="28"/>
      <c r="D210" s="28"/>
      <c r="E210" s="28"/>
      <c r="F210" s="28"/>
      <c r="G210" s="28"/>
      <c r="H210" s="28"/>
      <c r="I210" s="28"/>
      <c r="J210" s="28"/>
      <c r="K210" s="28"/>
      <c r="L210" s="28"/>
      <c r="M210" s="28"/>
      <c r="N210" s="28"/>
      <c r="O210" s="28"/>
      <c r="P210" s="28"/>
    </row>
    <row r="211">
      <c r="A211" s="28"/>
      <c r="B211" s="28"/>
      <c r="C211" s="28"/>
      <c r="D211" s="28"/>
      <c r="E211" s="28"/>
      <c r="F211" s="28"/>
      <c r="G211" s="28"/>
      <c r="H211" s="28"/>
      <c r="I211" s="28"/>
      <c r="J211" s="28"/>
      <c r="K211" s="28"/>
      <c r="L211" s="28"/>
      <c r="M211" s="28"/>
      <c r="N211" s="28"/>
      <c r="O211" s="28"/>
      <c r="P211" s="28"/>
    </row>
    <row r="212">
      <c r="A212" s="28"/>
      <c r="B212" s="28"/>
      <c r="C212" s="28"/>
      <c r="D212" s="28"/>
      <c r="E212" s="28"/>
      <c r="F212" s="28"/>
      <c r="G212" s="28"/>
      <c r="H212" s="28"/>
      <c r="I212" s="28"/>
      <c r="J212" s="28"/>
      <c r="K212" s="28"/>
      <c r="L212" s="28"/>
      <c r="M212" s="28"/>
      <c r="N212" s="28"/>
      <c r="O212" s="28"/>
      <c r="P212" s="28"/>
    </row>
    <row r="213">
      <c r="A213" s="28"/>
      <c r="B213" s="28"/>
      <c r="C213" s="28"/>
      <c r="D213" s="28"/>
      <c r="E213" s="28"/>
      <c r="F213" s="28"/>
      <c r="G213" s="28"/>
      <c r="H213" s="28"/>
      <c r="I213" s="28"/>
      <c r="J213" s="28"/>
      <c r="K213" s="28"/>
      <c r="L213" s="28"/>
      <c r="M213" s="28"/>
      <c r="N213" s="28"/>
      <c r="O213" s="28"/>
      <c r="P213" s="28"/>
    </row>
    <row r="214">
      <c r="A214" s="28"/>
      <c r="B214" s="28"/>
      <c r="C214" s="28"/>
      <c r="D214" s="28"/>
      <c r="E214" s="28"/>
      <c r="F214" s="28"/>
      <c r="G214" s="28"/>
      <c r="H214" s="28"/>
      <c r="I214" s="28"/>
      <c r="J214" s="28"/>
      <c r="K214" s="28"/>
      <c r="L214" s="28"/>
      <c r="M214" s="28"/>
      <c r="N214" s="28"/>
      <c r="O214" s="28"/>
      <c r="P214" s="28"/>
    </row>
    <row r="215">
      <c r="A215" s="28"/>
      <c r="B215" s="28"/>
      <c r="C215" s="28"/>
      <c r="D215" s="28"/>
      <c r="E215" s="28"/>
      <c r="F215" s="28"/>
      <c r="G215" s="28"/>
      <c r="H215" s="28"/>
      <c r="I215" s="28"/>
      <c r="J215" s="28"/>
      <c r="K215" s="28"/>
      <c r="L215" s="28"/>
      <c r="M215" s="28"/>
      <c r="N215" s="28"/>
      <c r="O215" s="28"/>
      <c r="P215" s="28"/>
    </row>
    <row r="216">
      <c r="A216" s="28"/>
      <c r="B216" s="28"/>
      <c r="C216" s="28"/>
      <c r="D216" s="28"/>
      <c r="E216" s="28"/>
      <c r="F216" s="28"/>
      <c r="G216" s="28"/>
      <c r="H216" s="28"/>
      <c r="I216" s="28"/>
      <c r="J216" s="28"/>
      <c r="K216" s="28"/>
      <c r="L216" s="28"/>
      <c r="M216" s="28"/>
      <c r="N216" s="28"/>
      <c r="O216" s="28"/>
      <c r="P216" s="28"/>
    </row>
    <row r="217">
      <c r="A217" s="28"/>
      <c r="B217" s="28"/>
      <c r="C217" s="28"/>
      <c r="D217" s="28"/>
      <c r="E217" s="28"/>
      <c r="F217" s="28"/>
      <c r="G217" s="28"/>
      <c r="H217" s="28"/>
      <c r="I217" s="28"/>
      <c r="J217" s="28"/>
      <c r="K217" s="28"/>
      <c r="L217" s="28"/>
      <c r="M217" s="28"/>
      <c r="N217" s="28"/>
      <c r="O217" s="28"/>
      <c r="P217" s="28"/>
    </row>
    <row r="218">
      <c r="A218" s="28"/>
      <c r="B218" s="28"/>
      <c r="C218" s="28"/>
      <c r="D218" s="28"/>
      <c r="E218" s="28"/>
      <c r="F218" s="28"/>
      <c r="G218" s="28"/>
      <c r="H218" s="28"/>
      <c r="I218" s="28"/>
      <c r="J218" s="28"/>
      <c r="K218" s="28"/>
      <c r="L218" s="28"/>
      <c r="M218" s="28"/>
      <c r="N218" s="28"/>
      <c r="O218" s="28"/>
      <c r="P218" s="28"/>
    </row>
    <row r="219">
      <c r="A219" s="28"/>
      <c r="B219" s="28"/>
      <c r="C219" s="28"/>
      <c r="D219" s="28"/>
      <c r="E219" s="28"/>
      <c r="F219" s="28"/>
      <c r="G219" s="28"/>
      <c r="H219" s="28"/>
      <c r="I219" s="28"/>
      <c r="J219" s="28"/>
      <c r="K219" s="28"/>
      <c r="L219" s="28"/>
      <c r="M219" s="28"/>
      <c r="N219" s="28"/>
      <c r="O219" s="28"/>
      <c r="P219" s="28"/>
    </row>
    <row r="220">
      <c r="A220" s="28"/>
      <c r="B220" s="28"/>
      <c r="C220" s="28"/>
      <c r="D220" s="28"/>
      <c r="E220" s="28"/>
      <c r="F220" s="28"/>
      <c r="G220" s="28"/>
      <c r="H220" s="28"/>
      <c r="I220" s="28"/>
      <c r="J220" s="28"/>
      <c r="K220" s="28"/>
      <c r="L220" s="28"/>
      <c r="M220" s="28"/>
      <c r="N220" s="28"/>
      <c r="O220" s="28"/>
      <c r="P220" s="28"/>
    </row>
    <row r="221">
      <c r="A221" s="28"/>
      <c r="B221" s="28"/>
      <c r="C221" s="28"/>
      <c r="D221" s="28"/>
      <c r="E221" s="28"/>
      <c r="F221" s="28"/>
      <c r="G221" s="28"/>
      <c r="H221" s="28"/>
      <c r="I221" s="28"/>
      <c r="J221" s="28"/>
      <c r="K221" s="28"/>
      <c r="L221" s="28"/>
      <c r="M221" s="28"/>
      <c r="N221" s="28"/>
      <c r="O221" s="28"/>
      <c r="P221" s="28"/>
    </row>
    <row r="222">
      <c r="A222" s="28"/>
      <c r="B222" s="28"/>
      <c r="C222" s="28"/>
      <c r="D222" s="28"/>
      <c r="E222" s="28"/>
      <c r="F222" s="28"/>
      <c r="G222" s="28"/>
      <c r="H222" s="28"/>
      <c r="I222" s="28"/>
      <c r="J222" s="28"/>
      <c r="K222" s="28"/>
      <c r="L222" s="28"/>
      <c r="M222" s="28"/>
      <c r="N222" s="28"/>
      <c r="O222" s="28"/>
      <c r="P222" s="28"/>
    </row>
    <row r="223">
      <c r="A223" s="28"/>
      <c r="B223" s="28"/>
      <c r="C223" s="28"/>
      <c r="D223" s="28"/>
      <c r="E223" s="28"/>
      <c r="F223" s="28"/>
      <c r="G223" s="28"/>
      <c r="H223" s="28"/>
      <c r="I223" s="28"/>
      <c r="J223" s="28"/>
      <c r="K223" s="28"/>
      <c r="L223" s="28"/>
      <c r="M223" s="28"/>
      <c r="N223" s="28"/>
      <c r="O223" s="28"/>
      <c r="P223" s="28"/>
    </row>
    <row r="224">
      <c r="A224" s="28"/>
      <c r="B224" s="28"/>
      <c r="C224" s="28"/>
      <c r="D224" s="28"/>
      <c r="E224" s="28"/>
      <c r="F224" s="28"/>
      <c r="G224" s="28"/>
      <c r="H224" s="28"/>
      <c r="I224" s="28"/>
      <c r="J224" s="28"/>
      <c r="K224" s="28"/>
      <c r="L224" s="28"/>
      <c r="M224" s="28"/>
      <c r="N224" s="28"/>
      <c r="O224" s="28"/>
      <c r="P224" s="28"/>
    </row>
    <row r="225">
      <c r="A225" s="28"/>
      <c r="B225" s="28"/>
      <c r="C225" s="28"/>
      <c r="D225" s="28"/>
      <c r="E225" s="28"/>
      <c r="F225" s="28"/>
      <c r="G225" s="28"/>
      <c r="H225" s="28"/>
      <c r="I225" s="28"/>
      <c r="J225" s="28"/>
      <c r="K225" s="28"/>
      <c r="L225" s="28"/>
      <c r="M225" s="28"/>
      <c r="N225" s="28"/>
      <c r="O225" s="28"/>
      <c r="P225" s="28"/>
    </row>
    <row r="226">
      <c r="A226" s="28"/>
      <c r="B226" s="28"/>
      <c r="C226" s="28"/>
      <c r="D226" s="28"/>
      <c r="E226" s="28"/>
      <c r="F226" s="28"/>
      <c r="G226" s="28"/>
      <c r="H226" s="28"/>
      <c r="I226" s="28"/>
      <c r="J226" s="28"/>
      <c r="K226" s="28"/>
      <c r="L226" s="28"/>
      <c r="M226" s="28"/>
      <c r="N226" s="28"/>
      <c r="O226" s="28"/>
      <c r="P226" s="28"/>
    </row>
    <row r="227">
      <c r="A227" s="28"/>
      <c r="B227" s="28"/>
      <c r="C227" s="28"/>
      <c r="D227" s="28"/>
      <c r="E227" s="28"/>
      <c r="F227" s="28"/>
      <c r="G227" s="28"/>
      <c r="H227" s="28"/>
      <c r="I227" s="28"/>
      <c r="J227" s="28"/>
      <c r="K227" s="28"/>
      <c r="L227" s="28"/>
      <c r="M227" s="28"/>
      <c r="N227" s="28"/>
      <c r="O227" s="28"/>
      <c r="P227" s="28"/>
    </row>
    <row r="228">
      <c r="A228" s="28"/>
      <c r="B228" s="28"/>
      <c r="C228" s="28"/>
      <c r="D228" s="28"/>
      <c r="E228" s="28"/>
      <c r="F228" s="28"/>
      <c r="G228" s="28"/>
      <c r="H228" s="28"/>
      <c r="I228" s="28"/>
      <c r="J228" s="28"/>
      <c r="K228" s="28"/>
      <c r="L228" s="28"/>
      <c r="M228" s="28"/>
      <c r="N228" s="28"/>
      <c r="O228" s="28"/>
      <c r="P228" s="28"/>
    </row>
    <row r="229">
      <c r="A229" s="28"/>
      <c r="B229" s="28"/>
      <c r="C229" s="28"/>
      <c r="D229" s="28"/>
      <c r="E229" s="28"/>
      <c r="F229" s="28"/>
      <c r="G229" s="28"/>
      <c r="H229" s="28"/>
      <c r="I229" s="28"/>
      <c r="J229" s="28"/>
      <c r="K229" s="28"/>
      <c r="L229" s="28"/>
      <c r="M229" s="28"/>
      <c r="N229" s="28"/>
      <c r="O229" s="28"/>
      <c r="P229" s="28"/>
    </row>
    <row r="230">
      <c r="A230" s="28"/>
      <c r="B230" s="28"/>
      <c r="C230" s="28"/>
      <c r="D230" s="28"/>
      <c r="E230" s="28"/>
      <c r="F230" s="28"/>
      <c r="G230" s="28"/>
      <c r="H230" s="28"/>
      <c r="I230" s="28"/>
      <c r="J230" s="28"/>
      <c r="K230" s="28"/>
      <c r="L230" s="28"/>
      <c r="M230" s="28"/>
      <c r="N230" s="28"/>
      <c r="O230" s="28"/>
      <c r="P230" s="28"/>
    </row>
    <row r="231">
      <c r="A231" s="28"/>
      <c r="B231" s="28"/>
      <c r="C231" s="28"/>
      <c r="D231" s="28"/>
      <c r="E231" s="28"/>
      <c r="F231" s="28"/>
      <c r="G231" s="28"/>
      <c r="H231" s="28"/>
      <c r="I231" s="28"/>
      <c r="J231" s="28"/>
      <c r="K231" s="28"/>
      <c r="L231" s="28"/>
      <c r="M231" s="28"/>
      <c r="N231" s="28"/>
      <c r="O231" s="28"/>
      <c r="P231" s="28"/>
    </row>
    <row r="232">
      <c r="A232" s="28"/>
      <c r="B232" s="28"/>
      <c r="C232" s="28"/>
      <c r="D232" s="28"/>
      <c r="E232" s="28"/>
      <c r="F232" s="28"/>
      <c r="G232" s="28"/>
      <c r="H232" s="28"/>
      <c r="I232" s="28"/>
      <c r="J232" s="28"/>
      <c r="K232" s="28"/>
      <c r="L232" s="28"/>
      <c r="M232" s="28"/>
      <c r="N232" s="28"/>
      <c r="O232" s="28"/>
      <c r="P232" s="28"/>
    </row>
    <row r="233">
      <c r="A233" s="28"/>
      <c r="B233" s="28"/>
      <c r="C233" s="28"/>
      <c r="D233" s="28"/>
      <c r="E233" s="28"/>
      <c r="F233" s="28"/>
      <c r="G233" s="28"/>
      <c r="H233" s="28"/>
      <c r="I233" s="28"/>
      <c r="J233" s="28"/>
      <c r="K233" s="28"/>
      <c r="L233" s="28"/>
      <c r="M233" s="28"/>
      <c r="N233" s="28"/>
      <c r="O233" s="28"/>
      <c r="P233" s="28"/>
    </row>
    <row r="234">
      <c r="A234" s="28"/>
      <c r="B234" s="28"/>
      <c r="C234" s="28"/>
      <c r="D234" s="28"/>
      <c r="E234" s="28"/>
      <c r="F234" s="28"/>
      <c r="G234" s="28"/>
      <c r="H234" s="28"/>
      <c r="I234" s="28"/>
      <c r="J234" s="28"/>
      <c r="K234" s="28"/>
      <c r="L234" s="28"/>
      <c r="M234" s="28"/>
      <c r="N234" s="28"/>
      <c r="O234" s="28"/>
      <c r="P234" s="28"/>
    </row>
    <row r="235">
      <c r="A235" s="28"/>
      <c r="B235" s="28"/>
      <c r="C235" s="28"/>
      <c r="D235" s="28"/>
      <c r="E235" s="28"/>
      <c r="F235" s="28"/>
      <c r="G235" s="28"/>
      <c r="H235" s="28"/>
      <c r="I235" s="28"/>
      <c r="J235" s="28"/>
      <c r="K235" s="28"/>
      <c r="L235" s="28"/>
      <c r="M235" s="28"/>
      <c r="N235" s="28"/>
      <c r="O235" s="28"/>
      <c r="P235" s="28"/>
    </row>
    <row r="236">
      <c r="A236" s="28"/>
      <c r="B236" s="28"/>
      <c r="C236" s="28"/>
      <c r="D236" s="28"/>
      <c r="E236" s="28"/>
      <c r="F236" s="28"/>
      <c r="G236" s="28"/>
      <c r="H236" s="28"/>
      <c r="I236" s="28"/>
      <c r="J236" s="28"/>
      <c r="K236" s="28"/>
      <c r="L236" s="28"/>
      <c r="M236" s="28"/>
      <c r="N236" s="28"/>
      <c r="O236" s="28"/>
      <c r="P236" s="28"/>
    </row>
    <row r="237">
      <c r="A237" s="28"/>
      <c r="B237" s="28"/>
      <c r="C237" s="28"/>
      <c r="D237" s="28"/>
      <c r="E237" s="28"/>
      <c r="F237" s="28"/>
      <c r="G237" s="28"/>
      <c r="H237" s="28"/>
      <c r="I237" s="28"/>
      <c r="J237" s="28"/>
      <c r="K237" s="28"/>
      <c r="L237" s="28"/>
      <c r="M237" s="28"/>
      <c r="N237" s="28"/>
      <c r="O237" s="28"/>
      <c r="P237" s="28"/>
    </row>
    <row r="238">
      <c r="A238" s="28"/>
      <c r="B238" s="28"/>
      <c r="C238" s="28"/>
      <c r="D238" s="28"/>
      <c r="E238" s="28"/>
      <c r="F238" s="28"/>
      <c r="G238" s="28"/>
      <c r="H238" s="28"/>
      <c r="I238" s="28"/>
      <c r="J238" s="28"/>
      <c r="K238" s="28"/>
      <c r="L238" s="28"/>
      <c r="M238" s="28"/>
      <c r="N238" s="28"/>
      <c r="O238" s="28"/>
      <c r="P238" s="28"/>
    </row>
    <row r="239">
      <c r="A239" s="28"/>
      <c r="B239" s="28"/>
      <c r="C239" s="28"/>
      <c r="D239" s="28"/>
      <c r="E239" s="28"/>
      <c r="F239" s="28"/>
      <c r="G239" s="28"/>
      <c r="H239" s="28"/>
      <c r="I239" s="28"/>
      <c r="J239" s="28"/>
      <c r="K239" s="28"/>
      <c r="L239" s="28"/>
      <c r="M239" s="28"/>
      <c r="N239" s="28"/>
      <c r="O239" s="28"/>
      <c r="P239" s="28"/>
    </row>
    <row r="240">
      <c r="A240" s="28"/>
      <c r="B240" s="28"/>
      <c r="C240" s="28"/>
      <c r="D240" s="28"/>
      <c r="E240" s="28"/>
      <c r="F240" s="28"/>
      <c r="G240" s="28"/>
      <c r="H240" s="28"/>
      <c r="I240" s="28"/>
      <c r="J240" s="28"/>
      <c r="K240" s="28"/>
      <c r="L240" s="28"/>
      <c r="M240" s="28"/>
      <c r="N240" s="28"/>
      <c r="O240" s="28"/>
      <c r="P240" s="28"/>
    </row>
    <row r="241">
      <c r="A241" s="28"/>
      <c r="B241" s="28"/>
      <c r="C241" s="28"/>
      <c r="D241" s="28"/>
      <c r="E241" s="28"/>
      <c r="F241" s="28"/>
      <c r="G241" s="28"/>
      <c r="H241" s="28"/>
      <c r="I241" s="28"/>
      <c r="J241" s="28"/>
      <c r="K241" s="28"/>
      <c r="L241" s="28"/>
      <c r="M241" s="28"/>
      <c r="N241" s="28"/>
      <c r="O241" s="28"/>
      <c r="P241" s="28"/>
    </row>
    <row r="242">
      <c r="A242" s="28"/>
      <c r="B242" s="28"/>
      <c r="C242" s="28"/>
      <c r="D242" s="28"/>
      <c r="E242" s="28"/>
      <c r="F242" s="28"/>
      <c r="G242" s="28"/>
      <c r="H242" s="28"/>
      <c r="I242" s="28"/>
      <c r="J242" s="28"/>
      <c r="K242" s="28"/>
      <c r="L242" s="28"/>
      <c r="M242" s="28"/>
      <c r="N242" s="28"/>
      <c r="O242" s="28"/>
      <c r="P242" s="28"/>
    </row>
    <row r="243">
      <c r="A243" s="28"/>
      <c r="B243" s="28"/>
      <c r="C243" s="28"/>
      <c r="D243" s="28"/>
      <c r="E243" s="28"/>
      <c r="F243" s="28"/>
      <c r="G243" s="28"/>
      <c r="H243" s="28"/>
      <c r="I243" s="28"/>
      <c r="J243" s="28"/>
      <c r="K243" s="28"/>
      <c r="L243" s="28"/>
      <c r="M243" s="28"/>
      <c r="N243" s="28"/>
      <c r="O243" s="28"/>
      <c r="P243" s="28"/>
    </row>
    <row r="244">
      <c r="A244" s="28"/>
      <c r="B244" s="28"/>
      <c r="C244" s="28"/>
      <c r="D244" s="28"/>
      <c r="E244" s="28"/>
      <c r="F244" s="28"/>
      <c r="G244" s="28"/>
      <c r="H244" s="28"/>
      <c r="I244" s="28"/>
      <c r="J244" s="28"/>
      <c r="K244" s="28"/>
      <c r="L244" s="28"/>
      <c r="M244" s="28"/>
      <c r="N244" s="28"/>
      <c r="O244" s="28"/>
      <c r="P244" s="28"/>
    </row>
    <row r="245">
      <c r="A245" s="28"/>
      <c r="B245" s="28"/>
      <c r="C245" s="28"/>
      <c r="D245" s="28"/>
      <c r="E245" s="28"/>
      <c r="F245" s="28"/>
      <c r="G245" s="28"/>
      <c r="H245" s="28"/>
      <c r="I245" s="28"/>
      <c r="J245" s="28"/>
      <c r="K245" s="28"/>
      <c r="L245" s="28"/>
      <c r="M245" s="28"/>
      <c r="N245" s="28"/>
      <c r="O245" s="28"/>
      <c r="P245" s="28"/>
    </row>
    <row r="246">
      <c r="A246" s="28"/>
      <c r="B246" s="28"/>
      <c r="C246" s="28"/>
      <c r="D246" s="28"/>
      <c r="E246" s="28"/>
      <c r="F246" s="28"/>
      <c r="G246" s="28"/>
      <c r="H246" s="28"/>
      <c r="I246" s="28"/>
      <c r="J246" s="28"/>
      <c r="K246" s="28"/>
      <c r="L246" s="28"/>
      <c r="M246" s="28"/>
      <c r="N246" s="28"/>
      <c r="O246" s="28"/>
      <c r="P246" s="28"/>
    </row>
    <row r="247">
      <c r="A247" s="28"/>
      <c r="B247" s="28"/>
      <c r="C247" s="28"/>
      <c r="D247" s="28"/>
      <c r="E247" s="28"/>
      <c r="F247" s="28"/>
      <c r="G247" s="28"/>
      <c r="H247" s="28"/>
      <c r="I247" s="28"/>
      <c r="J247" s="28"/>
      <c r="K247" s="28"/>
      <c r="L247" s="28"/>
      <c r="M247" s="28"/>
      <c r="N247" s="28"/>
      <c r="O247" s="28"/>
      <c r="P247" s="28"/>
    </row>
    <row r="248">
      <c r="A248" s="28"/>
      <c r="B248" s="28"/>
      <c r="C248" s="28"/>
      <c r="D248" s="28"/>
      <c r="E248" s="28"/>
      <c r="F248" s="28"/>
      <c r="G248" s="28"/>
      <c r="H248" s="28"/>
      <c r="I248" s="28"/>
      <c r="J248" s="28"/>
      <c r="K248" s="28"/>
      <c r="L248" s="28"/>
      <c r="M248" s="28"/>
      <c r="N248" s="28"/>
      <c r="O248" s="28"/>
      <c r="P248" s="28"/>
    </row>
    <row r="249">
      <c r="A249" s="28"/>
      <c r="B249" s="28"/>
      <c r="C249" s="28"/>
      <c r="D249" s="28"/>
      <c r="E249" s="28"/>
      <c r="F249" s="28"/>
      <c r="G249" s="28"/>
      <c r="H249" s="28"/>
      <c r="I249" s="28"/>
      <c r="J249" s="28"/>
      <c r="K249" s="28"/>
      <c r="L249" s="28"/>
      <c r="M249" s="28"/>
      <c r="N249" s="28"/>
      <c r="O249" s="28"/>
      <c r="P249" s="28"/>
    </row>
    <row r="250">
      <c r="A250" s="28"/>
      <c r="B250" s="28"/>
      <c r="C250" s="28"/>
      <c r="D250" s="28"/>
      <c r="E250" s="28"/>
      <c r="F250" s="28"/>
      <c r="G250" s="28"/>
      <c r="H250" s="28"/>
      <c r="I250" s="28"/>
      <c r="J250" s="28"/>
      <c r="K250" s="28"/>
      <c r="L250" s="28"/>
      <c r="M250" s="28"/>
      <c r="N250" s="28"/>
      <c r="O250" s="28"/>
      <c r="P250" s="28"/>
    </row>
    <row r="251">
      <c r="A251" s="28"/>
      <c r="B251" s="28"/>
      <c r="C251" s="28"/>
      <c r="D251" s="28"/>
      <c r="E251" s="28"/>
      <c r="F251" s="28"/>
      <c r="G251" s="28"/>
      <c r="H251" s="28"/>
      <c r="I251" s="28"/>
      <c r="J251" s="28"/>
      <c r="K251" s="28"/>
      <c r="L251" s="28"/>
      <c r="M251" s="28"/>
      <c r="N251" s="28"/>
      <c r="O251" s="28"/>
      <c r="P251" s="28"/>
    </row>
    <row r="252">
      <c r="A252" s="28"/>
      <c r="B252" s="28"/>
      <c r="C252" s="28"/>
      <c r="D252" s="28"/>
      <c r="E252" s="28"/>
      <c r="F252" s="28"/>
      <c r="G252" s="28"/>
      <c r="H252" s="28"/>
      <c r="I252" s="28"/>
      <c r="J252" s="28"/>
      <c r="K252" s="28"/>
      <c r="L252" s="28"/>
      <c r="M252" s="28"/>
      <c r="N252" s="28"/>
      <c r="O252" s="28"/>
      <c r="P252" s="28"/>
    </row>
    <row r="253">
      <c r="A253" s="28"/>
      <c r="B253" s="28"/>
      <c r="C253" s="28"/>
      <c r="D253" s="28"/>
      <c r="E253" s="28"/>
      <c r="F253" s="28"/>
      <c r="G253" s="28"/>
      <c r="H253" s="28"/>
      <c r="I253" s="28"/>
      <c r="J253" s="28"/>
      <c r="K253" s="28"/>
      <c r="L253" s="28"/>
      <c r="M253" s="28"/>
      <c r="N253" s="28"/>
      <c r="O253" s="28"/>
      <c r="P253" s="28"/>
    </row>
    <row r="254">
      <c r="A254" s="28"/>
      <c r="B254" s="28"/>
      <c r="C254" s="28"/>
      <c r="D254" s="28"/>
      <c r="E254" s="28"/>
      <c r="F254" s="28"/>
      <c r="G254" s="28"/>
      <c r="H254" s="28"/>
      <c r="I254" s="28"/>
      <c r="J254" s="28"/>
      <c r="K254" s="28"/>
      <c r="L254" s="28"/>
      <c r="M254" s="28"/>
      <c r="N254" s="28"/>
      <c r="O254" s="28"/>
      <c r="P254" s="28"/>
    </row>
    <row r="255">
      <c r="A255" s="28"/>
      <c r="B255" s="28"/>
      <c r="C255" s="28"/>
      <c r="D255" s="28"/>
      <c r="E255" s="28"/>
      <c r="F255" s="28"/>
      <c r="G255" s="28"/>
      <c r="H255" s="28"/>
      <c r="I255" s="28"/>
      <c r="J255" s="28"/>
      <c r="K255" s="28"/>
      <c r="L255" s="28"/>
      <c r="M255" s="28"/>
      <c r="N255" s="28"/>
      <c r="O255" s="28"/>
      <c r="P255" s="28"/>
    </row>
    <row r="256">
      <c r="A256" s="28"/>
      <c r="B256" s="28"/>
      <c r="C256" s="28"/>
      <c r="D256" s="28"/>
      <c r="E256" s="28"/>
      <c r="F256" s="28"/>
      <c r="G256" s="28"/>
      <c r="H256" s="28"/>
      <c r="I256" s="28"/>
      <c r="J256" s="28"/>
      <c r="K256" s="28"/>
      <c r="L256" s="28"/>
      <c r="M256" s="28"/>
      <c r="N256" s="28"/>
      <c r="O256" s="28"/>
      <c r="P256" s="28"/>
    </row>
    <row r="257">
      <c r="A257" s="28"/>
      <c r="B257" s="28"/>
      <c r="C257" s="28"/>
      <c r="D257" s="28"/>
      <c r="E257" s="28"/>
      <c r="F257" s="28"/>
      <c r="G257" s="28"/>
      <c r="H257" s="28"/>
      <c r="I257" s="28"/>
      <c r="J257" s="28"/>
      <c r="K257" s="28"/>
      <c r="L257" s="28"/>
      <c r="M257" s="28"/>
      <c r="N257" s="28"/>
      <c r="O257" s="28"/>
      <c r="P257" s="28"/>
    </row>
    <row r="258">
      <c r="A258" s="28"/>
      <c r="B258" s="28"/>
      <c r="C258" s="28"/>
      <c r="D258" s="28"/>
      <c r="E258" s="28"/>
      <c r="F258" s="28"/>
      <c r="G258" s="28"/>
      <c r="H258" s="28"/>
      <c r="I258" s="28"/>
      <c r="J258" s="28"/>
      <c r="K258" s="28"/>
      <c r="L258" s="28"/>
      <c r="M258" s="28"/>
      <c r="N258" s="28"/>
      <c r="O258" s="28"/>
      <c r="P258" s="28"/>
    </row>
    <row r="259">
      <c r="A259" s="28"/>
      <c r="B259" s="28"/>
      <c r="C259" s="28"/>
      <c r="D259" s="28"/>
      <c r="E259" s="28"/>
      <c r="F259" s="28"/>
      <c r="G259" s="28"/>
      <c r="H259" s="28"/>
      <c r="I259" s="28"/>
      <c r="J259" s="28"/>
      <c r="K259" s="28"/>
      <c r="L259" s="28"/>
      <c r="M259" s="28"/>
      <c r="N259" s="28"/>
      <c r="O259" s="28"/>
      <c r="P259" s="28"/>
    </row>
    <row r="260">
      <c r="A260" s="28"/>
      <c r="B260" s="28"/>
      <c r="C260" s="28"/>
      <c r="D260" s="28"/>
      <c r="E260" s="28"/>
      <c r="F260" s="28"/>
      <c r="G260" s="28"/>
      <c r="H260" s="28"/>
      <c r="I260" s="28"/>
      <c r="J260" s="28"/>
      <c r="K260" s="28"/>
      <c r="L260" s="28"/>
      <c r="M260" s="28"/>
      <c r="N260" s="28"/>
      <c r="O260" s="28"/>
      <c r="P260" s="28"/>
    </row>
    <row r="261">
      <c r="A261" s="28"/>
      <c r="B261" s="28"/>
      <c r="C261" s="28"/>
      <c r="D261" s="28"/>
      <c r="E261" s="28"/>
      <c r="F261" s="28"/>
      <c r="G261" s="28"/>
      <c r="H261" s="28"/>
      <c r="I261" s="28"/>
      <c r="J261" s="28"/>
      <c r="K261" s="28"/>
      <c r="L261" s="28"/>
      <c r="M261" s="28"/>
      <c r="N261" s="28"/>
      <c r="O261" s="28"/>
      <c r="P261" s="28"/>
    </row>
    <row r="262">
      <c r="A262" s="28"/>
      <c r="B262" s="28"/>
      <c r="C262" s="28"/>
      <c r="D262" s="28"/>
      <c r="E262" s="28"/>
      <c r="F262" s="28"/>
      <c r="G262" s="28"/>
      <c r="H262" s="28"/>
      <c r="I262" s="28"/>
      <c r="J262" s="28"/>
      <c r="K262" s="28"/>
      <c r="L262" s="28"/>
      <c r="M262" s="28"/>
      <c r="N262" s="28"/>
      <c r="O262" s="28"/>
      <c r="P262" s="28"/>
    </row>
    <row r="263">
      <c r="A263" s="28"/>
      <c r="B263" s="28"/>
      <c r="C263" s="28"/>
      <c r="D263" s="28"/>
      <c r="E263" s="28"/>
      <c r="F263" s="28"/>
      <c r="G263" s="28"/>
      <c r="H263" s="28"/>
      <c r="I263" s="28"/>
      <c r="J263" s="28"/>
      <c r="K263" s="28"/>
      <c r="L263" s="28"/>
      <c r="M263" s="28"/>
      <c r="N263" s="28"/>
      <c r="O263" s="28"/>
      <c r="P263" s="28"/>
    </row>
    <row r="264">
      <c r="A264" s="28"/>
      <c r="B264" s="28"/>
      <c r="C264" s="28"/>
      <c r="D264" s="28"/>
      <c r="E264" s="28"/>
      <c r="F264" s="28"/>
      <c r="G264" s="28"/>
      <c r="H264" s="28"/>
      <c r="I264" s="28"/>
      <c r="J264" s="28"/>
      <c r="K264" s="28"/>
      <c r="L264" s="28"/>
      <c r="M264" s="28"/>
      <c r="N264" s="28"/>
      <c r="O264" s="28"/>
      <c r="P264" s="28"/>
    </row>
    <row r="265">
      <c r="A265" s="28"/>
      <c r="B265" s="28"/>
      <c r="C265" s="28"/>
      <c r="D265" s="28"/>
      <c r="E265" s="28"/>
      <c r="F265" s="28"/>
      <c r="G265" s="28"/>
      <c r="H265" s="28"/>
      <c r="I265" s="28"/>
      <c r="J265" s="28"/>
      <c r="K265" s="28"/>
      <c r="L265" s="28"/>
      <c r="M265" s="28"/>
      <c r="N265" s="28"/>
      <c r="O265" s="28"/>
      <c r="P265" s="28"/>
    </row>
    <row r="266">
      <c r="A266" s="28"/>
      <c r="B266" s="28"/>
      <c r="C266" s="28"/>
      <c r="D266" s="28"/>
      <c r="E266" s="28"/>
      <c r="F266" s="28"/>
      <c r="G266" s="28"/>
      <c r="H266" s="28"/>
      <c r="I266" s="28"/>
      <c r="J266" s="28"/>
      <c r="K266" s="28"/>
      <c r="L266" s="28"/>
      <c r="M266" s="28"/>
      <c r="N266" s="28"/>
      <c r="O266" s="28"/>
      <c r="P266" s="28"/>
    </row>
    <row r="267">
      <c r="A267" s="28"/>
      <c r="B267" s="28"/>
      <c r="C267" s="28"/>
      <c r="D267" s="28"/>
      <c r="E267" s="28"/>
      <c r="F267" s="28"/>
      <c r="G267" s="28"/>
      <c r="H267" s="28"/>
      <c r="I267" s="28"/>
      <c r="J267" s="28"/>
      <c r="K267" s="28"/>
      <c r="L267" s="28"/>
      <c r="M267" s="28"/>
      <c r="N267" s="28"/>
      <c r="O267" s="28"/>
      <c r="P267" s="28"/>
    </row>
    <row r="268">
      <c r="A268" s="28"/>
      <c r="B268" s="28"/>
      <c r="C268" s="28"/>
      <c r="D268" s="28"/>
      <c r="E268" s="28"/>
      <c r="F268" s="28"/>
      <c r="G268" s="28"/>
      <c r="H268" s="28"/>
      <c r="I268" s="28"/>
      <c r="J268" s="28"/>
      <c r="K268" s="28"/>
      <c r="L268" s="28"/>
      <c r="M268" s="28"/>
      <c r="N268" s="28"/>
      <c r="O268" s="28"/>
      <c r="P268" s="28"/>
    </row>
    <row r="269">
      <c r="A269" s="28"/>
      <c r="B269" s="28"/>
      <c r="C269" s="28"/>
      <c r="D269" s="28"/>
      <c r="E269" s="28"/>
      <c r="F269" s="28"/>
      <c r="G269" s="28"/>
      <c r="H269" s="28"/>
      <c r="I269" s="28"/>
      <c r="J269" s="28"/>
      <c r="K269" s="28"/>
      <c r="L269" s="28"/>
      <c r="M269" s="28"/>
      <c r="N269" s="28"/>
      <c r="O269" s="28"/>
      <c r="P269" s="28"/>
    </row>
    <row r="270">
      <c r="A270" s="28"/>
      <c r="B270" s="28"/>
      <c r="C270" s="28"/>
      <c r="D270" s="28"/>
      <c r="E270" s="28"/>
      <c r="F270" s="28"/>
      <c r="G270" s="28"/>
      <c r="H270" s="28"/>
      <c r="I270" s="28"/>
      <c r="J270" s="28"/>
      <c r="K270" s="28"/>
      <c r="L270" s="28"/>
      <c r="M270" s="28"/>
      <c r="N270" s="28"/>
      <c r="O270" s="28"/>
      <c r="P270" s="28"/>
    </row>
    <row r="271">
      <c r="A271" s="28"/>
      <c r="B271" s="28"/>
      <c r="C271" s="28"/>
      <c r="D271" s="28"/>
      <c r="E271" s="28"/>
      <c r="F271" s="28"/>
      <c r="G271" s="28"/>
      <c r="H271" s="28"/>
      <c r="I271" s="28"/>
      <c r="J271" s="28"/>
      <c r="K271" s="28"/>
      <c r="L271" s="28"/>
      <c r="M271" s="28"/>
      <c r="N271" s="28"/>
      <c r="O271" s="28"/>
      <c r="P271" s="28"/>
    </row>
    <row r="272">
      <c r="A272" s="28"/>
      <c r="B272" s="28"/>
      <c r="C272" s="28"/>
      <c r="D272" s="28"/>
      <c r="E272" s="28"/>
      <c r="F272" s="28"/>
      <c r="G272" s="28"/>
      <c r="H272" s="28"/>
      <c r="I272" s="28"/>
      <c r="J272" s="28"/>
      <c r="K272" s="28"/>
      <c r="L272" s="28"/>
      <c r="M272" s="28"/>
      <c r="N272" s="28"/>
      <c r="O272" s="28"/>
      <c r="P272" s="28"/>
    </row>
    <row r="273">
      <c r="A273" s="28"/>
      <c r="B273" s="28"/>
      <c r="C273" s="28"/>
      <c r="D273" s="28"/>
      <c r="E273" s="28"/>
      <c r="F273" s="28"/>
      <c r="G273" s="28"/>
      <c r="H273" s="28"/>
      <c r="I273" s="28"/>
      <c r="J273" s="28"/>
      <c r="K273" s="28"/>
      <c r="L273" s="28"/>
      <c r="M273" s="28"/>
      <c r="N273" s="28"/>
      <c r="O273" s="28"/>
      <c r="P273" s="28"/>
    </row>
    <row r="274">
      <c r="A274" s="28"/>
      <c r="B274" s="28"/>
      <c r="C274" s="28"/>
      <c r="D274" s="28"/>
      <c r="E274" s="28"/>
      <c r="F274" s="28"/>
      <c r="G274" s="28"/>
      <c r="H274" s="28"/>
      <c r="I274" s="28"/>
      <c r="J274" s="28"/>
      <c r="K274" s="28"/>
      <c r="L274" s="28"/>
      <c r="M274" s="28"/>
      <c r="N274" s="28"/>
      <c r="O274" s="28"/>
      <c r="P274" s="28"/>
    </row>
    <row r="275">
      <c r="A275" s="28"/>
      <c r="B275" s="28"/>
      <c r="C275" s="28"/>
      <c r="D275" s="28"/>
      <c r="E275" s="28"/>
      <c r="F275" s="28"/>
      <c r="G275" s="28"/>
      <c r="H275" s="28"/>
      <c r="I275" s="28"/>
      <c r="J275" s="28"/>
      <c r="K275" s="28"/>
      <c r="L275" s="28"/>
      <c r="M275" s="28"/>
      <c r="N275" s="28"/>
      <c r="O275" s="28"/>
      <c r="P275" s="28"/>
    </row>
    <row r="276">
      <c r="A276" s="28"/>
      <c r="B276" s="28"/>
      <c r="C276" s="28"/>
      <c r="D276" s="28"/>
      <c r="E276" s="28"/>
      <c r="F276" s="28"/>
      <c r="G276" s="28"/>
      <c r="H276" s="28"/>
      <c r="I276" s="28"/>
      <c r="J276" s="28"/>
      <c r="K276" s="28"/>
      <c r="L276" s="28"/>
      <c r="M276" s="28"/>
      <c r="N276" s="28"/>
      <c r="O276" s="28"/>
      <c r="P276" s="28"/>
    </row>
    <row r="277">
      <c r="A277" s="28"/>
      <c r="B277" s="28"/>
      <c r="C277" s="28"/>
      <c r="D277" s="28"/>
      <c r="E277" s="28"/>
      <c r="F277" s="28"/>
      <c r="G277" s="28"/>
      <c r="H277" s="28"/>
      <c r="I277" s="28"/>
      <c r="J277" s="28"/>
      <c r="K277" s="28"/>
      <c r="L277" s="28"/>
      <c r="M277" s="28"/>
      <c r="N277" s="28"/>
      <c r="O277" s="28"/>
      <c r="P277" s="28"/>
    </row>
    <row r="278">
      <c r="A278" s="28"/>
      <c r="B278" s="28"/>
      <c r="C278" s="28"/>
      <c r="D278" s="28"/>
      <c r="E278" s="28"/>
      <c r="F278" s="28"/>
      <c r="G278" s="28"/>
      <c r="H278" s="28"/>
      <c r="I278" s="28"/>
      <c r="J278" s="28"/>
      <c r="K278" s="28"/>
      <c r="L278" s="28"/>
      <c r="M278" s="28"/>
      <c r="N278" s="28"/>
      <c r="O278" s="28"/>
      <c r="P278" s="28"/>
    </row>
    <row r="279">
      <c r="A279" s="28"/>
      <c r="B279" s="28"/>
      <c r="C279" s="28"/>
      <c r="D279" s="28"/>
      <c r="E279" s="28"/>
      <c r="F279" s="28"/>
      <c r="G279" s="28"/>
      <c r="H279" s="28"/>
      <c r="I279" s="28"/>
      <c r="J279" s="28"/>
      <c r="K279" s="28"/>
      <c r="L279" s="28"/>
      <c r="M279" s="28"/>
      <c r="N279" s="28"/>
      <c r="O279" s="28"/>
      <c r="P279" s="28"/>
    </row>
    <row r="280">
      <c r="A280" s="28"/>
      <c r="B280" s="28"/>
      <c r="C280" s="28"/>
      <c r="D280" s="28"/>
      <c r="E280" s="28"/>
      <c r="F280" s="28"/>
      <c r="G280" s="28"/>
      <c r="H280" s="28"/>
      <c r="I280" s="28"/>
      <c r="J280" s="28"/>
      <c r="K280" s="28"/>
      <c r="L280" s="28"/>
      <c r="M280" s="28"/>
      <c r="N280" s="28"/>
      <c r="O280" s="28"/>
      <c r="P280" s="28"/>
    </row>
    <row r="281">
      <c r="A281" s="28"/>
      <c r="B281" s="28"/>
      <c r="C281" s="28"/>
      <c r="D281" s="28"/>
      <c r="E281" s="28"/>
      <c r="F281" s="28"/>
      <c r="G281" s="28"/>
      <c r="H281" s="28"/>
      <c r="I281" s="28"/>
      <c r="J281" s="28"/>
      <c r="K281" s="28"/>
      <c r="L281" s="28"/>
      <c r="M281" s="28"/>
      <c r="N281" s="28"/>
      <c r="O281" s="28"/>
      <c r="P281" s="28"/>
    </row>
    <row r="282">
      <c r="A282" s="28"/>
      <c r="B282" s="28"/>
      <c r="C282" s="28"/>
      <c r="D282" s="28"/>
      <c r="E282" s="28"/>
      <c r="F282" s="28"/>
      <c r="G282" s="28"/>
      <c r="H282" s="28"/>
      <c r="I282" s="28"/>
      <c r="J282" s="28"/>
      <c r="K282" s="28"/>
      <c r="L282" s="28"/>
      <c r="M282" s="28"/>
      <c r="N282" s="28"/>
      <c r="O282" s="28"/>
      <c r="P282" s="28"/>
    </row>
    <row r="283">
      <c r="A283" s="28"/>
      <c r="B283" s="28"/>
      <c r="C283" s="28"/>
      <c r="D283" s="28"/>
      <c r="E283" s="28"/>
      <c r="F283" s="28"/>
      <c r="G283" s="28"/>
      <c r="H283" s="28"/>
      <c r="I283" s="28"/>
      <c r="J283" s="28"/>
      <c r="K283" s="28"/>
      <c r="L283" s="28"/>
      <c r="M283" s="28"/>
      <c r="N283" s="28"/>
      <c r="O283" s="28"/>
      <c r="P283" s="28"/>
    </row>
    <row r="284">
      <c r="A284" s="28"/>
      <c r="B284" s="28"/>
      <c r="C284" s="28"/>
      <c r="D284" s="28"/>
      <c r="E284" s="28"/>
      <c r="F284" s="28"/>
      <c r="G284" s="28"/>
      <c r="H284" s="28"/>
      <c r="I284" s="28"/>
      <c r="J284" s="28"/>
      <c r="K284" s="28"/>
      <c r="L284" s="28"/>
      <c r="M284" s="28"/>
      <c r="N284" s="28"/>
      <c r="O284" s="28"/>
      <c r="P284" s="28"/>
    </row>
    <row r="285">
      <c r="A285" s="28"/>
      <c r="B285" s="28"/>
      <c r="C285" s="28"/>
      <c r="D285" s="28"/>
      <c r="E285" s="28"/>
      <c r="F285" s="28"/>
      <c r="G285" s="28"/>
      <c r="H285" s="28"/>
      <c r="I285" s="28"/>
      <c r="J285" s="28"/>
      <c r="K285" s="28"/>
      <c r="L285" s="28"/>
      <c r="M285" s="28"/>
      <c r="N285" s="28"/>
      <c r="O285" s="28"/>
      <c r="P285" s="28"/>
    </row>
    <row r="286">
      <c r="A286" s="28"/>
      <c r="B286" s="28"/>
      <c r="C286" s="28"/>
      <c r="D286" s="28"/>
      <c r="E286" s="28"/>
      <c r="F286" s="28"/>
      <c r="G286" s="28"/>
      <c r="H286" s="28"/>
      <c r="I286" s="28"/>
      <c r="J286" s="28"/>
      <c r="K286" s="28"/>
      <c r="L286" s="28"/>
      <c r="M286" s="28"/>
      <c r="N286" s="28"/>
      <c r="O286" s="28"/>
      <c r="P286" s="28"/>
    </row>
    <row r="287">
      <c r="A287" s="28"/>
      <c r="B287" s="28"/>
      <c r="C287" s="28"/>
      <c r="D287" s="28"/>
      <c r="E287" s="28"/>
      <c r="F287" s="28"/>
      <c r="G287" s="28"/>
      <c r="H287" s="28"/>
      <c r="I287" s="28"/>
      <c r="J287" s="28"/>
      <c r="K287" s="28"/>
      <c r="L287" s="28"/>
      <c r="M287" s="28"/>
      <c r="N287" s="28"/>
      <c r="O287" s="28"/>
      <c r="P287" s="28"/>
    </row>
    <row r="288">
      <c r="A288" s="28"/>
      <c r="B288" s="28"/>
      <c r="C288" s="28"/>
      <c r="D288" s="28"/>
      <c r="E288" s="28"/>
      <c r="F288" s="28"/>
      <c r="G288" s="28"/>
      <c r="H288" s="28"/>
      <c r="I288" s="28"/>
      <c r="J288" s="28"/>
      <c r="K288" s="28"/>
      <c r="L288" s="28"/>
      <c r="M288" s="28"/>
      <c r="N288" s="28"/>
      <c r="O288" s="28"/>
      <c r="P288" s="28"/>
    </row>
    <row r="289">
      <c r="A289" s="28"/>
      <c r="B289" s="28"/>
      <c r="C289" s="28"/>
      <c r="D289" s="28"/>
      <c r="E289" s="28"/>
      <c r="F289" s="28"/>
      <c r="G289" s="28"/>
      <c r="H289" s="28"/>
      <c r="I289" s="28"/>
      <c r="J289" s="28"/>
      <c r="K289" s="28"/>
      <c r="L289" s="28"/>
      <c r="M289" s="28"/>
      <c r="N289" s="28"/>
      <c r="O289" s="28"/>
      <c r="P289" s="28"/>
    </row>
    <row r="290">
      <c r="A290" s="28"/>
      <c r="B290" s="28"/>
      <c r="C290" s="28"/>
      <c r="D290" s="28"/>
      <c r="E290" s="28"/>
      <c r="F290" s="28"/>
      <c r="G290" s="28"/>
      <c r="H290" s="28"/>
      <c r="I290" s="28"/>
      <c r="J290" s="28"/>
      <c r="K290" s="28"/>
      <c r="L290" s="28"/>
      <c r="M290" s="28"/>
      <c r="N290" s="28"/>
      <c r="O290" s="28"/>
      <c r="P290" s="28"/>
    </row>
    <row r="291">
      <c r="A291" s="28"/>
      <c r="B291" s="28"/>
      <c r="C291" s="28"/>
      <c r="D291" s="28"/>
      <c r="E291" s="28"/>
      <c r="F291" s="28"/>
      <c r="G291" s="28"/>
      <c r="H291" s="28"/>
      <c r="I291" s="28"/>
      <c r="J291" s="28"/>
      <c r="K291" s="28"/>
      <c r="L291" s="28"/>
      <c r="M291" s="28"/>
      <c r="N291" s="28"/>
      <c r="O291" s="28"/>
      <c r="P291" s="28"/>
    </row>
    <row r="292">
      <c r="A292" s="28"/>
      <c r="B292" s="28"/>
      <c r="C292" s="28"/>
      <c r="D292" s="28"/>
      <c r="E292" s="28"/>
      <c r="F292" s="28"/>
      <c r="G292" s="28"/>
      <c r="H292" s="28"/>
      <c r="I292" s="28"/>
      <c r="J292" s="28"/>
      <c r="K292" s="28"/>
      <c r="L292" s="28"/>
      <c r="M292" s="28"/>
      <c r="N292" s="28"/>
      <c r="O292" s="28"/>
      <c r="P292" s="28"/>
    </row>
    <row r="293">
      <c r="A293" s="28"/>
      <c r="B293" s="28"/>
      <c r="C293" s="28"/>
      <c r="D293" s="28"/>
      <c r="E293" s="28"/>
      <c r="F293" s="28"/>
      <c r="G293" s="28"/>
      <c r="H293" s="28"/>
      <c r="I293" s="28"/>
      <c r="J293" s="28"/>
      <c r="K293" s="28"/>
      <c r="L293" s="28"/>
      <c r="M293" s="28"/>
      <c r="N293" s="28"/>
      <c r="O293" s="28"/>
      <c r="P293" s="28"/>
    </row>
    <row r="294">
      <c r="A294" s="28"/>
      <c r="B294" s="28"/>
      <c r="C294" s="28"/>
      <c r="D294" s="28"/>
      <c r="E294" s="28"/>
      <c r="F294" s="28"/>
      <c r="G294" s="28"/>
      <c r="H294" s="28"/>
      <c r="I294" s="28"/>
      <c r="J294" s="28"/>
      <c r="K294" s="28"/>
      <c r="L294" s="28"/>
      <c r="M294" s="28"/>
      <c r="N294" s="28"/>
      <c r="O294" s="28"/>
      <c r="P294" s="28"/>
    </row>
    <row r="295">
      <c r="A295" s="28"/>
      <c r="B295" s="28"/>
      <c r="C295" s="28"/>
      <c r="D295" s="28"/>
      <c r="E295" s="28"/>
      <c r="F295" s="28"/>
      <c r="G295" s="28"/>
      <c r="H295" s="28"/>
      <c r="I295" s="28"/>
      <c r="J295" s="28"/>
      <c r="K295" s="28"/>
      <c r="L295" s="28"/>
      <c r="M295" s="28"/>
      <c r="N295" s="28"/>
      <c r="O295" s="28"/>
      <c r="P295" s="28"/>
    </row>
    <row r="296">
      <c r="A296" s="28"/>
      <c r="B296" s="28"/>
      <c r="C296" s="28"/>
      <c r="D296" s="28"/>
      <c r="E296" s="28"/>
      <c r="F296" s="28"/>
      <c r="G296" s="28"/>
      <c r="H296" s="28"/>
      <c r="I296" s="28"/>
      <c r="J296" s="28"/>
      <c r="K296" s="28"/>
      <c r="L296" s="28"/>
      <c r="M296" s="28"/>
      <c r="N296" s="28"/>
      <c r="O296" s="28"/>
      <c r="P296" s="28"/>
    </row>
    <row r="297">
      <c r="A297" s="28"/>
      <c r="B297" s="28"/>
      <c r="C297" s="28"/>
      <c r="D297" s="28"/>
      <c r="E297" s="28"/>
      <c r="F297" s="28"/>
      <c r="G297" s="28"/>
      <c r="H297" s="28"/>
      <c r="I297" s="28"/>
      <c r="J297" s="28"/>
      <c r="K297" s="28"/>
      <c r="L297" s="28"/>
      <c r="M297" s="28"/>
      <c r="N297" s="28"/>
      <c r="O297" s="28"/>
      <c r="P297" s="28"/>
    </row>
    <row r="298">
      <c r="A298" s="28"/>
      <c r="B298" s="28"/>
      <c r="C298" s="28"/>
      <c r="D298" s="28"/>
      <c r="E298" s="28"/>
      <c r="F298" s="28"/>
      <c r="G298" s="28"/>
      <c r="H298" s="28"/>
      <c r="I298" s="28"/>
      <c r="J298" s="28"/>
      <c r="K298" s="28"/>
      <c r="L298" s="28"/>
      <c r="M298" s="28"/>
      <c r="N298" s="28"/>
      <c r="O298" s="28"/>
      <c r="P298" s="28"/>
    </row>
    <row r="299">
      <c r="A299" s="28"/>
      <c r="B299" s="28"/>
      <c r="C299" s="28"/>
      <c r="D299" s="28"/>
      <c r="E299" s="28"/>
      <c r="F299" s="28"/>
      <c r="G299" s="28"/>
      <c r="H299" s="28"/>
      <c r="I299" s="28"/>
      <c r="J299" s="28"/>
      <c r="K299" s="28"/>
      <c r="L299" s="28"/>
      <c r="M299" s="28"/>
      <c r="N299" s="28"/>
      <c r="O299" s="28"/>
      <c r="P299" s="28"/>
    </row>
    <row r="300">
      <c r="A300" s="28"/>
      <c r="B300" s="28"/>
      <c r="C300" s="28"/>
      <c r="D300" s="28"/>
      <c r="E300" s="28"/>
      <c r="F300" s="28"/>
      <c r="G300" s="28"/>
      <c r="H300" s="28"/>
      <c r="I300" s="28"/>
      <c r="J300" s="28"/>
      <c r="K300" s="28"/>
      <c r="L300" s="28"/>
      <c r="M300" s="28"/>
      <c r="N300" s="28"/>
      <c r="O300" s="28"/>
      <c r="P300" s="28"/>
    </row>
    <row r="301">
      <c r="A301" s="28"/>
      <c r="B301" s="28"/>
      <c r="C301" s="28"/>
      <c r="D301" s="28"/>
      <c r="E301" s="28"/>
      <c r="F301" s="28"/>
      <c r="G301" s="28"/>
      <c r="H301" s="28"/>
      <c r="I301" s="28"/>
      <c r="J301" s="28"/>
      <c r="K301" s="28"/>
      <c r="L301" s="28"/>
      <c r="M301" s="28"/>
      <c r="N301" s="28"/>
      <c r="O301" s="28"/>
      <c r="P301" s="28"/>
    </row>
    <row r="302">
      <c r="A302" s="28"/>
      <c r="B302" s="28"/>
      <c r="C302" s="28"/>
      <c r="D302" s="28"/>
      <c r="E302" s="28"/>
      <c r="F302" s="28"/>
      <c r="G302" s="28"/>
      <c r="H302" s="28"/>
      <c r="I302" s="28"/>
      <c r="J302" s="28"/>
      <c r="K302" s="28"/>
      <c r="L302" s="28"/>
      <c r="M302" s="28"/>
      <c r="N302" s="28"/>
      <c r="O302" s="28"/>
      <c r="P302" s="28"/>
    </row>
    <row r="303">
      <c r="A303" s="28"/>
      <c r="B303" s="28"/>
      <c r="C303" s="28"/>
      <c r="D303" s="28"/>
      <c r="E303" s="28"/>
      <c r="F303" s="28"/>
      <c r="G303" s="28"/>
      <c r="H303" s="28"/>
      <c r="I303" s="28"/>
      <c r="J303" s="28"/>
      <c r="K303" s="28"/>
      <c r="L303" s="28"/>
      <c r="M303" s="28"/>
      <c r="N303" s="28"/>
      <c r="O303" s="28"/>
      <c r="P303" s="28"/>
    </row>
    <row r="304">
      <c r="A304" s="28"/>
      <c r="B304" s="28"/>
      <c r="C304" s="28"/>
      <c r="D304" s="28"/>
      <c r="E304" s="28"/>
      <c r="F304" s="28"/>
      <c r="G304" s="28"/>
      <c r="H304" s="28"/>
      <c r="I304" s="28"/>
      <c r="J304" s="28"/>
      <c r="K304" s="28"/>
      <c r="L304" s="28"/>
      <c r="M304" s="28"/>
      <c r="N304" s="28"/>
      <c r="O304" s="28"/>
      <c r="P304" s="28"/>
    </row>
    <row r="305">
      <c r="A305" s="28"/>
      <c r="B305" s="28"/>
      <c r="C305" s="28"/>
      <c r="D305" s="28"/>
      <c r="E305" s="28"/>
      <c r="F305" s="28"/>
      <c r="G305" s="28"/>
      <c r="H305" s="28"/>
      <c r="I305" s="28"/>
      <c r="J305" s="28"/>
      <c r="K305" s="28"/>
      <c r="L305" s="28"/>
      <c r="M305" s="28"/>
      <c r="N305" s="28"/>
      <c r="O305" s="28"/>
      <c r="P305" s="28"/>
    </row>
    <row r="306">
      <c r="A306" s="28"/>
      <c r="B306" s="28"/>
      <c r="C306" s="28"/>
      <c r="D306" s="28"/>
      <c r="E306" s="28"/>
      <c r="F306" s="28"/>
      <c r="G306" s="28"/>
      <c r="H306" s="28"/>
      <c r="I306" s="28"/>
      <c r="J306" s="28"/>
      <c r="K306" s="28"/>
      <c r="L306" s="28"/>
      <c r="M306" s="28"/>
      <c r="N306" s="28"/>
      <c r="O306" s="28"/>
      <c r="P306" s="28"/>
    </row>
    <row r="307">
      <c r="A307" s="28"/>
      <c r="B307" s="28"/>
      <c r="C307" s="28"/>
      <c r="D307" s="28"/>
      <c r="E307" s="28"/>
      <c r="F307" s="28"/>
      <c r="G307" s="28"/>
      <c r="H307" s="28"/>
      <c r="I307" s="28"/>
      <c r="J307" s="28"/>
      <c r="K307" s="28"/>
      <c r="L307" s="28"/>
      <c r="M307" s="28"/>
      <c r="N307" s="28"/>
      <c r="O307" s="28"/>
      <c r="P307" s="28"/>
    </row>
    <row r="308">
      <c r="A308" s="28"/>
      <c r="B308" s="28"/>
      <c r="C308" s="28"/>
      <c r="D308" s="28"/>
      <c r="E308" s="28"/>
      <c r="F308" s="28"/>
      <c r="G308" s="28"/>
      <c r="H308" s="28"/>
      <c r="I308" s="28"/>
      <c r="J308" s="28"/>
      <c r="K308" s="28"/>
      <c r="L308" s="28"/>
      <c r="M308" s="28"/>
      <c r="N308" s="28"/>
      <c r="O308" s="28"/>
      <c r="P308" s="28"/>
    </row>
    <row r="309">
      <c r="A309" s="28"/>
      <c r="B309" s="28"/>
      <c r="C309" s="28"/>
      <c r="D309" s="28"/>
      <c r="E309" s="28"/>
      <c r="F309" s="28"/>
      <c r="G309" s="28"/>
      <c r="H309" s="28"/>
      <c r="I309" s="28"/>
      <c r="J309" s="28"/>
      <c r="K309" s="28"/>
      <c r="L309" s="28"/>
      <c r="M309" s="28"/>
      <c r="N309" s="28"/>
      <c r="O309" s="28"/>
      <c r="P309" s="28"/>
    </row>
    <row r="310">
      <c r="A310" s="28"/>
      <c r="B310" s="28"/>
      <c r="C310" s="28"/>
      <c r="D310" s="28"/>
      <c r="E310" s="28"/>
      <c r="F310" s="28"/>
      <c r="G310" s="28"/>
      <c r="H310" s="28"/>
      <c r="I310" s="28"/>
      <c r="J310" s="28"/>
      <c r="K310" s="28"/>
      <c r="L310" s="28"/>
      <c r="M310" s="28"/>
      <c r="N310" s="28"/>
      <c r="O310" s="28"/>
      <c r="P310" s="28"/>
    </row>
    <row r="311">
      <c r="A311" s="28"/>
      <c r="B311" s="28"/>
      <c r="C311" s="28"/>
      <c r="D311" s="28"/>
      <c r="E311" s="28"/>
      <c r="F311" s="28"/>
      <c r="G311" s="28"/>
      <c r="H311" s="28"/>
      <c r="I311" s="28"/>
      <c r="J311" s="28"/>
      <c r="K311" s="28"/>
      <c r="L311" s="28"/>
      <c r="M311" s="28"/>
      <c r="N311" s="28"/>
      <c r="O311" s="28"/>
      <c r="P311" s="28"/>
    </row>
    <row r="312">
      <c r="A312" s="28"/>
      <c r="B312" s="28"/>
      <c r="C312" s="28"/>
      <c r="D312" s="28"/>
      <c r="E312" s="28"/>
      <c r="F312" s="28"/>
      <c r="G312" s="28"/>
      <c r="H312" s="28"/>
      <c r="I312" s="28"/>
      <c r="J312" s="28"/>
      <c r="K312" s="28"/>
      <c r="L312" s="28"/>
      <c r="M312" s="28"/>
      <c r="N312" s="28"/>
      <c r="O312" s="28"/>
      <c r="P312" s="28"/>
    </row>
    <row r="313">
      <c r="A313" s="28"/>
      <c r="B313" s="28"/>
      <c r="C313" s="28"/>
      <c r="D313" s="28"/>
      <c r="E313" s="28"/>
      <c r="F313" s="28"/>
      <c r="G313" s="28"/>
      <c r="H313" s="28"/>
      <c r="I313" s="28"/>
      <c r="J313" s="28"/>
      <c r="K313" s="28"/>
      <c r="L313" s="28"/>
      <c r="M313" s="28"/>
      <c r="N313" s="28"/>
      <c r="O313" s="28"/>
      <c r="P313" s="28"/>
    </row>
    <row r="314">
      <c r="A314" s="28"/>
      <c r="B314" s="28"/>
      <c r="C314" s="28"/>
      <c r="D314" s="28"/>
      <c r="E314" s="28"/>
      <c r="F314" s="28"/>
      <c r="G314" s="28"/>
      <c r="H314" s="28"/>
      <c r="I314" s="28"/>
      <c r="J314" s="28"/>
      <c r="K314" s="28"/>
      <c r="L314" s="28"/>
      <c r="M314" s="28"/>
      <c r="N314" s="28"/>
      <c r="O314" s="28"/>
      <c r="P314" s="28"/>
    </row>
    <row r="315">
      <c r="A315" s="28"/>
      <c r="B315" s="28"/>
      <c r="C315" s="28"/>
      <c r="D315" s="28"/>
      <c r="E315" s="28"/>
      <c r="F315" s="28"/>
      <c r="G315" s="28"/>
      <c r="H315" s="28"/>
      <c r="I315" s="28"/>
      <c r="J315" s="28"/>
      <c r="K315" s="28"/>
      <c r="L315" s="28"/>
      <c r="M315" s="28"/>
      <c r="N315" s="28"/>
      <c r="O315" s="28"/>
      <c r="P315" s="28"/>
    </row>
    <row r="316">
      <c r="A316" s="28"/>
      <c r="B316" s="28"/>
      <c r="C316" s="28"/>
      <c r="D316" s="28"/>
      <c r="E316" s="28"/>
      <c r="F316" s="28"/>
      <c r="G316" s="28"/>
      <c r="H316" s="28"/>
      <c r="I316" s="28"/>
      <c r="J316" s="28"/>
      <c r="K316" s="28"/>
      <c r="L316" s="28"/>
      <c r="M316" s="28"/>
      <c r="N316" s="28"/>
      <c r="O316" s="28"/>
      <c r="P316" s="28"/>
    </row>
    <row r="317">
      <c r="A317" s="28"/>
      <c r="B317" s="28"/>
      <c r="C317" s="28"/>
      <c r="D317" s="28"/>
      <c r="E317" s="28"/>
      <c r="F317" s="28"/>
      <c r="G317" s="28"/>
      <c r="H317" s="28"/>
      <c r="I317" s="28"/>
      <c r="J317" s="28"/>
      <c r="K317" s="28"/>
      <c r="L317" s="28"/>
      <c r="M317" s="28"/>
      <c r="N317" s="28"/>
      <c r="O317" s="28"/>
      <c r="P317" s="28"/>
    </row>
    <row r="318">
      <c r="A318" s="28"/>
      <c r="B318" s="28"/>
      <c r="C318" s="28"/>
      <c r="D318" s="28"/>
      <c r="E318" s="28"/>
      <c r="F318" s="28"/>
      <c r="G318" s="28"/>
      <c r="H318" s="28"/>
      <c r="I318" s="28"/>
      <c r="J318" s="28"/>
      <c r="K318" s="28"/>
      <c r="L318" s="28"/>
      <c r="M318" s="28"/>
      <c r="N318" s="28"/>
      <c r="O318" s="28"/>
      <c r="P318" s="28"/>
    </row>
    <row r="319">
      <c r="A319" s="28"/>
      <c r="B319" s="28"/>
      <c r="C319" s="28"/>
      <c r="D319" s="28"/>
      <c r="E319" s="28"/>
      <c r="F319" s="28"/>
      <c r="G319" s="28"/>
      <c r="H319" s="28"/>
      <c r="I319" s="28"/>
      <c r="J319" s="28"/>
      <c r="K319" s="28"/>
      <c r="L319" s="28"/>
      <c r="M319" s="28"/>
      <c r="N319" s="28"/>
      <c r="O319" s="28"/>
      <c r="P319" s="28"/>
    </row>
    <row r="320">
      <c r="A320" s="28"/>
      <c r="B320" s="28"/>
      <c r="C320" s="28"/>
      <c r="D320" s="28"/>
      <c r="E320" s="28"/>
      <c r="F320" s="28"/>
      <c r="G320" s="28"/>
      <c r="H320" s="28"/>
      <c r="I320" s="28"/>
      <c r="J320" s="28"/>
      <c r="K320" s="28"/>
      <c r="L320" s="28"/>
      <c r="M320" s="28"/>
      <c r="N320" s="28"/>
      <c r="O320" s="28"/>
      <c r="P320" s="28"/>
    </row>
    <row r="321">
      <c r="A321" s="28"/>
      <c r="B321" s="28"/>
      <c r="C321" s="28"/>
      <c r="D321" s="28"/>
      <c r="E321" s="28"/>
      <c r="F321" s="28"/>
      <c r="G321" s="28"/>
      <c r="H321" s="28"/>
      <c r="I321" s="28"/>
      <c r="J321" s="28"/>
      <c r="K321" s="28"/>
      <c r="L321" s="28"/>
      <c r="M321" s="28"/>
      <c r="N321" s="28"/>
      <c r="O321" s="28"/>
      <c r="P321" s="28"/>
    </row>
    <row r="322">
      <c r="A322" s="28"/>
      <c r="B322" s="28"/>
      <c r="C322" s="28"/>
      <c r="D322" s="28"/>
      <c r="E322" s="28"/>
      <c r="F322" s="28"/>
      <c r="G322" s="28"/>
      <c r="H322" s="28"/>
      <c r="I322" s="28"/>
      <c r="J322" s="28"/>
      <c r="K322" s="28"/>
      <c r="L322" s="28"/>
      <c r="M322" s="28"/>
      <c r="N322" s="28"/>
      <c r="O322" s="28"/>
      <c r="P322" s="28"/>
    </row>
    <row r="323">
      <c r="A323" s="28"/>
      <c r="B323" s="28"/>
      <c r="C323" s="28"/>
      <c r="D323" s="28"/>
      <c r="E323" s="28"/>
      <c r="F323" s="28"/>
      <c r="G323" s="28"/>
      <c r="H323" s="28"/>
      <c r="I323" s="28"/>
      <c r="J323" s="28"/>
      <c r="K323" s="28"/>
      <c r="L323" s="28"/>
      <c r="M323" s="28"/>
      <c r="N323" s="28"/>
      <c r="O323" s="28"/>
      <c r="P323" s="28"/>
    </row>
    <row r="324">
      <c r="A324" s="28"/>
      <c r="B324" s="28"/>
      <c r="C324" s="28"/>
      <c r="D324" s="28"/>
      <c r="E324" s="28"/>
      <c r="F324" s="28"/>
      <c r="G324" s="28"/>
      <c r="H324" s="28"/>
      <c r="I324" s="28"/>
      <c r="J324" s="28"/>
      <c r="K324" s="28"/>
      <c r="L324" s="28"/>
      <c r="M324" s="28"/>
      <c r="N324" s="28"/>
      <c r="O324" s="28"/>
      <c r="P324" s="28"/>
    </row>
    <row r="325">
      <c r="A325" s="28"/>
      <c r="B325" s="28"/>
      <c r="C325" s="28"/>
      <c r="D325" s="28"/>
      <c r="E325" s="28"/>
      <c r="F325" s="28"/>
      <c r="G325" s="28"/>
      <c r="H325" s="28"/>
      <c r="I325" s="28"/>
      <c r="J325" s="28"/>
      <c r="K325" s="28"/>
      <c r="L325" s="28"/>
      <c r="M325" s="28"/>
      <c r="N325" s="28"/>
      <c r="O325" s="28"/>
      <c r="P325" s="28"/>
    </row>
    <row r="326">
      <c r="A326" s="28"/>
      <c r="B326" s="28"/>
      <c r="C326" s="28"/>
      <c r="D326" s="28"/>
      <c r="E326" s="28"/>
      <c r="F326" s="28"/>
      <c r="G326" s="28"/>
      <c r="H326" s="28"/>
      <c r="I326" s="28"/>
      <c r="J326" s="28"/>
      <c r="K326" s="28"/>
      <c r="L326" s="28"/>
      <c r="M326" s="28"/>
      <c r="N326" s="28"/>
      <c r="O326" s="28"/>
      <c r="P326" s="28"/>
    </row>
    <row r="327">
      <c r="A327" s="28"/>
      <c r="B327" s="28"/>
      <c r="C327" s="28"/>
      <c r="D327" s="28"/>
      <c r="E327" s="28"/>
      <c r="F327" s="28"/>
      <c r="G327" s="28"/>
      <c r="H327" s="28"/>
      <c r="I327" s="28"/>
      <c r="J327" s="28"/>
      <c r="K327" s="28"/>
      <c r="L327" s="28"/>
      <c r="M327" s="28"/>
      <c r="N327" s="28"/>
      <c r="O327" s="28"/>
      <c r="P327" s="28"/>
    </row>
    <row r="328">
      <c r="A328" s="28"/>
      <c r="B328" s="28"/>
      <c r="C328" s="28"/>
      <c r="D328" s="28"/>
      <c r="E328" s="28"/>
      <c r="F328" s="28"/>
      <c r="G328" s="28"/>
      <c r="H328" s="28"/>
      <c r="I328" s="28"/>
      <c r="J328" s="28"/>
      <c r="K328" s="28"/>
      <c r="L328" s="28"/>
      <c r="M328" s="28"/>
      <c r="N328" s="28"/>
      <c r="O328" s="28"/>
      <c r="P328" s="28"/>
    </row>
    <row r="329">
      <c r="A329" s="28"/>
      <c r="B329" s="28"/>
      <c r="C329" s="28"/>
      <c r="D329" s="28"/>
      <c r="E329" s="28"/>
      <c r="F329" s="28"/>
      <c r="G329" s="28"/>
      <c r="H329" s="28"/>
      <c r="I329" s="28"/>
      <c r="J329" s="28"/>
      <c r="K329" s="28"/>
      <c r="L329" s="28"/>
      <c r="M329" s="28"/>
      <c r="N329" s="28"/>
      <c r="O329" s="28"/>
      <c r="P329" s="28"/>
    </row>
    <row r="330">
      <c r="A330" s="28"/>
      <c r="B330" s="28"/>
      <c r="C330" s="28"/>
      <c r="D330" s="28"/>
      <c r="E330" s="28"/>
      <c r="F330" s="28"/>
      <c r="G330" s="28"/>
      <c r="H330" s="28"/>
      <c r="I330" s="28"/>
      <c r="J330" s="28"/>
      <c r="K330" s="28"/>
      <c r="L330" s="28"/>
      <c r="M330" s="28"/>
      <c r="N330" s="28"/>
      <c r="O330" s="28"/>
      <c r="P330" s="28"/>
    </row>
    <row r="331">
      <c r="A331" s="28"/>
      <c r="B331" s="28"/>
      <c r="C331" s="28"/>
      <c r="D331" s="28"/>
      <c r="E331" s="28"/>
      <c r="F331" s="28"/>
      <c r="G331" s="28"/>
      <c r="H331" s="28"/>
      <c r="I331" s="28"/>
      <c r="J331" s="28"/>
      <c r="K331" s="28"/>
      <c r="L331" s="28"/>
      <c r="M331" s="28"/>
      <c r="N331" s="28"/>
      <c r="O331" s="28"/>
      <c r="P331" s="28"/>
    </row>
    <row r="332">
      <c r="A332" s="28"/>
      <c r="B332" s="28"/>
      <c r="C332" s="28"/>
      <c r="D332" s="28"/>
      <c r="E332" s="28"/>
      <c r="F332" s="28"/>
      <c r="G332" s="28"/>
      <c r="H332" s="28"/>
      <c r="I332" s="28"/>
      <c r="J332" s="28"/>
      <c r="K332" s="28"/>
      <c r="L332" s="28"/>
      <c r="M332" s="28"/>
      <c r="N332" s="28"/>
      <c r="O332" s="28"/>
      <c r="P332" s="28"/>
    </row>
    <row r="333">
      <c r="A333" s="28"/>
      <c r="B333" s="28"/>
      <c r="C333" s="28"/>
      <c r="D333" s="28"/>
      <c r="E333" s="28"/>
      <c r="F333" s="28"/>
      <c r="G333" s="28"/>
      <c r="H333" s="28"/>
      <c r="I333" s="28"/>
      <c r="J333" s="28"/>
      <c r="K333" s="28"/>
      <c r="L333" s="28"/>
      <c r="M333" s="28"/>
      <c r="N333" s="28"/>
      <c r="O333" s="28"/>
      <c r="P333" s="28"/>
    </row>
    <row r="334">
      <c r="A334" s="28"/>
      <c r="B334" s="28"/>
      <c r="C334" s="28"/>
      <c r="D334" s="28"/>
      <c r="E334" s="28"/>
      <c r="F334" s="28"/>
      <c r="G334" s="28"/>
      <c r="H334" s="28"/>
      <c r="I334" s="28"/>
      <c r="J334" s="28"/>
      <c r="K334" s="28"/>
      <c r="L334" s="28"/>
      <c r="M334" s="28"/>
      <c r="N334" s="28"/>
      <c r="O334" s="28"/>
      <c r="P334" s="28"/>
    </row>
    <row r="335">
      <c r="A335" s="28"/>
      <c r="B335" s="28"/>
      <c r="C335" s="28"/>
      <c r="D335" s="28"/>
      <c r="E335" s="28"/>
      <c r="F335" s="28"/>
      <c r="G335" s="28"/>
      <c r="H335" s="28"/>
      <c r="I335" s="28"/>
      <c r="J335" s="28"/>
      <c r="K335" s="28"/>
      <c r="L335" s="28"/>
      <c r="M335" s="28"/>
      <c r="N335" s="28"/>
      <c r="O335" s="28"/>
      <c r="P335" s="28"/>
    </row>
    <row r="336">
      <c r="A336" s="28"/>
      <c r="B336" s="28"/>
      <c r="C336" s="28"/>
      <c r="D336" s="28"/>
      <c r="E336" s="28"/>
      <c r="F336" s="28"/>
      <c r="G336" s="28"/>
      <c r="H336" s="28"/>
      <c r="I336" s="28"/>
      <c r="J336" s="28"/>
      <c r="K336" s="28"/>
      <c r="L336" s="28"/>
      <c r="M336" s="28"/>
      <c r="N336" s="28"/>
      <c r="O336" s="28"/>
      <c r="P336" s="28"/>
    </row>
    <row r="337">
      <c r="A337" s="28"/>
      <c r="B337" s="28"/>
      <c r="C337" s="28"/>
      <c r="D337" s="28"/>
      <c r="E337" s="28"/>
      <c r="F337" s="28"/>
      <c r="G337" s="28"/>
      <c r="H337" s="28"/>
      <c r="I337" s="28"/>
      <c r="J337" s="28"/>
      <c r="K337" s="28"/>
      <c r="L337" s="28"/>
      <c r="M337" s="28"/>
      <c r="N337" s="28"/>
      <c r="O337" s="28"/>
      <c r="P337" s="28"/>
    </row>
    <row r="338">
      <c r="A338" s="28"/>
      <c r="B338" s="28"/>
      <c r="C338" s="28"/>
      <c r="D338" s="28"/>
      <c r="E338" s="28"/>
      <c r="F338" s="28"/>
      <c r="G338" s="28"/>
      <c r="H338" s="28"/>
      <c r="I338" s="28"/>
      <c r="J338" s="28"/>
      <c r="K338" s="28"/>
      <c r="L338" s="28"/>
      <c r="M338" s="28"/>
      <c r="N338" s="28"/>
      <c r="O338" s="28"/>
      <c r="P338" s="28"/>
    </row>
    <row r="339">
      <c r="A339" s="28"/>
      <c r="B339" s="28"/>
      <c r="C339" s="28"/>
      <c r="D339" s="28"/>
      <c r="E339" s="28"/>
      <c r="F339" s="28"/>
      <c r="G339" s="28"/>
      <c r="H339" s="28"/>
      <c r="I339" s="28"/>
      <c r="J339" s="28"/>
      <c r="K339" s="28"/>
      <c r="L339" s="28"/>
      <c r="M339" s="28"/>
      <c r="N339" s="28"/>
      <c r="O339" s="28"/>
      <c r="P339" s="28"/>
    </row>
    <row r="340">
      <c r="A340" s="28"/>
      <c r="B340" s="28"/>
      <c r="C340" s="28"/>
      <c r="D340" s="28"/>
      <c r="E340" s="28"/>
      <c r="F340" s="28"/>
      <c r="G340" s="28"/>
      <c r="H340" s="28"/>
      <c r="I340" s="28"/>
      <c r="J340" s="28"/>
      <c r="K340" s="28"/>
      <c r="L340" s="28"/>
      <c r="M340" s="28"/>
      <c r="N340" s="28"/>
      <c r="O340" s="28"/>
      <c r="P340" s="28"/>
    </row>
    <row r="341">
      <c r="A341" s="28"/>
      <c r="B341" s="28"/>
      <c r="C341" s="28"/>
      <c r="D341" s="28"/>
      <c r="E341" s="28"/>
      <c r="F341" s="28"/>
      <c r="G341" s="28"/>
      <c r="H341" s="28"/>
      <c r="I341" s="28"/>
      <c r="J341" s="28"/>
      <c r="K341" s="28"/>
      <c r="L341" s="28"/>
      <c r="M341" s="28"/>
      <c r="N341" s="28"/>
      <c r="O341" s="28"/>
      <c r="P341" s="28"/>
    </row>
    <row r="342">
      <c r="A342" s="28"/>
      <c r="B342" s="28"/>
      <c r="C342" s="28"/>
      <c r="D342" s="28"/>
      <c r="E342" s="28"/>
      <c r="F342" s="28"/>
      <c r="G342" s="28"/>
      <c r="H342" s="28"/>
      <c r="I342" s="28"/>
      <c r="J342" s="28"/>
      <c r="K342" s="28"/>
      <c r="L342" s="28"/>
      <c r="M342" s="28"/>
      <c r="N342" s="28"/>
      <c r="O342" s="28"/>
      <c r="P342" s="28"/>
    </row>
    <row r="343">
      <c r="A343" s="28"/>
      <c r="B343" s="28"/>
      <c r="C343" s="28"/>
      <c r="D343" s="28"/>
      <c r="E343" s="28"/>
      <c r="F343" s="28"/>
      <c r="G343" s="28"/>
      <c r="H343" s="28"/>
      <c r="I343" s="28"/>
      <c r="J343" s="28"/>
      <c r="K343" s="28"/>
      <c r="L343" s="28"/>
      <c r="M343" s="28"/>
      <c r="N343" s="28"/>
      <c r="O343" s="28"/>
      <c r="P343" s="28"/>
    </row>
    <row r="344">
      <c r="A344" s="28"/>
      <c r="B344" s="28"/>
      <c r="C344" s="28"/>
      <c r="D344" s="28"/>
      <c r="E344" s="28"/>
      <c r="F344" s="28"/>
      <c r="G344" s="28"/>
      <c r="H344" s="28"/>
      <c r="I344" s="28"/>
      <c r="J344" s="28"/>
      <c r="K344" s="28"/>
      <c r="L344" s="28"/>
      <c r="M344" s="28"/>
      <c r="N344" s="28"/>
      <c r="O344" s="28"/>
      <c r="P344" s="28"/>
    </row>
    <row r="345">
      <c r="A345" s="28"/>
      <c r="B345" s="28"/>
      <c r="C345" s="28"/>
      <c r="D345" s="28"/>
      <c r="E345" s="28"/>
      <c r="F345" s="28"/>
      <c r="G345" s="28"/>
      <c r="H345" s="28"/>
      <c r="I345" s="28"/>
      <c r="J345" s="28"/>
      <c r="K345" s="28"/>
      <c r="L345" s="28"/>
      <c r="M345" s="28"/>
      <c r="N345" s="28"/>
      <c r="O345" s="28"/>
      <c r="P345" s="28"/>
    </row>
    <row r="346">
      <c r="A346" s="28"/>
      <c r="B346" s="28"/>
      <c r="C346" s="28"/>
      <c r="D346" s="28"/>
      <c r="E346" s="28"/>
      <c r="F346" s="28"/>
      <c r="G346" s="28"/>
      <c r="H346" s="28"/>
      <c r="I346" s="28"/>
      <c r="J346" s="28"/>
      <c r="K346" s="28"/>
      <c r="L346" s="28"/>
      <c r="M346" s="28"/>
      <c r="N346" s="28"/>
      <c r="O346" s="28"/>
      <c r="P346" s="28"/>
    </row>
    <row r="347">
      <c r="A347" s="28"/>
      <c r="B347" s="28"/>
      <c r="C347" s="28"/>
      <c r="D347" s="28"/>
      <c r="E347" s="28"/>
      <c r="F347" s="28"/>
      <c r="G347" s="28"/>
      <c r="H347" s="28"/>
      <c r="I347" s="28"/>
      <c r="J347" s="28"/>
      <c r="K347" s="28"/>
      <c r="L347" s="28"/>
      <c r="M347" s="28"/>
      <c r="N347" s="28"/>
      <c r="O347" s="28"/>
      <c r="P347" s="28"/>
    </row>
    <row r="348">
      <c r="A348" s="28"/>
      <c r="B348" s="28"/>
      <c r="C348" s="28"/>
      <c r="D348" s="28"/>
      <c r="E348" s="28"/>
      <c r="F348" s="28"/>
      <c r="G348" s="28"/>
      <c r="H348" s="28"/>
      <c r="I348" s="28"/>
      <c r="J348" s="28"/>
      <c r="K348" s="28"/>
      <c r="L348" s="28"/>
      <c r="M348" s="28"/>
      <c r="N348" s="28"/>
      <c r="O348" s="28"/>
      <c r="P348" s="28"/>
    </row>
    <row r="349">
      <c r="A349" s="28"/>
      <c r="B349" s="28"/>
      <c r="C349" s="28"/>
      <c r="D349" s="28"/>
      <c r="E349" s="28"/>
      <c r="F349" s="28"/>
      <c r="G349" s="28"/>
      <c r="H349" s="28"/>
      <c r="I349" s="28"/>
      <c r="J349" s="28"/>
      <c r="K349" s="28"/>
      <c r="L349" s="28"/>
      <c r="M349" s="28"/>
      <c r="N349" s="28"/>
      <c r="O349" s="28"/>
      <c r="P349" s="28"/>
    </row>
    <row r="350">
      <c r="A350" s="28"/>
      <c r="B350" s="28"/>
      <c r="C350" s="28"/>
      <c r="D350" s="28"/>
      <c r="E350" s="28"/>
      <c r="F350" s="28"/>
      <c r="G350" s="28"/>
      <c r="H350" s="28"/>
      <c r="I350" s="28"/>
      <c r="J350" s="28"/>
      <c r="K350" s="28"/>
      <c r="L350" s="28"/>
      <c r="M350" s="28"/>
      <c r="N350" s="28"/>
      <c r="O350" s="28"/>
      <c r="P350" s="28"/>
    </row>
    <row r="351">
      <c r="A351" s="28"/>
      <c r="B351" s="28"/>
      <c r="C351" s="28"/>
      <c r="D351" s="28"/>
      <c r="E351" s="28"/>
      <c r="F351" s="28"/>
      <c r="G351" s="28"/>
      <c r="H351" s="28"/>
      <c r="I351" s="28"/>
      <c r="J351" s="28"/>
      <c r="K351" s="28"/>
      <c r="L351" s="28"/>
      <c r="M351" s="28"/>
      <c r="N351" s="28"/>
      <c r="O351" s="28"/>
      <c r="P351" s="28"/>
    </row>
    <row r="352">
      <c r="A352" s="28"/>
      <c r="B352" s="28"/>
      <c r="C352" s="28"/>
      <c r="D352" s="28"/>
      <c r="E352" s="28"/>
      <c r="F352" s="28"/>
      <c r="G352" s="28"/>
      <c r="H352" s="28"/>
      <c r="I352" s="28"/>
      <c r="J352" s="28"/>
      <c r="K352" s="28"/>
      <c r="L352" s="28"/>
      <c r="M352" s="28"/>
      <c r="N352" s="28"/>
      <c r="O352" s="28"/>
      <c r="P352" s="28"/>
    </row>
    <row r="353">
      <c r="A353" s="28"/>
      <c r="B353" s="28"/>
      <c r="C353" s="28"/>
      <c r="D353" s="28"/>
      <c r="E353" s="28"/>
      <c r="F353" s="28"/>
      <c r="G353" s="28"/>
      <c r="H353" s="28"/>
      <c r="I353" s="28"/>
      <c r="J353" s="28"/>
      <c r="K353" s="28"/>
      <c r="L353" s="28"/>
      <c r="M353" s="28"/>
      <c r="N353" s="28"/>
      <c r="O353" s="28"/>
      <c r="P353" s="28"/>
    </row>
    <row r="354">
      <c r="A354" s="28"/>
      <c r="B354" s="28"/>
      <c r="C354" s="28"/>
      <c r="D354" s="28"/>
      <c r="E354" s="28"/>
      <c r="F354" s="28"/>
      <c r="G354" s="28"/>
      <c r="H354" s="28"/>
      <c r="I354" s="28"/>
      <c r="J354" s="28"/>
      <c r="K354" s="28"/>
      <c r="L354" s="28"/>
      <c r="M354" s="28"/>
      <c r="N354" s="28"/>
      <c r="O354" s="28"/>
      <c r="P354" s="28"/>
    </row>
    <row r="355">
      <c r="A355" s="28"/>
      <c r="B355" s="28"/>
      <c r="C355" s="28"/>
      <c r="D355" s="28"/>
      <c r="E355" s="28"/>
      <c r="F355" s="28"/>
      <c r="G355" s="28"/>
      <c r="H355" s="28"/>
      <c r="I355" s="28"/>
      <c r="J355" s="28"/>
      <c r="K355" s="28"/>
      <c r="L355" s="28"/>
      <c r="M355" s="28"/>
      <c r="N355" s="28"/>
      <c r="O355" s="28"/>
      <c r="P355" s="28"/>
    </row>
    <row r="356">
      <c r="A356" s="28"/>
      <c r="B356" s="28"/>
      <c r="C356" s="28"/>
      <c r="D356" s="28"/>
      <c r="E356" s="28"/>
      <c r="F356" s="28"/>
      <c r="G356" s="28"/>
      <c r="H356" s="28"/>
      <c r="I356" s="28"/>
      <c r="J356" s="28"/>
      <c r="K356" s="28"/>
      <c r="L356" s="28"/>
      <c r="M356" s="28"/>
      <c r="N356" s="28"/>
      <c r="O356" s="28"/>
      <c r="P356" s="28"/>
    </row>
    <row r="357">
      <c r="A357" s="28"/>
      <c r="B357" s="28"/>
      <c r="C357" s="28"/>
      <c r="D357" s="28"/>
      <c r="E357" s="28"/>
      <c r="F357" s="28"/>
      <c r="G357" s="28"/>
      <c r="H357" s="28"/>
      <c r="I357" s="28"/>
      <c r="J357" s="28"/>
      <c r="K357" s="28"/>
      <c r="L357" s="28"/>
      <c r="M357" s="28"/>
      <c r="N357" s="28"/>
      <c r="O357" s="28"/>
      <c r="P357" s="28"/>
    </row>
    <row r="358">
      <c r="A358" s="28"/>
      <c r="B358" s="28"/>
      <c r="C358" s="28"/>
      <c r="D358" s="28"/>
      <c r="E358" s="28"/>
      <c r="F358" s="28"/>
      <c r="G358" s="28"/>
      <c r="H358" s="28"/>
      <c r="I358" s="28"/>
      <c r="J358" s="28"/>
      <c r="K358" s="28"/>
      <c r="L358" s="28"/>
      <c r="M358" s="28"/>
      <c r="N358" s="28"/>
      <c r="O358" s="28"/>
      <c r="P358" s="28"/>
    </row>
    <row r="359">
      <c r="A359" s="28"/>
      <c r="B359" s="28"/>
      <c r="C359" s="28"/>
      <c r="D359" s="28"/>
      <c r="E359" s="28"/>
      <c r="F359" s="28"/>
      <c r="G359" s="28"/>
      <c r="H359" s="28"/>
      <c r="I359" s="28"/>
      <c r="J359" s="28"/>
      <c r="K359" s="28"/>
      <c r="L359" s="28"/>
      <c r="M359" s="28"/>
      <c r="N359" s="28"/>
      <c r="O359" s="28"/>
      <c r="P359" s="28"/>
    </row>
    <row r="360">
      <c r="A360" s="28"/>
      <c r="B360" s="28"/>
      <c r="C360" s="28"/>
      <c r="D360" s="28"/>
      <c r="E360" s="28"/>
      <c r="F360" s="28"/>
      <c r="G360" s="28"/>
      <c r="H360" s="28"/>
      <c r="I360" s="28"/>
      <c r="J360" s="28"/>
      <c r="K360" s="28"/>
      <c r="L360" s="28"/>
      <c r="M360" s="28"/>
      <c r="N360" s="28"/>
      <c r="O360" s="28"/>
      <c r="P360" s="28"/>
    </row>
    <row r="361">
      <c r="A361" s="28"/>
      <c r="B361" s="28"/>
      <c r="C361" s="28"/>
      <c r="D361" s="28"/>
      <c r="E361" s="28"/>
      <c r="F361" s="28"/>
      <c r="G361" s="28"/>
      <c r="H361" s="28"/>
      <c r="I361" s="28"/>
      <c r="J361" s="28"/>
      <c r="K361" s="28"/>
      <c r="L361" s="28"/>
      <c r="M361" s="28"/>
      <c r="N361" s="28"/>
      <c r="O361" s="28"/>
      <c r="P361" s="28"/>
    </row>
    <row r="362">
      <c r="A362" s="28"/>
      <c r="B362" s="28"/>
      <c r="C362" s="28"/>
      <c r="D362" s="28"/>
      <c r="E362" s="28"/>
      <c r="F362" s="28"/>
      <c r="G362" s="28"/>
      <c r="H362" s="28"/>
      <c r="I362" s="28"/>
      <c r="J362" s="28"/>
      <c r="K362" s="28"/>
      <c r="L362" s="28"/>
      <c r="M362" s="28"/>
      <c r="N362" s="28"/>
      <c r="O362" s="28"/>
      <c r="P362" s="28"/>
    </row>
    <row r="363">
      <c r="A363" s="28"/>
      <c r="B363" s="28"/>
      <c r="C363" s="28"/>
      <c r="D363" s="28"/>
      <c r="E363" s="28"/>
      <c r="F363" s="28"/>
      <c r="G363" s="28"/>
      <c r="H363" s="28"/>
      <c r="I363" s="28"/>
      <c r="J363" s="28"/>
      <c r="K363" s="28"/>
      <c r="L363" s="28"/>
      <c r="M363" s="28"/>
      <c r="N363" s="28"/>
      <c r="O363" s="28"/>
      <c r="P363" s="28"/>
    </row>
    <row r="364">
      <c r="A364" s="28"/>
      <c r="B364" s="28"/>
      <c r="C364" s="28"/>
      <c r="D364" s="28"/>
      <c r="E364" s="28"/>
      <c r="F364" s="28"/>
      <c r="G364" s="28"/>
      <c r="H364" s="28"/>
      <c r="I364" s="28"/>
      <c r="J364" s="28"/>
      <c r="K364" s="28"/>
      <c r="L364" s="28"/>
      <c r="M364" s="28"/>
      <c r="N364" s="28"/>
      <c r="O364" s="28"/>
      <c r="P364" s="28"/>
    </row>
    <row r="365">
      <c r="A365" s="28"/>
      <c r="B365" s="28"/>
      <c r="C365" s="28"/>
      <c r="D365" s="28"/>
      <c r="E365" s="28"/>
      <c r="F365" s="28"/>
      <c r="G365" s="28"/>
      <c r="H365" s="28"/>
      <c r="I365" s="28"/>
      <c r="J365" s="28"/>
      <c r="K365" s="28"/>
      <c r="L365" s="28"/>
      <c r="M365" s="28"/>
      <c r="N365" s="28"/>
      <c r="O365" s="28"/>
      <c r="P365" s="28"/>
    </row>
    <row r="366">
      <c r="A366" s="28"/>
      <c r="B366" s="28"/>
      <c r="C366" s="28"/>
      <c r="D366" s="28"/>
      <c r="E366" s="28"/>
      <c r="F366" s="28"/>
      <c r="G366" s="28"/>
      <c r="H366" s="28"/>
      <c r="I366" s="28"/>
      <c r="J366" s="28"/>
      <c r="K366" s="28"/>
      <c r="L366" s="28"/>
      <c r="M366" s="28"/>
      <c r="N366" s="28"/>
      <c r="O366" s="28"/>
      <c r="P366" s="28"/>
    </row>
    <row r="367">
      <c r="A367" s="28"/>
      <c r="B367" s="28"/>
      <c r="C367" s="28"/>
      <c r="D367" s="28"/>
      <c r="E367" s="28"/>
      <c r="F367" s="28"/>
      <c r="G367" s="28"/>
      <c r="H367" s="28"/>
      <c r="I367" s="28"/>
      <c r="J367" s="28"/>
      <c r="K367" s="28"/>
      <c r="L367" s="28"/>
      <c r="M367" s="28"/>
      <c r="N367" s="28"/>
      <c r="O367" s="28"/>
      <c r="P367" s="28"/>
    </row>
    <row r="368">
      <c r="A368" s="28"/>
      <c r="B368" s="28"/>
      <c r="C368" s="28"/>
      <c r="D368" s="28"/>
      <c r="E368" s="28"/>
      <c r="F368" s="28"/>
      <c r="G368" s="28"/>
      <c r="H368" s="28"/>
      <c r="I368" s="28"/>
      <c r="J368" s="28"/>
      <c r="K368" s="28"/>
      <c r="L368" s="28"/>
      <c r="M368" s="28"/>
      <c r="N368" s="28"/>
      <c r="O368" s="28"/>
      <c r="P368" s="28"/>
    </row>
    <row r="369">
      <c r="A369" s="28"/>
      <c r="B369" s="28"/>
      <c r="C369" s="28"/>
      <c r="D369" s="28"/>
      <c r="E369" s="28"/>
      <c r="F369" s="28"/>
      <c r="G369" s="28"/>
      <c r="H369" s="28"/>
      <c r="I369" s="28"/>
      <c r="J369" s="28"/>
      <c r="K369" s="28"/>
      <c r="L369" s="28"/>
      <c r="M369" s="28"/>
      <c r="N369" s="28"/>
      <c r="O369" s="28"/>
      <c r="P369" s="28"/>
    </row>
    <row r="370">
      <c r="A370" s="28"/>
      <c r="B370" s="28"/>
      <c r="C370" s="28"/>
      <c r="D370" s="28"/>
      <c r="E370" s="28"/>
      <c r="F370" s="28"/>
      <c r="G370" s="28"/>
      <c r="H370" s="28"/>
      <c r="I370" s="28"/>
      <c r="J370" s="28"/>
      <c r="K370" s="28"/>
      <c r="L370" s="28"/>
      <c r="M370" s="28"/>
      <c r="N370" s="28"/>
      <c r="O370" s="28"/>
      <c r="P370" s="28"/>
    </row>
    <row r="371">
      <c r="A371" s="28"/>
      <c r="B371" s="28"/>
      <c r="C371" s="28"/>
      <c r="D371" s="28"/>
      <c r="E371" s="28"/>
      <c r="F371" s="28"/>
      <c r="G371" s="28"/>
      <c r="H371" s="28"/>
      <c r="I371" s="28"/>
      <c r="J371" s="28"/>
      <c r="K371" s="28"/>
      <c r="L371" s="28"/>
      <c r="M371" s="28"/>
      <c r="N371" s="28"/>
      <c r="O371" s="28"/>
      <c r="P371" s="28"/>
    </row>
    <row r="372">
      <c r="A372" s="28"/>
      <c r="B372" s="28"/>
      <c r="C372" s="28"/>
      <c r="D372" s="28"/>
      <c r="E372" s="28"/>
      <c r="F372" s="28"/>
      <c r="G372" s="28"/>
      <c r="H372" s="28"/>
      <c r="I372" s="28"/>
      <c r="J372" s="28"/>
      <c r="K372" s="28"/>
      <c r="L372" s="28"/>
      <c r="M372" s="28"/>
      <c r="N372" s="28"/>
      <c r="O372" s="28"/>
      <c r="P372" s="28"/>
    </row>
    <row r="373">
      <c r="A373" s="28"/>
      <c r="B373" s="28"/>
      <c r="C373" s="28"/>
      <c r="D373" s="28"/>
      <c r="E373" s="28"/>
      <c r="F373" s="28"/>
      <c r="G373" s="28"/>
      <c r="H373" s="28"/>
      <c r="I373" s="28"/>
      <c r="J373" s="28"/>
      <c r="K373" s="28"/>
      <c r="L373" s="28"/>
      <c r="M373" s="28"/>
      <c r="N373" s="28"/>
      <c r="O373" s="28"/>
      <c r="P373" s="28"/>
    </row>
    <row r="374">
      <c r="A374" s="28"/>
      <c r="B374" s="28"/>
      <c r="C374" s="28"/>
      <c r="D374" s="28"/>
      <c r="E374" s="28"/>
      <c r="F374" s="28"/>
      <c r="G374" s="28"/>
      <c r="H374" s="28"/>
      <c r="I374" s="28"/>
      <c r="J374" s="28"/>
      <c r="K374" s="28"/>
      <c r="L374" s="28"/>
      <c r="M374" s="28"/>
      <c r="N374" s="28"/>
      <c r="O374" s="28"/>
      <c r="P374" s="28"/>
    </row>
    <row r="375">
      <c r="A375" s="28"/>
      <c r="B375" s="28"/>
      <c r="C375" s="28"/>
      <c r="D375" s="28"/>
      <c r="E375" s="28"/>
      <c r="F375" s="28"/>
      <c r="G375" s="28"/>
      <c r="H375" s="28"/>
      <c r="I375" s="28"/>
      <c r="J375" s="28"/>
      <c r="K375" s="28"/>
      <c r="L375" s="28"/>
      <c r="M375" s="28"/>
      <c r="N375" s="28"/>
      <c r="O375" s="28"/>
      <c r="P375" s="28"/>
    </row>
    <row r="376">
      <c r="A376" s="28"/>
      <c r="B376" s="28"/>
      <c r="C376" s="28"/>
      <c r="D376" s="28"/>
      <c r="E376" s="28"/>
      <c r="F376" s="28"/>
      <c r="G376" s="28"/>
      <c r="H376" s="28"/>
      <c r="I376" s="28"/>
      <c r="J376" s="28"/>
      <c r="K376" s="28"/>
      <c r="L376" s="28"/>
      <c r="M376" s="28"/>
      <c r="N376" s="28"/>
      <c r="O376" s="28"/>
      <c r="P376" s="28"/>
    </row>
    <row r="377">
      <c r="A377" s="28"/>
      <c r="B377" s="28"/>
      <c r="C377" s="28"/>
      <c r="D377" s="28"/>
      <c r="E377" s="28"/>
      <c r="F377" s="28"/>
      <c r="G377" s="28"/>
      <c r="H377" s="28"/>
      <c r="I377" s="28"/>
      <c r="J377" s="28"/>
      <c r="K377" s="28"/>
      <c r="L377" s="28"/>
      <c r="M377" s="28"/>
      <c r="N377" s="28"/>
      <c r="O377" s="28"/>
      <c r="P377" s="28"/>
    </row>
    <row r="378">
      <c r="A378" s="28"/>
      <c r="B378" s="28"/>
      <c r="C378" s="28"/>
      <c r="D378" s="28"/>
      <c r="E378" s="28"/>
      <c r="F378" s="28"/>
      <c r="G378" s="28"/>
      <c r="H378" s="28"/>
      <c r="I378" s="28"/>
      <c r="J378" s="28"/>
      <c r="K378" s="28"/>
      <c r="L378" s="28"/>
      <c r="M378" s="28"/>
      <c r="N378" s="28"/>
      <c r="O378" s="28"/>
      <c r="P378" s="28"/>
    </row>
    <row r="379">
      <c r="A379" s="28"/>
      <c r="B379" s="28"/>
      <c r="C379" s="28"/>
      <c r="D379" s="28"/>
      <c r="E379" s="28"/>
      <c r="F379" s="28"/>
      <c r="G379" s="28"/>
      <c r="H379" s="28"/>
      <c r="I379" s="28"/>
      <c r="J379" s="28"/>
      <c r="K379" s="28"/>
      <c r="L379" s="28"/>
      <c r="M379" s="28"/>
      <c r="N379" s="28"/>
      <c r="O379" s="28"/>
      <c r="P379" s="28"/>
    </row>
    <row r="380">
      <c r="A380" s="28"/>
      <c r="B380" s="28"/>
      <c r="C380" s="28"/>
      <c r="D380" s="28"/>
      <c r="E380" s="28"/>
      <c r="F380" s="28"/>
      <c r="G380" s="28"/>
      <c r="H380" s="28"/>
      <c r="I380" s="28"/>
      <c r="J380" s="28"/>
      <c r="K380" s="28"/>
      <c r="L380" s="28"/>
      <c r="M380" s="28"/>
      <c r="N380" s="28"/>
      <c r="O380" s="28"/>
      <c r="P380" s="28"/>
    </row>
    <row r="381">
      <c r="A381" s="28"/>
      <c r="B381" s="28"/>
      <c r="C381" s="28"/>
      <c r="D381" s="28"/>
      <c r="E381" s="28"/>
      <c r="F381" s="28"/>
      <c r="G381" s="28"/>
      <c r="H381" s="28"/>
      <c r="I381" s="28"/>
      <c r="J381" s="28"/>
      <c r="K381" s="28"/>
      <c r="L381" s="28"/>
      <c r="M381" s="28"/>
      <c r="N381" s="28"/>
      <c r="O381" s="28"/>
      <c r="P381" s="28"/>
    </row>
    <row r="382">
      <c r="A382" s="28"/>
      <c r="B382" s="28"/>
      <c r="C382" s="28"/>
      <c r="D382" s="28"/>
      <c r="E382" s="28"/>
      <c r="F382" s="28"/>
      <c r="G382" s="28"/>
      <c r="H382" s="28"/>
      <c r="I382" s="28"/>
      <c r="J382" s="28"/>
      <c r="K382" s="28"/>
      <c r="L382" s="28"/>
      <c r="M382" s="28"/>
      <c r="N382" s="28"/>
      <c r="O382" s="28"/>
      <c r="P382" s="28"/>
    </row>
    <row r="383">
      <c r="A383" s="28"/>
      <c r="B383" s="28"/>
      <c r="C383" s="28"/>
      <c r="D383" s="28"/>
      <c r="E383" s="28"/>
      <c r="F383" s="28"/>
      <c r="G383" s="28"/>
      <c r="H383" s="28"/>
      <c r="I383" s="28"/>
      <c r="J383" s="28"/>
      <c r="K383" s="28"/>
      <c r="L383" s="28"/>
      <c r="M383" s="28"/>
      <c r="N383" s="28"/>
      <c r="O383" s="28"/>
      <c r="P383" s="28"/>
    </row>
    <row r="384">
      <c r="A384" s="28"/>
      <c r="B384" s="28"/>
      <c r="C384" s="28"/>
      <c r="D384" s="28"/>
      <c r="E384" s="28"/>
      <c r="F384" s="28"/>
      <c r="G384" s="28"/>
      <c r="H384" s="28"/>
      <c r="I384" s="28"/>
      <c r="J384" s="28"/>
      <c r="K384" s="28"/>
      <c r="L384" s="28"/>
      <c r="M384" s="28"/>
      <c r="N384" s="28"/>
      <c r="O384" s="28"/>
      <c r="P384" s="28"/>
    </row>
    <row r="385">
      <c r="A385" s="28"/>
      <c r="B385" s="28"/>
      <c r="C385" s="28"/>
      <c r="D385" s="28"/>
      <c r="E385" s="28"/>
      <c r="F385" s="28"/>
      <c r="G385" s="28"/>
      <c r="H385" s="28"/>
      <c r="I385" s="28"/>
      <c r="J385" s="28"/>
      <c r="K385" s="28"/>
      <c r="L385" s="28"/>
      <c r="M385" s="28"/>
      <c r="N385" s="28"/>
      <c r="O385" s="28"/>
      <c r="P385" s="28"/>
    </row>
    <row r="386">
      <c r="A386" s="28"/>
      <c r="B386" s="28"/>
      <c r="C386" s="28"/>
      <c r="D386" s="28"/>
      <c r="E386" s="28"/>
      <c r="F386" s="28"/>
      <c r="G386" s="28"/>
      <c r="H386" s="28"/>
      <c r="I386" s="28"/>
      <c r="J386" s="28"/>
      <c r="K386" s="28"/>
      <c r="L386" s="28"/>
      <c r="M386" s="28"/>
      <c r="N386" s="28"/>
      <c r="O386" s="28"/>
      <c r="P386" s="28"/>
    </row>
    <row r="387">
      <c r="A387" s="28"/>
      <c r="B387" s="28"/>
      <c r="C387" s="28"/>
      <c r="D387" s="28"/>
      <c r="E387" s="28"/>
      <c r="F387" s="28"/>
      <c r="G387" s="28"/>
      <c r="H387" s="28"/>
      <c r="I387" s="28"/>
      <c r="J387" s="28"/>
      <c r="K387" s="28"/>
      <c r="L387" s="28"/>
      <c r="M387" s="28"/>
      <c r="N387" s="28"/>
      <c r="O387" s="28"/>
      <c r="P387" s="28"/>
    </row>
    <row r="388">
      <c r="A388" s="28"/>
      <c r="B388" s="28"/>
      <c r="C388" s="28"/>
      <c r="D388" s="28"/>
      <c r="E388" s="28"/>
      <c r="F388" s="28"/>
      <c r="G388" s="28"/>
      <c r="H388" s="28"/>
      <c r="I388" s="28"/>
      <c r="J388" s="28"/>
      <c r="K388" s="28"/>
      <c r="L388" s="28"/>
      <c r="M388" s="28"/>
      <c r="N388" s="28"/>
      <c r="O388" s="28"/>
      <c r="P388" s="28"/>
    </row>
    <row r="389">
      <c r="A389" s="28"/>
      <c r="B389" s="28"/>
      <c r="C389" s="28"/>
      <c r="D389" s="28"/>
      <c r="E389" s="28"/>
      <c r="F389" s="28"/>
      <c r="G389" s="28"/>
      <c r="H389" s="28"/>
      <c r="I389" s="28"/>
      <c r="J389" s="28"/>
      <c r="K389" s="28"/>
      <c r="L389" s="28"/>
      <c r="M389" s="28"/>
      <c r="N389" s="28"/>
      <c r="O389" s="28"/>
      <c r="P389" s="28"/>
    </row>
    <row r="390">
      <c r="A390" s="28"/>
      <c r="B390" s="28"/>
      <c r="C390" s="28"/>
      <c r="D390" s="28"/>
      <c r="E390" s="28"/>
      <c r="F390" s="28"/>
      <c r="G390" s="28"/>
      <c r="H390" s="28"/>
      <c r="I390" s="28"/>
      <c r="J390" s="28"/>
      <c r="K390" s="28"/>
      <c r="L390" s="28"/>
      <c r="M390" s="28"/>
      <c r="N390" s="28"/>
      <c r="O390" s="28"/>
      <c r="P390" s="28"/>
    </row>
    <row r="391">
      <c r="A391" s="28"/>
      <c r="B391" s="28"/>
      <c r="C391" s="28"/>
      <c r="D391" s="28"/>
      <c r="E391" s="28"/>
      <c r="F391" s="28"/>
      <c r="G391" s="28"/>
      <c r="H391" s="28"/>
      <c r="I391" s="28"/>
      <c r="J391" s="28"/>
      <c r="K391" s="28"/>
      <c r="L391" s="28"/>
      <c r="M391" s="28"/>
      <c r="N391" s="28"/>
      <c r="O391" s="28"/>
      <c r="P391" s="28"/>
    </row>
    <row r="392">
      <c r="A392" s="28"/>
      <c r="B392" s="28"/>
      <c r="C392" s="28"/>
      <c r="D392" s="28"/>
      <c r="E392" s="28"/>
      <c r="F392" s="28"/>
      <c r="G392" s="28"/>
      <c r="H392" s="28"/>
      <c r="I392" s="28"/>
      <c r="J392" s="28"/>
      <c r="K392" s="28"/>
      <c r="L392" s="28"/>
      <c r="M392" s="28"/>
      <c r="N392" s="28"/>
      <c r="O392" s="28"/>
      <c r="P392" s="28"/>
    </row>
    <row r="393">
      <c r="A393" s="28"/>
      <c r="B393" s="28"/>
      <c r="C393" s="28"/>
      <c r="D393" s="28"/>
      <c r="E393" s="28"/>
      <c r="F393" s="28"/>
      <c r="G393" s="28"/>
      <c r="H393" s="28"/>
      <c r="I393" s="28"/>
      <c r="J393" s="28"/>
      <c r="K393" s="28"/>
      <c r="L393" s="28"/>
      <c r="M393" s="28"/>
      <c r="N393" s="28"/>
      <c r="O393" s="28"/>
      <c r="P393" s="28"/>
    </row>
    <row r="394">
      <c r="A394" s="28"/>
      <c r="B394" s="28"/>
      <c r="C394" s="28"/>
      <c r="D394" s="28"/>
      <c r="E394" s="28"/>
      <c r="F394" s="28"/>
      <c r="G394" s="28"/>
      <c r="H394" s="28"/>
      <c r="I394" s="28"/>
      <c r="J394" s="28"/>
      <c r="K394" s="28"/>
      <c r="L394" s="28"/>
      <c r="M394" s="28"/>
      <c r="N394" s="28"/>
      <c r="O394" s="28"/>
      <c r="P394" s="28"/>
    </row>
    <row r="395">
      <c r="A395" s="28"/>
      <c r="B395" s="28"/>
      <c r="C395" s="28"/>
      <c r="D395" s="28"/>
      <c r="E395" s="28"/>
      <c r="F395" s="28"/>
      <c r="G395" s="28"/>
      <c r="H395" s="28"/>
      <c r="I395" s="28"/>
      <c r="J395" s="28"/>
      <c r="K395" s="28"/>
      <c r="L395" s="28"/>
      <c r="M395" s="28"/>
      <c r="N395" s="28"/>
      <c r="O395" s="28"/>
      <c r="P395" s="28"/>
    </row>
    <row r="396">
      <c r="A396" s="28"/>
      <c r="B396" s="28"/>
      <c r="C396" s="28"/>
      <c r="D396" s="28"/>
      <c r="E396" s="28"/>
      <c r="F396" s="28"/>
      <c r="G396" s="28"/>
      <c r="H396" s="28"/>
      <c r="I396" s="28"/>
      <c r="J396" s="28"/>
      <c r="K396" s="28"/>
      <c r="L396" s="28"/>
      <c r="M396" s="28"/>
      <c r="N396" s="28"/>
      <c r="O396" s="28"/>
      <c r="P396" s="28"/>
    </row>
    <row r="397">
      <c r="A397" s="28"/>
      <c r="B397" s="28"/>
      <c r="C397" s="28"/>
      <c r="D397" s="28"/>
      <c r="E397" s="28"/>
      <c r="F397" s="28"/>
      <c r="G397" s="28"/>
      <c r="H397" s="28"/>
      <c r="I397" s="28"/>
      <c r="J397" s="28"/>
      <c r="K397" s="28"/>
      <c r="L397" s="28"/>
      <c r="M397" s="28"/>
      <c r="N397" s="28"/>
      <c r="O397" s="28"/>
      <c r="P397" s="28"/>
    </row>
    <row r="398">
      <c r="A398" s="28"/>
      <c r="B398" s="28"/>
      <c r="C398" s="28"/>
      <c r="D398" s="28"/>
      <c r="E398" s="28"/>
      <c r="F398" s="28"/>
      <c r="G398" s="28"/>
      <c r="H398" s="28"/>
      <c r="I398" s="28"/>
      <c r="J398" s="28"/>
      <c r="K398" s="28"/>
      <c r="L398" s="28"/>
      <c r="M398" s="28"/>
      <c r="N398" s="28"/>
      <c r="O398" s="28"/>
      <c r="P398" s="28"/>
    </row>
    <row r="399">
      <c r="A399" s="28"/>
      <c r="B399" s="28"/>
      <c r="C399" s="28"/>
      <c r="D399" s="28"/>
      <c r="E399" s="28"/>
      <c r="F399" s="28"/>
      <c r="G399" s="28"/>
      <c r="H399" s="28"/>
      <c r="I399" s="28"/>
      <c r="J399" s="28"/>
      <c r="K399" s="28"/>
      <c r="L399" s="28"/>
      <c r="M399" s="28"/>
      <c r="N399" s="28"/>
      <c r="O399" s="28"/>
      <c r="P399" s="28"/>
    </row>
    <row r="400">
      <c r="A400" s="28"/>
      <c r="B400" s="28"/>
      <c r="C400" s="28"/>
      <c r="D400" s="28"/>
      <c r="E400" s="28"/>
      <c r="F400" s="28"/>
      <c r="G400" s="28"/>
      <c r="H400" s="28"/>
      <c r="I400" s="28"/>
      <c r="J400" s="28"/>
      <c r="K400" s="28"/>
      <c r="L400" s="28"/>
      <c r="M400" s="28"/>
      <c r="N400" s="28"/>
      <c r="O400" s="28"/>
      <c r="P400" s="28"/>
    </row>
    <row r="401">
      <c r="A401" s="28"/>
      <c r="B401" s="28"/>
      <c r="C401" s="28"/>
      <c r="D401" s="28"/>
      <c r="E401" s="28"/>
      <c r="F401" s="28"/>
      <c r="G401" s="28"/>
      <c r="H401" s="28"/>
      <c r="I401" s="28"/>
      <c r="J401" s="28"/>
      <c r="K401" s="28"/>
      <c r="L401" s="28"/>
      <c r="M401" s="28"/>
      <c r="N401" s="28"/>
      <c r="O401" s="28"/>
      <c r="P401" s="28"/>
    </row>
    <row r="402">
      <c r="A402" s="28"/>
      <c r="B402" s="28"/>
      <c r="C402" s="28"/>
      <c r="D402" s="28"/>
      <c r="E402" s="28"/>
      <c r="F402" s="28"/>
      <c r="G402" s="28"/>
      <c r="H402" s="28"/>
      <c r="I402" s="28"/>
      <c r="J402" s="28"/>
      <c r="K402" s="28"/>
      <c r="L402" s="28"/>
      <c r="M402" s="28"/>
      <c r="N402" s="28"/>
      <c r="O402" s="28"/>
      <c r="P402" s="28"/>
    </row>
    <row r="403">
      <c r="A403" s="28"/>
      <c r="B403" s="28"/>
      <c r="C403" s="28"/>
      <c r="D403" s="28"/>
      <c r="E403" s="28"/>
      <c r="F403" s="28"/>
      <c r="G403" s="28"/>
      <c r="H403" s="28"/>
      <c r="I403" s="28"/>
      <c r="J403" s="28"/>
      <c r="K403" s="28"/>
      <c r="L403" s="28"/>
      <c r="M403" s="28"/>
      <c r="N403" s="28"/>
      <c r="O403" s="28"/>
      <c r="P403" s="28"/>
    </row>
    <row r="404">
      <c r="A404" s="28"/>
      <c r="B404" s="28"/>
      <c r="C404" s="28"/>
      <c r="D404" s="28"/>
      <c r="E404" s="28"/>
      <c r="F404" s="28"/>
      <c r="G404" s="28"/>
      <c r="H404" s="28"/>
      <c r="I404" s="28"/>
      <c r="J404" s="28"/>
      <c r="K404" s="28"/>
      <c r="L404" s="28"/>
      <c r="M404" s="28"/>
      <c r="N404" s="28"/>
      <c r="O404" s="28"/>
      <c r="P404" s="28"/>
    </row>
    <row r="405">
      <c r="A405" s="28"/>
      <c r="B405" s="28"/>
      <c r="C405" s="28"/>
      <c r="D405" s="28"/>
      <c r="E405" s="28"/>
      <c r="F405" s="28"/>
      <c r="G405" s="28"/>
      <c r="H405" s="28"/>
      <c r="I405" s="28"/>
      <c r="J405" s="28"/>
      <c r="K405" s="28"/>
      <c r="L405" s="28"/>
      <c r="M405" s="28"/>
      <c r="N405" s="28"/>
      <c r="O405" s="28"/>
      <c r="P405" s="28"/>
    </row>
    <row r="406">
      <c r="A406" s="28"/>
      <c r="B406" s="28"/>
      <c r="C406" s="28"/>
      <c r="D406" s="28"/>
      <c r="E406" s="28"/>
      <c r="F406" s="28"/>
      <c r="G406" s="28"/>
      <c r="H406" s="28"/>
      <c r="I406" s="28"/>
      <c r="J406" s="28"/>
      <c r="K406" s="28"/>
      <c r="L406" s="28"/>
      <c r="M406" s="28"/>
      <c r="N406" s="28"/>
      <c r="O406" s="28"/>
      <c r="P406" s="28"/>
    </row>
    <row r="407">
      <c r="A407" s="28"/>
      <c r="B407" s="28"/>
      <c r="C407" s="28"/>
      <c r="D407" s="28"/>
      <c r="E407" s="28"/>
      <c r="F407" s="28"/>
      <c r="G407" s="28"/>
      <c r="H407" s="28"/>
      <c r="I407" s="28"/>
      <c r="J407" s="28"/>
      <c r="K407" s="28"/>
      <c r="L407" s="28"/>
      <c r="M407" s="28"/>
      <c r="N407" s="28"/>
      <c r="O407" s="28"/>
      <c r="P407" s="28"/>
    </row>
    <row r="408">
      <c r="A408" s="28"/>
      <c r="B408" s="28"/>
      <c r="C408" s="28"/>
      <c r="D408" s="28"/>
      <c r="E408" s="28"/>
      <c r="F408" s="28"/>
      <c r="G408" s="28"/>
      <c r="H408" s="28"/>
      <c r="I408" s="28"/>
      <c r="J408" s="28"/>
      <c r="K408" s="28"/>
      <c r="L408" s="28"/>
      <c r="M408" s="28"/>
      <c r="N408" s="28"/>
      <c r="O408" s="28"/>
      <c r="P408" s="28"/>
    </row>
    <row r="409">
      <c r="A409" s="28"/>
      <c r="B409" s="28"/>
      <c r="C409" s="28"/>
      <c r="D409" s="28"/>
      <c r="E409" s="28"/>
      <c r="F409" s="28"/>
      <c r="G409" s="28"/>
      <c r="H409" s="28"/>
      <c r="I409" s="28"/>
      <c r="J409" s="28"/>
      <c r="K409" s="28"/>
      <c r="L409" s="28"/>
      <c r="M409" s="28"/>
      <c r="N409" s="28"/>
      <c r="O409" s="28"/>
      <c r="P409" s="28"/>
    </row>
    <row r="410">
      <c r="A410" s="28"/>
      <c r="B410" s="28"/>
      <c r="C410" s="28"/>
      <c r="D410" s="28"/>
      <c r="E410" s="28"/>
      <c r="F410" s="28"/>
      <c r="G410" s="28"/>
      <c r="H410" s="28"/>
      <c r="I410" s="28"/>
      <c r="J410" s="28"/>
      <c r="K410" s="28"/>
      <c r="L410" s="28"/>
      <c r="M410" s="28"/>
      <c r="N410" s="28"/>
      <c r="O410" s="28"/>
      <c r="P410" s="28"/>
    </row>
    <row r="411">
      <c r="A411" s="28"/>
      <c r="B411" s="28"/>
      <c r="C411" s="28"/>
      <c r="D411" s="28"/>
      <c r="E411" s="28"/>
      <c r="F411" s="28"/>
      <c r="G411" s="28"/>
      <c r="H411" s="28"/>
      <c r="I411" s="28"/>
      <c r="J411" s="28"/>
      <c r="K411" s="28"/>
      <c r="L411" s="28"/>
      <c r="M411" s="28"/>
      <c r="N411" s="28"/>
      <c r="O411" s="28"/>
      <c r="P411" s="28"/>
    </row>
  </sheetData>
  <dataValidations>
    <dataValidation type="list" allowBlank="1" showErrorMessage="1" sqref="J11:J100">
      <formula1>"Fail,Pass"</formula1>
    </dataValidation>
    <dataValidation type="list" allowBlank="1" showErrorMessage="1" sqref="N11:N100">
      <formula1>"Solved,Unsolved"</formula1>
    </dataValidation>
    <dataValidation type="list" allowBlank="1" showErrorMessage="1" sqref="K11:K100">
      <formula1>"Low,Medium,High"</formula1>
    </dataValidation>
  </dataValidations>
  <hyperlinks>
    <hyperlink r:id="rId1" ref="L11"/>
    <hyperlink r:id="rId2" ref="L12"/>
    <hyperlink r:id="rId3" ref="L13"/>
    <hyperlink r:id="rId4" ref="L14"/>
    <hyperlink r:id="rId5" ref="L15"/>
    <hyperlink r:id="rId6" ref="L16"/>
    <hyperlink r:id="rId7" ref="L17"/>
    <hyperlink r:id="rId8" ref="L18"/>
    <hyperlink r:id="rId9" ref="L19"/>
    <hyperlink r:id="rId10" ref="L20"/>
    <hyperlink r:id="rId11" ref="L21"/>
    <hyperlink r:id="rId12" ref="L22"/>
    <hyperlink r:id="rId13" ref="L23"/>
    <hyperlink r:id="rId14" ref="L24"/>
    <hyperlink r:id="rId15" ref="L25"/>
    <hyperlink r:id="rId16" ref="L26"/>
    <hyperlink r:id="rId17" ref="L27"/>
    <hyperlink r:id="rId18" ref="L28"/>
    <hyperlink r:id="rId19" ref="L29"/>
    <hyperlink r:id="rId20" ref="L30"/>
    <hyperlink r:id="rId21" ref="L31"/>
    <hyperlink r:id="rId22" ref="L32"/>
    <hyperlink r:id="rId23" ref="L33"/>
    <hyperlink r:id="rId24" ref="L34"/>
    <hyperlink r:id="rId25" ref="L35"/>
    <hyperlink r:id="rId26" ref="L36"/>
    <hyperlink r:id="rId27" ref="L37"/>
    <hyperlink r:id="rId28" ref="L38"/>
    <hyperlink r:id="rId29" ref="L39"/>
    <hyperlink r:id="rId30" ref="L40"/>
    <hyperlink r:id="rId31" ref="L41"/>
    <hyperlink r:id="rId32" ref="L42"/>
    <hyperlink r:id="rId33" ref="L43"/>
    <hyperlink r:id="rId34" ref="L44"/>
    <hyperlink r:id="rId35" ref="L45"/>
    <hyperlink r:id="rId36" ref="L46"/>
    <hyperlink r:id="rId37" ref="L47"/>
    <hyperlink r:id="rId38" ref="L48"/>
    <hyperlink r:id="rId39" ref="L49"/>
    <hyperlink r:id="rId40" ref="L50"/>
    <hyperlink r:id="rId41" ref="L51"/>
    <hyperlink r:id="rId42" ref="L52"/>
    <hyperlink r:id="rId43" ref="L53"/>
    <hyperlink r:id="rId44" ref="L54"/>
    <hyperlink r:id="rId45" ref="L55"/>
    <hyperlink r:id="rId46" ref="L56"/>
    <hyperlink r:id="rId47" ref="L57"/>
    <hyperlink r:id="rId48" ref="L58"/>
    <hyperlink r:id="rId49" ref="L59"/>
    <hyperlink r:id="rId50" ref="L60"/>
    <hyperlink r:id="rId51" ref="L61"/>
    <hyperlink r:id="rId52" ref="L62"/>
    <hyperlink r:id="rId53" ref="L63"/>
    <hyperlink r:id="rId54" ref="L64"/>
    <hyperlink r:id="rId55" ref="L65"/>
    <hyperlink r:id="rId56" ref="L66"/>
    <hyperlink r:id="rId57" ref="L67"/>
    <hyperlink r:id="rId58" ref="L68"/>
    <hyperlink r:id="rId59" ref="L69"/>
    <hyperlink r:id="rId60" ref="L70"/>
    <hyperlink r:id="rId61" ref="L71"/>
    <hyperlink r:id="rId62" ref="L72"/>
    <hyperlink r:id="rId63" ref="L73"/>
    <hyperlink r:id="rId64" ref="L74"/>
    <hyperlink r:id="rId65" ref="L75"/>
    <hyperlink r:id="rId66" ref="L76"/>
    <hyperlink r:id="rId67" ref="L77"/>
    <hyperlink r:id="rId68" ref="L78"/>
    <hyperlink r:id="rId69" ref="L79"/>
    <hyperlink r:id="rId70" ref="L80"/>
    <hyperlink r:id="rId71" ref="L81"/>
    <hyperlink r:id="rId72" ref="L82"/>
    <hyperlink r:id="rId73" ref="L83"/>
    <hyperlink r:id="rId74" ref="L84"/>
    <hyperlink r:id="rId75" ref="L85"/>
    <hyperlink r:id="rId76" ref="L86"/>
    <hyperlink r:id="rId77" ref="L87"/>
    <hyperlink r:id="rId78" ref="L88"/>
    <hyperlink r:id="rId79" ref="L89"/>
    <hyperlink r:id="rId80" ref="L90"/>
    <hyperlink r:id="rId81" ref="L91"/>
    <hyperlink r:id="rId82" ref="L92"/>
    <hyperlink r:id="rId83" ref="L93"/>
    <hyperlink r:id="rId84" ref="L94"/>
    <hyperlink r:id="rId85" ref="L95"/>
    <hyperlink r:id="rId86" ref="L96"/>
    <hyperlink r:id="rId87" ref="L97"/>
    <hyperlink r:id="rId88" ref="L98"/>
    <hyperlink r:id="rId89" ref="L99"/>
    <hyperlink r:id="rId90" ref="L100"/>
  </hyperlinks>
  <drawing r:id="rId9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38"/>
    <col customWidth="1" min="2" max="2" width="22.88"/>
    <col customWidth="1" min="3" max="3" width="12.5"/>
    <col customWidth="1" min="4" max="4" width="16.5"/>
    <col customWidth="1" min="5" max="5" width="15.38"/>
    <col customWidth="1" min="6" max="6" width="16.88"/>
    <col customWidth="1" min="7" max="7" width="18.63"/>
    <col customWidth="1" min="8" max="8" width="17.63"/>
    <col customWidth="1" min="9" max="9" width="16.5"/>
    <col customWidth="1" min="10" max="10" width="11.13"/>
    <col customWidth="1" min="11" max="11" width="13.25"/>
    <col customWidth="1" min="12" max="12" width="14.63"/>
    <col customWidth="1" min="13" max="13" width="12.25"/>
    <col customWidth="1" min="14" max="14" width="14.38"/>
  </cols>
  <sheetData>
    <row r="1">
      <c r="A1" s="2" t="s">
        <v>0</v>
      </c>
      <c r="B1" s="29" t="s">
        <v>1</v>
      </c>
      <c r="C1" s="1"/>
      <c r="D1" s="1"/>
      <c r="E1" s="1"/>
      <c r="F1" s="1"/>
      <c r="G1" s="1"/>
      <c r="H1" s="1"/>
      <c r="I1" s="1"/>
      <c r="J1" s="1"/>
      <c r="K1" s="1"/>
      <c r="L1" s="1"/>
      <c r="M1" s="1"/>
      <c r="N1" s="30"/>
      <c r="O1" s="30"/>
    </row>
    <row r="2" ht="17.25" customHeight="1">
      <c r="A2" s="2" t="s">
        <v>4</v>
      </c>
      <c r="B2" s="31" t="s">
        <v>118</v>
      </c>
      <c r="C2" s="1"/>
      <c r="D2" s="1"/>
      <c r="E2" s="1"/>
      <c r="F2" s="1"/>
      <c r="G2" s="1"/>
      <c r="H2" s="1"/>
      <c r="I2" s="1"/>
      <c r="J2" s="1"/>
      <c r="K2" s="1"/>
      <c r="L2" s="1"/>
      <c r="M2" s="1"/>
      <c r="N2" s="30"/>
      <c r="O2" s="30"/>
    </row>
    <row r="3" ht="15.75" customHeight="1">
      <c r="A3" s="2" t="s">
        <v>8</v>
      </c>
      <c r="B3" s="31" t="s">
        <v>119</v>
      </c>
      <c r="C3" s="1"/>
      <c r="D3" s="1"/>
      <c r="E3" s="1"/>
      <c r="F3" s="1"/>
      <c r="G3" s="1"/>
      <c r="H3" s="1"/>
      <c r="I3" s="1"/>
      <c r="J3" s="1"/>
      <c r="K3" s="1"/>
      <c r="L3" s="1"/>
      <c r="M3" s="1"/>
      <c r="N3" s="30"/>
      <c r="O3" s="30"/>
    </row>
    <row r="4" ht="36.75" customHeight="1">
      <c r="A4" s="2" t="s">
        <v>10</v>
      </c>
      <c r="B4" s="32" t="s">
        <v>120</v>
      </c>
      <c r="C4" s="1"/>
      <c r="D4" s="1"/>
      <c r="E4" s="1"/>
      <c r="F4" s="1"/>
      <c r="G4" s="1"/>
      <c r="H4" s="1"/>
      <c r="I4" s="1"/>
      <c r="J4" s="1"/>
      <c r="K4" s="1"/>
      <c r="L4" s="1"/>
      <c r="M4" s="1"/>
      <c r="N4" s="30"/>
      <c r="O4" s="30"/>
    </row>
    <row r="5" ht="61.5" customHeight="1">
      <c r="A5" s="33" t="s">
        <v>121</v>
      </c>
      <c r="B5" s="32" t="s">
        <v>122</v>
      </c>
      <c r="C5" s="1"/>
      <c r="D5" s="1"/>
      <c r="E5" s="1"/>
      <c r="F5" s="1"/>
      <c r="G5" s="1"/>
      <c r="H5" s="1"/>
      <c r="I5" s="1"/>
      <c r="J5" s="1"/>
      <c r="K5" s="1"/>
      <c r="L5" s="1"/>
      <c r="M5" s="1"/>
      <c r="N5" s="34" t="s">
        <v>123</v>
      </c>
      <c r="O5" s="35" t="s">
        <v>124</v>
      </c>
    </row>
    <row r="6">
      <c r="A6" s="36" t="s">
        <v>125</v>
      </c>
      <c r="B6" s="36" t="s">
        <v>15</v>
      </c>
      <c r="C6" s="36" t="s">
        <v>16</v>
      </c>
      <c r="D6" s="36" t="s">
        <v>17</v>
      </c>
      <c r="E6" s="36" t="s">
        <v>18</v>
      </c>
      <c r="F6" s="36" t="s">
        <v>19</v>
      </c>
      <c r="G6" s="36" t="s">
        <v>20</v>
      </c>
      <c r="H6" s="36" t="s">
        <v>21</v>
      </c>
      <c r="I6" s="36" t="s">
        <v>22</v>
      </c>
      <c r="J6" s="36" t="s">
        <v>23</v>
      </c>
      <c r="K6" s="36" t="s">
        <v>2</v>
      </c>
      <c r="L6" s="36" t="s">
        <v>24</v>
      </c>
      <c r="M6" s="36" t="s">
        <v>25</v>
      </c>
      <c r="N6" s="37" t="s">
        <v>26</v>
      </c>
      <c r="O6" s="38" t="s">
        <v>27</v>
      </c>
      <c r="P6" s="39"/>
      <c r="Q6" s="39"/>
      <c r="R6" s="39"/>
      <c r="S6" s="39"/>
      <c r="T6" s="39"/>
      <c r="U6" s="39"/>
      <c r="V6" s="39"/>
      <c r="W6" s="39"/>
      <c r="X6" s="39"/>
      <c r="Y6" s="39"/>
      <c r="Z6" s="39"/>
    </row>
    <row r="7">
      <c r="A7" s="40" t="s">
        <v>126</v>
      </c>
      <c r="B7" s="41" t="s">
        <v>127</v>
      </c>
      <c r="C7" s="41" t="s">
        <v>128</v>
      </c>
      <c r="D7" s="40" t="s">
        <v>129</v>
      </c>
      <c r="E7" s="40" t="s">
        <v>130</v>
      </c>
      <c r="F7" s="40" t="s">
        <v>131</v>
      </c>
      <c r="G7" s="40" t="s">
        <v>132</v>
      </c>
      <c r="H7" s="40" t="s">
        <v>133</v>
      </c>
      <c r="I7" s="40" t="s">
        <v>134</v>
      </c>
      <c r="J7" s="40" t="s">
        <v>135</v>
      </c>
      <c r="K7" s="40" t="s">
        <v>9</v>
      </c>
      <c r="L7" s="42" t="s">
        <v>136</v>
      </c>
      <c r="M7" s="43"/>
      <c r="N7" s="40" t="s">
        <v>137</v>
      </c>
      <c r="O7" s="44"/>
      <c r="P7" s="30"/>
      <c r="Q7" s="30"/>
      <c r="R7" s="30"/>
      <c r="S7" s="30"/>
      <c r="T7" s="30"/>
      <c r="U7" s="30"/>
      <c r="V7" s="30"/>
      <c r="W7" s="30"/>
      <c r="X7" s="30"/>
      <c r="Y7" s="30"/>
      <c r="Z7" s="30"/>
    </row>
    <row r="8">
      <c r="A8" s="30"/>
      <c r="B8" s="30"/>
      <c r="C8" s="30"/>
      <c r="D8" s="30"/>
      <c r="E8" s="30"/>
      <c r="F8" s="30"/>
      <c r="G8" s="30"/>
      <c r="H8" s="30"/>
      <c r="I8" s="30"/>
      <c r="J8" s="30"/>
      <c r="K8" s="30"/>
      <c r="L8" s="30"/>
      <c r="M8" s="30"/>
      <c r="N8" s="30"/>
      <c r="O8" s="30"/>
      <c r="P8" s="30"/>
      <c r="Q8" s="30"/>
      <c r="R8" s="30"/>
      <c r="S8" s="30"/>
      <c r="T8" s="30"/>
      <c r="U8" s="30"/>
      <c r="V8" s="30"/>
      <c r="W8" s="30"/>
      <c r="X8" s="30"/>
      <c r="Y8" s="30"/>
      <c r="Z8" s="30"/>
    </row>
    <row r="9">
      <c r="A9" s="41" t="s">
        <v>138</v>
      </c>
      <c r="B9" s="41" t="s">
        <v>127</v>
      </c>
      <c r="C9" s="41" t="s">
        <v>128</v>
      </c>
      <c r="D9" s="41" t="s">
        <v>139</v>
      </c>
      <c r="E9" s="41" t="s">
        <v>130</v>
      </c>
      <c r="F9" s="41" t="s">
        <v>131</v>
      </c>
      <c r="G9" s="41" t="s">
        <v>132</v>
      </c>
      <c r="H9" s="41" t="s">
        <v>133</v>
      </c>
      <c r="I9" s="41" t="s">
        <v>134</v>
      </c>
      <c r="J9" s="41" t="s">
        <v>135</v>
      </c>
      <c r="K9" s="41" t="s">
        <v>9</v>
      </c>
      <c r="L9" s="45" t="s">
        <v>140</v>
      </c>
      <c r="M9" s="46"/>
      <c r="N9" s="46"/>
      <c r="O9" s="47"/>
      <c r="P9" s="30"/>
      <c r="Q9" s="30"/>
      <c r="R9" s="30"/>
      <c r="S9" s="30"/>
      <c r="T9" s="30"/>
      <c r="U9" s="30"/>
      <c r="V9" s="30"/>
      <c r="W9" s="30"/>
      <c r="X9" s="30"/>
      <c r="Y9" s="30"/>
      <c r="Z9" s="30"/>
    </row>
    <row r="10">
      <c r="A10" s="30"/>
      <c r="B10" s="30"/>
      <c r="C10" s="30"/>
      <c r="D10" s="30"/>
      <c r="E10" s="30"/>
      <c r="F10" s="30"/>
      <c r="G10" s="30"/>
      <c r="H10" s="30"/>
      <c r="I10" s="30"/>
      <c r="J10" s="30"/>
      <c r="K10" s="30"/>
      <c r="L10" s="30"/>
      <c r="M10" s="30"/>
      <c r="N10" s="30"/>
      <c r="O10" s="30"/>
      <c r="P10" s="30"/>
      <c r="Q10" s="30"/>
      <c r="R10" s="30"/>
      <c r="S10" s="30"/>
      <c r="T10" s="30"/>
      <c r="U10" s="30"/>
      <c r="V10" s="30"/>
      <c r="W10" s="30"/>
      <c r="X10" s="30"/>
      <c r="Y10" s="30"/>
      <c r="Z10" s="30"/>
    </row>
    <row r="11">
      <c r="A11" s="41" t="s">
        <v>141</v>
      </c>
      <c r="B11" s="41" t="s">
        <v>127</v>
      </c>
      <c r="C11" s="41" t="s">
        <v>128</v>
      </c>
      <c r="D11" s="41" t="s">
        <v>142</v>
      </c>
      <c r="E11" s="41" t="s">
        <v>130</v>
      </c>
      <c r="F11" s="41" t="s">
        <v>131</v>
      </c>
      <c r="G11" s="41" t="s">
        <v>132</v>
      </c>
      <c r="H11" s="41" t="s">
        <v>133</v>
      </c>
      <c r="I11" s="41" t="s">
        <v>134</v>
      </c>
      <c r="J11" s="41" t="s">
        <v>135</v>
      </c>
      <c r="K11" s="41" t="s">
        <v>9</v>
      </c>
      <c r="L11" s="45" t="s">
        <v>143</v>
      </c>
      <c r="M11" s="47"/>
      <c r="N11" s="41" t="s">
        <v>137</v>
      </c>
      <c r="O11" s="47"/>
      <c r="P11" s="30"/>
      <c r="Q11" s="30"/>
      <c r="R11" s="30"/>
      <c r="S11" s="30"/>
      <c r="T11" s="30"/>
      <c r="U11" s="30"/>
      <c r="V11" s="30"/>
      <c r="W11" s="30"/>
      <c r="X11" s="30"/>
      <c r="Y11" s="30"/>
      <c r="Z11" s="30"/>
    </row>
    <row r="12">
      <c r="A12" s="30"/>
      <c r="B12" s="30"/>
      <c r="C12" s="30"/>
      <c r="D12" s="30"/>
      <c r="E12" s="30"/>
      <c r="F12" s="30"/>
      <c r="G12" s="30"/>
      <c r="H12" s="30"/>
      <c r="I12" s="30"/>
      <c r="J12" s="30"/>
      <c r="K12" s="30"/>
      <c r="L12" s="30"/>
      <c r="M12" s="30"/>
      <c r="N12" s="30"/>
      <c r="O12" s="30"/>
      <c r="P12" s="30"/>
      <c r="Q12" s="30"/>
      <c r="R12" s="30"/>
      <c r="S12" s="30"/>
      <c r="T12" s="30"/>
      <c r="U12" s="30"/>
      <c r="V12" s="30"/>
      <c r="W12" s="30"/>
      <c r="X12" s="30"/>
      <c r="Y12" s="30"/>
      <c r="Z12" s="30"/>
    </row>
    <row r="13">
      <c r="A13" s="41" t="s">
        <v>144</v>
      </c>
      <c r="B13" s="41" t="s">
        <v>127</v>
      </c>
      <c r="C13" s="41" t="s">
        <v>128</v>
      </c>
      <c r="D13" s="41" t="s">
        <v>145</v>
      </c>
      <c r="E13" s="41" t="s">
        <v>130</v>
      </c>
      <c r="F13" s="41" t="s">
        <v>131</v>
      </c>
      <c r="G13" s="41" t="s">
        <v>132</v>
      </c>
      <c r="H13" s="41" t="s">
        <v>133</v>
      </c>
      <c r="I13" s="41" t="s">
        <v>134</v>
      </c>
      <c r="J13" s="41" t="s">
        <v>135</v>
      </c>
      <c r="K13" s="41" t="s">
        <v>9</v>
      </c>
      <c r="L13" s="45" t="s">
        <v>146</v>
      </c>
      <c r="M13" s="46"/>
      <c r="N13" s="41" t="s">
        <v>137</v>
      </c>
      <c r="O13" s="47"/>
      <c r="P13" s="30"/>
      <c r="Q13" s="30"/>
      <c r="R13" s="30"/>
      <c r="S13" s="30"/>
      <c r="T13" s="30"/>
      <c r="U13" s="30"/>
      <c r="V13" s="30"/>
      <c r="W13" s="30"/>
      <c r="X13" s="30"/>
      <c r="Y13" s="30"/>
      <c r="Z13" s="30"/>
    </row>
    <row r="14">
      <c r="A14" s="30"/>
      <c r="B14" s="30"/>
      <c r="C14" s="30"/>
      <c r="D14" s="30"/>
      <c r="E14" s="30"/>
      <c r="F14" s="30"/>
      <c r="G14" s="30"/>
      <c r="H14" s="30"/>
      <c r="I14" s="30"/>
      <c r="J14" s="30"/>
      <c r="K14" s="30"/>
      <c r="L14" s="30"/>
      <c r="M14" s="30"/>
      <c r="N14" s="30"/>
      <c r="O14" s="30"/>
      <c r="P14" s="30"/>
      <c r="Q14" s="30"/>
      <c r="R14" s="30"/>
      <c r="S14" s="30"/>
      <c r="T14" s="30"/>
      <c r="U14" s="30"/>
      <c r="V14" s="30"/>
      <c r="W14" s="30"/>
      <c r="X14" s="30"/>
      <c r="Y14" s="30"/>
      <c r="Z14" s="30"/>
    </row>
    <row r="15">
      <c r="A15" s="41" t="s">
        <v>147</v>
      </c>
      <c r="B15" s="41" t="s">
        <v>127</v>
      </c>
      <c r="C15" s="41" t="s">
        <v>128</v>
      </c>
      <c r="D15" s="41" t="s">
        <v>148</v>
      </c>
      <c r="E15" s="41" t="s">
        <v>130</v>
      </c>
      <c r="F15" s="41" t="s">
        <v>131</v>
      </c>
      <c r="G15" s="41" t="s">
        <v>132</v>
      </c>
      <c r="H15" s="41" t="s">
        <v>149</v>
      </c>
      <c r="I15" s="41" t="s">
        <v>150</v>
      </c>
      <c r="J15" s="41" t="s">
        <v>135</v>
      </c>
      <c r="K15" s="41" t="s">
        <v>5</v>
      </c>
      <c r="L15" s="45" t="s">
        <v>151</v>
      </c>
      <c r="M15" s="47"/>
      <c r="N15" s="41" t="s">
        <v>137</v>
      </c>
      <c r="O15" s="47"/>
      <c r="P15" s="30"/>
      <c r="Q15" s="30"/>
      <c r="R15" s="30"/>
      <c r="S15" s="30"/>
      <c r="T15" s="30"/>
      <c r="U15" s="30"/>
      <c r="V15" s="30"/>
      <c r="W15" s="30"/>
      <c r="X15" s="30"/>
      <c r="Y15" s="30"/>
      <c r="Z15" s="30"/>
    </row>
    <row r="16">
      <c r="A16" s="30"/>
      <c r="B16" s="30"/>
      <c r="C16" s="30"/>
      <c r="D16" s="30"/>
      <c r="E16" s="30"/>
      <c r="F16" s="30"/>
      <c r="G16" s="30"/>
      <c r="H16" s="30"/>
      <c r="I16" s="30"/>
      <c r="J16" s="30"/>
      <c r="K16" s="30"/>
      <c r="L16" s="30"/>
      <c r="M16" s="30"/>
      <c r="N16" s="30"/>
      <c r="O16" s="30"/>
      <c r="P16" s="30"/>
      <c r="Q16" s="30"/>
      <c r="R16" s="30"/>
      <c r="S16" s="30"/>
      <c r="T16" s="30"/>
      <c r="U16" s="30"/>
      <c r="V16" s="30"/>
      <c r="W16" s="30"/>
      <c r="X16" s="30"/>
      <c r="Y16" s="30"/>
      <c r="Z16" s="30"/>
    </row>
    <row r="17">
      <c r="A17" s="41" t="s">
        <v>152</v>
      </c>
      <c r="B17" s="41" t="s">
        <v>127</v>
      </c>
      <c r="C17" s="41" t="s">
        <v>153</v>
      </c>
      <c r="D17" s="41" t="s">
        <v>154</v>
      </c>
      <c r="E17" s="41" t="s">
        <v>130</v>
      </c>
      <c r="F17" s="41" t="s">
        <v>155</v>
      </c>
      <c r="G17" s="41" t="s">
        <v>132</v>
      </c>
      <c r="H17" s="41" t="s">
        <v>156</v>
      </c>
      <c r="I17" s="41" t="s">
        <v>157</v>
      </c>
      <c r="J17" s="41" t="s">
        <v>135</v>
      </c>
      <c r="K17" s="41" t="s">
        <v>9</v>
      </c>
      <c r="L17" s="45" t="s">
        <v>158</v>
      </c>
      <c r="M17" s="47"/>
      <c r="N17" s="41" t="s">
        <v>137</v>
      </c>
      <c r="O17" s="47"/>
      <c r="P17" s="30"/>
      <c r="Q17" s="30"/>
      <c r="R17" s="30"/>
      <c r="S17" s="30"/>
      <c r="T17" s="30"/>
      <c r="U17" s="30"/>
      <c r="V17" s="30"/>
      <c r="W17" s="30"/>
      <c r="X17" s="30"/>
      <c r="Y17" s="30"/>
      <c r="Z17" s="30"/>
    </row>
    <row r="18">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row>
    <row r="19">
      <c r="A19" s="41" t="s">
        <v>159</v>
      </c>
      <c r="B19" s="41" t="s">
        <v>127</v>
      </c>
      <c r="C19" s="41" t="s">
        <v>160</v>
      </c>
      <c r="D19" s="41" t="s">
        <v>161</v>
      </c>
      <c r="E19" s="41" t="s">
        <v>130</v>
      </c>
      <c r="F19" s="41" t="s">
        <v>162</v>
      </c>
      <c r="G19" s="41" t="s">
        <v>132</v>
      </c>
      <c r="H19" s="41" t="s">
        <v>163</v>
      </c>
      <c r="I19" s="41" t="s">
        <v>164</v>
      </c>
      <c r="J19" s="41" t="s">
        <v>135</v>
      </c>
      <c r="K19" s="41" t="s">
        <v>7</v>
      </c>
      <c r="L19" s="45" t="s">
        <v>165</v>
      </c>
      <c r="M19" s="47"/>
      <c r="N19" s="41" t="s">
        <v>137</v>
      </c>
      <c r="O19" s="47"/>
      <c r="P19" s="30"/>
      <c r="Q19" s="30"/>
      <c r="R19" s="30"/>
      <c r="S19" s="30"/>
      <c r="T19" s="30"/>
      <c r="U19" s="30"/>
      <c r="V19" s="30"/>
      <c r="W19" s="30"/>
      <c r="X19" s="30"/>
      <c r="Y19" s="30"/>
      <c r="Z19" s="30"/>
    </row>
    <row r="20">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row>
    <row r="21">
      <c r="A21" s="41" t="s">
        <v>166</v>
      </c>
      <c r="B21" s="41" t="s">
        <v>127</v>
      </c>
      <c r="C21" s="41" t="s">
        <v>153</v>
      </c>
      <c r="D21" s="41" t="s">
        <v>167</v>
      </c>
      <c r="E21" s="41" t="s">
        <v>130</v>
      </c>
      <c r="F21" s="41" t="s">
        <v>155</v>
      </c>
      <c r="G21" s="41" t="s">
        <v>132</v>
      </c>
      <c r="H21" s="41" t="s">
        <v>168</v>
      </c>
      <c r="I21" s="41" t="s">
        <v>169</v>
      </c>
      <c r="J21" s="41" t="s">
        <v>135</v>
      </c>
      <c r="K21" s="41" t="s">
        <v>7</v>
      </c>
      <c r="L21" s="45" t="s">
        <v>170</v>
      </c>
      <c r="M21" s="47"/>
      <c r="N21" s="41" t="s">
        <v>137</v>
      </c>
      <c r="O21" s="47"/>
      <c r="P21" s="30"/>
      <c r="Q21" s="30"/>
      <c r="R21" s="30"/>
      <c r="S21" s="30"/>
      <c r="T21" s="30"/>
      <c r="U21" s="30"/>
      <c r="V21" s="30"/>
      <c r="W21" s="30"/>
      <c r="X21" s="30"/>
      <c r="Y21" s="30"/>
      <c r="Z21" s="30"/>
    </row>
    <row r="22">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row>
    <row r="23">
      <c r="A23" s="41" t="s">
        <v>171</v>
      </c>
      <c r="B23" s="41" t="s">
        <v>127</v>
      </c>
      <c r="C23" s="41" t="s">
        <v>153</v>
      </c>
      <c r="D23" s="41" t="s">
        <v>172</v>
      </c>
      <c r="E23" s="41" t="s">
        <v>130</v>
      </c>
      <c r="F23" s="41" t="s">
        <v>155</v>
      </c>
      <c r="G23" s="41" t="s">
        <v>132</v>
      </c>
      <c r="H23" s="41" t="s">
        <v>173</v>
      </c>
      <c r="I23" s="41" t="s">
        <v>174</v>
      </c>
      <c r="J23" s="41" t="s">
        <v>135</v>
      </c>
      <c r="K23" s="41" t="s">
        <v>5</v>
      </c>
      <c r="L23" s="45" t="s">
        <v>175</v>
      </c>
      <c r="M23" s="47"/>
      <c r="N23" s="47"/>
      <c r="O23" s="48" t="s">
        <v>176</v>
      </c>
      <c r="P23" s="30"/>
      <c r="Q23" s="30"/>
      <c r="R23" s="30"/>
      <c r="S23" s="30"/>
      <c r="T23" s="30"/>
      <c r="U23" s="30"/>
      <c r="V23" s="30"/>
      <c r="W23" s="30"/>
      <c r="X23" s="30"/>
      <c r="Y23" s="30"/>
      <c r="Z23" s="30"/>
    </row>
    <row r="24">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row>
    <row r="25">
      <c r="A25" s="41" t="s">
        <v>177</v>
      </c>
      <c r="B25" s="41" t="s">
        <v>127</v>
      </c>
      <c r="C25" s="41" t="s">
        <v>153</v>
      </c>
      <c r="D25" s="41" t="s">
        <v>178</v>
      </c>
      <c r="E25" s="41" t="s">
        <v>130</v>
      </c>
      <c r="F25" s="41" t="s">
        <v>155</v>
      </c>
      <c r="G25" s="41" t="s">
        <v>132</v>
      </c>
      <c r="H25" s="41" t="s">
        <v>179</v>
      </c>
      <c r="I25" s="41" t="s">
        <v>180</v>
      </c>
      <c r="J25" s="41" t="s">
        <v>135</v>
      </c>
      <c r="K25" s="41" t="s">
        <v>7</v>
      </c>
      <c r="L25" s="45" t="s">
        <v>181</v>
      </c>
      <c r="M25" s="47"/>
      <c r="N25" s="48" t="s">
        <v>137</v>
      </c>
      <c r="O25" s="47"/>
      <c r="P25" s="30"/>
      <c r="Q25" s="30"/>
      <c r="R25" s="30"/>
      <c r="S25" s="30"/>
      <c r="T25" s="30"/>
      <c r="U25" s="30"/>
      <c r="V25" s="30"/>
      <c r="W25" s="30"/>
      <c r="X25" s="30"/>
      <c r="Y25" s="30"/>
      <c r="Z25" s="30"/>
    </row>
    <row r="26">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row>
    <row r="27">
      <c r="A27" s="41" t="s">
        <v>182</v>
      </c>
      <c r="B27" s="41" t="s">
        <v>127</v>
      </c>
      <c r="C27" s="41" t="s">
        <v>183</v>
      </c>
      <c r="D27" s="41" t="s">
        <v>184</v>
      </c>
      <c r="E27" s="41" t="s">
        <v>130</v>
      </c>
      <c r="F27" s="41" t="s">
        <v>185</v>
      </c>
      <c r="G27" s="41" t="s">
        <v>132</v>
      </c>
      <c r="H27" s="41" t="s">
        <v>186</v>
      </c>
      <c r="I27" s="41" t="s">
        <v>187</v>
      </c>
      <c r="J27" s="41" t="s">
        <v>135</v>
      </c>
      <c r="K27" s="41" t="s">
        <v>5</v>
      </c>
      <c r="L27" s="45" t="s">
        <v>188</v>
      </c>
      <c r="M27" s="47"/>
      <c r="N27" s="47"/>
      <c r="O27" s="47"/>
      <c r="P27" s="30"/>
      <c r="Q27" s="30"/>
      <c r="R27" s="30"/>
      <c r="S27" s="30"/>
      <c r="T27" s="30"/>
      <c r="U27" s="30"/>
      <c r="V27" s="30"/>
      <c r="W27" s="30"/>
      <c r="X27" s="30"/>
      <c r="Y27" s="30"/>
      <c r="Z27" s="30"/>
    </row>
    <row r="28">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row>
    <row r="29">
      <c r="A29" s="41" t="s">
        <v>189</v>
      </c>
      <c r="B29" s="41" t="s">
        <v>127</v>
      </c>
      <c r="C29" s="41" t="s">
        <v>128</v>
      </c>
      <c r="D29" s="41" t="s">
        <v>190</v>
      </c>
      <c r="E29" s="41" t="s">
        <v>130</v>
      </c>
      <c r="F29" s="41" t="s">
        <v>191</v>
      </c>
      <c r="G29" s="41" t="s">
        <v>192</v>
      </c>
      <c r="H29" s="41" t="s">
        <v>193</v>
      </c>
      <c r="I29" s="41" t="s">
        <v>194</v>
      </c>
      <c r="J29" s="41" t="s">
        <v>135</v>
      </c>
      <c r="K29" s="41" t="s">
        <v>9</v>
      </c>
      <c r="L29" s="45" t="s">
        <v>195</v>
      </c>
      <c r="M29" s="47"/>
      <c r="N29" s="48" t="s">
        <v>137</v>
      </c>
      <c r="O29" s="47"/>
      <c r="P29" s="30"/>
      <c r="Q29" s="30"/>
      <c r="R29" s="30"/>
      <c r="S29" s="30"/>
      <c r="T29" s="30"/>
      <c r="U29" s="30"/>
      <c r="V29" s="30"/>
      <c r="W29" s="30"/>
      <c r="X29" s="30"/>
      <c r="Y29" s="30"/>
      <c r="Z29" s="30"/>
    </row>
    <row r="30">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c r="A31" s="41" t="s">
        <v>196</v>
      </c>
      <c r="B31" s="41" t="s">
        <v>127</v>
      </c>
      <c r="C31" s="41" t="s">
        <v>128</v>
      </c>
      <c r="D31" s="41" t="s">
        <v>197</v>
      </c>
      <c r="E31" s="41" t="s">
        <v>130</v>
      </c>
      <c r="F31" s="41" t="s">
        <v>191</v>
      </c>
      <c r="G31" s="41" t="s">
        <v>192</v>
      </c>
      <c r="H31" s="41" t="s">
        <v>133</v>
      </c>
      <c r="I31" s="41" t="s">
        <v>198</v>
      </c>
      <c r="J31" s="41" t="s">
        <v>135</v>
      </c>
      <c r="K31" s="41" t="s">
        <v>9</v>
      </c>
      <c r="L31" s="45" t="s">
        <v>199</v>
      </c>
      <c r="M31" s="47"/>
      <c r="N31" s="48" t="s">
        <v>137</v>
      </c>
      <c r="O31" s="47"/>
      <c r="P31" s="30"/>
      <c r="Q31" s="30"/>
      <c r="R31" s="30"/>
      <c r="S31" s="30"/>
      <c r="T31" s="30"/>
      <c r="U31" s="30"/>
      <c r="V31" s="30"/>
      <c r="W31" s="30"/>
      <c r="X31" s="30"/>
      <c r="Y31" s="30"/>
      <c r="Z31" s="30"/>
    </row>
    <row r="32">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c r="A33" s="41" t="s">
        <v>200</v>
      </c>
      <c r="B33" s="41" t="s">
        <v>127</v>
      </c>
      <c r="C33" s="41" t="s">
        <v>201</v>
      </c>
      <c r="D33" s="41" t="s">
        <v>202</v>
      </c>
      <c r="E33" s="41" t="s">
        <v>130</v>
      </c>
      <c r="F33" s="41" t="s">
        <v>203</v>
      </c>
      <c r="G33" s="41" t="s">
        <v>192</v>
      </c>
      <c r="H33" s="41" t="s">
        <v>204</v>
      </c>
      <c r="I33" s="41" t="s">
        <v>205</v>
      </c>
      <c r="J33" s="41" t="s">
        <v>135</v>
      </c>
      <c r="K33" s="41" t="s">
        <v>9</v>
      </c>
      <c r="L33" s="45" t="s">
        <v>206</v>
      </c>
      <c r="M33" s="47"/>
      <c r="N33" s="48" t="s">
        <v>137</v>
      </c>
      <c r="O33" s="47"/>
      <c r="P33" s="30"/>
      <c r="Q33" s="30"/>
      <c r="R33" s="30"/>
      <c r="S33" s="30"/>
      <c r="T33" s="30"/>
      <c r="U33" s="30"/>
      <c r="V33" s="30"/>
      <c r="W33" s="30"/>
      <c r="X33" s="30"/>
      <c r="Y33" s="30"/>
      <c r="Z33" s="30"/>
    </row>
    <row r="34">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c r="A35" s="41" t="s">
        <v>207</v>
      </c>
      <c r="B35" s="41" t="s">
        <v>127</v>
      </c>
      <c r="C35" s="41" t="s">
        <v>201</v>
      </c>
      <c r="D35" s="41" t="s">
        <v>208</v>
      </c>
      <c r="E35" s="41" t="s">
        <v>130</v>
      </c>
      <c r="F35" s="41" t="s">
        <v>203</v>
      </c>
      <c r="G35" s="41" t="s">
        <v>192</v>
      </c>
      <c r="H35" s="41" t="s">
        <v>209</v>
      </c>
      <c r="I35" s="41" t="s">
        <v>210</v>
      </c>
      <c r="J35" s="41" t="s">
        <v>135</v>
      </c>
      <c r="K35" s="41" t="s">
        <v>9</v>
      </c>
      <c r="L35" s="45" t="s">
        <v>211</v>
      </c>
      <c r="M35" s="47"/>
      <c r="N35" s="48" t="s">
        <v>137</v>
      </c>
      <c r="O35" s="48" t="s">
        <v>212</v>
      </c>
      <c r="P35" s="30"/>
      <c r="Q35" s="30"/>
      <c r="R35" s="30"/>
      <c r="S35" s="30"/>
      <c r="T35" s="30"/>
      <c r="U35" s="30"/>
      <c r="V35" s="30"/>
      <c r="W35" s="30"/>
      <c r="X35" s="30"/>
      <c r="Y35" s="30"/>
      <c r="Z35" s="30"/>
    </row>
    <row r="3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c r="A37" s="41" t="s">
        <v>213</v>
      </c>
      <c r="B37" s="41" t="s">
        <v>127</v>
      </c>
      <c r="C37" s="41" t="s">
        <v>201</v>
      </c>
      <c r="D37" s="41" t="s">
        <v>214</v>
      </c>
      <c r="E37" s="41" t="s">
        <v>130</v>
      </c>
      <c r="F37" s="41" t="s">
        <v>203</v>
      </c>
      <c r="G37" s="41" t="s">
        <v>192</v>
      </c>
      <c r="H37" s="41" t="s">
        <v>215</v>
      </c>
      <c r="I37" s="41" t="s">
        <v>216</v>
      </c>
      <c r="J37" s="41" t="s">
        <v>135</v>
      </c>
      <c r="K37" s="41" t="s">
        <v>7</v>
      </c>
      <c r="L37" s="45" t="s">
        <v>217</v>
      </c>
      <c r="M37" s="47"/>
      <c r="N37" s="48" t="s">
        <v>137</v>
      </c>
      <c r="O37" s="47"/>
      <c r="P37" s="30"/>
      <c r="Q37" s="30"/>
      <c r="R37" s="30"/>
      <c r="S37" s="30"/>
      <c r="T37" s="30"/>
      <c r="U37" s="30"/>
      <c r="V37" s="30"/>
      <c r="W37" s="30"/>
      <c r="X37" s="30"/>
      <c r="Y37" s="30"/>
      <c r="Z37" s="30"/>
    </row>
    <row r="38">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c r="A39" s="41" t="s">
        <v>218</v>
      </c>
      <c r="B39" s="41" t="s">
        <v>127</v>
      </c>
      <c r="C39" s="41" t="s">
        <v>201</v>
      </c>
      <c r="D39" s="41" t="s">
        <v>219</v>
      </c>
      <c r="E39" s="41" t="s">
        <v>130</v>
      </c>
      <c r="F39" s="41" t="s">
        <v>203</v>
      </c>
      <c r="G39" s="41" t="s">
        <v>192</v>
      </c>
      <c r="H39" s="41" t="s">
        <v>220</v>
      </c>
      <c r="I39" s="41" t="s">
        <v>221</v>
      </c>
      <c r="J39" s="41" t="s">
        <v>135</v>
      </c>
      <c r="K39" s="41" t="s">
        <v>5</v>
      </c>
      <c r="L39" s="45" t="s">
        <v>222</v>
      </c>
      <c r="M39" s="47"/>
      <c r="N39" s="47"/>
      <c r="O39" s="47"/>
      <c r="P39" s="30"/>
      <c r="Q39" s="30"/>
      <c r="R39" s="30"/>
      <c r="S39" s="30"/>
      <c r="T39" s="30"/>
      <c r="U39" s="30"/>
      <c r="V39" s="30"/>
      <c r="W39" s="30"/>
      <c r="X39" s="30"/>
      <c r="Y39" s="30"/>
      <c r="Z39" s="30"/>
    </row>
    <row r="40">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c r="A41" s="41" t="s">
        <v>223</v>
      </c>
      <c r="B41" s="41" t="s">
        <v>127</v>
      </c>
      <c r="C41" s="41" t="s">
        <v>201</v>
      </c>
      <c r="D41" s="41" t="s">
        <v>224</v>
      </c>
      <c r="E41" s="41" t="s">
        <v>130</v>
      </c>
      <c r="F41" s="41" t="s">
        <v>225</v>
      </c>
      <c r="G41" s="41" t="s">
        <v>192</v>
      </c>
      <c r="H41" s="41" t="s">
        <v>226</v>
      </c>
      <c r="I41" s="41" t="s">
        <v>227</v>
      </c>
      <c r="J41" s="41" t="s">
        <v>135</v>
      </c>
      <c r="K41" s="41" t="s">
        <v>5</v>
      </c>
      <c r="L41" s="45" t="s">
        <v>228</v>
      </c>
      <c r="M41" s="47"/>
      <c r="N41" s="48" t="s">
        <v>137</v>
      </c>
      <c r="O41" s="47"/>
      <c r="P41" s="30"/>
      <c r="Q41" s="30"/>
      <c r="R41" s="30"/>
      <c r="S41" s="30"/>
      <c r="T41" s="30"/>
      <c r="U41" s="30"/>
      <c r="V41" s="30"/>
      <c r="W41" s="30"/>
      <c r="X41" s="30"/>
      <c r="Y41" s="30"/>
      <c r="Z41" s="30"/>
    </row>
    <row r="42">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c r="A43" s="41" t="s">
        <v>229</v>
      </c>
      <c r="B43" s="41" t="s">
        <v>127</v>
      </c>
      <c r="C43" s="41" t="s">
        <v>201</v>
      </c>
      <c r="D43" s="41" t="s">
        <v>230</v>
      </c>
      <c r="E43" s="41" t="s">
        <v>130</v>
      </c>
      <c r="F43" s="41" t="s">
        <v>231</v>
      </c>
      <c r="G43" s="41" t="s">
        <v>192</v>
      </c>
      <c r="H43" s="41" t="s">
        <v>226</v>
      </c>
      <c r="I43" s="41" t="s">
        <v>227</v>
      </c>
      <c r="J43" s="41" t="s">
        <v>135</v>
      </c>
      <c r="K43" s="41" t="s">
        <v>5</v>
      </c>
      <c r="L43" s="45" t="s">
        <v>232</v>
      </c>
      <c r="M43" s="47"/>
      <c r="N43" s="48" t="s">
        <v>137</v>
      </c>
      <c r="O43" s="47"/>
      <c r="P43" s="30"/>
      <c r="Q43" s="30"/>
      <c r="R43" s="30"/>
      <c r="S43" s="30"/>
      <c r="T43" s="30"/>
      <c r="U43" s="30"/>
      <c r="V43" s="30"/>
      <c r="W43" s="30"/>
      <c r="X43" s="30"/>
      <c r="Y43" s="30"/>
      <c r="Z43" s="30"/>
    </row>
    <row r="44">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c r="A45" s="41" t="s">
        <v>233</v>
      </c>
      <c r="B45" s="41" t="s">
        <v>127</v>
      </c>
      <c r="C45" s="41" t="s">
        <v>201</v>
      </c>
      <c r="D45" s="41" t="s">
        <v>234</v>
      </c>
      <c r="E45" s="41" t="s">
        <v>130</v>
      </c>
      <c r="F45" s="41" t="s">
        <v>235</v>
      </c>
      <c r="G45" s="41" t="s">
        <v>192</v>
      </c>
      <c r="H45" s="41" t="s">
        <v>226</v>
      </c>
      <c r="I45" s="41" t="s">
        <v>227</v>
      </c>
      <c r="J45" s="41" t="s">
        <v>135</v>
      </c>
      <c r="K45" s="41" t="s">
        <v>5</v>
      </c>
      <c r="L45" s="45" t="s">
        <v>236</v>
      </c>
      <c r="M45" s="47"/>
      <c r="N45" s="48" t="s">
        <v>137</v>
      </c>
      <c r="O45" s="47"/>
      <c r="P45" s="30"/>
      <c r="Q45" s="30"/>
      <c r="R45" s="30"/>
      <c r="S45" s="30"/>
      <c r="T45" s="30"/>
      <c r="U45" s="30"/>
      <c r="V45" s="30"/>
      <c r="W45" s="30"/>
      <c r="X45" s="30"/>
      <c r="Y45" s="30"/>
      <c r="Z45" s="30"/>
    </row>
    <row r="4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c r="A47" s="41" t="s">
        <v>237</v>
      </c>
      <c r="B47" s="41" t="s">
        <v>127</v>
      </c>
      <c r="C47" s="41" t="s">
        <v>201</v>
      </c>
      <c r="D47" s="41" t="s">
        <v>238</v>
      </c>
      <c r="E47" s="41" t="s">
        <v>130</v>
      </c>
      <c r="F47" s="41" t="s">
        <v>239</v>
      </c>
      <c r="G47" s="41" t="s">
        <v>192</v>
      </c>
      <c r="H47" s="41" t="s">
        <v>226</v>
      </c>
      <c r="I47" s="41" t="s">
        <v>227</v>
      </c>
      <c r="J47" s="41" t="s">
        <v>135</v>
      </c>
      <c r="K47" s="41" t="s">
        <v>5</v>
      </c>
      <c r="L47" s="45" t="s">
        <v>240</v>
      </c>
      <c r="M47" s="46"/>
      <c r="N47" s="48" t="s">
        <v>137</v>
      </c>
      <c r="O47" s="47"/>
      <c r="P47" s="30"/>
      <c r="Q47" s="30"/>
      <c r="R47" s="30"/>
      <c r="S47" s="30"/>
      <c r="T47" s="30"/>
      <c r="U47" s="30"/>
      <c r="V47" s="30"/>
      <c r="W47" s="30"/>
      <c r="X47" s="30"/>
      <c r="Y47" s="30"/>
      <c r="Z47" s="30"/>
    </row>
    <row r="48">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c r="A49" s="41" t="s">
        <v>241</v>
      </c>
      <c r="B49" s="41" t="s">
        <v>127</v>
      </c>
      <c r="C49" s="41" t="s">
        <v>201</v>
      </c>
      <c r="D49" s="41" t="s">
        <v>242</v>
      </c>
      <c r="E49" s="41" t="s">
        <v>130</v>
      </c>
      <c r="F49" s="41" t="s">
        <v>243</v>
      </c>
      <c r="G49" s="41" t="s">
        <v>192</v>
      </c>
      <c r="H49" s="41" t="s">
        <v>226</v>
      </c>
      <c r="I49" s="41" t="s">
        <v>227</v>
      </c>
      <c r="J49" s="41" t="s">
        <v>135</v>
      </c>
      <c r="K49" s="41" t="s">
        <v>5</v>
      </c>
      <c r="L49" s="45" t="s">
        <v>244</v>
      </c>
      <c r="M49" s="47"/>
      <c r="N49" s="48" t="s">
        <v>137</v>
      </c>
      <c r="O49" s="47"/>
      <c r="P49" s="30"/>
      <c r="Q49" s="30"/>
      <c r="R49" s="30"/>
      <c r="S49" s="30"/>
      <c r="T49" s="30"/>
      <c r="U49" s="30"/>
      <c r="V49" s="30"/>
      <c r="W49" s="30"/>
      <c r="X49" s="30"/>
      <c r="Y49" s="30"/>
      <c r="Z49" s="30"/>
    </row>
    <row r="50">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c r="A51" s="41" t="s">
        <v>245</v>
      </c>
      <c r="B51" s="41" t="s">
        <v>201</v>
      </c>
      <c r="C51" s="41" t="s">
        <v>246</v>
      </c>
      <c r="D51" s="41" t="s">
        <v>247</v>
      </c>
      <c r="E51" s="41" t="s">
        <v>130</v>
      </c>
      <c r="F51" s="41" t="s">
        <v>248</v>
      </c>
      <c r="G51" s="41" t="s">
        <v>192</v>
      </c>
      <c r="H51" s="41" t="s">
        <v>249</v>
      </c>
      <c r="I51" s="41" t="s">
        <v>250</v>
      </c>
      <c r="J51" s="41" t="s">
        <v>135</v>
      </c>
      <c r="K51" s="41" t="s">
        <v>5</v>
      </c>
      <c r="L51" s="45" t="s">
        <v>251</v>
      </c>
      <c r="M51" s="47"/>
      <c r="N51" s="47"/>
      <c r="O51" s="47"/>
      <c r="P51" s="30"/>
      <c r="Q51" s="30"/>
      <c r="R51" s="30"/>
      <c r="S51" s="30"/>
      <c r="T51" s="30"/>
      <c r="U51" s="30"/>
      <c r="V51" s="30"/>
      <c r="W51" s="30"/>
      <c r="X51" s="30"/>
      <c r="Y51" s="30"/>
      <c r="Z51" s="30"/>
    </row>
    <row r="52">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c r="A53" s="41" t="s">
        <v>252</v>
      </c>
      <c r="B53" s="41" t="s">
        <v>201</v>
      </c>
      <c r="C53" s="41" t="s">
        <v>253</v>
      </c>
      <c r="D53" s="41" t="s">
        <v>254</v>
      </c>
      <c r="E53" s="41" t="s">
        <v>130</v>
      </c>
      <c r="F53" s="41" t="s">
        <v>255</v>
      </c>
      <c r="G53" s="41" t="s">
        <v>192</v>
      </c>
      <c r="H53" s="41" t="s">
        <v>256</v>
      </c>
      <c r="I53" s="41" t="s">
        <v>257</v>
      </c>
      <c r="J53" s="41" t="s">
        <v>135</v>
      </c>
      <c r="K53" s="41" t="s">
        <v>7</v>
      </c>
      <c r="L53" s="45" t="s">
        <v>258</v>
      </c>
      <c r="M53" s="47"/>
      <c r="N53" s="47"/>
      <c r="O53" s="47"/>
      <c r="P53" s="30"/>
      <c r="Q53" s="30"/>
      <c r="R53" s="30"/>
      <c r="S53" s="30"/>
      <c r="T53" s="30"/>
      <c r="U53" s="30"/>
      <c r="V53" s="30"/>
      <c r="W53" s="30"/>
      <c r="X53" s="30"/>
      <c r="Y53" s="30"/>
      <c r="Z53" s="30"/>
    </row>
    <row r="54">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c r="A55" s="41" t="s">
        <v>259</v>
      </c>
      <c r="B55" s="41" t="s">
        <v>127</v>
      </c>
      <c r="C55" s="41" t="s">
        <v>260</v>
      </c>
      <c r="D55" s="41" t="s">
        <v>261</v>
      </c>
      <c r="E55" s="41" t="s">
        <v>130</v>
      </c>
      <c r="F55" s="41" t="s">
        <v>262</v>
      </c>
      <c r="G55" s="41" t="s">
        <v>192</v>
      </c>
      <c r="H55" s="41" t="s">
        <v>263</v>
      </c>
      <c r="I55" s="41" t="s">
        <v>264</v>
      </c>
      <c r="J55" s="41" t="s">
        <v>135</v>
      </c>
      <c r="K55" s="41" t="s">
        <v>5</v>
      </c>
      <c r="L55" s="45" t="s">
        <v>265</v>
      </c>
      <c r="M55" s="47"/>
      <c r="N55" s="47"/>
      <c r="O55" s="47"/>
      <c r="P55" s="30"/>
      <c r="Q55" s="30"/>
      <c r="R55" s="30"/>
      <c r="S55" s="30"/>
      <c r="T55" s="30"/>
      <c r="U55" s="30"/>
      <c r="V55" s="30"/>
      <c r="W55" s="30"/>
      <c r="X55" s="30"/>
      <c r="Y55" s="30"/>
      <c r="Z55" s="30"/>
    </row>
    <row r="5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c r="A57" s="41" t="s">
        <v>266</v>
      </c>
      <c r="B57" s="41" t="s">
        <v>260</v>
      </c>
      <c r="C57" s="41" t="s">
        <v>260</v>
      </c>
      <c r="D57" s="41" t="s">
        <v>267</v>
      </c>
      <c r="E57" s="41" t="s">
        <v>130</v>
      </c>
      <c r="F57" s="41" t="s">
        <v>262</v>
      </c>
      <c r="G57" s="41" t="s">
        <v>192</v>
      </c>
      <c r="H57" s="41" t="s">
        <v>268</v>
      </c>
      <c r="I57" s="41" t="s">
        <v>269</v>
      </c>
      <c r="J57" s="41" t="s">
        <v>135</v>
      </c>
      <c r="K57" s="41" t="s">
        <v>7</v>
      </c>
      <c r="L57" s="45" t="s">
        <v>270</v>
      </c>
      <c r="M57" s="47"/>
      <c r="N57" s="47"/>
      <c r="O57" s="47"/>
      <c r="P57" s="30"/>
      <c r="Q57" s="30"/>
      <c r="R57" s="30"/>
      <c r="S57" s="30"/>
      <c r="T57" s="30"/>
      <c r="U57" s="30"/>
      <c r="V57" s="30"/>
      <c r="W57" s="30"/>
      <c r="X57" s="30"/>
      <c r="Y57" s="30"/>
      <c r="Z57" s="30"/>
    </row>
    <row r="58">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c r="A59" s="41" t="s">
        <v>271</v>
      </c>
      <c r="B59" s="41" t="s">
        <v>260</v>
      </c>
      <c r="C59" s="41" t="s">
        <v>260</v>
      </c>
      <c r="D59" s="41" t="s">
        <v>272</v>
      </c>
      <c r="E59" s="41" t="s">
        <v>130</v>
      </c>
      <c r="F59" s="41" t="s">
        <v>262</v>
      </c>
      <c r="G59" s="41" t="s">
        <v>192</v>
      </c>
      <c r="H59" s="41" t="s">
        <v>273</v>
      </c>
      <c r="I59" s="41" t="s">
        <v>274</v>
      </c>
      <c r="J59" s="41" t="s">
        <v>135</v>
      </c>
      <c r="K59" s="41" t="s">
        <v>5</v>
      </c>
      <c r="L59" s="45" t="s">
        <v>275</v>
      </c>
      <c r="M59" s="47"/>
      <c r="N59" s="47"/>
      <c r="O59" s="47"/>
      <c r="P59" s="30"/>
      <c r="Q59" s="30"/>
      <c r="R59" s="30"/>
      <c r="S59" s="30"/>
      <c r="T59" s="30"/>
      <c r="U59" s="30"/>
      <c r="V59" s="30"/>
      <c r="W59" s="30"/>
      <c r="X59" s="30"/>
      <c r="Y59" s="30"/>
      <c r="Z59" s="30"/>
    </row>
    <row r="60">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c r="A61" s="41" t="s">
        <v>276</v>
      </c>
      <c r="B61" s="48" t="s">
        <v>260</v>
      </c>
      <c r="C61" s="48" t="s">
        <v>260</v>
      </c>
      <c r="D61" s="48" t="s">
        <v>277</v>
      </c>
      <c r="E61" s="48" t="s">
        <v>130</v>
      </c>
      <c r="F61" s="48" t="s">
        <v>278</v>
      </c>
      <c r="G61" s="48" t="s">
        <v>192</v>
      </c>
      <c r="H61" s="48" t="s">
        <v>279</v>
      </c>
      <c r="I61" s="48" t="s">
        <v>280</v>
      </c>
      <c r="J61" s="48" t="s">
        <v>135</v>
      </c>
      <c r="K61" s="48" t="s">
        <v>5</v>
      </c>
      <c r="L61" s="49" t="s">
        <v>281</v>
      </c>
      <c r="M61" s="47"/>
      <c r="N61" s="47"/>
      <c r="O61" s="47"/>
      <c r="P61" s="30"/>
      <c r="Q61" s="30"/>
      <c r="R61" s="30"/>
      <c r="S61" s="30"/>
      <c r="T61" s="30"/>
      <c r="U61" s="30"/>
      <c r="V61" s="30"/>
      <c r="W61" s="30"/>
      <c r="X61" s="30"/>
      <c r="Y61" s="30"/>
      <c r="Z61" s="30"/>
    </row>
    <row r="62">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c r="A63" s="41" t="s">
        <v>282</v>
      </c>
      <c r="B63" s="48" t="s">
        <v>283</v>
      </c>
      <c r="C63" s="48" t="s">
        <v>284</v>
      </c>
      <c r="D63" s="48" t="s">
        <v>285</v>
      </c>
      <c r="E63" s="48" t="s">
        <v>130</v>
      </c>
      <c r="F63" s="48" t="s">
        <v>286</v>
      </c>
      <c r="G63" s="48" t="s">
        <v>192</v>
      </c>
      <c r="H63" s="48" t="s">
        <v>287</v>
      </c>
      <c r="I63" s="48" t="s">
        <v>288</v>
      </c>
      <c r="J63" s="48" t="s">
        <v>135</v>
      </c>
      <c r="K63" s="48" t="s">
        <v>5</v>
      </c>
      <c r="L63" s="49" t="s">
        <v>289</v>
      </c>
      <c r="M63" s="47"/>
      <c r="N63" s="47"/>
      <c r="O63" s="47"/>
      <c r="P63" s="30"/>
      <c r="Q63" s="30"/>
      <c r="R63" s="30"/>
      <c r="S63" s="30"/>
      <c r="T63" s="30"/>
      <c r="U63" s="30"/>
      <c r="V63" s="30"/>
      <c r="W63" s="30"/>
      <c r="X63" s="30"/>
      <c r="Y63" s="30"/>
      <c r="Z63" s="30"/>
    </row>
    <row r="64">
      <c r="A64" s="47"/>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c r="A65" s="41" t="s">
        <v>290</v>
      </c>
      <c r="B65" s="48" t="s">
        <v>283</v>
      </c>
      <c r="C65" s="48" t="s">
        <v>291</v>
      </c>
      <c r="D65" s="48" t="s">
        <v>292</v>
      </c>
      <c r="E65" s="48" t="s">
        <v>130</v>
      </c>
      <c r="F65" s="48" t="s">
        <v>286</v>
      </c>
      <c r="G65" s="48" t="s">
        <v>192</v>
      </c>
      <c r="H65" s="48" t="s">
        <v>293</v>
      </c>
      <c r="I65" s="48" t="s">
        <v>294</v>
      </c>
      <c r="J65" s="48" t="s">
        <v>135</v>
      </c>
      <c r="K65" s="48" t="s">
        <v>5</v>
      </c>
      <c r="L65" s="49" t="s">
        <v>295</v>
      </c>
      <c r="M65" s="47"/>
      <c r="N65" s="47"/>
      <c r="O65" s="47"/>
      <c r="P65" s="30"/>
      <c r="Q65" s="30"/>
      <c r="R65" s="30"/>
      <c r="S65" s="30"/>
      <c r="T65" s="30"/>
      <c r="U65" s="30"/>
      <c r="V65" s="30"/>
      <c r="W65" s="30"/>
      <c r="X65" s="30"/>
      <c r="Y65" s="30"/>
      <c r="Z65" s="30"/>
    </row>
    <row r="66">
      <c r="A66" s="47"/>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c r="A67" s="41" t="s">
        <v>296</v>
      </c>
      <c r="B67" s="48" t="s">
        <v>253</v>
      </c>
      <c r="C67" s="48" t="s">
        <v>253</v>
      </c>
      <c r="D67" s="48" t="s">
        <v>297</v>
      </c>
      <c r="E67" s="48" t="s">
        <v>130</v>
      </c>
      <c r="F67" s="48" t="s">
        <v>298</v>
      </c>
      <c r="G67" s="48" t="s">
        <v>192</v>
      </c>
      <c r="H67" s="48" t="s">
        <v>133</v>
      </c>
      <c r="I67" s="48" t="s">
        <v>299</v>
      </c>
      <c r="J67" s="48" t="s">
        <v>135</v>
      </c>
      <c r="K67" s="48" t="s">
        <v>9</v>
      </c>
      <c r="L67" s="49" t="s">
        <v>300</v>
      </c>
      <c r="M67" s="47"/>
      <c r="N67" s="47"/>
      <c r="O67" s="47"/>
      <c r="P67" s="30"/>
      <c r="Q67" s="30"/>
      <c r="R67" s="30"/>
      <c r="S67" s="30"/>
      <c r="T67" s="30"/>
      <c r="U67" s="30"/>
      <c r="V67" s="30"/>
      <c r="W67" s="30"/>
      <c r="X67" s="30"/>
      <c r="Y67" s="30"/>
      <c r="Z67" s="30"/>
    </row>
    <row r="68">
      <c r="A68" s="47"/>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c r="A69" s="41" t="s">
        <v>301</v>
      </c>
      <c r="B69" s="48" t="s">
        <v>253</v>
      </c>
      <c r="C69" s="48" t="s">
        <v>253</v>
      </c>
      <c r="D69" s="48" t="s">
        <v>297</v>
      </c>
      <c r="E69" s="48" t="s">
        <v>130</v>
      </c>
      <c r="F69" s="48" t="s">
        <v>298</v>
      </c>
      <c r="G69" s="48" t="s">
        <v>192</v>
      </c>
      <c r="H69" s="48" t="s">
        <v>133</v>
      </c>
      <c r="I69" s="48" t="s">
        <v>299</v>
      </c>
      <c r="J69" s="48" t="s">
        <v>135</v>
      </c>
      <c r="K69" s="48" t="s">
        <v>9</v>
      </c>
      <c r="L69" s="49" t="s">
        <v>302</v>
      </c>
      <c r="M69" s="47"/>
      <c r="N69" s="47"/>
      <c r="O69" s="47"/>
      <c r="P69" s="30"/>
      <c r="Q69" s="30"/>
      <c r="R69" s="30"/>
      <c r="S69" s="30"/>
      <c r="T69" s="30"/>
      <c r="U69" s="30"/>
      <c r="V69" s="30"/>
      <c r="W69" s="30"/>
      <c r="X69" s="30"/>
      <c r="Y69" s="30"/>
      <c r="Z69" s="30"/>
    </row>
    <row r="70">
      <c r="A70" s="47"/>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c r="A71" s="41" t="s">
        <v>303</v>
      </c>
      <c r="B71" s="48" t="s">
        <v>304</v>
      </c>
      <c r="C71" s="48" t="s">
        <v>304</v>
      </c>
      <c r="D71" s="48" t="s">
        <v>305</v>
      </c>
      <c r="E71" s="48" t="s">
        <v>130</v>
      </c>
      <c r="F71" s="48" t="s">
        <v>306</v>
      </c>
      <c r="G71" s="48" t="s">
        <v>192</v>
      </c>
      <c r="H71" s="48" t="s">
        <v>307</v>
      </c>
      <c r="I71" s="48" t="s">
        <v>308</v>
      </c>
      <c r="J71" s="48" t="s">
        <v>135</v>
      </c>
      <c r="K71" s="48" t="s">
        <v>7</v>
      </c>
      <c r="L71" s="49" t="s">
        <v>309</v>
      </c>
      <c r="M71" s="47"/>
      <c r="N71" s="47"/>
      <c r="O71" s="47"/>
      <c r="P71" s="30"/>
      <c r="Q71" s="30"/>
      <c r="R71" s="30"/>
      <c r="S71" s="30"/>
      <c r="T71" s="30"/>
      <c r="U71" s="30"/>
      <c r="V71" s="30"/>
      <c r="W71" s="30"/>
      <c r="X71" s="30"/>
      <c r="Y71" s="30"/>
      <c r="Z71" s="30"/>
    </row>
    <row r="72">
      <c r="A72" s="47"/>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c r="A73" s="41" t="s">
        <v>310</v>
      </c>
      <c r="B73" s="48" t="s">
        <v>127</v>
      </c>
      <c r="C73" s="48" t="s">
        <v>128</v>
      </c>
      <c r="D73" s="48" t="s">
        <v>311</v>
      </c>
      <c r="E73" s="48" t="s">
        <v>130</v>
      </c>
      <c r="F73" s="48" t="s">
        <v>312</v>
      </c>
      <c r="G73" s="48" t="s">
        <v>192</v>
      </c>
      <c r="H73" s="48" t="s">
        <v>313</v>
      </c>
      <c r="I73" s="48" t="s">
        <v>314</v>
      </c>
      <c r="J73" s="48" t="s">
        <v>135</v>
      </c>
      <c r="K73" s="48" t="s">
        <v>5</v>
      </c>
      <c r="L73" s="49" t="s">
        <v>315</v>
      </c>
      <c r="M73" s="47"/>
      <c r="N73" s="47"/>
      <c r="O73" s="47"/>
      <c r="P73" s="30"/>
      <c r="Q73" s="30"/>
      <c r="R73" s="30"/>
      <c r="S73" s="30"/>
      <c r="T73" s="30"/>
      <c r="U73" s="30"/>
      <c r="V73" s="30"/>
      <c r="W73" s="30"/>
      <c r="X73" s="30"/>
      <c r="Y73" s="30"/>
      <c r="Z73" s="30"/>
    </row>
    <row r="74">
      <c r="A74" s="47"/>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c r="A75" s="41" t="s">
        <v>316</v>
      </c>
      <c r="B75" s="48" t="s">
        <v>127</v>
      </c>
      <c r="C75" s="48" t="s">
        <v>128</v>
      </c>
      <c r="D75" s="48" t="s">
        <v>317</v>
      </c>
      <c r="E75" s="48" t="s">
        <v>130</v>
      </c>
      <c r="F75" s="48" t="s">
        <v>312</v>
      </c>
      <c r="G75" s="48" t="s">
        <v>192</v>
      </c>
      <c r="H75" s="48" t="s">
        <v>318</v>
      </c>
      <c r="I75" s="48" t="s">
        <v>319</v>
      </c>
      <c r="J75" s="48" t="s">
        <v>135</v>
      </c>
      <c r="K75" s="48" t="s">
        <v>5</v>
      </c>
      <c r="L75" s="49" t="s">
        <v>320</v>
      </c>
      <c r="M75" s="47"/>
      <c r="N75" s="47"/>
      <c r="O75" s="48" t="s">
        <v>321</v>
      </c>
      <c r="P75" s="30"/>
      <c r="Q75" s="30"/>
      <c r="R75" s="30"/>
      <c r="S75" s="30"/>
      <c r="T75" s="30"/>
      <c r="U75" s="30"/>
      <c r="V75" s="30"/>
      <c r="W75" s="30"/>
      <c r="X75" s="30"/>
      <c r="Y75" s="30"/>
      <c r="Z75" s="30"/>
    </row>
    <row r="76">
      <c r="A76" s="47"/>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c r="A77" s="41" t="s">
        <v>322</v>
      </c>
      <c r="B77" s="48" t="s">
        <v>283</v>
      </c>
      <c r="C77" s="48" t="s">
        <v>323</v>
      </c>
      <c r="D77" s="48" t="s">
        <v>324</v>
      </c>
      <c r="E77" s="48" t="s">
        <v>130</v>
      </c>
      <c r="F77" s="48" t="s">
        <v>325</v>
      </c>
      <c r="G77" s="48" t="s">
        <v>192</v>
      </c>
      <c r="H77" s="48" t="s">
        <v>326</v>
      </c>
      <c r="I77" s="48" t="s">
        <v>327</v>
      </c>
      <c r="J77" s="48" t="s">
        <v>135</v>
      </c>
      <c r="K77" s="48" t="s">
        <v>5</v>
      </c>
      <c r="L77" s="49" t="s">
        <v>328</v>
      </c>
      <c r="M77" s="47"/>
      <c r="N77" s="48" t="s">
        <v>137</v>
      </c>
      <c r="O77" s="47"/>
      <c r="P77" s="30"/>
      <c r="Q77" s="30"/>
      <c r="R77" s="30"/>
      <c r="S77" s="30"/>
      <c r="T77" s="30"/>
      <c r="U77" s="30"/>
      <c r="V77" s="30"/>
      <c r="W77" s="30"/>
      <c r="X77" s="30"/>
      <c r="Y77" s="30"/>
      <c r="Z77" s="30"/>
    </row>
    <row r="78">
      <c r="A78" s="47"/>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c r="A79" s="41" t="s">
        <v>329</v>
      </c>
      <c r="B79" s="48" t="s">
        <v>330</v>
      </c>
      <c r="C79" s="48" t="s">
        <v>330</v>
      </c>
      <c r="D79" s="48" t="s">
        <v>331</v>
      </c>
      <c r="E79" s="48" t="s">
        <v>130</v>
      </c>
      <c r="F79" s="48" t="s">
        <v>332</v>
      </c>
      <c r="G79" s="48" t="s">
        <v>192</v>
      </c>
      <c r="H79" s="48" t="s">
        <v>133</v>
      </c>
      <c r="I79" s="48" t="s">
        <v>299</v>
      </c>
      <c r="J79" s="48" t="s">
        <v>135</v>
      </c>
      <c r="K79" s="48" t="s">
        <v>9</v>
      </c>
      <c r="L79" s="49" t="s">
        <v>333</v>
      </c>
      <c r="M79" s="47"/>
      <c r="N79" s="48" t="s">
        <v>137</v>
      </c>
      <c r="O79" s="48" t="s">
        <v>334</v>
      </c>
      <c r="P79" s="30"/>
      <c r="Q79" s="30"/>
      <c r="R79" s="30"/>
      <c r="S79" s="30"/>
      <c r="T79" s="30"/>
      <c r="U79" s="30"/>
      <c r="V79" s="30"/>
      <c r="W79" s="30"/>
      <c r="X79" s="30"/>
      <c r="Y79" s="30"/>
      <c r="Z79" s="30"/>
    </row>
    <row r="80">
      <c r="A80" s="47"/>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c r="A81" s="41" t="s">
        <v>335</v>
      </c>
      <c r="B81" s="48" t="s">
        <v>330</v>
      </c>
      <c r="C81" s="48" t="s">
        <v>330</v>
      </c>
      <c r="D81" s="48" t="s">
        <v>336</v>
      </c>
      <c r="E81" s="48" t="s">
        <v>130</v>
      </c>
      <c r="F81" s="48" t="s">
        <v>332</v>
      </c>
      <c r="G81" s="48" t="s">
        <v>192</v>
      </c>
      <c r="H81" s="48" t="s">
        <v>337</v>
      </c>
      <c r="I81" s="48" t="s">
        <v>338</v>
      </c>
      <c r="J81" s="48" t="s">
        <v>135</v>
      </c>
      <c r="K81" s="48" t="s">
        <v>5</v>
      </c>
      <c r="L81" s="49" t="s">
        <v>339</v>
      </c>
      <c r="M81" s="47"/>
      <c r="N81" s="48" t="s">
        <v>137</v>
      </c>
      <c r="O81" s="48" t="s">
        <v>334</v>
      </c>
      <c r="P81" s="30"/>
      <c r="Q81" s="30"/>
      <c r="R81" s="30"/>
      <c r="S81" s="30"/>
      <c r="T81" s="30"/>
      <c r="U81" s="30"/>
      <c r="V81" s="30"/>
      <c r="W81" s="30"/>
      <c r="X81" s="30"/>
      <c r="Y81" s="30"/>
      <c r="Z81" s="30"/>
    </row>
    <row r="82">
      <c r="A82" s="47"/>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c r="A83" s="48" t="s">
        <v>340</v>
      </c>
      <c r="B83" s="48" t="s">
        <v>341</v>
      </c>
      <c r="C83" s="48" t="s">
        <v>341</v>
      </c>
      <c r="D83" s="48" t="s">
        <v>342</v>
      </c>
      <c r="E83" s="48" t="s">
        <v>130</v>
      </c>
      <c r="F83" s="48" t="s">
        <v>343</v>
      </c>
      <c r="G83" s="48" t="s">
        <v>192</v>
      </c>
      <c r="H83" s="48" t="s">
        <v>344</v>
      </c>
      <c r="I83" s="48" t="s">
        <v>345</v>
      </c>
      <c r="J83" s="48" t="s">
        <v>135</v>
      </c>
      <c r="K83" s="48" t="s">
        <v>5</v>
      </c>
      <c r="L83" s="49" t="s">
        <v>346</v>
      </c>
      <c r="M83" s="47"/>
      <c r="N83" s="48" t="s">
        <v>137</v>
      </c>
      <c r="O83" s="48" t="s">
        <v>334</v>
      </c>
      <c r="P83" s="30"/>
      <c r="Q83" s="30"/>
      <c r="R83" s="30"/>
      <c r="S83" s="30"/>
      <c r="T83" s="30"/>
      <c r="U83" s="30"/>
      <c r="V83" s="30"/>
      <c r="W83" s="30"/>
      <c r="X83" s="30"/>
      <c r="Y83" s="30"/>
      <c r="Z83" s="30"/>
    </row>
    <row r="84">
      <c r="A84" s="47"/>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c r="A85" s="48" t="s">
        <v>347</v>
      </c>
      <c r="B85" s="48" t="s">
        <v>341</v>
      </c>
      <c r="C85" s="48" t="s">
        <v>341</v>
      </c>
      <c r="D85" s="48" t="s">
        <v>348</v>
      </c>
      <c r="E85" s="48" t="s">
        <v>130</v>
      </c>
      <c r="F85" s="48" t="s">
        <v>343</v>
      </c>
      <c r="G85" s="48" t="s">
        <v>192</v>
      </c>
      <c r="H85" s="48" t="s">
        <v>349</v>
      </c>
      <c r="I85" s="48" t="s">
        <v>350</v>
      </c>
      <c r="J85" s="48" t="s">
        <v>135</v>
      </c>
      <c r="K85" s="48" t="s">
        <v>5</v>
      </c>
      <c r="L85" s="49" t="s">
        <v>351</v>
      </c>
      <c r="M85" s="47"/>
      <c r="N85" s="48" t="s">
        <v>137</v>
      </c>
      <c r="O85" s="47"/>
      <c r="P85" s="30"/>
      <c r="Q85" s="30"/>
      <c r="R85" s="30"/>
      <c r="S85" s="30"/>
      <c r="T85" s="30"/>
      <c r="U85" s="30"/>
      <c r="V85" s="30"/>
      <c r="W85" s="30"/>
      <c r="X85" s="30"/>
      <c r="Y85" s="30"/>
      <c r="Z85" s="30"/>
    </row>
    <row r="86">
      <c r="A86" s="47"/>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c r="A87" s="48" t="s">
        <v>352</v>
      </c>
      <c r="B87" s="48" t="s">
        <v>341</v>
      </c>
      <c r="C87" s="48" t="s">
        <v>341</v>
      </c>
      <c r="D87" s="48" t="s">
        <v>353</v>
      </c>
      <c r="E87" s="48" t="s">
        <v>130</v>
      </c>
      <c r="F87" s="48" t="s">
        <v>343</v>
      </c>
      <c r="G87" s="48" t="s">
        <v>192</v>
      </c>
      <c r="H87" s="48" t="s">
        <v>354</v>
      </c>
      <c r="I87" s="48" t="s">
        <v>355</v>
      </c>
      <c r="J87" s="48" t="s">
        <v>135</v>
      </c>
      <c r="K87" s="48" t="s">
        <v>5</v>
      </c>
      <c r="L87" s="49" t="s">
        <v>356</v>
      </c>
      <c r="M87" s="47"/>
      <c r="N87" s="47"/>
      <c r="O87" s="47"/>
      <c r="P87" s="30"/>
      <c r="Q87" s="30"/>
      <c r="R87" s="30"/>
      <c r="S87" s="30"/>
      <c r="T87" s="30"/>
      <c r="U87" s="30"/>
      <c r="V87" s="30"/>
      <c r="W87" s="30"/>
      <c r="X87" s="30"/>
      <c r="Y87" s="30"/>
      <c r="Z87" s="30"/>
    </row>
    <row r="88">
      <c r="A88" s="47"/>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c r="A89" s="48" t="s">
        <v>357</v>
      </c>
      <c r="B89" s="48" t="s">
        <v>341</v>
      </c>
      <c r="C89" s="48" t="s">
        <v>341</v>
      </c>
      <c r="D89" s="48" t="s">
        <v>331</v>
      </c>
      <c r="E89" s="48" t="s">
        <v>130</v>
      </c>
      <c r="F89" s="48" t="s">
        <v>358</v>
      </c>
      <c r="G89" s="48" t="s">
        <v>192</v>
      </c>
      <c r="H89" s="48" t="s">
        <v>133</v>
      </c>
      <c r="I89" s="48" t="s">
        <v>299</v>
      </c>
      <c r="J89" s="48" t="s">
        <v>135</v>
      </c>
      <c r="K89" s="48" t="s">
        <v>9</v>
      </c>
      <c r="L89" s="49" t="s">
        <v>359</v>
      </c>
      <c r="M89" s="47"/>
      <c r="N89" s="47"/>
      <c r="O89" s="48" t="s">
        <v>360</v>
      </c>
      <c r="P89" s="30"/>
      <c r="Q89" s="30"/>
      <c r="R89" s="30"/>
      <c r="S89" s="30"/>
      <c r="T89" s="30"/>
      <c r="U89" s="30"/>
      <c r="V89" s="30"/>
      <c r="W89" s="30"/>
      <c r="X89" s="30"/>
      <c r="Y89" s="30"/>
      <c r="Z89" s="30"/>
    </row>
    <row r="90">
      <c r="A90" s="47"/>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c r="A91" s="48" t="s">
        <v>361</v>
      </c>
      <c r="B91" s="48" t="s">
        <v>341</v>
      </c>
      <c r="C91" s="48" t="s">
        <v>341</v>
      </c>
      <c r="D91" s="48" t="s">
        <v>362</v>
      </c>
      <c r="E91" s="48" t="s">
        <v>130</v>
      </c>
      <c r="F91" s="48" t="s">
        <v>358</v>
      </c>
      <c r="G91" s="48" t="s">
        <v>192</v>
      </c>
      <c r="H91" s="48" t="s">
        <v>133</v>
      </c>
      <c r="I91" s="48" t="s">
        <v>299</v>
      </c>
      <c r="J91" s="48" t="s">
        <v>135</v>
      </c>
      <c r="K91" s="48" t="s">
        <v>7</v>
      </c>
      <c r="L91" s="49" t="s">
        <v>363</v>
      </c>
      <c r="M91" s="47"/>
      <c r="N91" s="47"/>
      <c r="O91" s="47"/>
      <c r="P91" s="30"/>
      <c r="Q91" s="30"/>
      <c r="R91" s="30"/>
      <c r="S91" s="30"/>
      <c r="T91" s="30"/>
      <c r="U91" s="30"/>
      <c r="V91" s="30"/>
      <c r="W91" s="30"/>
      <c r="X91" s="30"/>
      <c r="Y91" s="30"/>
      <c r="Z91" s="30"/>
    </row>
    <row r="92">
      <c r="A92" s="47"/>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c r="A93" s="48" t="s">
        <v>364</v>
      </c>
      <c r="B93" s="48" t="s">
        <v>341</v>
      </c>
      <c r="C93" s="48" t="s">
        <v>341</v>
      </c>
      <c r="D93" s="48" t="s">
        <v>365</v>
      </c>
      <c r="E93" s="48" t="s">
        <v>130</v>
      </c>
      <c r="F93" s="48" t="s">
        <v>358</v>
      </c>
      <c r="G93" s="48" t="s">
        <v>192</v>
      </c>
      <c r="H93" s="48" t="s">
        <v>133</v>
      </c>
      <c r="I93" s="48" t="s">
        <v>299</v>
      </c>
      <c r="J93" s="48" t="s">
        <v>135</v>
      </c>
      <c r="K93" s="48" t="s">
        <v>7</v>
      </c>
      <c r="L93" s="49" t="s">
        <v>366</v>
      </c>
      <c r="M93" s="47"/>
      <c r="N93" s="47"/>
      <c r="O93" s="47"/>
      <c r="P93" s="30"/>
      <c r="Q93" s="30"/>
      <c r="R93" s="30"/>
      <c r="S93" s="30"/>
      <c r="T93" s="30"/>
      <c r="U93" s="30"/>
      <c r="V93" s="30"/>
      <c r="W93" s="30"/>
      <c r="X93" s="30"/>
      <c r="Y93" s="30"/>
      <c r="Z93" s="30"/>
    </row>
    <row r="94">
      <c r="A94" s="47"/>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c r="A95" s="48" t="s">
        <v>367</v>
      </c>
      <c r="B95" s="48" t="s">
        <v>341</v>
      </c>
      <c r="C95" s="48" t="s">
        <v>341</v>
      </c>
      <c r="D95" s="48" t="s">
        <v>368</v>
      </c>
      <c r="E95" s="48" t="s">
        <v>130</v>
      </c>
      <c r="F95" s="48" t="s">
        <v>358</v>
      </c>
      <c r="G95" s="48" t="s">
        <v>192</v>
      </c>
      <c r="H95" s="48" t="s">
        <v>369</v>
      </c>
      <c r="I95" s="48" t="s">
        <v>370</v>
      </c>
      <c r="J95" s="48" t="s">
        <v>135</v>
      </c>
      <c r="K95" s="48" t="s">
        <v>5</v>
      </c>
      <c r="L95" s="49" t="s">
        <v>371</v>
      </c>
      <c r="M95" s="47"/>
      <c r="N95" s="47"/>
      <c r="O95" s="48" t="s">
        <v>372</v>
      </c>
      <c r="P95" s="30"/>
      <c r="Q95" s="30"/>
      <c r="R95" s="30"/>
      <c r="S95" s="30"/>
      <c r="T95" s="30"/>
      <c r="U95" s="30"/>
      <c r="V95" s="30"/>
      <c r="W95" s="30"/>
      <c r="X95" s="30"/>
      <c r="Y95" s="30"/>
      <c r="Z95" s="30"/>
    </row>
    <row r="96">
      <c r="A96" s="47"/>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c r="A97" s="48" t="s">
        <v>373</v>
      </c>
      <c r="B97" s="48" t="s">
        <v>127</v>
      </c>
      <c r="C97" s="48" t="s">
        <v>128</v>
      </c>
      <c r="D97" s="48" t="s">
        <v>374</v>
      </c>
      <c r="E97" s="48" t="s">
        <v>130</v>
      </c>
      <c r="F97" s="48" t="s">
        <v>375</v>
      </c>
      <c r="G97" s="48" t="s">
        <v>192</v>
      </c>
      <c r="H97" s="48" t="s">
        <v>376</v>
      </c>
      <c r="I97" s="48" t="s">
        <v>377</v>
      </c>
      <c r="J97" s="48" t="s">
        <v>135</v>
      </c>
      <c r="K97" s="48" t="s">
        <v>5</v>
      </c>
      <c r="L97" s="49" t="s">
        <v>378</v>
      </c>
      <c r="M97" s="47"/>
      <c r="N97" s="47"/>
      <c r="O97" s="47"/>
      <c r="P97" s="30"/>
      <c r="Q97" s="30"/>
      <c r="R97" s="30"/>
      <c r="S97" s="30"/>
      <c r="T97" s="30"/>
      <c r="U97" s="30"/>
      <c r="V97" s="30"/>
      <c r="W97" s="30"/>
      <c r="X97" s="30"/>
      <c r="Y97" s="30"/>
      <c r="Z97" s="30"/>
    </row>
    <row r="98">
      <c r="A98" s="47"/>
      <c r="B98" s="47"/>
      <c r="C98" s="47"/>
      <c r="D98" s="30"/>
      <c r="E98" s="30"/>
      <c r="F98" s="30"/>
      <c r="G98" s="30"/>
      <c r="H98" s="30"/>
      <c r="I98" s="30"/>
      <c r="J98" s="30"/>
      <c r="K98" s="30"/>
      <c r="L98" s="30"/>
      <c r="M98" s="30"/>
      <c r="N98" s="30"/>
      <c r="O98" s="30"/>
      <c r="P98" s="30"/>
      <c r="Q98" s="30"/>
      <c r="R98" s="30"/>
      <c r="S98" s="30"/>
      <c r="T98" s="30"/>
      <c r="U98" s="30"/>
      <c r="V98" s="30"/>
      <c r="W98" s="30"/>
      <c r="X98" s="30"/>
      <c r="Y98" s="30"/>
      <c r="Z98" s="30"/>
    </row>
    <row r="99">
      <c r="A99" s="48" t="s">
        <v>379</v>
      </c>
      <c r="B99" s="48" t="s">
        <v>127</v>
      </c>
      <c r="C99" s="48" t="s">
        <v>380</v>
      </c>
      <c r="D99" s="48" t="s">
        <v>381</v>
      </c>
      <c r="E99" s="48" t="s">
        <v>130</v>
      </c>
      <c r="F99" s="48" t="s">
        <v>382</v>
      </c>
      <c r="G99" s="48" t="s">
        <v>192</v>
      </c>
      <c r="H99" s="48" t="s">
        <v>383</v>
      </c>
      <c r="I99" s="48" t="s">
        <v>384</v>
      </c>
      <c r="J99" s="48" t="s">
        <v>135</v>
      </c>
      <c r="K99" s="48" t="s">
        <v>7</v>
      </c>
      <c r="L99" s="49" t="s">
        <v>385</v>
      </c>
      <c r="M99" s="47"/>
      <c r="N99" s="47"/>
      <c r="O99" s="47"/>
      <c r="P99" s="30"/>
      <c r="Q99" s="30"/>
      <c r="R99" s="30"/>
      <c r="S99" s="30"/>
      <c r="T99" s="30"/>
      <c r="U99" s="30"/>
      <c r="V99" s="30"/>
      <c r="W99" s="30"/>
      <c r="X99" s="30"/>
      <c r="Y99" s="30"/>
      <c r="Z99" s="30"/>
    </row>
    <row r="100">
      <c r="A100" s="47"/>
      <c r="B100" s="47"/>
      <c r="C100" s="47"/>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c r="A101" s="48" t="s">
        <v>386</v>
      </c>
      <c r="B101" s="48" t="s">
        <v>127</v>
      </c>
      <c r="C101" s="48" t="s">
        <v>128</v>
      </c>
      <c r="D101" s="48" t="s">
        <v>387</v>
      </c>
      <c r="E101" s="48" t="s">
        <v>130</v>
      </c>
      <c r="F101" s="48" t="s">
        <v>375</v>
      </c>
      <c r="G101" s="48" t="s">
        <v>192</v>
      </c>
      <c r="H101" s="48" t="s">
        <v>388</v>
      </c>
      <c r="I101" s="48" t="s">
        <v>389</v>
      </c>
      <c r="J101" s="48" t="s">
        <v>135</v>
      </c>
      <c r="K101" s="48" t="s">
        <v>7</v>
      </c>
      <c r="L101" s="49" t="s">
        <v>390</v>
      </c>
      <c r="M101" s="47"/>
      <c r="N101" s="47"/>
      <c r="O101" s="47"/>
      <c r="P101" s="30"/>
      <c r="Q101" s="30"/>
      <c r="R101" s="30"/>
      <c r="S101" s="30"/>
      <c r="T101" s="30"/>
      <c r="U101" s="30"/>
      <c r="V101" s="30"/>
      <c r="W101" s="30"/>
      <c r="X101" s="30"/>
      <c r="Y101" s="30"/>
      <c r="Z101" s="30"/>
    </row>
    <row r="102">
      <c r="A102" s="47"/>
      <c r="B102" s="47"/>
      <c r="C102" s="47"/>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c r="A103" s="48" t="s">
        <v>391</v>
      </c>
      <c r="B103" s="48" t="s">
        <v>341</v>
      </c>
      <c r="C103" s="48" t="s">
        <v>392</v>
      </c>
      <c r="D103" s="48" t="s">
        <v>393</v>
      </c>
      <c r="E103" s="48" t="s">
        <v>130</v>
      </c>
      <c r="F103" s="48" t="s">
        <v>375</v>
      </c>
      <c r="G103" s="48" t="s">
        <v>192</v>
      </c>
      <c r="H103" s="48" t="s">
        <v>394</v>
      </c>
      <c r="I103" s="48" t="s">
        <v>395</v>
      </c>
      <c r="J103" s="48" t="s">
        <v>135</v>
      </c>
      <c r="K103" s="48" t="s">
        <v>7</v>
      </c>
      <c r="L103" s="49" t="s">
        <v>396</v>
      </c>
      <c r="M103" s="47"/>
      <c r="N103" s="47"/>
      <c r="O103" s="47"/>
      <c r="P103" s="30"/>
      <c r="Q103" s="30"/>
      <c r="R103" s="30"/>
      <c r="S103" s="30"/>
      <c r="T103" s="30"/>
      <c r="U103" s="30"/>
      <c r="V103" s="30"/>
      <c r="W103" s="30"/>
      <c r="X103" s="30"/>
      <c r="Y103" s="30"/>
      <c r="Z103" s="30"/>
    </row>
    <row r="104">
      <c r="A104" s="30"/>
      <c r="B104" s="47"/>
      <c r="C104" s="47"/>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c r="A105" s="48" t="s">
        <v>397</v>
      </c>
      <c r="B105" s="48" t="s">
        <v>127</v>
      </c>
      <c r="C105" s="48" t="s">
        <v>128</v>
      </c>
      <c r="D105" s="48" t="s">
        <v>398</v>
      </c>
      <c r="E105" s="48" t="s">
        <v>130</v>
      </c>
      <c r="F105" s="48" t="s">
        <v>375</v>
      </c>
      <c r="G105" s="48" t="s">
        <v>192</v>
      </c>
      <c r="H105" s="48" t="s">
        <v>399</v>
      </c>
      <c r="I105" s="48" t="s">
        <v>400</v>
      </c>
      <c r="J105" s="48" t="s">
        <v>135</v>
      </c>
      <c r="K105" s="48" t="s">
        <v>7</v>
      </c>
      <c r="L105" s="49" t="s">
        <v>401</v>
      </c>
      <c r="M105" s="47"/>
      <c r="N105" s="47"/>
      <c r="O105" s="47"/>
      <c r="P105" s="30"/>
      <c r="Q105" s="30"/>
      <c r="R105" s="30"/>
      <c r="S105" s="30"/>
      <c r="T105" s="30"/>
      <c r="U105" s="30"/>
      <c r="V105" s="30"/>
      <c r="W105" s="30"/>
      <c r="X105" s="30"/>
      <c r="Y105" s="30"/>
      <c r="Z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c r="A107" s="48" t="s">
        <v>402</v>
      </c>
      <c r="B107" s="48" t="s">
        <v>128</v>
      </c>
      <c r="C107" s="48" t="s">
        <v>403</v>
      </c>
      <c r="D107" s="48" t="s">
        <v>331</v>
      </c>
      <c r="E107" s="48" t="s">
        <v>130</v>
      </c>
      <c r="F107" s="48" t="s">
        <v>404</v>
      </c>
      <c r="G107" s="48" t="s">
        <v>192</v>
      </c>
      <c r="H107" s="48" t="s">
        <v>133</v>
      </c>
      <c r="I107" s="48" t="s">
        <v>299</v>
      </c>
      <c r="J107" s="48" t="s">
        <v>135</v>
      </c>
      <c r="K107" s="48" t="s">
        <v>9</v>
      </c>
      <c r="L107" s="49" t="s">
        <v>405</v>
      </c>
      <c r="M107" s="47"/>
      <c r="N107" s="47"/>
      <c r="O107" s="47"/>
      <c r="P107" s="30"/>
      <c r="Q107" s="30"/>
      <c r="R107" s="30"/>
      <c r="S107" s="30"/>
      <c r="T107" s="30"/>
      <c r="U107" s="30"/>
      <c r="V107" s="30"/>
      <c r="W107" s="30"/>
      <c r="X107" s="30"/>
      <c r="Y107" s="30"/>
      <c r="Z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c r="A109" s="48" t="s">
        <v>406</v>
      </c>
      <c r="B109" s="48" t="s">
        <v>128</v>
      </c>
      <c r="C109" s="48" t="s">
        <v>403</v>
      </c>
      <c r="D109" s="48" t="s">
        <v>407</v>
      </c>
      <c r="E109" s="48" t="s">
        <v>130</v>
      </c>
      <c r="F109" s="48" t="s">
        <v>404</v>
      </c>
      <c r="G109" s="48" t="s">
        <v>192</v>
      </c>
      <c r="H109" s="48" t="s">
        <v>408</v>
      </c>
      <c r="I109" s="48" t="s">
        <v>409</v>
      </c>
      <c r="J109" s="48" t="s">
        <v>135</v>
      </c>
      <c r="K109" s="48" t="s">
        <v>5</v>
      </c>
      <c r="L109" s="49" t="s">
        <v>410</v>
      </c>
      <c r="M109" s="47"/>
      <c r="N109" s="47"/>
      <c r="O109" s="47"/>
      <c r="P109" s="30"/>
      <c r="Q109" s="30"/>
      <c r="R109" s="30"/>
      <c r="S109" s="30"/>
      <c r="T109" s="30"/>
      <c r="U109" s="30"/>
      <c r="V109" s="30"/>
      <c r="W109" s="30"/>
      <c r="X109" s="30"/>
      <c r="Y109" s="30"/>
      <c r="Z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c r="A111" s="48" t="s">
        <v>411</v>
      </c>
      <c r="B111" s="48" t="s">
        <v>128</v>
      </c>
      <c r="C111" s="48" t="s">
        <v>403</v>
      </c>
      <c r="D111" s="48" t="s">
        <v>412</v>
      </c>
      <c r="E111" s="48" t="s">
        <v>130</v>
      </c>
      <c r="F111" s="48" t="s">
        <v>404</v>
      </c>
      <c r="G111" s="48" t="s">
        <v>192</v>
      </c>
      <c r="H111" s="48" t="s">
        <v>133</v>
      </c>
      <c r="I111" s="48" t="s">
        <v>299</v>
      </c>
      <c r="J111" s="48" t="s">
        <v>135</v>
      </c>
      <c r="K111" s="48" t="s">
        <v>7</v>
      </c>
      <c r="L111" s="49" t="s">
        <v>413</v>
      </c>
      <c r="M111" s="47"/>
      <c r="N111" s="47"/>
      <c r="O111" s="47"/>
      <c r="P111" s="30"/>
      <c r="Q111" s="30"/>
      <c r="R111" s="30"/>
      <c r="S111" s="30"/>
      <c r="T111" s="30"/>
      <c r="U111" s="30"/>
      <c r="V111" s="30"/>
      <c r="W111" s="30"/>
      <c r="X111" s="30"/>
      <c r="Y111" s="30"/>
      <c r="Z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c r="A113" s="48" t="s">
        <v>414</v>
      </c>
      <c r="B113" s="48" t="s">
        <v>128</v>
      </c>
      <c r="C113" s="48" t="s">
        <v>403</v>
      </c>
      <c r="D113" s="48" t="s">
        <v>415</v>
      </c>
      <c r="E113" s="48" t="s">
        <v>130</v>
      </c>
      <c r="F113" s="48" t="s">
        <v>404</v>
      </c>
      <c r="G113" s="48" t="s">
        <v>192</v>
      </c>
      <c r="H113" s="48" t="s">
        <v>416</v>
      </c>
      <c r="I113" s="48" t="s">
        <v>417</v>
      </c>
      <c r="J113" s="48" t="s">
        <v>135</v>
      </c>
      <c r="K113" s="48" t="s">
        <v>9</v>
      </c>
      <c r="L113" s="49" t="s">
        <v>418</v>
      </c>
      <c r="M113" s="47"/>
      <c r="N113" s="47"/>
      <c r="O113" s="47"/>
      <c r="P113" s="30"/>
      <c r="Q113" s="30"/>
      <c r="R113" s="30"/>
      <c r="S113" s="30"/>
      <c r="T113" s="30"/>
      <c r="U113" s="30"/>
      <c r="V113" s="30"/>
      <c r="W113" s="30"/>
      <c r="X113" s="30"/>
      <c r="Y113" s="30"/>
      <c r="Z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c r="A115" s="48" t="s">
        <v>419</v>
      </c>
      <c r="B115" s="48" t="s">
        <v>260</v>
      </c>
      <c r="C115" s="48" t="s">
        <v>260</v>
      </c>
      <c r="D115" s="48" t="s">
        <v>420</v>
      </c>
      <c r="E115" s="48" t="s">
        <v>130</v>
      </c>
      <c r="F115" s="48" t="s">
        <v>421</v>
      </c>
      <c r="G115" s="48" t="s">
        <v>192</v>
      </c>
      <c r="H115" s="48" t="s">
        <v>422</v>
      </c>
      <c r="I115" s="48" t="s">
        <v>423</v>
      </c>
      <c r="J115" s="48" t="s">
        <v>135</v>
      </c>
      <c r="K115" s="48" t="s">
        <v>5</v>
      </c>
      <c r="L115" s="49" t="s">
        <v>424</v>
      </c>
      <c r="M115" s="47"/>
      <c r="N115" s="47"/>
      <c r="O115" s="47"/>
      <c r="P115" s="30"/>
      <c r="Q115" s="30"/>
      <c r="R115" s="30"/>
      <c r="S115" s="30"/>
      <c r="T115" s="30"/>
      <c r="U115" s="30"/>
      <c r="V115" s="30"/>
      <c r="W115" s="30"/>
      <c r="X115" s="30"/>
      <c r="Y115" s="30"/>
      <c r="Z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c r="A117" s="48" t="s">
        <v>425</v>
      </c>
      <c r="B117" s="48" t="s">
        <v>260</v>
      </c>
      <c r="C117" s="48" t="s">
        <v>260</v>
      </c>
      <c r="D117" s="48" t="s">
        <v>426</v>
      </c>
      <c r="E117" s="48" t="s">
        <v>130</v>
      </c>
      <c r="F117" s="48" t="s">
        <v>421</v>
      </c>
      <c r="G117" s="48" t="s">
        <v>192</v>
      </c>
      <c r="H117" s="48" t="s">
        <v>427</v>
      </c>
      <c r="I117" s="48" t="s">
        <v>428</v>
      </c>
      <c r="J117" s="48" t="s">
        <v>135</v>
      </c>
      <c r="K117" s="48" t="s">
        <v>7</v>
      </c>
      <c r="L117" s="49" t="s">
        <v>429</v>
      </c>
      <c r="M117" s="47"/>
      <c r="N117" s="47"/>
      <c r="O117" s="47"/>
      <c r="P117" s="30"/>
      <c r="Q117" s="30"/>
      <c r="R117" s="30"/>
      <c r="S117" s="30"/>
      <c r="T117" s="30"/>
      <c r="U117" s="30"/>
      <c r="V117" s="30"/>
      <c r="W117" s="30"/>
      <c r="X117" s="30"/>
      <c r="Y117" s="30"/>
      <c r="Z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c r="A119" s="48" t="s">
        <v>430</v>
      </c>
      <c r="B119" s="48" t="s">
        <v>260</v>
      </c>
      <c r="C119" s="48" t="s">
        <v>260</v>
      </c>
      <c r="D119" s="48" t="s">
        <v>431</v>
      </c>
      <c r="E119" s="48" t="s">
        <v>130</v>
      </c>
      <c r="F119" s="48" t="s">
        <v>421</v>
      </c>
      <c r="G119" s="48" t="s">
        <v>192</v>
      </c>
      <c r="H119" s="48" t="s">
        <v>432</v>
      </c>
      <c r="I119" s="48" t="s">
        <v>433</v>
      </c>
      <c r="J119" s="48" t="s">
        <v>135</v>
      </c>
      <c r="K119" s="48" t="s">
        <v>5</v>
      </c>
      <c r="L119" s="49" t="s">
        <v>434</v>
      </c>
      <c r="M119" s="47"/>
      <c r="N119" s="47"/>
      <c r="O119" s="47"/>
      <c r="P119" s="30"/>
      <c r="Q119" s="30"/>
      <c r="R119" s="30"/>
      <c r="S119" s="30"/>
      <c r="T119" s="30"/>
      <c r="U119" s="30"/>
      <c r="V119" s="30"/>
      <c r="W119" s="30"/>
      <c r="X119" s="30"/>
      <c r="Y119" s="30"/>
      <c r="Z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c r="A121" s="50" t="s">
        <v>435</v>
      </c>
      <c r="B121" s="50" t="s">
        <v>436</v>
      </c>
      <c r="C121" s="50" t="s">
        <v>436</v>
      </c>
      <c r="D121" s="50" t="s">
        <v>437</v>
      </c>
      <c r="E121" s="50" t="s">
        <v>130</v>
      </c>
      <c r="F121" s="50" t="s">
        <v>421</v>
      </c>
      <c r="G121" s="50" t="s">
        <v>192</v>
      </c>
      <c r="H121" s="50" t="s">
        <v>438</v>
      </c>
      <c r="I121" s="50" t="s">
        <v>439</v>
      </c>
      <c r="J121" s="50" t="s">
        <v>135</v>
      </c>
      <c r="K121" s="50" t="s">
        <v>5</v>
      </c>
      <c r="L121" s="51" t="s">
        <v>440</v>
      </c>
      <c r="M121" s="48"/>
      <c r="N121" s="47"/>
      <c r="O121" s="47"/>
      <c r="P121" s="52"/>
      <c r="Q121" s="52"/>
      <c r="R121" s="52"/>
      <c r="S121" s="52"/>
      <c r="T121" s="52"/>
      <c r="U121" s="52"/>
      <c r="V121" s="52"/>
      <c r="W121" s="52"/>
      <c r="X121" s="52"/>
      <c r="Y121" s="52"/>
      <c r="Z121" s="52"/>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c r="A123" s="50" t="s">
        <v>441</v>
      </c>
      <c r="B123" s="50" t="s">
        <v>436</v>
      </c>
      <c r="C123" s="50" t="s">
        <v>436</v>
      </c>
      <c r="D123" s="50" t="s">
        <v>442</v>
      </c>
      <c r="E123" s="50" t="s">
        <v>130</v>
      </c>
      <c r="F123" s="50" t="s">
        <v>443</v>
      </c>
      <c r="G123" s="50" t="s">
        <v>192</v>
      </c>
      <c r="H123" s="50" t="s">
        <v>444</v>
      </c>
      <c r="I123" s="50" t="s">
        <v>445</v>
      </c>
      <c r="J123" s="50" t="s">
        <v>135</v>
      </c>
      <c r="K123" s="50" t="s">
        <v>5</v>
      </c>
      <c r="L123" s="51" t="s">
        <v>446</v>
      </c>
      <c r="M123" s="48"/>
      <c r="N123" s="47"/>
      <c r="O123" s="47"/>
      <c r="P123" s="52"/>
      <c r="Q123" s="52"/>
      <c r="R123" s="52"/>
      <c r="S123" s="52"/>
      <c r="T123" s="52"/>
      <c r="U123" s="52"/>
      <c r="V123" s="52"/>
      <c r="W123" s="52"/>
      <c r="X123" s="52"/>
      <c r="Y123" s="52"/>
      <c r="Z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c r="A125" s="48" t="s">
        <v>447</v>
      </c>
      <c r="B125" s="50" t="s">
        <v>436</v>
      </c>
      <c r="C125" s="50" t="s">
        <v>436</v>
      </c>
      <c r="D125" s="50" t="s">
        <v>448</v>
      </c>
      <c r="E125" s="50" t="s">
        <v>130</v>
      </c>
      <c r="F125" s="50" t="s">
        <v>443</v>
      </c>
      <c r="G125" s="50" t="s">
        <v>192</v>
      </c>
      <c r="H125" s="50" t="s">
        <v>449</v>
      </c>
      <c r="I125" s="50" t="s">
        <v>450</v>
      </c>
      <c r="J125" s="50" t="s">
        <v>135</v>
      </c>
      <c r="K125" s="50" t="s">
        <v>7</v>
      </c>
      <c r="L125" s="51" t="s">
        <v>451</v>
      </c>
      <c r="M125" s="48"/>
      <c r="N125" s="47"/>
      <c r="O125" s="47"/>
      <c r="P125" s="52"/>
      <c r="Q125" s="52"/>
      <c r="R125" s="52"/>
      <c r="S125" s="52"/>
      <c r="T125" s="52"/>
      <c r="U125" s="52"/>
      <c r="V125" s="52"/>
      <c r="W125" s="52"/>
      <c r="X125" s="52"/>
      <c r="Y125" s="52"/>
      <c r="Z125" s="52"/>
    </row>
    <row r="126">
      <c r="A126" s="52"/>
      <c r="B126" s="52"/>
      <c r="C126" s="52"/>
      <c r="D126" s="52"/>
      <c r="E126" s="52"/>
      <c r="F126" s="52"/>
      <c r="G126" s="52"/>
      <c r="H126" s="52"/>
      <c r="I126" s="52"/>
      <c r="J126" s="52"/>
      <c r="K126" s="52"/>
      <c r="L126" s="52"/>
      <c r="M126" s="52"/>
      <c r="N126" s="30"/>
      <c r="O126" s="30"/>
      <c r="P126" s="52"/>
      <c r="Q126" s="52"/>
      <c r="R126" s="52"/>
      <c r="S126" s="52"/>
      <c r="T126" s="52"/>
      <c r="U126" s="52"/>
      <c r="V126" s="52"/>
      <c r="W126" s="52"/>
      <c r="X126" s="52"/>
      <c r="Y126" s="52"/>
      <c r="Z126" s="52"/>
    </row>
    <row r="127">
      <c r="A127" s="50" t="s">
        <v>452</v>
      </c>
      <c r="B127" s="50" t="s">
        <v>436</v>
      </c>
      <c r="C127" s="50" t="s">
        <v>436</v>
      </c>
      <c r="D127" s="50" t="s">
        <v>453</v>
      </c>
      <c r="E127" s="50" t="s">
        <v>130</v>
      </c>
      <c r="F127" s="50" t="s">
        <v>443</v>
      </c>
      <c r="G127" s="50" t="s">
        <v>192</v>
      </c>
      <c r="H127" s="50" t="s">
        <v>133</v>
      </c>
      <c r="I127" s="50" t="s">
        <v>299</v>
      </c>
      <c r="J127" s="50" t="s">
        <v>135</v>
      </c>
      <c r="K127" s="50" t="s">
        <v>5</v>
      </c>
      <c r="L127" s="51" t="s">
        <v>454</v>
      </c>
      <c r="M127" s="48"/>
      <c r="N127" s="47"/>
      <c r="O127" s="47"/>
      <c r="P127" s="52"/>
      <c r="Q127" s="52"/>
      <c r="R127" s="52"/>
      <c r="S127" s="52"/>
      <c r="T127" s="52"/>
      <c r="U127" s="52"/>
      <c r="V127" s="52"/>
      <c r="W127" s="52"/>
      <c r="X127" s="52"/>
      <c r="Y127" s="52"/>
      <c r="Z127" s="52"/>
    </row>
    <row r="128">
      <c r="A128" s="52"/>
      <c r="B128" s="52"/>
      <c r="C128" s="52"/>
      <c r="D128" s="52"/>
      <c r="E128" s="52"/>
      <c r="F128" s="52"/>
      <c r="G128" s="52"/>
      <c r="H128" s="52"/>
      <c r="I128" s="52"/>
      <c r="J128" s="52"/>
      <c r="K128" s="52"/>
      <c r="L128" s="52"/>
      <c r="M128" s="52"/>
      <c r="N128" s="30"/>
      <c r="O128" s="30"/>
      <c r="P128" s="52"/>
      <c r="Q128" s="52"/>
      <c r="R128" s="52"/>
      <c r="S128" s="52"/>
      <c r="T128" s="52"/>
      <c r="U128" s="52"/>
      <c r="V128" s="52"/>
      <c r="W128" s="52"/>
      <c r="X128" s="52"/>
      <c r="Y128" s="52"/>
      <c r="Z128" s="52"/>
    </row>
    <row r="129">
      <c r="A129" s="50" t="s">
        <v>455</v>
      </c>
      <c r="B129" s="50" t="s">
        <v>436</v>
      </c>
      <c r="C129" s="50" t="s">
        <v>436</v>
      </c>
      <c r="D129" s="50" t="s">
        <v>456</v>
      </c>
      <c r="E129" s="50" t="s">
        <v>130</v>
      </c>
      <c r="F129" s="50" t="s">
        <v>443</v>
      </c>
      <c r="G129" s="50" t="s">
        <v>192</v>
      </c>
      <c r="H129" s="50" t="s">
        <v>457</v>
      </c>
      <c r="I129" s="50" t="s">
        <v>458</v>
      </c>
      <c r="J129" s="50" t="s">
        <v>135</v>
      </c>
      <c r="K129" s="50" t="s">
        <v>5</v>
      </c>
      <c r="L129" s="51" t="s">
        <v>459</v>
      </c>
      <c r="M129" s="48"/>
      <c r="N129" s="47"/>
      <c r="O129" s="47"/>
      <c r="P129" s="52"/>
      <c r="Q129" s="52"/>
      <c r="R129" s="52"/>
      <c r="S129" s="52"/>
      <c r="T129" s="52"/>
      <c r="U129" s="52"/>
      <c r="V129" s="52"/>
      <c r="W129" s="52"/>
      <c r="X129" s="52"/>
      <c r="Y129" s="52"/>
      <c r="Z129" s="52"/>
    </row>
    <row r="130">
      <c r="A130" s="52"/>
      <c r="B130" s="52"/>
      <c r="C130" s="52"/>
      <c r="D130" s="52"/>
      <c r="E130" s="52"/>
      <c r="F130" s="52"/>
      <c r="G130" s="52"/>
      <c r="H130" s="52"/>
      <c r="I130" s="52"/>
      <c r="J130" s="52"/>
      <c r="K130" s="52"/>
      <c r="L130" s="52"/>
      <c r="M130" s="52"/>
      <c r="N130" s="30"/>
      <c r="O130" s="30"/>
      <c r="P130" s="52"/>
      <c r="Q130" s="52"/>
      <c r="R130" s="52"/>
      <c r="S130" s="52"/>
      <c r="T130" s="52"/>
      <c r="U130" s="52"/>
      <c r="V130" s="52"/>
      <c r="W130" s="52"/>
      <c r="X130" s="52"/>
      <c r="Y130" s="52"/>
      <c r="Z130" s="52"/>
    </row>
    <row r="131">
      <c r="A131" s="50" t="s">
        <v>460</v>
      </c>
      <c r="B131" s="50" t="s">
        <v>461</v>
      </c>
      <c r="C131" s="50" t="s">
        <v>461</v>
      </c>
      <c r="D131" s="50" t="s">
        <v>462</v>
      </c>
      <c r="E131" s="50" t="s">
        <v>130</v>
      </c>
      <c r="F131" s="50" t="s">
        <v>463</v>
      </c>
      <c r="G131" s="50" t="s">
        <v>192</v>
      </c>
      <c r="H131" s="50" t="s">
        <v>464</v>
      </c>
      <c r="I131" s="50" t="s">
        <v>465</v>
      </c>
      <c r="J131" s="50" t="s">
        <v>135</v>
      </c>
      <c r="K131" s="50" t="s">
        <v>5</v>
      </c>
      <c r="L131" s="51" t="s">
        <v>466</v>
      </c>
      <c r="M131" s="48"/>
      <c r="N131" s="47"/>
      <c r="O131" s="47"/>
      <c r="P131" s="52"/>
      <c r="Q131" s="52"/>
      <c r="R131" s="52"/>
      <c r="S131" s="52"/>
      <c r="T131" s="52"/>
      <c r="U131" s="52"/>
      <c r="V131" s="52"/>
      <c r="W131" s="52"/>
      <c r="X131" s="52"/>
      <c r="Y131" s="52"/>
      <c r="Z131" s="52"/>
    </row>
    <row r="132">
      <c r="A132" s="52"/>
      <c r="B132" s="52"/>
      <c r="C132" s="52"/>
      <c r="D132" s="52"/>
      <c r="E132" s="52"/>
      <c r="F132" s="52"/>
      <c r="G132" s="52"/>
      <c r="H132" s="52"/>
      <c r="I132" s="52"/>
      <c r="J132" s="52"/>
      <c r="K132" s="52"/>
      <c r="L132" s="52"/>
      <c r="M132" s="52"/>
      <c r="N132" s="30"/>
      <c r="O132" s="30"/>
      <c r="P132" s="52"/>
      <c r="Q132" s="52"/>
      <c r="R132" s="52"/>
      <c r="S132" s="52"/>
      <c r="T132" s="52"/>
      <c r="U132" s="52"/>
      <c r="V132" s="52"/>
      <c r="W132" s="52"/>
      <c r="X132" s="52"/>
      <c r="Y132" s="52"/>
      <c r="Z132" s="52"/>
    </row>
    <row r="133">
      <c r="A133" s="50" t="s">
        <v>467</v>
      </c>
      <c r="B133" s="50" t="s">
        <v>461</v>
      </c>
      <c r="C133" s="50" t="s">
        <v>461</v>
      </c>
      <c r="D133" s="50" t="s">
        <v>468</v>
      </c>
      <c r="E133" s="50" t="s">
        <v>130</v>
      </c>
      <c r="F133" s="50" t="s">
        <v>463</v>
      </c>
      <c r="G133" s="50" t="s">
        <v>192</v>
      </c>
      <c r="H133" s="50" t="s">
        <v>469</v>
      </c>
      <c r="I133" s="50" t="s">
        <v>470</v>
      </c>
      <c r="J133" s="50" t="s">
        <v>135</v>
      </c>
      <c r="K133" s="50" t="s">
        <v>7</v>
      </c>
      <c r="L133" s="51" t="s">
        <v>471</v>
      </c>
      <c r="M133" s="48"/>
      <c r="N133" s="47"/>
      <c r="O133" s="47"/>
      <c r="P133" s="52"/>
      <c r="Q133" s="52"/>
      <c r="R133" s="52"/>
      <c r="S133" s="52"/>
      <c r="T133" s="52"/>
      <c r="U133" s="52"/>
      <c r="V133" s="52"/>
      <c r="W133" s="52"/>
      <c r="X133" s="52"/>
      <c r="Y133" s="52"/>
      <c r="Z133" s="52"/>
    </row>
    <row r="134">
      <c r="A134" s="52"/>
      <c r="B134" s="52"/>
      <c r="C134" s="52"/>
      <c r="D134" s="52"/>
      <c r="E134" s="52"/>
      <c r="F134" s="52"/>
      <c r="G134" s="52"/>
      <c r="H134" s="52"/>
      <c r="I134" s="52"/>
      <c r="J134" s="52"/>
      <c r="K134" s="52"/>
      <c r="L134" s="52"/>
      <c r="M134" s="52"/>
      <c r="N134" s="30"/>
      <c r="O134" s="30"/>
      <c r="P134" s="52"/>
      <c r="Q134" s="52"/>
      <c r="R134" s="52"/>
      <c r="S134" s="52"/>
      <c r="T134" s="52"/>
      <c r="U134" s="52"/>
      <c r="V134" s="52"/>
      <c r="W134" s="52"/>
      <c r="X134" s="52"/>
      <c r="Y134" s="52"/>
      <c r="Z134" s="52"/>
    </row>
    <row r="135">
      <c r="A135" s="50" t="s">
        <v>472</v>
      </c>
      <c r="B135" s="50" t="s">
        <v>461</v>
      </c>
      <c r="C135" s="50" t="s">
        <v>461</v>
      </c>
      <c r="D135" s="50" t="s">
        <v>473</v>
      </c>
      <c r="E135" s="50" t="s">
        <v>130</v>
      </c>
      <c r="F135" s="50" t="s">
        <v>463</v>
      </c>
      <c r="G135" s="50" t="s">
        <v>192</v>
      </c>
      <c r="H135" s="50" t="s">
        <v>474</v>
      </c>
      <c r="I135" s="50" t="s">
        <v>475</v>
      </c>
      <c r="J135" s="50" t="s">
        <v>135</v>
      </c>
      <c r="K135" s="50" t="s">
        <v>7</v>
      </c>
      <c r="L135" s="51" t="s">
        <v>476</v>
      </c>
      <c r="M135" s="48"/>
      <c r="N135" s="47"/>
      <c r="O135" s="47"/>
      <c r="P135" s="52"/>
      <c r="Q135" s="52"/>
      <c r="R135" s="52"/>
      <c r="S135" s="52"/>
      <c r="T135" s="52"/>
      <c r="U135" s="52"/>
      <c r="V135" s="52"/>
      <c r="W135" s="52"/>
      <c r="X135" s="52"/>
      <c r="Y135" s="52"/>
      <c r="Z135" s="52"/>
    </row>
    <row r="136">
      <c r="N136" s="30"/>
      <c r="O136" s="30"/>
    </row>
    <row r="137">
      <c r="A137" s="50" t="s">
        <v>477</v>
      </c>
      <c r="B137" s="50" t="s">
        <v>461</v>
      </c>
      <c r="C137" s="50" t="s">
        <v>461</v>
      </c>
      <c r="D137" s="50" t="s">
        <v>478</v>
      </c>
      <c r="E137" s="50" t="s">
        <v>130</v>
      </c>
      <c r="F137" s="50" t="s">
        <v>463</v>
      </c>
      <c r="G137" s="50" t="s">
        <v>192</v>
      </c>
      <c r="H137" s="50" t="s">
        <v>479</v>
      </c>
      <c r="I137" s="50" t="s">
        <v>480</v>
      </c>
      <c r="J137" s="50" t="s">
        <v>135</v>
      </c>
      <c r="K137" s="50" t="s">
        <v>5</v>
      </c>
      <c r="L137" s="51" t="s">
        <v>481</v>
      </c>
      <c r="M137" s="48"/>
      <c r="N137" s="47"/>
      <c r="O137" s="47"/>
    </row>
    <row r="138">
      <c r="N138" s="30"/>
      <c r="O138" s="30"/>
    </row>
    <row r="139">
      <c r="A139" s="50" t="s">
        <v>482</v>
      </c>
      <c r="B139" s="50" t="s">
        <v>461</v>
      </c>
      <c r="C139" s="50" t="s">
        <v>461</v>
      </c>
      <c r="D139" s="50" t="s">
        <v>483</v>
      </c>
      <c r="E139" s="50" t="s">
        <v>130</v>
      </c>
      <c r="F139" s="50" t="s">
        <v>463</v>
      </c>
      <c r="G139" s="50" t="s">
        <v>192</v>
      </c>
      <c r="H139" s="50" t="s">
        <v>484</v>
      </c>
      <c r="I139" s="50" t="s">
        <v>485</v>
      </c>
      <c r="J139" s="50" t="s">
        <v>135</v>
      </c>
      <c r="K139" s="50" t="s">
        <v>7</v>
      </c>
      <c r="L139" s="51" t="s">
        <v>486</v>
      </c>
      <c r="M139" s="48"/>
      <c r="N139" s="47"/>
      <c r="O139" s="47"/>
    </row>
    <row r="140">
      <c r="N140" s="30"/>
      <c r="O140" s="30"/>
    </row>
    <row r="141">
      <c r="A141" s="50" t="s">
        <v>487</v>
      </c>
      <c r="B141" s="50" t="s">
        <v>436</v>
      </c>
      <c r="C141" s="50" t="s">
        <v>488</v>
      </c>
      <c r="D141" s="50" t="s">
        <v>489</v>
      </c>
      <c r="E141" s="50" t="s">
        <v>130</v>
      </c>
      <c r="F141" s="50" t="s">
        <v>490</v>
      </c>
      <c r="G141" s="50" t="s">
        <v>192</v>
      </c>
      <c r="H141" s="50" t="s">
        <v>491</v>
      </c>
      <c r="I141" s="50" t="s">
        <v>492</v>
      </c>
      <c r="J141" s="50" t="s">
        <v>135</v>
      </c>
      <c r="K141" s="50" t="s">
        <v>9</v>
      </c>
      <c r="L141" s="51" t="s">
        <v>493</v>
      </c>
      <c r="M141" s="48"/>
      <c r="N141" s="47"/>
      <c r="O141" s="47"/>
    </row>
    <row r="142">
      <c r="N142" s="30"/>
      <c r="O142" s="30"/>
    </row>
    <row r="143">
      <c r="A143" s="50" t="s">
        <v>494</v>
      </c>
      <c r="B143" s="50" t="s">
        <v>436</v>
      </c>
      <c r="C143" s="50" t="s">
        <v>488</v>
      </c>
      <c r="D143" s="50" t="s">
        <v>495</v>
      </c>
      <c r="E143" s="50" t="s">
        <v>130</v>
      </c>
      <c r="F143" s="50" t="s">
        <v>490</v>
      </c>
      <c r="G143" s="50" t="s">
        <v>192</v>
      </c>
      <c r="H143" s="50" t="s">
        <v>491</v>
      </c>
      <c r="I143" s="50" t="s">
        <v>492</v>
      </c>
      <c r="J143" s="50" t="s">
        <v>135</v>
      </c>
      <c r="K143" s="50" t="s">
        <v>9</v>
      </c>
      <c r="L143" s="51" t="s">
        <v>496</v>
      </c>
      <c r="M143" s="48"/>
      <c r="N143" s="47"/>
      <c r="O143" s="47"/>
    </row>
    <row r="144">
      <c r="N144" s="30"/>
      <c r="O144" s="30"/>
    </row>
    <row r="145">
      <c r="A145" s="50" t="s">
        <v>497</v>
      </c>
      <c r="B145" s="50" t="s">
        <v>436</v>
      </c>
      <c r="C145" s="50" t="s">
        <v>488</v>
      </c>
      <c r="D145" s="50" t="s">
        <v>498</v>
      </c>
      <c r="E145" s="50" t="s">
        <v>130</v>
      </c>
      <c r="F145" s="50" t="s">
        <v>490</v>
      </c>
      <c r="G145" s="50" t="s">
        <v>192</v>
      </c>
      <c r="H145" s="50" t="s">
        <v>491</v>
      </c>
      <c r="I145" s="50" t="s">
        <v>492</v>
      </c>
      <c r="J145" s="50" t="s">
        <v>135</v>
      </c>
      <c r="K145" s="50" t="s">
        <v>9</v>
      </c>
      <c r="L145" s="51" t="s">
        <v>499</v>
      </c>
      <c r="M145" s="48"/>
      <c r="N145" s="47"/>
      <c r="O145" s="47"/>
    </row>
    <row r="146">
      <c r="N146" s="30"/>
      <c r="O146" s="30"/>
    </row>
    <row r="147">
      <c r="A147" s="50" t="s">
        <v>500</v>
      </c>
      <c r="B147" s="50" t="s">
        <v>436</v>
      </c>
      <c r="C147" s="50" t="s">
        <v>488</v>
      </c>
      <c r="D147" s="50" t="s">
        <v>501</v>
      </c>
      <c r="E147" s="50" t="s">
        <v>130</v>
      </c>
      <c r="F147" s="50" t="s">
        <v>490</v>
      </c>
      <c r="G147" s="50" t="s">
        <v>192</v>
      </c>
      <c r="H147" s="50" t="s">
        <v>502</v>
      </c>
      <c r="I147" s="50" t="s">
        <v>501</v>
      </c>
      <c r="J147" s="50" t="s">
        <v>135</v>
      </c>
      <c r="K147" s="50" t="s">
        <v>5</v>
      </c>
      <c r="L147" s="51" t="s">
        <v>503</v>
      </c>
      <c r="M147" s="48"/>
      <c r="N147" s="47"/>
      <c r="O147" s="47"/>
    </row>
    <row r="148">
      <c r="N148" s="30"/>
      <c r="O148" s="30"/>
    </row>
    <row r="149">
      <c r="A149" s="48" t="s">
        <v>504</v>
      </c>
      <c r="B149" s="48" t="s">
        <v>128</v>
      </c>
      <c r="C149" s="48" t="s">
        <v>403</v>
      </c>
      <c r="D149" s="50" t="s">
        <v>505</v>
      </c>
      <c r="E149" s="50" t="s">
        <v>130</v>
      </c>
      <c r="F149" s="50" t="s">
        <v>404</v>
      </c>
      <c r="G149" s="50" t="s">
        <v>192</v>
      </c>
      <c r="H149" s="50" t="s">
        <v>506</v>
      </c>
      <c r="I149" s="50" t="s">
        <v>492</v>
      </c>
      <c r="J149" s="50" t="s">
        <v>135</v>
      </c>
      <c r="K149" s="50" t="s">
        <v>7</v>
      </c>
      <c r="L149" s="51" t="s">
        <v>507</v>
      </c>
      <c r="M149" s="48"/>
      <c r="N149" s="47"/>
      <c r="O149" s="47"/>
      <c r="P149" s="24"/>
      <c r="Q149" s="24"/>
      <c r="R149" s="24"/>
      <c r="S149" s="24"/>
      <c r="T149" s="24"/>
      <c r="U149" s="24"/>
      <c r="V149" s="24"/>
      <c r="W149" s="24"/>
      <c r="X149" s="24"/>
      <c r="Y149" s="24"/>
      <c r="Z149" s="24"/>
    </row>
    <row r="150">
      <c r="N150" s="30"/>
      <c r="O150" s="30"/>
    </row>
    <row r="151">
      <c r="A151" s="50" t="s">
        <v>508</v>
      </c>
      <c r="B151" s="50" t="s">
        <v>128</v>
      </c>
      <c r="C151" s="50" t="s">
        <v>403</v>
      </c>
      <c r="D151" s="50" t="s">
        <v>509</v>
      </c>
      <c r="E151" s="50" t="s">
        <v>130</v>
      </c>
      <c r="F151" s="50" t="s">
        <v>404</v>
      </c>
      <c r="G151" s="50" t="s">
        <v>192</v>
      </c>
      <c r="H151" s="50" t="s">
        <v>510</v>
      </c>
      <c r="I151" s="50" t="s">
        <v>511</v>
      </c>
      <c r="J151" s="50" t="s">
        <v>135</v>
      </c>
      <c r="K151" s="50" t="s">
        <v>7</v>
      </c>
      <c r="L151" s="51" t="s">
        <v>512</v>
      </c>
      <c r="M151" s="48"/>
      <c r="N151" s="47"/>
      <c r="O151" s="47"/>
    </row>
    <row r="152">
      <c r="N152" s="30"/>
      <c r="O152" s="30"/>
    </row>
    <row r="153">
      <c r="A153" s="50" t="s">
        <v>513</v>
      </c>
      <c r="B153" s="50" t="s">
        <v>260</v>
      </c>
      <c r="C153" s="50" t="s">
        <v>260</v>
      </c>
      <c r="D153" s="50" t="s">
        <v>514</v>
      </c>
      <c r="E153" s="50" t="s">
        <v>130</v>
      </c>
      <c r="F153" s="50" t="s">
        <v>421</v>
      </c>
      <c r="G153" s="50" t="s">
        <v>192</v>
      </c>
      <c r="H153" s="50" t="s">
        <v>515</v>
      </c>
      <c r="I153" s="50" t="s">
        <v>516</v>
      </c>
      <c r="J153" s="50" t="s">
        <v>135</v>
      </c>
      <c r="K153" s="50" t="s">
        <v>5</v>
      </c>
      <c r="L153" s="51" t="s">
        <v>517</v>
      </c>
      <c r="M153" s="48"/>
      <c r="N153" s="47"/>
      <c r="O153" s="47"/>
    </row>
    <row r="154">
      <c r="N154" s="30"/>
      <c r="O154" s="30"/>
    </row>
    <row r="155">
      <c r="A155" s="50" t="s">
        <v>518</v>
      </c>
      <c r="B155" s="50" t="s">
        <v>128</v>
      </c>
      <c r="C155" s="50" t="s">
        <v>403</v>
      </c>
      <c r="D155" s="50" t="s">
        <v>519</v>
      </c>
      <c r="E155" s="50" t="s">
        <v>130</v>
      </c>
      <c r="F155" s="50" t="s">
        <v>404</v>
      </c>
      <c r="G155" s="50" t="s">
        <v>192</v>
      </c>
      <c r="H155" s="50" t="s">
        <v>520</v>
      </c>
      <c r="I155" s="50" t="s">
        <v>521</v>
      </c>
      <c r="J155" s="50" t="s">
        <v>135</v>
      </c>
      <c r="K155" s="50" t="s">
        <v>5</v>
      </c>
      <c r="L155" s="51" t="s">
        <v>522</v>
      </c>
      <c r="M155" s="48"/>
      <c r="N155" s="47"/>
      <c r="O155" s="47"/>
    </row>
    <row r="156">
      <c r="N156" s="30"/>
      <c r="O156" s="30"/>
    </row>
    <row r="157">
      <c r="A157" s="50" t="s">
        <v>523</v>
      </c>
      <c r="B157" s="50" t="s">
        <v>128</v>
      </c>
      <c r="C157" s="50" t="s">
        <v>403</v>
      </c>
      <c r="D157" s="50" t="s">
        <v>524</v>
      </c>
      <c r="E157" s="50" t="s">
        <v>130</v>
      </c>
      <c r="F157" s="50" t="s">
        <v>404</v>
      </c>
      <c r="G157" s="50" t="s">
        <v>192</v>
      </c>
      <c r="H157" s="50" t="s">
        <v>525</v>
      </c>
      <c r="I157" s="50" t="s">
        <v>526</v>
      </c>
      <c r="J157" s="50" t="s">
        <v>135</v>
      </c>
      <c r="K157" s="50" t="s">
        <v>5</v>
      </c>
      <c r="L157" s="51" t="s">
        <v>527</v>
      </c>
      <c r="M157" s="48"/>
      <c r="N157" s="47"/>
      <c r="O157" s="47"/>
    </row>
    <row r="158">
      <c r="N158" s="30"/>
      <c r="O158" s="30"/>
    </row>
    <row r="159">
      <c r="A159" s="48" t="s">
        <v>528</v>
      </c>
      <c r="B159" s="48" t="s">
        <v>127</v>
      </c>
      <c r="C159" s="48" t="s">
        <v>127</v>
      </c>
      <c r="D159" s="50" t="s">
        <v>529</v>
      </c>
      <c r="E159" s="50" t="s">
        <v>130</v>
      </c>
      <c r="F159" s="50" t="s">
        <v>131</v>
      </c>
      <c r="G159" s="50" t="s">
        <v>192</v>
      </c>
      <c r="H159" s="50" t="s">
        <v>506</v>
      </c>
      <c r="I159" s="50" t="s">
        <v>492</v>
      </c>
      <c r="J159" s="50" t="s">
        <v>135</v>
      </c>
      <c r="K159" s="50" t="s">
        <v>7</v>
      </c>
      <c r="L159" s="51" t="s">
        <v>530</v>
      </c>
      <c r="M159" s="48"/>
      <c r="N159" s="47"/>
      <c r="O159" s="47"/>
    </row>
    <row r="160">
      <c r="N160" s="30"/>
      <c r="O160" s="30"/>
    </row>
    <row r="161">
      <c r="A161" s="50" t="s">
        <v>531</v>
      </c>
      <c r="B161" s="50" t="s">
        <v>260</v>
      </c>
      <c r="C161" s="50" t="s">
        <v>260</v>
      </c>
      <c r="D161" s="50" t="s">
        <v>532</v>
      </c>
      <c r="E161" s="50" t="s">
        <v>130</v>
      </c>
      <c r="F161" s="50" t="s">
        <v>421</v>
      </c>
      <c r="G161" s="50" t="s">
        <v>192</v>
      </c>
      <c r="H161" s="50" t="s">
        <v>533</v>
      </c>
      <c r="I161" s="50" t="s">
        <v>534</v>
      </c>
      <c r="J161" s="50" t="s">
        <v>135</v>
      </c>
      <c r="K161" s="50" t="s">
        <v>5</v>
      </c>
      <c r="L161" s="51" t="s">
        <v>535</v>
      </c>
      <c r="M161" s="48"/>
      <c r="N161" s="47"/>
      <c r="O161" s="47"/>
    </row>
    <row r="162">
      <c r="N162" s="30"/>
      <c r="O162" s="30"/>
    </row>
    <row r="163">
      <c r="A163" s="48" t="s">
        <v>536</v>
      </c>
      <c r="B163" s="50" t="s">
        <v>461</v>
      </c>
      <c r="C163" s="50" t="s">
        <v>537</v>
      </c>
      <c r="D163" s="50" t="s">
        <v>538</v>
      </c>
      <c r="E163" s="50" t="s">
        <v>130</v>
      </c>
      <c r="F163" s="50" t="s">
        <v>539</v>
      </c>
      <c r="G163" s="50" t="s">
        <v>192</v>
      </c>
      <c r="H163" s="50" t="s">
        <v>540</v>
      </c>
      <c r="I163" s="50" t="s">
        <v>541</v>
      </c>
      <c r="J163" s="50" t="s">
        <v>135</v>
      </c>
      <c r="K163" s="50" t="s">
        <v>5</v>
      </c>
      <c r="L163" s="51" t="s">
        <v>542</v>
      </c>
      <c r="M163" s="48"/>
      <c r="N163" s="47"/>
      <c r="O163" s="47"/>
    </row>
    <row r="164">
      <c r="N164" s="30"/>
      <c r="O164" s="30"/>
    </row>
    <row r="165">
      <c r="A165" s="48" t="s">
        <v>543</v>
      </c>
      <c r="B165" s="50" t="s">
        <v>461</v>
      </c>
      <c r="C165" s="50" t="s">
        <v>537</v>
      </c>
      <c r="D165" s="50" t="s">
        <v>544</v>
      </c>
      <c r="E165" s="50" t="s">
        <v>130</v>
      </c>
      <c r="F165" s="50" t="s">
        <v>539</v>
      </c>
      <c r="G165" s="50" t="s">
        <v>192</v>
      </c>
      <c r="H165" s="50" t="s">
        <v>545</v>
      </c>
      <c r="I165" s="50" t="s">
        <v>546</v>
      </c>
      <c r="J165" s="50" t="s">
        <v>135</v>
      </c>
      <c r="K165" s="50" t="s">
        <v>5</v>
      </c>
      <c r="L165" s="51" t="s">
        <v>547</v>
      </c>
      <c r="M165" s="48"/>
      <c r="N165" s="47"/>
      <c r="O165" s="47"/>
    </row>
    <row r="166">
      <c r="N166" s="30"/>
      <c r="O166" s="30"/>
    </row>
    <row r="167">
      <c r="A167" s="48" t="s">
        <v>548</v>
      </c>
      <c r="B167" s="50" t="s">
        <v>461</v>
      </c>
      <c r="C167" s="50" t="s">
        <v>341</v>
      </c>
      <c r="D167" s="50" t="s">
        <v>549</v>
      </c>
      <c r="E167" s="50" t="s">
        <v>130</v>
      </c>
      <c r="F167" s="50" t="s">
        <v>550</v>
      </c>
      <c r="G167" s="50" t="s">
        <v>192</v>
      </c>
      <c r="H167" s="50" t="s">
        <v>551</v>
      </c>
      <c r="I167" s="50" t="s">
        <v>552</v>
      </c>
      <c r="J167" s="50" t="s">
        <v>135</v>
      </c>
      <c r="K167" s="50" t="s">
        <v>5</v>
      </c>
      <c r="L167" s="51" t="s">
        <v>553</v>
      </c>
      <c r="M167" s="48"/>
      <c r="N167" s="47"/>
      <c r="O167" s="47"/>
    </row>
    <row r="168">
      <c r="N168" s="30"/>
      <c r="O168" s="30"/>
    </row>
    <row r="169">
      <c r="A169" s="48" t="s">
        <v>554</v>
      </c>
      <c r="B169" s="50" t="s">
        <v>461</v>
      </c>
      <c r="C169" s="50" t="s">
        <v>341</v>
      </c>
      <c r="D169" s="50" t="s">
        <v>544</v>
      </c>
      <c r="E169" s="50" t="s">
        <v>130</v>
      </c>
      <c r="F169" s="50" t="s">
        <v>555</v>
      </c>
      <c r="G169" s="50" t="s">
        <v>192</v>
      </c>
      <c r="H169" s="50" t="s">
        <v>545</v>
      </c>
      <c r="I169" s="50" t="s">
        <v>546</v>
      </c>
      <c r="J169" s="50" t="s">
        <v>135</v>
      </c>
      <c r="K169" s="50" t="s">
        <v>5</v>
      </c>
      <c r="L169" s="51" t="s">
        <v>556</v>
      </c>
      <c r="M169" s="48"/>
      <c r="N169" s="47"/>
      <c r="O169" s="47"/>
    </row>
    <row r="170">
      <c r="N170" s="30"/>
      <c r="O170" s="30"/>
    </row>
    <row r="171">
      <c r="A171" s="50" t="s">
        <v>557</v>
      </c>
      <c r="B171" s="50" t="s">
        <v>127</v>
      </c>
      <c r="C171" s="50" t="s">
        <v>127</v>
      </c>
      <c r="D171" s="50" t="s">
        <v>558</v>
      </c>
      <c r="E171" s="50" t="s">
        <v>130</v>
      </c>
      <c r="F171" s="50" t="s">
        <v>131</v>
      </c>
      <c r="G171" s="50" t="s">
        <v>192</v>
      </c>
      <c r="H171" s="50" t="s">
        <v>559</v>
      </c>
      <c r="I171" s="50" t="s">
        <v>560</v>
      </c>
      <c r="J171" s="50" t="s">
        <v>135</v>
      </c>
      <c r="K171" s="50" t="s">
        <v>7</v>
      </c>
      <c r="L171" s="51" t="s">
        <v>561</v>
      </c>
      <c r="M171" s="48"/>
      <c r="N171" s="47"/>
      <c r="O171" s="47"/>
    </row>
    <row r="172">
      <c r="N172" s="30"/>
      <c r="O172" s="30"/>
    </row>
    <row r="173">
      <c r="A173" s="50" t="s">
        <v>562</v>
      </c>
      <c r="B173" s="50" t="s">
        <v>283</v>
      </c>
      <c r="C173" s="50" t="s">
        <v>283</v>
      </c>
      <c r="D173" s="50" t="s">
        <v>563</v>
      </c>
      <c r="E173" s="50" t="s">
        <v>130</v>
      </c>
      <c r="F173" s="50" t="s">
        <v>564</v>
      </c>
      <c r="G173" s="50" t="s">
        <v>192</v>
      </c>
      <c r="H173" s="50" t="s">
        <v>565</v>
      </c>
      <c r="I173" s="50" t="s">
        <v>566</v>
      </c>
      <c r="J173" s="50" t="s">
        <v>135</v>
      </c>
      <c r="K173" s="50" t="s">
        <v>7</v>
      </c>
      <c r="L173" s="51" t="s">
        <v>567</v>
      </c>
      <c r="M173" s="48"/>
      <c r="N173" s="47"/>
      <c r="O173" s="47"/>
    </row>
    <row r="174">
      <c r="N174" s="30"/>
      <c r="O174" s="30"/>
    </row>
    <row r="175">
      <c r="A175" s="50" t="s">
        <v>568</v>
      </c>
      <c r="B175" s="50" t="s">
        <v>569</v>
      </c>
      <c r="C175" s="50" t="s">
        <v>569</v>
      </c>
      <c r="D175" s="50" t="s">
        <v>570</v>
      </c>
      <c r="E175" s="50" t="s">
        <v>130</v>
      </c>
      <c r="F175" s="50" t="s">
        <v>571</v>
      </c>
      <c r="G175" s="50" t="s">
        <v>192</v>
      </c>
      <c r="H175" s="50" t="s">
        <v>572</v>
      </c>
      <c r="I175" s="50" t="s">
        <v>573</v>
      </c>
      <c r="J175" s="50" t="s">
        <v>135</v>
      </c>
      <c r="K175" s="50" t="s">
        <v>7</v>
      </c>
      <c r="L175" s="51" t="s">
        <v>574</v>
      </c>
      <c r="M175" s="48"/>
      <c r="N175" s="47"/>
      <c r="O175" s="47"/>
    </row>
    <row r="176">
      <c r="N176" s="30"/>
      <c r="O176" s="30"/>
    </row>
    <row r="177">
      <c r="A177" s="50" t="s">
        <v>575</v>
      </c>
      <c r="B177" s="50" t="s">
        <v>569</v>
      </c>
      <c r="C177" s="50" t="s">
        <v>569</v>
      </c>
      <c r="D177" s="50" t="s">
        <v>576</v>
      </c>
      <c r="E177" s="50" t="s">
        <v>130</v>
      </c>
      <c r="F177" s="50" t="s">
        <v>571</v>
      </c>
      <c r="G177" s="50" t="s">
        <v>192</v>
      </c>
      <c r="H177" s="50" t="s">
        <v>572</v>
      </c>
      <c r="I177" s="50" t="s">
        <v>573</v>
      </c>
      <c r="J177" s="50" t="s">
        <v>135</v>
      </c>
      <c r="K177" s="50" t="s">
        <v>7</v>
      </c>
      <c r="L177" s="51" t="s">
        <v>577</v>
      </c>
      <c r="M177" s="48"/>
      <c r="N177" s="47"/>
      <c r="O177" s="47"/>
    </row>
    <row r="178">
      <c r="N178" s="30"/>
      <c r="O178" s="30"/>
    </row>
    <row r="179">
      <c r="A179" s="50" t="s">
        <v>578</v>
      </c>
      <c r="B179" s="50" t="s">
        <v>569</v>
      </c>
      <c r="C179" s="50" t="s">
        <v>569</v>
      </c>
      <c r="D179" s="50" t="s">
        <v>579</v>
      </c>
      <c r="E179" s="50" t="s">
        <v>130</v>
      </c>
      <c r="F179" s="50" t="s">
        <v>571</v>
      </c>
      <c r="G179" s="50" t="s">
        <v>192</v>
      </c>
      <c r="H179" s="50" t="s">
        <v>580</v>
      </c>
      <c r="I179" s="50" t="s">
        <v>581</v>
      </c>
      <c r="J179" s="50" t="s">
        <v>135</v>
      </c>
      <c r="K179" s="50" t="s">
        <v>5</v>
      </c>
      <c r="L179" s="51" t="s">
        <v>582</v>
      </c>
      <c r="M179" s="48"/>
      <c r="N179" s="47"/>
      <c r="O179" s="47"/>
    </row>
    <row r="180">
      <c r="N180" s="30"/>
      <c r="O180" s="30"/>
    </row>
    <row r="181">
      <c r="A181" s="50" t="s">
        <v>583</v>
      </c>
      <c r="B181" s="50" t="s">
        <v>569</v>
      </c>
      <c r="C181" s="50" t="s">
        <v>569</v>
      </c>
      <c r="D181" s="50" t="s">
        <v>584</v>
      </c>
      <c r="E181" s="50" t="s">
        <v>130</v>
      </c>
      <c r="F181" s="50" t="s">
        <v>585</v>
      </c>
      <c r="G181" s="50" t="s">
        <v>192</v>
      </c>
      <c r="H181" s="50" t="s">
        <v>586</v>
      </c>
      <c r="I181" s="50" t="s">
        <v>587</v>
      </c>
      <c r="J181" s="50" t="s">
        <v>135</v>
      </c>
      <c r="K181" s="50" t="s">
        <v>5</v>
      </c>
      <c r="L181" s="51" t="s">
        <v>588</v>
      </c>
      <c r="M181" s="48"/>
      <c r="N181" s="47"/>
      <c r="O181" s="47"/>
    </row>
    <row r="182">
      <c r="N182" s="30"/>
      <c r="O182" s="30"/>
    </row>
    <row r="183">
      <c r="A183" s="48" t="s">
        <v>589</v>
      </c>
      <c r="B183" s="50" t="s">
        <v>569</v>
      </c>
      <c r="C183" s="50" t="s">
        <v>569</v>
      </c>
      <c r="D183" s="50" t="s">
        <v>570</v>
      </c>
      <c r="E183" s="50" t="s">
        <v>130</v>
      </c>
      <c r="F183" s="50" t="s">
        <v>590</v>
      </c>
      <c r="G183" s="50" t="s">
        <v>192</v>
      </c>
      <c r="H183" s="50" t="s">
        <v>572</v>
      </c>
      <c r="I183" s="50" t="s">
        <v>573</v>
      </c>
      <c r="J183" s="50" t="s">
        <v>135</v>
      </c>
      <c r="K183" s="50" t="s">
        <v>7</v>
      </c>
      <c r="L183" s="51" t="s">
        <v>591</v>
      </c>
      <c r="M183" s="48"/>
      <c r="N183" s="47"/>
      <c r="O183" s="47"/>
    </row>
    <row r="184">
      <c r="N184" s="30"/>
      <c r="O184" s="30"/>
    </row>
    <row r="185">
      <c r="A185" s="50" t="s">
        <v>592</v>
      </c>
      <c r="B185" s="50" t="s">
        <v>569</v>
      </c>
      <c r="C185" s="50" t="s">
        <v>569</v>
      </c>
      <c r="D185" s="50" t="s">
        <v>593</v>
      </c>
      <c r="E185" s="50" t="s">
        <v>130</v>
      </c>
      <c r="F185" s="50" t="s">
        <v>590</v>
      </c>
      <c r="G185" s="50" t="s">
        <v>192</v>
      </c>
      <c r="H185" s="50" t="s">
        <v>594</v>
      </c>
      <c r="I185" s="50" t="s">
        <v>595</v>
      </c>
      <c r="J185" s="50" t="s">
        <v>135</v>
      </c>
      <c r="K185" s="50" t="s">
        <v>9</v>
      </c>
      <c r="L185" s="51" t="s">
        <v>596</v>
      </c>
      <c r="M185" s="48"/>
      <c r="N185" s="47"/>
      <c r="O185" s="47"/>
    </row>
    <row r="186">
      <c r="N186" s="30"/>
      <c r="O186" s="30"/>
    </row>
    <row r="187">
      <c r="A187" s="48" t="s">
        <v>597</v>
      </c>
      <c r="B187" s="48"/>
      <c r="C187" s="48"/>
      <c r="D187" s="48"/>
      <c r="E187" s="48"/>
      <c r="F187" s="48"/>
      <c r="G187" s="48"/>
      <c r="H187" s="48"/>
      <c r="I187" s="48"/>
      <c r="J187" s="48"/>
      <c r="K187" s="48"/>
      <c r="L187" s="48"/>
      <c r="M187" s="48"/>
      <c r="N187" s="47"/>
      <c r="O187" s="47"/>
    </row>
    <row r="188">
      <c r="N188" s="30"/>
      <c r="O188" s="30"/>
    </row>
    <row r="189">
      <c r="A189" s="48" t="s">
        <v>598</v>
      </c>
      <c r="B189" s="48"/>
      <c r="C189" s="48"/>
      <c r="D189" s="48"/>
      <c r="E189" s="48"/>
      <c r="F189" s="48"/>
      <c r="G189" s="48"/>
      <c r="H189" s="48"/>
      <c r="I189" s="48"/>
      <c r="J189" s="48"/>
      <c r="K189" s="48"/>
      <c r="L189" s="48"/>
      <c r="M189" s="48"/>
      <c r="N189" s="47"/>
      <c r="O189" s="47"/>
    </row>
    <row r="190">
      <c r="N190" s="30"/>
      <c r="O190" s="30"/>
    </row>
    <row r="191">
      <c r="A191" s="48" t="s">
        <v>599</v>
      </c>
      <c r="B191" s="48"/>
      <c r="C191" s="48"/>
      <c r="D191" s="48"/>
      <c r="E191" s="48"/>
      <c r="F191" s="48"/>
      <c r="G191" s="48"/>
      <c r="H191" s="48"/>
      <c r="I191" s="48"/>
      <c r="J191" s="48"/>
      <c r="K191" s="48"/>
      <c r="L191" s="48"/>
      <c r="M191" s="48"/>
      <c r="N191" s="47"/>
      <c r="O191" s="47"/>
    </row>
    <row r="192">
      <c r="N192" s="30"/>
      <c r="O192" s="30"/>
    </row>
    <row r="193">
      <c r="N193" s="30"/>
      <c r="O193" s="30"/>
    </row>
    <row r="194">
      <c r="N194" s="30"/>
      <c r="O194" s="30"/>
    </row>
    <row r="195">
      <c r="N195" s="30"/>
      <c r="O195" s="30"/>
    </row>
    <row r="196">
      <c r="N196" s="30"/>
      <c r="O196" s="30"/>
    </row>
    <row r="197">
      <c r="N197" s="30"/>
      <c r="O197" s="30"/>
    </row>
    <row r="198">
      <c r="N198" s="30"/>
      <c r="O198" s="30"/>
    </row>
    <row r="199">
      <c r="N199" s="30"/>
      <c r="O199" s="30"/>
    </row>
    <row r="200">
      <c r="N200" s="30"/>
      <c r="O200" s="30"/>
    </row>
    <row r="201">
      <c r="N201" s="30"/>
      <c r="O201" s="30"/>
    </row>
    <row r="202">
      <c r="N202" s="30"/>
      <c r="O202" s="30"/>
    </row>
    <row r="203">
      <c r="N203" s="30"/>
      <c r="O203" s="30"/>
    </row>
    <row r="204">
      <c r="N204" s="30"/>
      <c r="O204" s="30"/>
    </row>
    <row r="205">
      <c r="N205" s="30"/>
      <c r="O205" s="30"/>
    </row>
    <row r="206">
      <c r="N206" s="30"/>
      <c r="O206" s="30"/>
    </row>
    <row r="207">
      <c r="N207" s="30"/>
      <c r="O207" s="30"/>
    </row>
    <row r="208">
      <c r="N208" s="30"/>
      <c r="O208" s="30"/>
    </row>
    <row r="209">
      <c r="N209" s="30"/>
      <c r="O209" s="30"/>
    </row>
    <row r="210">
      <c r="N210" s="30"/>
      <c r="O210" s="30"/>
    </row>
    <row r="211">
      <c r="N211" s="30"/>
      <c r="O211" s="30"/>
    </row>
    <row r="212">
      <c r="N212" s="30"/>
      <c r="O212" s="30"/>
    </row>
    <row r="213">
      <c r="N213" s="30"/>
      <c r="O213" s="30"/>
    </row>
    <row r="214">
      <c r="N214" s="30"/>
      <c r="O214" s="30"/>
    </row>
    <row r="215">
      <c r="N215" s="30"/>
      <c r="O215" s="30"/>
    </row>
    <row r="216">
      <c r="N216" s="30"/>
      <c r="O216" s="30"/>
    </row>
    <row r="217">
      <c r="N217" s="30"/>
      <c r="O217" s="30"/>
    </row>
    <row r="218">
      <c r="N218" s="30"/>
      <c r="O218" s="30"/>
    </row>
    <row r="219">
      <c r="N219" s="30"/>
      <c r="O219" s="30"/>
    </row>
    <row r="220">
      <c r="N220" s="30"/>
      <c r="O220" s="30"/>
    </row>
    <row r="221">
      <c r="N221" s="30"/>
      <c r="O221" s="30"/>
    </row>
    <row r="222">
      <c r="N222" s="30"/>
      <c r="O222" s="30"/>
    </row>
    <row r="223">
      <c r="N223" s="30"/>
      <c r="O223" s="30"/>
    </row>
    <row r="224">
      <c r="N224" s="30"/>
      <c r="O224" s="30"/>
    </row>
    <row r="225">
      <c r="N225" s="30"/>
      <c r="O225" s="30"/>
    </row>
    <row r="226">
      <c r="N226" s="30"/>
      <c r="O226" s="30"/>
    </row>
    <row r="227">
      <c r="N227" s="30"/>
      <c r="O227" s="30"/>
    </row>
    <row r="228">
      <c r="N228" s="30"/>
      <c r="O228" s="30"/>
    </row>
    <row r="229">
      <c r="N229" s="30"/>
      <c r="O229" s="30"/>
    </row>
    <row r="230">
      <c r="N230" s="30"/>
      <c r="O230" s="30"/>
    </row>
    <row r="231">
      <c r="N231" s="30"/>
      <c r="O231" s="30"/>
    </row>
    <row r="232">
      <c r="N232" s="30"/>
      <c r="O232" s="30"/>
    </row>
    <row r="233">
      <c r="N233" s="30"/>
      <c r="O233" s="30"/>
    </row>
    <row r="234">
      <c r="N234" s="30"/>
      <c r="O234" s="30"/>
    </row>
    <row r="235">
      <c r="N235" s="30"/>
      <c r="O235" s="30"/>
    </row>
    <row r="236">
      <c r="N236" s="30"/>
      <c r="O236" s="30"/>
    </row>
    <row r="237">
      <c r="N237" s="30"/>
      <c r="O237" s="30"/>
    </row>
    <row r="238">
      <c r="N238" s="30"/>
      <c r="O238" s="30"/>
    </row>
    <row r="239">
      <c r="N239" s="30"/>
      <c r="O239" s="30"/>
    </row>
    <row r="240">
      <c r="N240" s="30"/>
      <c r="O240" s="30"/>
    </row>
    <row r="241">
      <c r="N241" s="30"/>
      <c r="O241" s="30"/>
    </row>
    <row r="242">
      <c r="N242" s="30"/>
      <c r="O242" s="30"/>
    </row>
    <row r="243">
      <c r="N243" s="30"/>
      <c r="O243" s="30"/>
    </row>
    <row r="244">
      <c r="N244" s="30"/>
      <c r="O244" s="30"/>
    </row>
    <row r="245">
      <c r="N245" s="30"/>
      <c r="O245" s="30"/>
    </row>
    <row r="246">
      <c r="N246" s="30"/>
      <c r="O246" s="30"/>
    </row>
    <row r="247">
      <c r="N247" s="30"/>
      <c r="O247" s="30"/>
    </row>
    <row r="248">
      <c r="N248" s="30"/>
      <c r="O248" s="30"/>
    </row>
    <row r="249">
      <c r="N249" s="30"/>
      <c r="O249" s="30"/>
    </row>
    <row r="250">
      <c r="N250" s="30"/>
      <c r="O250" s="30"/>
    </row>
    <row r="251">
      <c r="N251" s="30"/>
      <c r="O251" s="30"/>
    </row>
    <row r="252">
      <c r="N252" s="30"/>
      <c r="O252" s="30"/>
    </row>
    <row r="253">
      <c r="N253" s="30"/>
      <c r="O253" s="30"/>
    </row>
    <row r="254">
      <c r="N254" s="30"/>
      <c r="O254" s="30"/>
    </row>
    <row r="255">
      <c r="N255" s="30"/>
      <c r="O255" s="30"/>
    </row>
    <row r="256">
      <c r="N256" s="30"/>
      <c r="O256" s="30"/>
    </row>
    <row r="257">
      <c r="N257" s="30"/>
      <c r="O257" s="30"/>
    </row>
    <row r="258">
      <c r="N258" s="30"/>
      <c r="O258" s="30"/>
    </row>
    <row r="259">
      <c r="N259" s="30"/>
      <c r="O259" s="30"/>
    </row>
    <row r="260">
      <c r="N260" s="30"/>
      <c r="O260" s="30"/>
    </row>
    <row r="261">
      <c r="N261" s="30"/>
      <c r="O261" s="30"/>
    </row>
    <row r="262">
      <c r="N262" s="30"/>
      <c r="O262" s="30"/>
    </row>
    <row r="263">
      <c r="N263" s="30"/>
      <c r="O263" s="30"/>
    </row>
    <row r="264">
      <c r="N264" s="30"/>
      <c r="O264" s="30"/>
    </row>
    <row r="265">
      <c r="N265" s="30"/>
      <c r="O265" s="30"/>
    </row>
    <row r="266">
      <c r="N266" s="30"/>
      <c r="O266" s="30"/>
    </row>
    <row r="267">
      <c r="N267" s="30"/>
      <c r="O267" s="30"/>
    </row>
    <row r="268">
      <c r="N268" s="30"/>
      <c r="O268" s="30"/>
    </row>
    <row r="269">
      <c r="N269" s="30"/>
      <c r="O269" s="30"/>
    </row>
    <row r="270">
      <c r="N270" s="30"/>
      <c r="O270" s="30"/>
    </row>
    <row r="271">
      <c r="N271" s="30"/>
      <c r="O271" s="30"/>
    </row>
    <row r="272">
      <c r="N272" s="30"/>
      <c r="O272" s="30"/>
    </row>
    <row r="273">
      <c r="N273" s="30"/>
      <c r="O273" s="30"/>
    </row>
    <row r="274">
      <c r="N274" s="30"/>
      <c r="O274" s="30"/>
    </row>
    <row r="275">
      <c r="N275" s="30"/>
      <c r="O275" s="30"/>
    </row>
    <row r="276">
      <c r="N276" s="30"/>
      <c r="O276" s="30"/>
    </row>
    <row r="277">
      <c r="N277" s="30"/>
      <c r="O277" s="30"/>
    </row>
    <row r="278">
      <c r="N278" s="30"/>
      <c r="O278" s="30"/>
    </row>
    <row r="279">
      <c r="N279" s="30"/>
      <c r="O279" s="30"/>
    </row>
    <row r="280">
      <c r="N280" s="30"/>
      <c r="O280" s="30"/>
    </row>
    <row r="281">
      <c r="N281" s="30"/>
      <c r="O281" s="30"/>
    </row>
    <row r="282">
      <c r="N282" s="30"/>
      <c r="O282" s="30"/>
    </row>
    <row r="283">
      <c r="N283" s="30"/>
      <c r="O283" s="30"/>
    </row>
    <row r="284">
      <c r="N284" s="30"/>
      <c r="O284" s="30"/>
    </row>
    <row r="285">
      <c r="N285" s="30"/>
      <c r="O285" s="30"/>
    </row>
    <row r="286">
      <c r="N286" s="30"/>
      <c r="O286" s="30"/>
    </row>
    <row r="287">
      <c r="N287" s="30"/>
      <c r="O287" s="30"/>
    </row>
    <row r="288">
      <c r="N288" s="30"/>
      <c r="O288" s="30"/>
    </row>
    <row r="289">
      <c r="N289" s="30"/>
      <c r="O289" s="30"/>
    </row>
    <row r="290">
      <c r="N290" s="30"/>
      <c r="O290" s="30"/>
    </row>
    <row r="291">
      <c r="N291" s="30"/>
      <c r="O291" s="30"/>
    </row>
    <row r="292">
      <c r="N292" s="30"/>
      <c r="O292" s="30"/>
    </row>
    <row r="293">
      <c r="N293" s="30"/>
      <c r="O293" s="30"/>
    </row>
    <row r="294">
      <c r="N294" s="30"/>
      <c r="O294" s="30"/>
    </row>
    <row r="295">
      <c r="N295" s="30"/>
      <c r="O295" s="30"/>
    </row>
    <row r="296">
      <c r="N296" s="30"/>
      <c r="O296" s="30"/>
    </row>
    <row r="297">
      <c r="N297" s="30"/>
      <c r="O297" s="30"/>
    </row>
    <row r="298">
      <c r="N298" s="30"/>
      <c r="O298" s="30"/>
    </row>
    <row r="299">
      <c r="N299" s="30"/>
      <c r="O299" s="30"/>
    </row>
    <row r="300">
      <c r="N300" s="30"/>
      <c r="O300" s="30"/>
    </row>
    <row r="301">
      <c r="N301" s="30"/>
      <c r="O301" s="30"/>
    </row>
    <row r="302">
      <c r="N302" s="30"/>
      <c r="O302" s="30"/>
    </row>
    <row r="303">
      <c r="N303" s="30"/>
      <c r="O303" s="30"/>
    </row>
    <row r="304">
      <c r="N304" s="30"/>
      <c r="O304" s="30"/>
    </row>
    <row r="305">
      <c r="N305" s="30"/>
      <c r="O305" s="30"/>
    </row>
    <row r="306">
      <c r="N306" s="30"/>
      <c r="O306" s="30"/>
    </row>
    <row r="307">
      <c r="N307" s="30"/>
      <c r="O307" s="30"/>
    </row>
    <row r="308">
      <c r="N308" s="30"/>
      <c r="O308" s="30"/>
    </row>
    <row r="309">
      <c r="N309" s="30"/>
      <c r="O309" s="30"/>
    </row>
    <row r="310">
      <c r="N310" s="30"/>
      <c r="O310" s="30"/>
    </row>
    <row r="311">
      <c r="N311" s="30"/>
      <c r="O311" s="30"/>
    </row>
    <row r="312">
      <c r="N312" s="30"/>
      <c r="O312" s="30"/>
    </row>
    <row r="313">
      <c r="N313" s="30"/>
      <c r="O313" s="30"/>
    </row>
    <row r="314">
      <c r="N314" s="30"/>
      <c r="O314" s="30"/>
    </row>
    <row r="315">
      <c r="N315" s="30"/>
      <c r="O315" s="30"/>
    </row>
    <row r="316">
      <c r="N316" s="30"/>
      <c r="O316" s="30"/>
    </row>
    <row r="317">
      <c r="N317" s="30"/>
      <c r="O317" s="30"/>
    </row>
    <row r="318">
      <c r="N318" s="30"/>
      <c r="O318" s="30"/>
    </row>
    <row r="319">
      <c r="N319" s="30"/>
      <c r="O319" s="30"/>
    </row>
    <row r="320">
      <c r="N320" s="30"/>
      <c r="O320" s="30"/>
    </row>
    <row r="321">
      <c r="N321" s="30"/>
      <c r="O321" s="30"/>
    </row>
    <row r="322">
      <c r="N322" s="30"/>
      <c r="O322" s="30"/>
    </row>
    <row r="323">
      <c r="N323" s="30"/>
      <c r="O323" s="30"/>
    </row>
    <row r="324">
      <c r="N324" s="30"/>
      <c r="O324" s="30"/>
    </row>
    <row r="325">
      <c r="N325" s="30"/>
      <c r="O325" s="30"/>
    </row>
    <row r="326">
      <c r="N326" s="30"/>
      <c r="O326" s="30"/>
    </row>
    <row r="327">
      <c r="N327" s="30"/>
      <c r="O327" s="30"/>
    </row>
    <row r="328">
      <c r="N328" s="30"/>
      <c r="O328" s="30"/>
    </row>
    <row r="329">
      <c r="N329" s="30"/>
      <c r="O329" s="30"/>
    </row>
    <row r="330">
      <c r="N330" s="30"/>
      <c r="O330" s="30"/>
    </row>
    <row r="331">
      <c r="N331" s="30"/>
      <c r="O331" s="30"/>
    </row>
    <row r="332">
      <c r="N332" s="30"/>
      <c r="O332" s="30"/>
    </row>
    <row r="333">
      <c r="N333" s="30"/>
      <c r="O333" s="30"/>
    </row>
    <row r="334">
      <c r="N334" s="30"/>
      <c r="O334" s="30"/>
    </row>
    <row r="335">
      <c r="N335" s="30"/>
      <c r="O335" s="30"/>
    </row>
    <row r="336">
      <c r="N336" s="30"/>
      <c r="O336" s="30"/>
    </row>
    <row r="337">
      <c r="N337" s="30"/>
      <c r="O337" s="30"/>
    </row>
    <row r="338">
      <c r="N338" s="30"/>
      <c r="O338" s="30"/>
    </row>
    <row r="339">
      <c r="N339" s="30"/>
      <c r="O339" s="30"/>
    </row>
    <row r="340">
      <c r="N340" s="30"/>
      <c r="O340" s="30"/>
    </row>
    <row r="341">
      <c r="N341" s="30"/>
      <c r="O341" s="30"/>
    </row>
    <row r="342">
      <c r="N342" s="30"/>
      <c r="O342" s="30"/>
    </row>
    <row r="343">
      <c r="N343" s="30"/>
      <c r="O343" s="30"/>
    </row>
    <row r="344">
      <c r="N344" s="30"/>
      <c r="O344" s="30"/>
    </row>
    <row r="345">
      <c r="N345" s="30"/>
      <c r="O345" s="30"/>
    </row>
    <row r="346">
      <c r="N346" s="30"/>
      <c r="O346" s="30"/>
    </row>
    <row r="347">
      <c r="N347" s="30"/>
      <c r="O347" s="30"/>
    </row>
    <row r="348">
      <c r="N348" s="30"/>
      <c r="O348" s="30"/>
    </row>
    <row r="349">
      <c r="N349" s="30"/>
      <c r="O349" s="30"/>
    </row>
    <row r="350">
      <c r="N350" s="30"/>
      <c r="O350" s="30"/>
    </row>
    <row r="351">
      <c r="N351" s="30"/>
      <c r="O351" s="30"/>
    </row>
    <row r="352">
      <c r="N352" s="30"/>
      <c r="O352" s="30"/>
    </row>
    <row r="353">
      <c r="N353" s="30"/>
      <c r="O353" s="30"/>
    </row>
    <row r="354">
      <c r="N354" s="30"/>
      <c r="O354" s="30"/>
    </row>
    <row r="355">
      <c r="N355" s="30"/>
      <c r="O355" s="30"/>
    </row>
    <row r="356">
      <c r="N356" s="30"/>
      <c r="O356" s="30"/>
    </row>
    <row r="357">
      <c r="N357" s="30"/>
      <c r="O357" s="30"/>
    </row>
    <row r="358">
      <c r="N358" s="30"/>
      <c r="O358" s="30"/>
    </row>
    <row r="359">
      <c r="N359" s="30"/>
      <c r="O359" s="30"/>
    </row>
    <row r="360">
      <c r="N360" s="30"/>
      <c r="O360" s="30"/>
    </row>
    <row r="361">
      <c r="N361" s="30"/>
      <c r="O361" s="30"/>
    </row>
    <row r="362">
      <c r="N362" s="30"/>
      <c r="O362" s="30"/>
    </row>
    <row r="363">
      <c r="N363" s="30"/>
      <c r="O363" s="30"/>
    </row>
    <row r="364">
      <c r="N364" s="30"/>
      <c r="O364" s="30"/>
    </row>
    <row r="365">
      <c r="N365" s="30"/>
      <c r="O365" s="30"/>
    </row>
    <row r="366">
      <c r="N366" s="30"/>
      <c r="O366" s="30"/>
    </row>
    <row r="367">
      <c r="N367" s="30"/>
      <c r="O367" s="30"/>
    </row>
    <row r="368">
      <c r="N368" s="30"/>
      <c r="O368" s="30"/>
    </row>
    <row r="369">
      <c r="N369" s="30"/>
      <c r="O369" s="30"/>
    </row>
    <row r="370">
      <c r="N370" s="30"/>
      <c r="O370" s="30"/>
    </row>
    <row r="371">
      <c r="N371" s="30"/>
      <c r="O371" s="30"/>
    </row>
    <row r="372">
      <c r="N372" s="30"/>
      <c r="O372" s="30"/>
    </row>
    <row r="373">
      <c r="N373" s="30"/>
      <c r="O373" s="30"/>
    </row>
    <row r="374">
      <c r="N374" s="30"/>
      <c r="O374" s="30"/>
    </row>
    <row r="375">
      <c r="N375" s="30"/>
      <c r="O375" s="30"/>
    </row>
    <row r="376">
      <c r="N376" s="30"/>
      <c r="O376" s="30"/>
    </row>
    <row r="377">
      <c r="N377" s="30"/>
      <c r="O377" s="30"/>
    </row>
    <row r="378">
      <c r="N378" s="30"/>
      <c r="O378" s="30"/>
    </row>
    <row r="379">
      <c r="N379" s="30"/>
      <c r="O379" s="30"/>
    </row>
    <row r="380">
      <c r="N380" s="30"/>
      <c r="O380" s="30"/>
    </row>
    <row r="381">
      <c r="N381" s="30"/>
      <c r="O381" s="30"/>
    </row>
    <row r="382">
      <c r="N382" s="30"/>
      <c r="O382" s="30"/>
    </row>
    <row r="383">
      <c r="N383" s="30"/>
      <c r="O383" s="30"/>
    </row>
    <row r="384">
      <c r="N384" s="30"/>
      <c r="O384" s="30"/>
    </row>
    <row r="385">
      <c r="N385" s="30"/>
      <c r="O385" s="30"/>
    </row>
    <row r="386">
      <c r="N386" s="30"/>
      <c r="O386" s="30"/>
    </row>
    <row r="387">
      <c r="N387" s="30"/>
      <c r="O387" s="30"/>
    </row>
    <row r="388">
      <c r="N388" s="30"/>
      <c r="O388" s="30"/>
    </row>
    <row r="389">
      <c r="N389" s="30"/>
      <c r="O389" s="30"/>
    </row>
    <row r="390">
      <c r="N390" s="30"/>
      <c r="O390" s="30"/>
    </row>
    <row r="391">
      <c r="N391" s="30"/>
      <c r="O391" s="30"/>
    </row>
    <row r="392">
      <c r="N392" s="30"/>
      <c r="O392" s="30"/>
    </row>
    <row r="393">
      <c r="N393" s="30"/>
      <c r="O393" s="30"/>
    </row>
    <row r="394">
      <c r="N394" s="30"/>
      <c r="O394" s="30"/>
    </row>
    <row r="395">
      <c r="N395" s="30"/>
      <c r="O395" s="30"/>
    </row>
    <row r="396">
      <c r="N396" s="30"/>
      <c r="O396" s="30"/>
    </row>
    <row r="397">
      <c r="N397" s="30"/>
      <c r="O397" s="30"/>
    </row>
    <row r="398">
      <c r="N398" s="30"/>
      <c r="O398" s="30"/>
    </row>
    <row r="399">
      <c r="N399" s="30"/>
      <c r="O399" s="30"/>
    </row>
    <row r="400">
      <c r="N400" s="30"/>
      <c r="O400" s="30"/>
    </row>
    <row r="401">
      <c r="N401" s="30"/>
      <c r="O401" s="30"/>
    </row>
    <row r="402">
      <c r="N402" s="30"/>
      <c r="O402" s="30"/>
    </row>
    <row r="403">
      <c r="N403" s="30"/>
      <c r="O403" s="30"/>
    </row>
    <row r="404">
      <c r="N404" s="30"/>
      <c r="O404" s="30"/>
    </row>
    <row r="405">
      <c r="N405" s="30"/>
      <c r="O405" s="30"/>
    </row>
    <row r="406">
      <c r="N406" s="30"/>
      <c r="O406" s="30"/>
    </row>
    <row r="407">
      <c r="N407" s="30"/>
      <c r="O407" s="30"/>
    </row>
    <row r="408">
      <c r="N408" s="30"/>
      <c r="O408" s="30"/>
    </row>
    <row r="409">
      <c r="N409" s="30"/>
      <c r="O409" s="30"/>
    </row>
    <row r="410">
      <c r="N410" s="30"/>
      <c r="O410" s="30"/>
    </row>
    <row r="411">
      <c r="N411" s="30"/>
      <c r="O411" s="30"/>
    </row>
    <row r="412">
      <c r="N412" s="30"/>
      <c r="O412" s="30"/>
    </row>
    <row r="413">
      <c r="N413" s="30"/>
      <c r="O413" s="30"/>
    </row>
    <row r="414">
      <c r="N414" s="30"/>
      <c r="O414" s="30"/>
    </row>
    <row r="415">
      <c r="N415" s="30"/>
      <c r="O415" s="30"/>
    </row>
    <row r="416">
      <c r="N416" s="30"/>
      <c r="O416" s="30"/>
    </row>
    <row r="417">
      <c r="N417" s="30"/>
      <c r="O417" s="30"/>
    </row>
    <row r="418">
      <c r="N418" s="30"/>
      <c r="O418" s="30"/>
    </row>
    <row r="419">
      <c r="N419" s="30"/>
      <c r="O419" s="30"/>
    </row>
    <row r="420">
      <c r="N420" s="30"/>
      <c r="O420" s="30"/>
    </row>
    <row r="421">
      <c r="N421" s="30"/>
      <c r="O421" s="30"/>
    </row>
    <row r="422">
      <c r="N422" s="30"/>
      <c r="O422" s="30"/>
    </row>
    <row r="423">
      <c r="N423" s="30"/>
      <c r="O423" s="30"/>
    </row>
    <row r="424">
      <c r="N424" s="30"/>
      <c r="O424" s="30"/>
    </row>
    <row r="425">
      <c r="N425" s="30"/>
      <c r="O425" s="30"/>
    </row>
    <row r="426">
      <c r="N426" s="30"/>
      <c r="O426" s="30"/>
    </row>
    <row r="427">
      <c r="N427" s="30"/>
      <c r="O427" s="30"/>
    </row>
    <row r="428">
      <c r="N428" s="30"/>
      <c r="O428" s="30"/>
    </row>
    <row r="429">
      <c r="N429" s="30"/>
      <c r="O429" s="30"/>
    </row>
    <row r="430">
      <c r="N430" s="30"/>
      <c r="O430" s="30"/>
    </row>
    <row r="431">
      <c r="N431" s="30"/>
      <c r="O431" s="30"/>
    </row>
    <row r="432">
      <c r="N432" s="30"/>
      <c r="O432" s="30"/>
    </row>
    <row r="433">
      <c r="N433" s="30"/>
      <c r="O433" s="30"/>
    </row>
    <row r="434">
      <c r="N434" s="30"/>
      <c r="O434" s="30"/>
    </row>
    <row r="435">
      <c r="N435" s="30"/>
      <c r="O435" s="30"/>
    </row>
    <row r="436">
      <c r="N436" s="30"/>
      <c r="O436" s="30"/>
    </row>
    <row r="437">
      <c r="N437" s="30"/>
      <c r="O437" s="30"/>
    </row>
    <row r="438">
      <c r="N438" s="30"/>
      <c r="O438" s="30"/>
    </row>
    <row r="439">
      <c r="N439" s="30"/>
      <c r="O439" s="30"/>
    </row>
    <row r="440">
      <c r="N440" s="30"/>
      <c r="O440" s="30"/>
    </row>
    <row r="441">
      <c r="N441" s="30"/>
      <c r="O441" s="30"/>
    </row>
    <row r="442">
      <c r="N442" s="30"/>
      <c r="O442" s="30"/>
    </row>
    <row r="443">
      <c r="N443" s="30"/>
      <c r="O443" s="30"/>
    </row>
    <row r="444">
      <c r="N444" s="30"/>
      <c r="O444" s="30"/>
    </row>
    <row r="445">
      <c r="N445" s="30"/>
      <c r="O445" s="30"/>
    </row>
    <row r="446">
      <c r="N446" s="30"/>
      <c r="O446" s="30"/>
    </row>
    <row r="447">
      <c r="N447" s="30"/>
      <c r="O447" s="30"/>
    </row>
    <row r="448">
      <c r="N448" s="30"/>
      <c r="O448" s="30"/>
    </row>
    <row r="449">
      <c r="N449" s="30"/>
      <c r="O449" s="30"/>
    </row>
    <row r="450">
      <c r="N450" s="30"/>
      <c r="O450" s="30"/>
    </row>
    <row r="451">
      <c r="N451" s="30"/>
      <c r="O451" s="30"/>
    </row>
    <row r="452">
      <c r="N452" s="30"/>
      <c r="O452" s="30"/>
    </row>
    <row r="453">
      <c r="N453" s="30"/>
      <c r="O453" s="30"/>
    </row>
    <row r="454">
      <c r="N454" s="30"/>
      <c r="O454" s="30"/>
    </row>
    <row r="455">
      <c r="N455" s="30"/>
      <c r="O455" s="30"/>
    </row>
    <row r="456">
      <c r="N456" s="30"/>
      <c r="O456" s="30"/>
    </row>
    <row r="457">
      <c r="N457" s="30"/>
      <c r="O457" s="30"/>
    </row>
    <row r="458">
      <c r="N458" s="30"/>
      <c r="O458" s="30"/>
    </row>
    <row r="459">
      <c r="N459" s="30"/>
      <c r="O459" s="30"/>
    </row>
    <row r="460">
      <c r="N460" s="30"/>
      <c r="O460" s="30"/>
    </row>
    <row r="461">
      <c r="N461" s="30"/>
      <c r="O461" s="30"/>
    </row>
    <row r="462">
      <c r="N462" s="30"/>
      <c r="O462" s="30"/>
    </row>
    <row r="463">
      <c r="N463" s="30"/>
      <c r="O463" s="30"/>
    </row>
    <row r="464">
      <c r="N464" s="30"/>
      <c r="O464" s="30"/>
    </row>
    <row r="465">
      <c r="N465" s="30"/>
      <c r="O465" s="30"/>
    </row>
    <row r="466">
      <c r="N466" s="30"/>
      <c r="O466" s="30"/>
    </row>
    <row r="467">
      <c r="N467" s="30"/>
      <c r="O467" s="30"/>
    </row>
    <row r="468">
      <c r="N468" s="30"/>
      <c r="O468" s="30"/>
    </row>
    <row r="469">
      <c r="N469" s="30"/>
      <c r="O469" s="30"/>
    </row>
    <row r="470">
      <c r="N470" s="30"/>
      <c r="O470" s="30"/>
    </row>
    <row r="471">
      <c r="N471" s="30"/>
      <c r="O471" s="30"/>
    </row>
    <row r="472">
      <c r="N472" s="30"/>
      <c r="O472" s="30"/>
    </row>
    <row r="473">
      <c r="N473" s="30"/>
      <c r="O473" s="30"/>
    </row>
    <row r="474">
      <c r="N474" s="30"/>
      <c r="O474" s="30"/>
    </row>
    <row r="475">
      <c r="N475" s="30"/>
      <c r="O475" s="30"/>
    </row>
    <row r="476">
      <c r="N476" s="30"/>
      <c r="O476" s="30"/>
    </row>
    <row r="477">
      <c r="N477" s="30"/>
      <c r="O477" s="30"/>
    </row>
    <row r="478">
      <c r="N478" s="30"/>
      <c r="O478" s="30"/>
    </row>
    <row r="479">
      <c r="N479" s="30"/>
      <c r="O479" s="30"/>
    </row>
    <row r="480">
      <c r="N480" s="30"/>
      <c r="O480" s="30"/>
    </row>
    <row r="481">
      <c r="N481" s="30"/>
      <c r="O481" s="30"/>
    </row>
    <row r="482">
      <c r="N482" s="30"/>
      <c r="O482" s="30"/>
    </row>
    <row r="483">
      <c r="N483" s="30"/>
      <c r="O483" s="30"/>
    </row>
    <row r="484">
      <c r="N484" s="30"/>
      <c r="O484" s="30"/>
    </row>
    <row r="485">
      <c r="N485" s="30"/>
      <c r="O485" s="30"/>
    </row>
    <row r="486">
      <c r="N486" s="30"/>
      <c r="O486" s="30"/>
    </row>
    <row r="487">
      <c r="N487" s="30"/>
      <c r="O487" s="30"/>
    </row>
    <row r="488">
      <c r="N488" s="30"/>
      <c r="O488" s="30"/>
    </row>
    <row r="489">
      <c r="N489" s="30"/>
      <c r="O489" s="30"/>
    </row>
    <row r="490">
      <c r="N490" s="30"/>
      <c r="O490" s="30"/>
    </row>
    <row r="491">
      <c r="N491" s="30"/>
      <c r="O491" s="30"/>
    </row>
    <row r="492">
      <c r="N492" s="30"/>
      <c r="O492" s="30"/>
    </row>
    <row r="493">
      <c r="N493" s="30"/>
      <c r="O493" s="30"/>
    </row>
    <row r="494">
      <c r="N494" s="30"/>
      <c r="O494" s="30"/>
    </row>
    <row r="495">
      <c r="N495" s="30"/>
      <c r="O495" s="30"/>
    </row>
    <row r="496">
      <c r="N496" s="30"/>
      <c r="O496" s="30"/>
    </row>
    <row r="497">
      <c r="N497" s="30"/>
      <c r="O497" s="30"/>
    </row>
    <row r="498">
      <c r="N498" s="30"/>
      <c r="O498" s="30"/>
    </row>
    <row r="499">
      <c r="N499" s="30"/>
      <c r="O499" s="30"/>
    </row>
    <row r="500">
      <c r="N500" s="30"/>
      <c r="O500" s="30"/>
    </row>
    <row r="501">
      <c r="N501" s="30"/>
      <c r="O501" s="30"/>
    </row>
    <row r="502">
      <c r="N502" s="30"/>
      <c r="O502" s="30"/>
    </row>
    <row r="503">
      <c r="N503" s="30"/>
      <c r="O503" s="30"/>
    </row>
    <row r="504">
      <c r="N504" s="30"/>
      <c r="O504" s="30"/>
    </row>
    <row r="505">
      <c r="N505" s="30"/>
      <c r="O505" s="30"/>
    </row>
    <row r="506">
      <c r="N506" s="30"/>
      <c r="O506" s="30"/>
    </row>
    <row r="507">
      <c r="N507" s="30"/>
      <c r="O507" s="30"/>
    </row>
    <row r="508">
      <c r="N508" s="30"/>
      <c r="O508" s="30"/>
    </row>
    <row r="509">
      <c r="N509" s="30"/>
      <c r="O509" s="30"/>
    </row>
    <row r="510">
      <c r="N510" s="30"/>
      <c r="O510" s="30"/>
    </row>
    <row r="511">
      <c r="N511" s="30"/>
      <c r="O511" s="30"/>
    </row>
    <row r="512">
      <c r="N512" s="30"/>
      <c r="O512" s="30"/>
    </row>
    <row r="513">
      <c r="N513" s="30"/>
      <c r="O513" s="30"/>
    </row>
    <row r="514">
      <c r="N514" s="30"/>
      <c r="O514" s="30"/>
    </row>
    <row r="515">
      <c r="N515" s="30"/>
      <c r="O515" s="30"/>
    </row>
    <row r="516">
      <c r="N516" s="30"/>
      <c r="O516" s="30"/>
    </row>
    <row r="517">
      <c r="N517" s="30"/>
      <c r="O517" s="30"/>
    </row>
    <row r="518">
      <c r="N518" s="30"/>
      <c r="O518" s="30"/>
    </row>
    <row r="519">
      <c r="N519" s="30"/>
      <c r="O519" s="30"/>
    </row>
    <row r="520">
      <c r="N520" s="30"/>
      <c r="O520" s="30"/>
    </row>
    <row r="521">
      <c r="N521" s="30"/>
      <c r="O521" s="30"/>
    </row>
    <row r="522">
      <c r="N522" s="30"/>
      <c r="O522" s="30"/>
    </row>
    <row r="523">
      <c r="N523" s="30"/>
      <c r="O523" s="30"/>
    </row>
    <row r="524">
      <c r="N524" s="30"/>
      <c r="O524" s="30"/>
    </row>
    <row r="525">
      <c r="N525" s="30"/>
      <c r="O525" s="30"/>
    </row>
    <row r="526">
      <c r="N526" s="30"/>
      <c r="O526" s="30"/>
    </row>
    <row r="527">
      <c r="N527" s="30"/>
      <c r="O527" s="30"/>
    </row>
    <row r="528">
      <c r="N528" s="30"/>
      <c r="O528" s="30"/>
    </row>
    <row r="529">
      <c r="N529" s="30"/>
      <c r="O529" s="30"/>
    </row>
    <row r="530">
      <c r="N530" s="30"/>
      <c r="O530" s="30"/>
    </row>
    <row r="531">
      <c r="N531" s="30"/>
      <c r="O531" s="30"/>
    </row>
    <row r="532">
      <c r="N532" s="30"/>
      <c r="O532" s="30"/>
    </row>
    <row r="533">
      <c r="N533" s="30"/>
      <c r="O533" s="30"/>
    </row>
    <row r="534">
      <c r="N534" s="30"/>
      <c r="O534" s="30"/>
    </row>
    <row r="535">
      <c r="N535" s="30"/>
      <c r="O535" s="30"/>
    </row>
    <row r="536">
      <c r="N536" s="30"/>
      <c r="O536" s="30"/>
    </row>
    <row r="537">
      <c r="N537" s="30"/>
      <c r="O537" s="30"/>
    </row>
    <row r="538">
      <c r="N538" s="30"/>
      <c r="O538" s="30"/>
    </row>
    <row r="539">
      <c r="N539" s="30"/>
      <c r="O539" s="30"/>
    </row>
    <row r="540">
      <c r="N540" s="30"/>
      <c r="O540" s="30"/>
    </row>
    <row r="541">
      <c r="N541" s="30"/>
      <c r="O541" s="30"/>
    </row>
    <row r="542">
      <c r="N542" s="30"/>
      <c r="O542" s="30"/>
    </row>
    <row r="543">
      <c r="N543" s="30"/>
      <c r="O543" s="30"/>
    </row>
    <row r="544">
      <c r="N544" s="30"/>
      <c r="O544" s="30"/>
    </row>
    <row r="545">
      <c r="N545" s="30"/>
      <c r="O545" s="30"/>
    </row>
    <row r="546">
      <c r="N546" s="30"/>
      <c r="O546" s="30"/>
    </row>
    <row r="547">
      <c r="N547" s="30"/>
      <c r="O547" s="30"/>
    </row>
    <row r="548">
      <c r="N548" s="30"/>
      <c r="O548" s="30"/>
    </row>
    <row r="549">
      <c r="N549" s="30"/>
      <c r="O549" s="30"/>
    </row>
    <row r="550">
      <c r="N550" s="30"/>
      <c r="O550" s="30"/>
    </row>
    <row r="551">
      <c r="N551" s="30"/>
      <c r="O551" s="30"/>
    </row>
    <row r="552">
      <c r="N552" s="30"/>
      <c r="O552" s="30"/>
    </row>
    <row r="553">
      <c r="N553" s="30"/>
      <c r="O553" s="30"/>
    </row>
    <row r="554">
      <c r="N554" s="30"/>
      <c r="O554" s="30"/>
    </row>
    <row r="555">
      <c r="N555" s="30"/>
      <c r="O555" s="30"/>
    </row>
    <row r="556">
      <c r="N556" s="30"/>
      <c r="O556" s="30"/>
    </row>
    <row r="557">
      <c r="N557" s="30"/>
      <c r="O557" s="30"/>
    </row>
    <row r="558">
      <c r="N558" s="30"/>
      <c r="O558" s="30"/>
    </row>
    <row r="559">
      <c r="N559" s="30"/>
      <c r="O559" s="30"/>
    </row>
    <row r="560">
      <c r="N560" s="30"/>
      <c r="O560" s="30"/>
    </row>
    <row r="561">
      <c r="N561" s="30"/>
      <c r="O561" s="30"/>
    </row>
    <row r="562">
      <c r="N562" s="30"/>
      <c r="O562" s="30"/>
    </row>
    <row r="563">
      <c r="N563" s="30"/>
      <c r="O563" s="30"/>
    </row>
    <row r="564">
      <c r="N564" s="30"/>
      <c r="O564" s="30"/>
    </row>
    <row r="565">
      <c r="N565" s="30"/>
      <c r="O565" s="30"/>
    </row>
    <row r="566">
      <c r="N566" s="30"/>
      <c r="O566" s="30"/>
    </row>
    <row r="567">
      <c r="N567" s="30"/>
      <c r="O567" s="30"/>
    </row>
    <row r="568">
      <c r="N568" s="30"/>
      <c r="O568" s="30"/>
    </row>
    <row r="569">
      <c r="N569" s="30"/>
      <c r="O569" s="30"/>
    </row>
    <row r="570">
      <c r="N570" s="30"/>
      <c r="O570" s="30"/>
    </row>
    <row r="571">
      <c r="N571" s="30"/>
      <c r="O571" s="30"/>
    </row>
    <row r="572">
      <c r="N572" s="30"/>
      <c r="O572" s="30"/>
    </row>
    <row r="573">
      <c r="N573" s="30"/>
      <c r="O573" s="30"/>
    </row>
    <row r="574">
      <c r="N574" s="30"/>
      <c r="O574" s="30"/>
    </row>
    <row r="575">
      <c r="N575" s="30"/>
      <c r="O575" s="30"/>
    </row>
    <row r="576">
      <c r="N576" s="30"/>
      <c r="O576" s="30"/>
    </row>
    <row r="577">
      <c r="N577" s="30"/>
      <c r="O577" s="30"/>
    </row>
    <row r="578">
      <c r="N578" s="30"/>
      <c r="O578" s="30"/>
    </row>
    <row r="579">
      <c r="N579" s="30"/>
      <c r="O579" s="30"/>
    </row>
    <row r="580">
      <c r="N580" s="30"/>
      <c r="O580" s="30"/>
    </row>
    <row r="581">
      <c r="N581" s="30"/>
      <c r="O581" s="30"/>
    </row>
    <row r="582">
      <c r="N582" s="30"/>
      <c r="O582" s="30"/>
    </row>
    <row r="583">
      <c r="N583" s="30"/>
      <c r="O583" s="30"/>
    </row>
    <row r="584">
      <c r="N584" s="30"/>
      <c r="O584" s="30"/>
    </row>
    <row r="585">
      <c r="N585" s="30"/>
      <c r="O585" s="30"/>
    </row>
    <row r="586">
      <c r="N586" s="30"/>
      <c r="O586" s="30"/>
    </row>
    <row r="587">
      <c r="N587" s="30"/>
      <c r="O587" s="30"/>
    </row>
    <row r="588">
      <c r="N588" s="30"/>
      <c r="O588" s="30"/>
    </row>
    <row r="589">
      <c r="N589" s="30"/>
      <c r="O589" s="30"/>
    </row>
    <row r="590">
      <c r="N590" s="30"/>
      <c r="O590" s="30"/>
    </row>
    <row r="591">
      <c r="N591" s="30"/>
      <c r="O591" s="30"/>
    </row>
    <row r="592">
      <c r="N592" s="30"/>
      <c r="O592" s="30"/>
    </row>
    <row r="593">
      <c r="N593" s="30"/>
      <c r="O593" s="30"/>
    </row>
    <row r="594">
      <c r="N594" s="30"/>
      <c r="O594" s="30"/>
    </row>
    <row r="595">
      <c r="N595" s="30"/>
      <c r="O595" s="30"/>
    </row>
    <row r="596">
      <c r="N596" s="30"/>
      <c r="O596" s="30"/>
    </row>
    <row r="597">
      <c r="N597" s="30"/>
      <c r="O597" s="30"/>
    </row>
    <row r="598">
      <c r="N598" s="30"/>
      <c r="O598" s="30"/>
    </row>
    <row r="599">
      <c r="N599" s="30"/>
      <c r="O599" s="30"/>
    </row>
    <row r="600">
      <c r="N600" s="30"/>
      <c r="O600" s="30"/>
    </row>
    <row r="601">
      <c r="N601" s="30"/>
      <c r="O601" s="30"/>
    </row>
    <row r="602">
      <c r="N602" s="30"/>
      <c r="O602" s="30"/>
    </row>
    <row r="603">
      <c r="N603" s="30"/>
      <c r="O603" s="30"/>
    </row>
    <row r="604">
      <c r="N604" s="30"/>
      <c r="O604" s="30"/>
    </row>
    <row r="605">
      <c r="N605" s="30"/>
      <c r="O605" s="30"/>
    </row>
    <row r="606">
      <c r="N606" s="30"/>
      <c r="O606" s="30"/>
    </row>
    <row r="607">
      <c r="N607" s="30"/>
      <c r="O607" s="30"/>
    </row>
    <row r="608">
      <c r="N608" s="30"/>
      <c r="O608" s="30"/>
    </row>
    <row r="609">
      <c r="N609" s="30"/>
      <c r="O609" s="30"/>
    </row>
    <row r="610">
      <c r="N610" s="30"/>
      <c r="O610" s="30"/>
    </row>
    <row r="611">
      <c r="N611" s="30"/>
      <c r="O611" s="30"/>
    </row>
    <row r="612">
      <c r="N612" s="30"/>
      <c r="O612" s="30"/>
    </row>
    <row r="613">
      <c r="N613" s="30"/>
      <c r="O613" s="30"/>
    </row>
    <row r="614">
      <c r="N614" s="30"/>
      <c r="O614" s="30"/>
    </row>
    <row r="615">
      <c r="N615" s="30"/>
      <c r="O615" s="30"/>
    </row>
    <row r="616">
      <c r="N616" s="30"/>
      <c r="O616" s="30"/>
    </row>
    <row r="617">
      <c r="N617" s="30"/>
      <c r="O617" s="30"/>
    </row>
    <row r="618">
      <c r="N618" s="30"/>
      <c r="O618" s="30"/>
    </row>
    <row r="619">
      <c r="N619" s="30"/>
      <c r="O619" s="30"/>
    </row>
    <row r="620">
      <c r="N620" s="30"/>
      <c r="O620" s="30"/>
    </row>
    <row r="621">
      <c r="N621" s="30"/>
      <c r="O621" s="30"/>
    </row>
    <row r="622">
      <c r="N622" s="30"/>
      <c r="O622" s="30"/>
    </row>
    <row r="623">
      <c r="N623" s="30"/>
      <c r="O623" s="30"/>
    </row>
    <row r="624">
      <c r="N624" s="30"/>
      <c r="O624" s="30"/>
    </row>
    <row r="625">
      <c r="N625" s="30"/>
      <c r="O625" s="30"/>
    </row>
    <row r="626">
      <c r="N626" s="30"/>
      <c r="O626" s="30"/>
    </row>
    <row r="627">
      <c r="N627" s="30"/>
      <c r="O627" s="30"/>
    </row>
    <row r="628">
      <c r="N628" s="30"/>
      <c r="O628" s="30"/>
    </row>
    <row r="629">
      <c r="N629" s="30"/>
      <c r="O629" s="30"/>
    </row>
    <row r="630">
      <c r="N630" s="30"/>
      <c r="O630" s="30"/>
    </row>
    <row r="631">
      <c r="N631" s="30"/>
      <c r="O631" s="30"/>
    </row>
    <row r="632">
      <c r="N632" s="30"/>
      <c r="O632" s="30"/>
    </row>
    <row r="633">
      <c r="N633" s="30"/>
      <c r="O633" s="30"/>
    </row>
    <row r="634">
      <c r="N634" s="30"/>
      <c r="O634" s="30"/>
    </row>
    <row r="635">
      <c r="N635" s="30"/>
      <c r="O635" s="30"/>
    </row>
    <row r="636">
      <c r="N636" s="30"/>
      <c r="O636" s="30"/>
    </row>
    <row r="637">
      <c r="N637" s="30"/>
      <c r="O637" s="30"/>
    </row>
    <row r="638">
      <c r="N638" s="30"/>
      <c r="O638" s="30"/>
    </row>
    <row r="639">
      <c r="N639" s="30"/>
      <c r="O639" s="30"/>
    </row>
    <row r="640">
      <c r="N640" s="30"/>
      <c r="O640" s="30"/>
    </row>
    <row r="641">
      <c r="N641" s="30"/>
      <c r="O641" s="30"/>
    </row>
    <row r="642">
      <c r="N642" s="30"/>
      <c r="O642" s="30"/>
    </row>
    <row r="643">
      <c r="N643" s="30"/>
      <c r="O643" s="30"/>
    </row>
    <row r="644">
      <c r="N644" s="30"/>
      <c r="O644" s="30"/>
    </row>
    <row r="645">
      <c r="N645" s="30"/>
      <c r="O645" s="30"/>
    </row>
    <row r="646">
      <c r="N646" s="30"/>
      <c r="O646" s="30"/>
    </row>
    <row r="647">
      <c r="N647" s="30"/>
      <c r="O647" s="30"/>
    </row>
    <row r="648">
      <c r="N648" s="30"/>
      <c r="O648" s="30"/>
    </row>
    <row r="649">
      <c r="N649" s="30"/>
      <c r="O649" s="30"/>
    </row>
    <row r="650">
      <c r="N650" s="30"/>
      <c r="O650" s="30"/>
    </row>
    <row r="651">
      <c r="N651" s="30"/>
      <c r="O651" s="30"/>
    </row>
    <row r="652">
      <c r="N652" s="30"/>
      <c r="O652" s="30"/>
    </row>
    <row r="653">
      <c r="N653" s="30"/>
      <c r="O653" s="30"/>
    </row>
    <row r="654">
      <c r="N654" s="30"/>
      <c r="O654" s="30"/>
    </row>
    <row r="655">
      <c r="N655" s="30"/>
      <c r="O655" s="30"/>
    </row>
    <row r="656">
      <c r="N656" s="30"/>
      <c r="O656" s="30"/>
    </row>
    <row r="657">
      <c r="N657" s="30"/>
      <c r="O657" s="30"/>
    </row>
    <row r="658">
      <c r="N658" s="30"/>
      <c r="O658" s="30"/>
    </row>
    <row r="659">
      <c r="N659" s="30"/>
      <c r="O659" s="30"/>
    </row>
    <row r="660">
      <c r="N660" s="30"/>
      <c r="O660" s="30"/>
    </row>
    <row r="661">
      <c r="N661" s="30"/>
      <c r="O661" s="30"/>
    </row>
    <row r="662">
      <c r="N662" s="30"/>
      <c r="O662" s="30"/>
    </row>
    <row r="663">
      <c r="N663" s="30"/>
      <c r="O663" s="30"/>
    </row>
    <row r="664">
      <c r="N664" s="30"/>
      <c r="O664" s="30"/>
    </row>
    <row r="665">
      <c r="N665" s="30"/>
      <c r="O665" s="30"/>
    </row>
    <row r="666">
      <c r="N666" s="30"/>
      <c r="O666" s="30"/>
    </row>
    <row r="667">
      <c r="N667" s="30"/>
      <c r="O667" s="30"/>
    </row>
    <row r="668">
      <c r="N668" s="30"/>
      <c r="O668" s="30"/>
    </row>
    <row r="669">
      <c r="N669" s="30"/>
      <c r="O669" s="30"/>
    </row>
    <row r="670">
      <c r="N670" s="30"/>
      <c r="O670" s="30"/>
    </row>
    <row r="671">
      <c r="N671" s="30"/>
      <c r="O671" s="30"/>
    </row>
    <row r="672">
      <c r="N672" s="30"/>
      <c r="O672" s="30"/>
    </row>
    <row r="673">
      <c r="N673" s="30"/>
      <c r="O673" s="30"/>
    </row>
    <row r="674">
      <c r="N674" s="30"/>
      <c r="O674" s="30"/>
    </row>
    <row r="675">
      <c r="N675" s="30"/>
      <c r="O675" s="30"/>
    </row>
    <row r="676">
      <c r="N676" s="30"/>
      <c r="O676" s="30"/>
    </row>
    <row r="677">
      <c r="N677" s="30"/>
      <c r="O677" s="30"/>
    </row>
    <row r="678">
      <c r="N678" s="30"/>
      <c r="O678" s="30"/>
    </row>
    <row r="679">
      <c r="N679" s="30"/>
      <c r="O679" s="30"/>
    </row>
    <row r="680">
      <c r="N680" s="30"/>
      <c r="O680" s="30"/>
    </row>
    <row r="681">
      <c r="N681" s="30"/>
      <c r="O681" s="30"/>
    </row>
    <row r="682">
      <c r="N682" s="30"/>
      <c r="O682" s="30"/>
    </row>
    <row r="683">
      <c r="N683" s="30"/>
      <c r="O683" s="30"/>
    </row>
    <row r="684">
      <c r="N684" s="30"/>
      <c r="O684" s="30"/>
    </row>
    <row r="685">
      <c r="N685" s="30"/>
      <c r="O685" s="30"/>
    </row>
    <row r="686">
      <c r="N686" s="30"/>
      <c r="O686" s="30"/>
    </row>
    <row r="687">
      <c r="N687" s="30"/>
      <c r="O687" s="30"/>
    </row>
    <row r="688">
      <c r="N688" s="30"/>
      <c r="O688" s="30"/>
    </row>
    <row r="689">
      <c r="N689" s="30"/>
      <c r="O689" s="30"/>
    </row>
    <row r="690">
      <c r="N690" s="30"/>
      <c r="O690" s="30"/>
    </row>
    <row r="691">
      <c r="N691" s="30"/>
      <c r="O691" s="30"/>
    </row>
    <row r="692">
      <c r="N692" s="30"/>
      <c r="O692" s="30"/>
    </row>
    <row r="693">
      <c r="N693" s="30"/>
      <c r="O693" s="30"/>
    </row>
    <row r="694">
      <c r="N694" s="30"/>
      <c r="O694" s="30"/>
    </row>
    <row r="695">
      <c r="N695" s="30"/>
      <c r="O695" s="30"/>
    </row>
    <row r="696">
      <c r="N696" s="30"/>
      <c r="O696" s="30"/>
    </row>
    <row r="697">
      <c r="N697" s="30"/>
      <c r="O697" s="30"/>
    </row>
    <row r="698">
      <c r="N698" s="30"/>
      <c r="O698" s="30"/>
    </row>
    <row r="699">
      <c r="N699" s="30"/>
      <c r="O699" s="30"/>
    </row>
    <row r="700">
      <c r="N700" s="30"/>
      <c r="O700" s="30"/>
    </row>
    <row r="701">
      <c r="N701" s="30"/>
      <c r="O701" s="30"/>
    </row>
    <row r="702">
      <c r="N702" s="30"/>
      <c r="O702" s="30"/>
    </row>
    <row r="703">
      <c r="N703" s="30"/>
      <c r="O703" s="30"/>
    </row>
    <row r="704">
      <c r="N704" s="30"/>
      <c r="O704" s="30"/>
    </row>
    <row r="705">
      <c r="N705" s="30"/>
      <c r="O705" s="30"/>
    </row>
    <row r="706">
      <c r="N706" s="30"/>
      <c r="O706" s="30"/>
    </row>
    <row r="707">
      <c r="N707" s="30"/>
      <c r="O707" s="30"/>
    </row>
    <row r="708">
      <c r="N708" s="30"/>
      <c r="O708" s="30"/>
    </row>
    <row r="709">
      <c r="N709" s="30"/>
      <c r="O709" s="30"/>
    </row>
    <row r="710">
      <c r="N710" s="30"/>
      <c r="O710" s="30"/>
    </row>
    <row r="711">
      <c r="N711" s="30"/>
      <c r="O711" s="30"/>
    </row>
    <row r="712">
      <c r="N712" s="30"/>
      <c r="O712" s="30"/>
    </row>
    <row r="713">
      <c r="N713" s="30"/>
      <c r="O713" s="30"/>
    </row>
    <row r="714">
      <c r="N714" s="30"/>
      <c r="O714" s="30"/>
    </row>
    <row r="715">
      <c r="N715" s="30"/>
      <c r="O715" s="30"/>
    </row>
    <row r="716">
      <c r="N716" s="30"/>
      <c r="O716" s="30"/>
    </row>
    <row r="717">
      <c r="N717" s="30"/>
      <c r="O717" s="30"/>
    </row>
    <row r="718">
      <c r="N718" s="30"/>
      <c r="O718" s="30"/>
    </row>
    <row r="719">
      <c r="N719" s="30"/>
      <c r="O719" s="30"/>
    </row>
    <row r="720">
      <c r="N720" s="30"/>
      <c r="O720" s="30"/>
    </row>
    <row r="721">
      <c r="N721" s="30"/>
      <c r="O721" s="30"/>
    </row>
    <row r="722">
      <c r="N722" s="30"/>
      <c r="O722" s="30"/>
    </row>
    <row r="723">
      <c r="N723" s="30"/>
      <c r="O723" s="30"/>
    </row>
    <row r="724">
      <c r="N724" s="30"/>
      <c r="O724" s="30"/>
    </row>
    <row r="725">
      <c r="N725" s="30"/>
      <c r="O725" s="30"/>
    </row>
    <row r="726">
      <c r="N726" s="30"/>
      <c r="O726" s="30"/>
    </row>
    <row r="727">
      <c r="N727" s="30"/>
      <c r="O727" s="30"/>
    </row>
    <row r="728">
      <c r="N728" s="30"/>
      <c r="O728" s="30"/>
    </row>
    <row r="729">
      <c r="N729" s="30"/>
      <c r="O729" s="30"/>
    </row>
    <row r="730">
      <c r="N730" s="30"/>
      <c r="O730" s="30"/>
    </row>
    <row r="731">
      <c r="N731" s="30"/>
      <c r="O731" s="30"/>
    </row>
    <row r="732">
      <c r="N732" s="30"/>
      <c r="O732" s="30"/>
    </row>
    <row r="733">
      <c r="N733" s="30"/>
      <c r="O733" s="30"/>
    </row>
    <row r="734">
      <c r="N734" s="30"/>
      <c r="O734" s="30"/>
    </row>
    <row r="735">
      <c r="N735" s="30"/>
      <c r="O735" s="30"/>
    </row>
    <row r="736">
      <c r="N736" s="30"/>
      <c r="O736" s="30"/>
    </row>
    <row r="737">
      <c r="N737" s="30"/>
      <c r="O737" s="30"/>
    </row>
    <row r="738">
      <c r="N738" s="30"/>
      <c r="O738" s="30"/>
    </row>
    <row r="739">
      <c r="N739" s="30"/>
      <c r="O739" s="30"/>
    </row>
    <row r="740">
      <c r="N740" s="30"/>
      <c r="O740" s="30"/>
    </row>
    <row r="741">
      <c r="N741" s="30"/>
      <c r="O741" s="30"/>
    </row>
    <row r="742">
      <c r="N742" s="30"/>
      <c r="O742" s="30"/>
    </row>
    <row r="743">
      <c r="N743" s="30"/>
      <c r="O743" s="30"/>
    </row>
    <row r="744">
      <c r="N744" s="30"/>
      <c r="O744" s="30"/>
    </row>
    <row r="745">
      <c r="N745" s="30"/>
      <c r="O745" s="30"/>
    </row>
    <row r="746">
      <c r="N746" s="30"/>
      <c r="O746" s="30"/>
    </row>
    <row r="747">
      <c r="N747" s="30"/>
      <c r="O747" s="30"/>
    </row>
    <row r="748">
      <c r="N748" s="30"/>
      <c r="O748" s="30"/>
    </row>
    <row r="749">
      <c r="N749" s="30"/>
      <c r="O749" s="30"/>
    </row>
    <row r="750">
      <c r="N750" s="30"/>
      <c r="O750" s="30"/>
    </row>
    <row r="751">
      <c r="N751" s="30"/>
      <c r="O751" s="30"/>
    </row>
    <row r="752">
      <c r="N752" s="30"/>
      <c r="O752" s="30"/>
    </row>
    <row r="753">
      <c r="N753" s="30"/>
      <c r="O753" s="30"/>
    </row>
    <row r="754">
      <c r="N754" s="30"/>
      <c r="O754" s="30"/>
    </row>
    <row r="755">
      <c r="N755" s="30"/>
      <c r="O755" s="30"/>
    </row>
    <row r="756">
      <c r="N756" s="30"/>
      <c r="O756" s="30"/>
    </row>
    <row r="757">
      <c r="N757" s="30"/>
      <c r="O757" s="30"/>
    </row>
    <row r="758">
      <c r="N758" s="30"/>
      <c r="O758" s="30"/>
    </row>
    <row r="759">
      <c r="N759" s="30"/>
      <c r="O759" s="30"/>
    </row>
    <row r="760">
      <c r="N760" s="30"/>
      <c r="O760" s="30"/>
    </row>
    <row r="761">
      <c r="N761" s="30"/>
      <c r="O761" s="30"/>
    </row>
    <row r="762">
      <c r="N762" s="30"/>
      <c r="O762" s="30"/>
    </row>
    <row r="763">
      <c r="N763" s="30"/>
      <c r="O763" s="30"/>
    </row>
    <row r="764">
      <c r="N764" s="30"/>
      <c r="O764" s="30"/>
    </row>
    <row r="765">
      <c r="N765" s="30"/>
      <c r="O765" s="30"/>
    </row>
    <row r="766">
      <c r="N766" s="30"/>
      <c r="O766" s="30"/>
    </row>
    <row r="767">
      <c r="N767" s="30"/>
      <c r="O767" s="30"/>
    </row>
    <row r="768">
      <c r="N768" s="30"/>
      <c r="O768" s="30"/>
    </row>
    <row r="769">
      <c r="N769" s="30"/>
      <c r="O769" s="30"/>
    </row>
    <row r="770">
      <c r="N770" s="30"/>
      <c r="O770" s="30"/>
    </row>
    <row r="771">
      <c r="N771" s="30"/>
      <c r="O771" s="30"/>
    </row>
    <row r="772">
      <c r="N772" s="30"/>
      <c r="O772" s="30"/>
    </row>
    <row r="773">
      <c r="N773" s="30"/>
      <c r="O773" s="30"/>
    </row>
    <row r="774">
      <c r="N774" s="30"/>
      <c r="O774" s="30"/>
    </row>
    <row r="775">
      <c r="N775" s="30"/>
      <c r="O775" s="30"/>
    </row>
    <row r="776">
      <c r="N776" s="30"/>
      <c r="O776" s="30"/>
    </row>
    <row r="777">
      <c r="N777" s="30"/>
      <c r="O777" s="30"/>
    </row>
    <row r="778">
      <c r="N778" s="30"/>
      <c r="O778" s="30"/>
    </row>
    <row r="779">
      <c r="N779" s="30"/>
      <c r="O779" s="30"/>
    </row>
    <row r="780">
      <c r="N780" s="30"/>
      <c r="O780" s="30"/>
    </row>
    <row r="781">
      <c r="N781" s="30"/>
      <c r="O781" s="30"/>
    </row>
    <row r="782">
      <c r="N782" s="30"/>
      <c r="O782" s="30"/>
    </row>
    <row r="783">
      <c r="N783" s="30"/>
      <c r="O783" s="30"/>
    </row>
    <row r="784">
      <c r="N784" s="30"/>
      <c r="O784" s="30"/>
    </row>
    <row r="785">
      <c r="N785" s="30"/>
      <c r="O785" s="30"/>
    </row>
    <row r="786">
      <c r="N786" s="30"/>
      <c r="O786" s="30"/>
    </row>
    <row r="787">
      <c r="N787" s="30"/>
      <c r="O787" s="30"/>
    </row>
    <row r="788">
      <c r="N788" s="30"/>
      <c r="O788" s="30"/>
    </row>
    <row r="789">
      <c r="N789" s="30"/>
      <c r="O789" s="30"/>
    </row>
    <row r="790">
      <c r="N790" s="30"/>
      <c r="O790" s="30"/>
    </row>
    <row r="791">
      <c r="N791" s="30"/>
      <c r="O791" s="30"/>
    </row>
    <row r="792">
      <c r="N792" s="30"/>
      <c r="O792" s="30"/>
    </row>
    <row r="793">
      <c r="N793" s="30"/>
      <c r="O793" s="30"/>
    </row>
    <row r="794">
      <c r="N794" s="30"/>
      <c r="O794" s="30"/>
    </row>
    <row r="795">
      <c r="N795" s="30"/>
      <c r="O795" s="30"/>
    </row>
    <row r="796">
      <c r="N796" s="30"/>
      <c r="O796" s="30"/>
    </row>
    <row r="797">
      <c r="N797" s="30"/>
      <c r="O797" s="30"/>
    </row>
    <row r="798">
      <c r="N798" s="30"/>
      <c r="O798" s="30"/>
    </row>
    <row r="799">
      <c r="N799" s="30"/>
      <c r="O799" s="30"/>
    </row>
    <row r="800">
      <c r="N800" s="30"/>
      <c r="O800" s="30"/>
    </row>
    <row r="801">
      <c r="N801" s="30"/>
      <c r="O801" s="30"/>
    </row>
    <row r="802">
      <c r="N802" s="30"/>
      <c r="O802" s="30"/>
    </row>
    <row r="803">
      <c r="N803" s="30"/>
      <c r="O803" s="30"/>
    </row>
    <row r="804">
      <c r="N804" s="30"/>
      <c r="O804" s="30"/>
    </row>
    <row r="805">
      <c r="N805" s="30"/>
      <c r="O805" s="30"/>
    </row>
    <row r="806">
      <c r="N806" s="30"/>
      <c r="O806" s="30"/>
    </row>
    <row r="807">
      <c r="N807" s="30"/>
      <c r="O807" s="30"/>
    </row>
    <row r="808">
      <c r="N808" s="30"/>
      <c r="O808" s="30"/>
    </row>
    <row r="809">
      <c r="N809" s="30"/>
      <c r="O809" s="30"/>
    </row>
    <row r="810">
      <c r="N810" s="30"/>
      <c r="O810" s="30"/>
    </row>
    <row r="811">
      <c r="N811" s="30"/>
      <c r="O811" s="30"/>
    </row>
    <row r="812">
      <c r="N812" s="30"/>
      <c r="O812" s="30"/>
    </row>
    <row r="813">
      <c r="N813" s="30"/>
      <c r="O813" s="30"/>
    </row>
    <row r="814">
      <c r="N814" s="30"/>
      <c r="O814" s="30"/>
    </row>
    <row r="815">
      <c r="N815" s="30"/>
      <c r="O815" s="30"/>
    </row>
    <row r="816">
      <c r="N816" s="30"/>
      <c r="O816" s="30"/>
    </row>
    <row r="817">
      <c r="N817" s="30"/>
      <c r="O817" s="30"/>
    </row>
    <row r="818">
      <c r="N818" s="30"/>
      <c r="O818" s="30"/>
    </row>
    <row r="819">
      <c r="N819" s="30"/>
      <c r="O819" s="30"/>
    </row>
    <row r="820">
      <c r="N820" s="30"/>
      <c r="O820" s="30"/>
    </row>
    <row r="821">
      <c r="N821" s="30"/>
      <c r="O821" s="30"/>
    </row>
    <row r="822">
      <c r="N822" s="30"/>
      <c r="O822" s="30"/>
    </row>
    <row r="823">
      <c r="N823" s="30"/>
      <c r="O823" s="30"/>
    </row>
    <row r="824">
      <c r="N824" s="30"/>
      <c r="O824" s="30"/>
    </row>
    <row r="825">
      <c r="N825" s="30"/>
      <c r="O825" s="30"/>
    </row>
    <row r="826">
      <c r="N826" s="30"/>
      <c r="O826" s="30"/>
    </row>
    <row r="827">
      <c r="N827" s="30"/>
      <c r="O827" s="30"/>
    </row>
    <row r="828">
      <c r="N828" s="30"/>
      <c r="O828" s="30"/>
    </row>
    <row r="829">
      <c r="N829" s="30"/>
      <c r="O829" s="30"/>
    </row>
    <row r="830">
      <c r="N830" s="30"/>
      <c r="O830" s="30"/>
    </row>
    <row r="831">
      <c r="N831" s="30"/>
      <c r="O831" s="30"/>
    </row>
    <row r="832">
      <c r="N832" s="30"/>
      <c r="O832" s="30"/>
    </row>
    <row r="833">
      <c r="N833" s="30"/>
      <c r="O833" s="30"/>
    </row>
    <row r="834">
      <c r="N834" s="30"/>
      <c r="O834" s="30"/>
    </row>
    <row r="835">
      <c r="N835" s="30"/>
      <c r="O835" s="30"/>
    </row>
    <row r="836">
      <c r="N836" s="30"/>
      <c r="O836" s="30"/>
    </row>
    <row r="837">
      <c r="N837" s="30"/>
      <c r="O837" s="30"/>
    </row>
    <row r="838">
      <c r="N838" s="30"/>
      <c r="O838" s="30"/>
    </row>
    <row r="839">
      <c r="N839" s="30"/>
      <c r="O839" s="30"/>
    </row>
    <row r="840">
      <c r="N840" s="30"/>
      <c r="O840" s="30"/>
    </row>
    <row r="841">
      <c r="N841" s="30"/>
      <c r="O841" s="30"/>
    </row>
    <row r="842">
      <c r="N842" s="30"/>
      <c r="O842" s="30"/>
    </row>
    <row r="843">
      <c r="N843" s="30"/>
      <c r="O843" s="30"/>
    </row>
    <row r="844">
      <c r="N844" s="30"/>
      <c r="O844" s="30"/>
    </row>
    <row r="845">
      <c r="N845" s="30"/>
      <c r="O845" s="30"/>
    </row>
    <row r="846">
      <c r="N846" s="30"/>
      <c r="O846" s="30"/>
    </row>
    <row r="847">
      <c r="N847" s="30"/>
      <c r="O847" s="30"/>
    </row>
    <row r="848">
      <c r="N848" s="30"/>
      <c r="O848" s="30"/>
    </row>
    <row r="849">
      <c r="N849" s="30"/>
      <c r="O849" s="30"/>
    </row>
    <row r="850">
      <c r="N850" s="30"/>
      <c r="O850" s="30"/>
    </row>
    <row r="851">
      <c r="N851" s="30"/>
      <c r="O851" s="30"/>
    </row>
    <row r="852">
      <c r="N852" s="30"/>
      <c r="O852" s="30"/>
    </row>
    <row r="853">
      <c r="N853" s="30"/>
      <c r="O853" s="30"/>
    </row>
    <row r="854">
      <c r="N854" s="30"/>
      <c r="O854" s="30"/>
    </row>
    <row r="855">
      <c r="N855" s="30"/>
      <c r="O855" s="30"/>
    </row>
    <row r="856">
      <c r="N856" s="30"/>
      <c r="O856" s="30"/>
    </row>
    <row r="857">
      <c r="N857" s="30"/>
      <c r="O857" s="30"/>
    </row>
    <row r="858">
      <c r="N858" s="30"/>
      <c r="O858" s="30"/>
    </row>
    <row r="859">
      <c r="N859" s="30"/>
      <c r="O859" s="30"/>
    </row>
    <row r="860">
      <c r="N860" s="30"/>
      <c r="O860" s="30"/>
    </row>
    <row r="861">
      <c r="N861" s="30"/>
      <c r="O861" s="30"/>
    </row>
    <row r="862">
      <c r="N862" s="30"/>
      <c r="O862" s="30"/>
    </row>
    <row r="863">
      <c r="N863" s="30"/>
      <c r="O863" s="30"/>
    </row>
    <row r="864">
      <c r="N864" s="30"/>
      <c r="O864" s="30"/>
    </row>
    <row r="865">
      <c r="N865" s="30"/>
      <c r="O865" s="30"/>
    </row>
    <row r="866">
      <c r="N866" s="30"/>
      <c r="O866" s="30"/>
    </row>
    <row r="867">
      <c r="N867" s="30"/>
      <c r="O867" s="30"/>
    </row>
    <row r="868">
      <c r="N868" s="30"/>
      <c r="O868" s="30"/>
    </row>
    <row r="869">
      <c r="N869" s="30"/>
      <c r="O869" s="30"/>
    </row>
    <row r="870">
      <c r="N870" s="30"/>
      <c r="O870" s="30"/>
    </row>
    <row r="871">
      <c r="N871" s="30"/>
      <c r="O871" s="30"/>
    </row>
    <row r="872">
      <c r="N872" s="30"/>
      <c r="O872" s="30"/>
    </row>
    <row r="873">
      <c r="N873" s="30"/>
      <c r="O873" s="30"/>
    </row>
    <row r="874">
      <c r="N874" s="30"/>
      <c r="O874" s="30"/>
    </row>
    <row r="875">
      <c r="N875" s="30"/>
      <c r="O875" s="30"/>
    </row>
    <row r="876">
      <c r="N876" s="30"/>
      <c r="O876" s="30"/>
    </row>
    <row r="877">
      <c r="N877" s="30"/>
      <c r="O877" s="30"/>
    </row>
    <row r="878">
      <c r="N878" s="30"/>
      <c r="O878" s="30"/>
    </row>
    <row r="879">
      <c r="N879" s="30"/>
      <c r="O879" s="30"/>
    </row>
    <row r="880">
      <c r="N880" s="30"/>
      <c r="O880" s="30"/>
    </row>
    <row r="881">
      <c r="N881" s="30"/>
      <c r="O881" s="30"/>
    </row>
    <row r="882">
      <c r="N882" s="30"/>
      <c r="O882" s="30"/>
    </row>
    <row r="883">
      <c r="N883" s="30"/>
      <c r="O883" s="30"/>
    </row>
    <row r="884">
      <c r="N884" s="30"/>
      <c r="O884" s="30"/>
    </row>
    <row r="885">
      <c r="N885" s="30"/>
      <c r="O885" s="30"/>
    </row>
    <row r="886">
      <c r="N886" s="30"/>
      <c r="O886" s="30"/>
    </row>
    <row r="887">
      <c r="N887" s="30"/>
      <c r="O887" s="30"/>
    </row>
    <row r="888">
      <c r="N888" s="30"/>
      <c r="O888" s="30"/>
    </row>
    <row r="889">
      <c r="N889" s="30"/>
      <c r="O889" s="30"/>
    </row>
    <row r="890">
      <c r="N890" s="30"/>
      <c r="O890" s="30"/>
    </row>
    <row r="891">
      <c r="N891" s="30"/>
      <c r="O891" s="30"/>
    </row>
    <row r="892">
      <c r="N892" s="30"/>
      <c r="O892" s="30"/>
    </row>
    <row r="893">
      <c r="N893" s="30"/>
      <c r="O893" s="30"/>
    </row>
    <row r="894">
      <c r="N894" s="30"/>
      <c r="O894" s="30"/>
    </row>
    <row r="895">
      <c r="N895" s="30"/>
      <c r="O895" s="30"/>
    </row>
    <row r="896">
      <c r="N896" s="30"/>
      <c r="O896" s="30"/>
    </row>
    <row r="897">
      <c r="N897" s="30"/>
      <c r="O897" s="30"/>
    </row>
    <row r="898">
      <c r="N898" s="30"/>
      <c r="O898" s="30"/>
    </row>
    <row r="899">
      <c r="N899" s="30"/>
      <c r="O899" s="30"/>
    </row>
    <row r="900">
      <c r="N900" s="30"/>
      <c r="O900" s="30"/>
    </row>
    <row r="901">
      <c r="N901" s="30"/>
      <c r="O901" s="30"/>
    </row>
    <row r="902">
      <c r="N902" s="30"/>
      <c r="O902" s="30"/>
    </row>
    <row r="903">
      <c r="N903" s="30"/>
      <c r="O903" s="30"/>
    </row>
    <row r="904">
      <c r="N904" s="30"/>
      <c r="O904" s="30"/>
    </row>
    <row r="905">
      <c r="N905" s="30"/>
      <c r="O905" s="30"/>
    </row>
    <row r="906">
      <c r="N906" s="30"/>
      <c r="O906" s="30"/>
    </row>
    <row r="907">
      <c r="N907" s="30"/>
      <c r="O907" s="30"/>
    </row>
    <row r="908">
      <c r="N908" s="30"/>
      <c r="O908" s="30"/>
    </row>
    <row r="909">
      <c r="N909" s="30"/>
      <c r="O909" s="30"/>
    </row>
    <row r="910">
      <c r="N910" s="30"/>
      <c r="O910" s="30"/>
    </row>
    <row r="911">
      <c r="N911" s="30"/>
      <c r="O911" s="30"/>
    </row>
    <row r="912">
      <c r="N912" s="30"/>
      <c r="O912" s="30"/>
    </row>
    <row r="913">
      <c r="N913" s="30"/>
      <c r="O913" s="30"/>
    </row>
    <row r="914">
      <c r="N914" s="30"/>
      <c r="O914" s="30"/>
    </row>
    <row r="915">
      <c r="N915" s="30"/>
      <c r="O915" s="30"/>
    </row>
    <row r="916">
      <c r="N916" s="30"/>
      <c r="O916" s="30"/>
    </row>
    <row r="917">
      <c r="N917" s="30"/>
      <c r="O917" s="30"/>
    </row>
    <row r="918">
      <c r="N918" s="30"/>
      <c r="O918" s="30"/>
    </row>
    <row r="919">
      <c r="N919" s="30"/>
      <c r="O919" s="30"/>
    </row>
    <row r="920">
      <c r="N920" s="30"/>
      <c r="O920" s="30"/>
    </row>
    <row r="921">
      <c r="N921" s="30"/>
      <c r="O921" s="30"/>
    </row>
    <row r="922">
      <c r="N922" s="30"/>
      <c r="O922" s="30"/>
    </row>
    <row r="923">
      <c r="N923" s="30"/>
      <c r="O923" s="30"/>
    </row>
    <row r="924">
      <c r="N924" s="30"/>
      <c r="O924" s="30"/>
    </row>
    <row r="925">
      <c r="N925" s="30"/>
      <c r="O925" s="30"/>
    </row>
    <row r="926">
      <c r="N926" s="30"/>
      <c r="O926" s="30"/>
    </row>
    <row r="927">
      <c r="N927" s="30"/>
      <c r="O927" s="30"/>
    </row>
    <row r="928">
      <c r="N928" s="30"/>
      <c r="O928" s="30"/>
    </row>
    <row r="929">
      <c r="N929" s="30"/>
      <c r="O929" s="30"/>
    </row>
    <row r="930">
      <c r="N930" s="30"/>
      <c r="O930" s="30"/>
    </row>
    <row r="931">
      <c r="N931" s="30"/>
      <c r="O931" s="30"/>
    </row>
    <row r="932">
      <c r="N932" s="30"/>
      <c r="O932" s="30"/>
    </row>
    <row r="933">
      <c r="N933" s="30"/>
      <c r="O933" s="30"/>
    </row>
    <row r="934">
      <c r="N934" s="30"/>
      <c r="O934" s="30"/>
    </row>
    <row r="935">
      <c r="N935" s="30"/>
      <c r="O935" s="30"/>
    </row>
    <row r="936">
      <c r="N936" s="30"/>
      <c r="O936" s="30"/>
    </row>
    <row r="937">
      <c r="N937" s="30"/>
      <c r="O937" s="30"/>
    </row>
    <row r="938">
      <c r="N938" s="30"/>
      <c r="O938" s="30"/>
    </row>
    <row r="939">
      <c r="N939" s="30"/>
      <c r="O939" s="30"/>
    </row>
    <row r="940">
      <c r="N940" s="30"/>
      <c r="O940" s="30"/>
    </row>
    <row r="941">
      <c r="N941" s="30"/>
      <c r="O941" s="30"/>
    </row>
    <row r="942">
      <c r="N942" s="30"/>
      <c r="O942" s="30"/>
    </row>
    <row r="943">
      <c r="N943" s="30"/>
      <c r="O943" s="30"/>
    </row>
    <row r="944">
      <c r="N944" s="30"/>
      <c r="O944" s="30"/>
    </row>
    <row r="945">
      <c r="N945" s="30"/>
      <c r="O945" s="30"/>
    </row>
    <row r="946">
      <c r="N946" s="30"/>
      <c r="O946" s="30"/>
    </row>
    <row r="947">
      <c r="N947" s="30"/>
      <c r="O947" s="30"/>
    </row>
    <row r="948">
      <c r="N948" s="30"/>
      <c r="O948" s="30"/>
    </row>
    <row r="949">
      <c r="N949" s="30"/>
      <c r="O949" s="30"/>
    </row>
    <row r="950">
      <c r="N950" s="30"/>
      <c r="O950" s="30"/>
    </row>
    <row r="951">
      <c r="N951" s="30"/>
      <c r="O951" s="30"/>
    </row>
    <row r="952">
      <c r="N952" s="30"/>
      <c r="O952" s="30"/>
    </row>
    <row r="953">
      <c r="N953" s="30"/>
      <c r="O953" s="30"/>
    </row>
    <row r="954">
      <c r="N954" s="30"/>
      <c r="O954" s="30"/>
    </row>
    <row r="955">
      <c r="N955" s="30"/>
      <c r="O955" s="30"/>
    </row>
    <row r="956">
      <c r="N956" s="30"/>
      <c r="O956" s="30"/>
    </row>
    <row r="957">
      <c r="N957" s="30"/>
      <c r="O957" s="30"/>
    </row>
    <row r="958">
      <c r="N958" s="30"/>
      <c r="O958" s="30"/>
    </row>
    <row r="959">
      <c r="N959" s="30"/>
      <c r="O959" s="30"/>
    </row>
    <row r="960">
      <c r="N960" s="30"/>
      <c r="O960" s="30"/>
    </row>
    <row r="961">
      <c r="N961" s="30"/>
      <c r="O961" s="30"/>
    </row>
    <row r="962">
      <c r="N962" s="30"/>
      <c r="O962" s="30"/>
    </row>
    <row r="963">
      <c r="N963" s="30"/>
      <c r="O963" s="30"/>
    </row>
    <row r="964">
      <c r="N964" s="30"/>
      <c r="O964" s="30"/>
    </row>
    <row r="965">
      <c r="N965" s="30"/>
      <c r="O965" s="30"/>
    </row>
    <row r="966">
      <c r="N966" s="30"/>
      <c r="O966" s="30"/>
    </row>
    <row r="967">
      <c r="N967" s="30"/>
      <c r="O967" s="30"/>
    </row>
    <row r="968">
      <c r="N968" s="30"/>
      <c r="O968" s="30"/>
    </row>
    <row r="969">
      <c r="N969" s="30"/>
      <c r="O969" s="30"/>
    </row>
    <row r="970">
      <c r="N970" s="30"/>
      <c r="O970" s="30"/>
    </row>
    <row r="971">
      <c r="N971" s="30"/>
      <c r="O971" s="30"/>
    </row>
    <row r="972">
      <c r="N972" s="30"/>
      <c r="O972" s="30"/>
    </row>
    <row r="973">
      <c r="N973" s="30"/>
      <c r="O973" s="30"/>
    </row>
    <row r="974">
      <c r="N974" s="30"/>
      <c r="O974" s="30"/>
    </row>
    <row r="975">
      <c r="N975" s="30"/>
      <c r="O975" s="30"/>
    </row>
    <row r="976">
      <c r="N976" s="30"/>
      <c r="O976" s="30"/>
    </row>
    <row r="977">
      <c r="N977" s="30"/>
      <c r="O977" s="30"/>
    </row>
    <row r="978">
      <c r="N978" s="30"/>
      <c r="O978" s="30"/>
    </row>
    <row r="979">
      <c r="N979" s="30"/>
      <c r="O979" s="30"/>
    </row>
    <row r="980">
      <c r="N980" s="30"/>
      <c r="O980" s="30"/>
    </row>
    <row r="981">
      <c r="N981" s="30"/>
      <c r="O981" s="30"/>
    </row>
    <row r="982">
      <c r="N982" s="30"/>
      <c r="O982" s="30"/>
    </row>
    <row r="983">
      <c r="N983" s="30"/>
      <c r="O983" s="30"/>
    </row>
    <row r="984">
      <c r="N984" s="30"/>
      <c r="O984" s="30"/>
    </row>
    <row r="985">
      <c r="N985" s="30"/>
      <c r="O985" s="30"/>
    </row>
    <row r="986">
      <c r="N986" s="30"/>
      <c r="O986" s="30"/>
    </row>
    <row r="987">
      <c r="N987" s="30"/>
      <c r="O987" s="30"/>
    </row>
    <row r="988">
      <c r="N988" s="30"/>
      <c r="O988" s="30"/>
    </row>
    <row r="989">
      <c r="N989" s="30"/>
      <c r="O989" s="30"/>
    </row>
    <row r="990">
      <c r="N990" s="30"/>
      <c r="O990" s="30"/>
    </row>
    <row r="991">
      <c r="N991" s="30"/>
      <c r="O991" s="30"/>
    </row>
    <row r="992">
      <c r="N992" s="30"/>
      <c r="O992" s="30"/>
    </row>
    <row r="993">
      <c r="N993" s="30"/>
      <c r="O993" s="30"/>
    </row>
    <row r="994">
      <c r="N994" s="30"/>
      <c r="O994" s="30"/>
    </row>
    <row r="995">
      <c r="N995" s="30"/>
      <c r="O995" s="30"/>
    </row>
    <row r="996">
      <c r="N996" s="30"/>
      <c r="O996" s="30"/>
    </row>
    <row r="997">
      <c r="N997" s="30"/>
      <c r="O997" s="30"/>
    </row>
    <row r="998">
      <c r="N998" s="30"/>
      <c r="O998" s="30"/>
    </row>
    <row r="999">
      <c r="N999" s="30"/>
      <c r="O999" s="30"/>
    </row>
    <row r="1000">
      <c r="N1000" s="30"/>
      <c r="O1000" s="30"/>
    </row>
    <row r="1001">
      <c r="N1001" s="30"/>
      <c r="O1001" s="30"/>
    </row>
  </sheetData>
  <dataValidations>
    <dataValidation type="list" allowBlank="1" showErrorMessage="1" sqref="N7 N9 N11 N13 N15 N17 N19 N21 N23 N25 N27 N29 N31 N33 N35 N37 N39 N41 N43 N45 N47 N49 N51 N53 N55 N57 N59 N61 N63 N65 N67 N69 N71 N73 N75 N77 N79 N81 N83 N85 N87 N89 N91 N93 N95 N97 N99 N101 N103 N105 N107 N109 N111 N113 N115 N117 N119 N121 N123 N125 N127 N129 N131 N133 N135 N137 N139 N141 N143 N145 N147 N149 N151 N153 N155 N157 N159 N161 N163 N165 N167 N169 N171 N173 N175 N177 N179 N181 N183 N185 N187 N189 N191">
      <formula1>"Solved,Unsolve"</formula1>
    </dataValidation>
    <dataValidation type="list" allowBlank="1" showErrorMessage="1" sqref="J7 J9 J11 J13 J15 J17 J19 J21 J23 J25 J27 J29 J31 J33 J35 J37 J39 J41 J43 J45 J47 J49 J51 J53 J55 J57 J59 J61 J63 J65 J67 J69 J71 J73 J75 J77 J79 J81 J83 J85 J87 J89 J91 J93 J95 J97 J99 J101 J103 J105 J107 J109 J111 J113 J115 J117 J119 J121 J123 J125 J127 J129 J131 J133 J135 J137 J139 J141 J143 J145 J147 J149 J151 J153 J155 J157 J159 J161 J163 J165 J167 J169 J171 J173 J175 J177 J179 J181 J183 J185 J187 J189 J191">
      <formula1>"Pass,Fail"</formula1>
    </dataValidation>
    <dataValidation type="list" allowBlank="1" showErrorMessage="1" sqref="K7 K9 K11 K13 K15 K17 K19 K21 K23 K25 K27 K29 K31 K33 K35 K37 K39 K41 K43 K45 K47 K49 K51 K53 K55 K57 K59 K61 K63 K65 K67 K69 K71 K73 K75 K77 K79 K81 K83 K85 K87 K89 K91 K93 K95 K97 K99 K101 K103 K105 K107 K109 K111 K113 K115 K117 K119 K121 K123 K125 K127 K129 K131 K133 K135 K137 K139 K141 K143 K145 K147 K149 K151 K153 K155 K157 K159 K161 K163 K165 K167 K169 K171 K173 K175 K177 K179 K181 K183 K185 K187 K189 K191">
      <formula1>"High,Medium,Low"</formula1>
    </dataValidation>
  </dataValidations>
  <hyperlinks>
    <hyperlink r:id="rId1" ref="L7"/>
    <hyperlink r:id="rId2" ref="L9"/>
    <hyperlink r:id="rId3" ref="L11"/>
    <hyperlink r:id="rId4" ref="L13"/>
    <hyperlink r:id="rId5" ref="L15"/>
    <hyperlink r:id="rId6" ref="L17"/>
    <hyperlink r:id="rId7" ref="L19"/>
    <hyperlink r:id="rId8" ref="L21"/>
    <hyperlink r:id="rId9" ref="L23"/>
    <hyperlink r:id="rId10" ref="L25"/>
    <hyperlink r:id="rId11" ref="L27"/>
    <hyperlink r:id="rId12" ref="L29"/>
    <hyperlink r:id="rId13" ref="L31"/>
    <hyperlink r:id="rId14" ref="L33"/>
    <hyperlink r:id="rId15" ref="L35"/>
    <hyperlink r:id="rId16" ref="L37"/>
    <hyperlink r:id="rId17" ref="L39"/>
    <hyperlink r:id="rId18" ref="L41"/>
    <hyperlink r:id="rId19" ref="L43"/>
    <hyperlink r:id="rId20" ref="L45"/>
    <hyperlink r:id="rId21" ref="L47"/>
    <hyperlink r:id="rId22" ref="L49"/>
    <hyperlink r:id="rId23" ref="L51"/>
    <hyperlink r:id="rId24" ref="L53"/>
    <hyperlink r:id="rId25" ref="L55"/>
    <hyperlink r:id="rId26" ref="L57"/>
    <hyperlink r:id="rId27" ref="L59"/>
    <hyperlink r:id="rId28" ref="L61"/>
    <hyperlink r:id="rId29" ref="L63"/>
    <hyperlink r:id="rId30" ref="L65"/>
    <hyperlink r:id="rId31" ref="L67"/>
    <hyperlink r:id="rId32" ref="L69"/>
    <hyperlink r:id="rId33" ref="L71"/>
    <hyperlink r:id="rId34" ref="L73"/>
    <hyperlink r:id="rId35" ref="L75"/>
    <hyperlink r:id="rId36" ref="L77"/>
    <hyperlink r:id="rId37" ref="L79"/>
    <hyperlink r:id="rId38" ref="L81"/>
    <hyperlink r:id="rId39" ref="L83"/>
    <hyperlink r:id="rId40" ref="L85"/>
    <hyperlink r:id="rId41" ref="L87"/>
    <hyperlink r:id="rId42" ref="L89"/>
    <hyperlink r:id="rId43" ref="L91"/>
    <hyperlink r:id="rId44" ref="L93"/>
    <hyperlink r:id="rId45" ref="L95"/>
    <hyperlink r:id="rId46" ref="L97"/>
    <hyperlink r:id="rId47" ref="L99"/>
    <hyperlink r:id="rId48" ref="L101"/>
    <hyperlink r:id="rId49" ref="L103"/>
    <hyperlink r:id="rId50" ref="L105"/>
    <hyperlink r:id="rId51" ref="L107"/>
    <hyperlink r:id="rId52" ref="L109"/>
    <hyperlink r:id="rId53" ref="L111"/>
    <hyperlink r:id="rId54" ref="L113"/>
    <hyperlink r:id="rId55" ref="L115"/>
    <hyperlink r:id="rId56" ref="L117"/>
    <hyperlink r:id="rId57" ref="L119"/>
    <hyperlink r:id="rId58" ref="L121"/>
    <hyperlink r:id="rId59" ref="L123"/>
    <hyperlink r:id="rId60" ref="L125"/>
    <hyperlink r:id="rId61" ref="L127"/>
    <hyperlink r:id="rId62" ref="L129"/>
    <hyperlink r:id="rId63" ref="L131"/>
    <hyperlink r:id="rId64" ref="L133"/>
    <hyperlink r:id="rId65" ref="L135"/>
    <hyperlink r:id="rId66" ref="L137"/>
    <hyperlink r:id="rId67" ref="L139"/>
    <hyperlink r:id="rId68" ref="L141"/>
    <hyperlink r:id="rId69" ref="L143"/>
    <hyperlink r:id="rId70" ref="L145"/>
    <hyperlink r:id="rId71" ref="L147"/>
    <hyperlink r:id="rId72" ref="L149"/>
    <hyperlink r:id="rId73" ref="L151"/>
    <hyperlink r:id="rId74" ref="L153"/>
    <hyperlink r:id="rId75" ref="L155"/>
    <hyperlink r:id="rId76" ref="L157"/>
    <hyperlink r:id="rId77" ref="L159"/>
    <hyperlink r:id="rId78" ref="L161"/>
    <hyperlink r:id="rId79" ref="L163"/>
    <hyperlink r:id="rId80" ref="L165"/>
    <hyperlink r:id="rId81" ref="L167"/>
    <hyperlink r:id="rId82" ref="L169"/>
    <hyperlink r:id="rId83" ref="L171"/>
    <hyperlink r:id="rId84" ref="L173"/>
    <hyperlink r:id="rId85" ref="L175"/>
    <hyperlink r:id="rId86" ref="L177"/>
    <hyperlink r:id="rId87" ref="L179"/>
    <hyperlink r:id="rId88" ref="L181"/>
    <hyperlink r:id="rId89" ref="L183"/>
    <hyperlink r:id="rId90" ref="L185"/>
  </hyperlinks>
  <drawing r:id="rId9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2.5"/>
    <col customWidth="1" min="3" max="3" width="19.63"/>
    <col customWidth="1" min="4" max="4" width="11.25"/>
    <col customWidth="1" min="5" max="5" width="12.63"/>
    <col customWidth="1" min="6" max="6" width="16.38"/>
  </cols>
  <sheetData>
    <row r="1">
      <c r="A1" s="53" t="s">
        <v>15</v>
      </c>
      <c r="B1" s="53" t="s">
        <v>16</v>
      </c>
      <c r="C1" s="54" t="s">
        <v>14</v>
      </c>
      <c r="D1" s="53" t="s">
        <v>600</v>
      </c>
      <c r="E1" s="53" t="s">
        <v>601</v>
      </c>
      <c r="F1" s="55" t="s">
        <v>602</v>
      </c>
      <c r="G1" s="30"/>
      <c r="H1" s="30"/>
      <c r="I1" s="30"/>
      <c r="J1" s="30"/>
      <c r="K1" s="30"/>
      <c r="L1" s="30"/>
      <c r="M1" s="30"/>
      <c r="N1" s="30"/>
      <c r="O1" s="30"/>
      <c r="P1" s="30"/>
      <c r="Q1" s="30"/>
      <c r="R1" s="30"/>
      <c r="S1" s="30"/>
      <c r="T1" s="30"/>
      <c r="U1" s="30"/>
      <c r="V1" s="30"/>
      <c r="W1" s="30"/>
      <c r="X1" s="30"/>
      <c r="Y1" s="30"/>
      <c r="Z1" s="30"/>
      <c r="AA1" s="30"/>
    </row>
    <row r="2">
      <c r="A2" s="44" t="str">
        <f>IFERROR(__xludf.DUMMYFUNCTION("SORT(
  SPLIT(
    UNIQUE(
      FILTER('Main Report'!B11:B1000 &amp; ""♦"" &amp; 'Main Report'!C11:C1000, LEN('Main Report'!C11:C1000))
    ),
    ""♦""
  ),
  1, TRUE, 2, TRUE
)
"),"Booking")</f>
        <v>Booking</v>
      </c>
      <c r="B2" s="44" t="str">
        <f>IFERROR(__xludf.DUMMYFUNCTION("""COMPUTED_VALUE"""),"Booking")</f>
        <v>Booking</v>
      </c>
      <c r="C2" s="44" t="str">
        <f>IFERROR(__xludf.DUMMYFUNCTION("TEXTJOIN("", "", TRUE, 
  FILTER('Main Report'!A11:A1000, 
    ('Main Report'!B11:B1000=A2) * ('Main Report'!C11:C1000=B2)
  )
)
"),"BR-001, BR-002")</f>
        <v>BR-001, BR-002</v>
      </c>
      <c r="D2" s="44">
        <f>IFERROR(__xludf.DUMMYFUNCTION("COUNTA(UNIQUE(TRANSPOSE(SPLIT(C2, "", ""))))
"),2.0)</f>
        <v>2</v>
      </c>
      <c r="E2" s="44" t="str">
        <f>IF(D2="", "", TEXT((D2 / 'Main Report'!$E$7), "0.00%"))
</f>
        <v>2.22%</v>
      </c>
      <c r="F2" s="43" t="str">
        <f>IFERROR(__xludf.DUMMYFUNCTION("IF(C2="""", """", 
   TEXTJOIN("", "", TRUE, 
      ""High: "" &amp; COUNTIF(FILTER('Main Report'!K11:K1000, ISNUMBER(MATCH('Main Report'!A11:A1000, SPLIT(C2, "", ""), 0))), ""High"") &amp; CHAR(10) &amp;
      ""Medium: "" &amp; COUNTIF(FILTER('Main Report'!K11:K1000, I"&amp;"SNUMBER(MATCH('Main Report'!A11:A1000, SPLIT(C2, "", ""), 0))), ""Medium"") &amp; CHAR(10) &amp;
      ""Low: "" &amp; COUNTIF(FILTER('Main Report'!K11:K1000, ISNUMBER(MATCH('Main Report'!A11:A1000, SPLIT(C2, "", ""), 0))), ""Low"")
   )
)
"),"High: 1
Medium: 0
Low: 1")</f>
        <v>High: 1
Medium: 0
Low: 1</v>
      </c>
      <c r="G2" s="30"/>
      <c r="H2" s="30"/>
      <c r="I2" s="30"/>
      <c r="J2" s="30"/>
      <c r="K2" s="30"/>
      <c r="L2" s="30"/>
      <c r="M2" s="30"/>
      <c r="N2" s="30"/>
      <c r="O2" s="30"/>
      <c r="P2" s="30"/>
      <c r="Q2" s="30"/>
      <c r="R2" s="30"/>
      <c r="S2" s="30"/>
      <c r="T2" s="30"/>
      <c r="U2" s="30"/>
      <c r="V2" s="30"/>
      <c r="W2" s="30"/>
      <c r="X2" s="30"/>
      <c r="Y2" s="30"/>
      <c r="Z2" s="30"/>
      <c r="AA2" s="30"/>
    </row>
    <row r="3">
      <c r="A3" s="47" t="str">
        <f>IFERROR(__xludf.DUMMYFUNCTION("""COMPUTED_VALUE"""),"Community")</f>
        <v>Community</v>
      </c>
      <c r="B3" s="47" t="str">
        <f>IFERROR(__xludf.DUMMYFUNCTION("""COMPUTED_VALUE"""),"Community")</f>
        <v>Community</v>
      </c>
      <c r="C3" s="47" t="str">
        <f>IFERROR(__xludf.DUMMYFUNCTION("TEXTJOIN("", "", TRUE, 
  FILTER('Main Report'!A12:A101, 
    ('Main Report'!B12:B101=A3) * ('Main Report'!C12:C101=B3)
  )
)
"),"BR-003, BR-004, BR-005, BR-006, BR-007, BR-008, BR-009")</f>
        <v>BR-003, BR-004, BR-005, BR-006, BR-007, BR-008, BR-009</v>
      </c>
      <c r="D3" s="44">
        <f>IFERROR(__xludf.DUMMYFUNCTION("COUNTA(UNIQUE(TRANSPOSE(SPLIT(C3, "", ""))))
"),7.0)</f>
        <v>7</v>
      </c>
      <c r="E3" s="47" t="str">
        <f>IF(D3="", "", TEXT((D3 / 'Main Report'!$E$7), "0.00%"))
</f>
        <v>7.78%</v>
      </c>
      <c r="F3" s="43" t="str">
        <f>IFERROR(__xludf.DUMMYFUNCTION("IF(C3="""", """", 
   TEXTJOIN("", "", TRUE, 
      ""High: "" &amp; COUNTIF(FILTER('Main Report'!K12:K1001, ISNUMBER(MATCH('Main Report'!A12:A1001, SPLIT(C3, "", ""), 0))), ""High"") &amp; CHAR(10) &amp;
      ""Medium: "" &amp; COUNTIF(FILTER('Main Report'!K12:K1001, I"&amp;"SNUMBER(MATCH('Main Report'!A12:A1001, SPLIT(C3, "", ""), 0))), ""Medium"") &amp; CHAR(10) &amp;
      ""Low: "" &amp; COUNTIF(FILTER('Main Report'!K12:K1001, ISNUMBER(MATCH('Main Report'!A12:A1001, SPLIT(C3, "", ""), 0))), ""Low"")
   )
)
"),"High: 4
Medium: 2
Low: 1")</f>
        <v>High: 4
Medium: 2
Low: 1</v>
      </c>
      <c r="G3" s="30"/>
      <c r="H3" s="30"/>
      <c r="I3" s="30"/>
      <c r="J3" s="30"/>
      <c r="K3" s="30"/>
      <c r="L3" s="30"/>
      <c r="M3" s="30"/>
      <c r="N3" s="30"/>
      <c r="O3" s="30"/>
      <c r="P3" s="30"/>
      <c r="Q3" s="30"/>
      <c r="R3" s="30"/>
      <c r="S3" s="30"/>
      <c r="T3" s="30"/>
      <c r="U3" s="30"/>
      <c r="V3" s="30"/>
      <c r="W3" s="30"/>
      <c r="X3" s="30"/>
      <c r="Y3" s="30"/>
      <c r="Z3" s="30"/>
      <c r="AA3" s="30"/>
    </row>
    <row r="4">
      <c r="A4" s="47" t="str">
        <f>IFERROR(__xludf.DUMMYFUNCTION("""COMPUTED_VALUE"""),"Community")</f>
        <v>Community</v>
      </c>
      <c r="B4" s="47" t="str">
        <f>IFERROR(__xludf.DUMMYFUNCTION("""COMPUTED_VALUE"""),"Location")</f>
        <v>Location</v>
      </c>
      <c r="C4" s="47" t="str">
        <f>IFERROR(__xludf.DUMMYFUNCTION("TEXTJOIN("", "", TRUE, 
  FILTER('Main Report'!A13:A102, 
    ('Main Report'!B13:B102=A4) * ('Main Report'!C13:C102=B4)
  )
)
"),"BR-010")</f>
        <v>BR-010</v>
      </c>
      <c r="D4" s="44">
        <f>IFERROR(__xludf.DUMMYFUNCTION("COUNTA(UNIQUE(TRANSPOSE(SPLIT(C4, "", ""))))
"),1.0)</f>
        <v>1</v>
      </c>
      <c r="E4" s="47" t="str">
        <f>IF(D4="", "", TEXT((D4 / 'Main Report'!$E$7), "0.00%"))
</f>
        <v>1.11%</v>
      </c>
      <c r="F4" s="43" t="str">
        <f>IFERROR(__xludf.DUMMYFUNCTION("IF(C4="""", """", 
   TEXTJOIN("", "", TRUE, 
      ""High: "" &amp; COUNTIF(FILTER('Main Report'!K13:K1002, ISNUMBER(MATCH('Main Report'!A13:A1002, SPLIT(C4, "", ""), 0))), ""High"") &amp; CHAR(10) &amp;
      ""Medium: "" &amp; COUNTIF(FILTER('Main Report'!K13:K1002, I"&amp;"SNUMBER(MATCH('Main Report'!A13:A1002, SPLIT(C4, "", ""), 0))), ""Medium"") &amp; CHAR(10) &amp;
      ""Low: "" &amp; COUNTIF(FILTER('Main Report'!K13:K1002, ISNUMBER(MATCH('Main Report'!A13:A1002, SPLIT(C4, "", ""), 0))), ""Low"")
   )
)
"),"High: 0
Medium: 1
Low: 0")</f>
        <v>High: 0
Medium: 1
Low: 0</v>
      </c>
      <c r="G4" s="30"/>
      <c r="H4" s="30"/>
      <c r="I4" s="30"/>
      <c r="J4" s="30"/>
      <c r="K4" s="30"/>
      <c r="L4" s="30"/>
      <c r="M4" s="30"/>
      <c r="N4" s="30"/>
      <c r="O4" s="30"/>
      <c r="P4" s="30"/>
      <c r="Q4" s="30"/>
      <c r="R4" s="30"/>
      <c r="S4" s="30"/>
      <c r="T4" s="30"/>
      <c r="U4" s="30"/>
      <c r="V4" s="30"/>
      <c r="W4" s="30"/>
      <c r="X4" s="30"/>
      <c r="Y4" s="30"/>
      <c r="Z4" s="30"/>
      <c r="AA4" s="30"/>
    </row>
    <row r="5">
      <c r="A5" s="47" t="str">
        <f>IFERROR(__xludf.DUMMYFUNCTION("""COMPUTED_VALUE"""),"Home Screen")</f>
        <v>Home Screen</v>
      </c>
      <c r="B5" s="47" t="str">
        <f>IFERROR(__xludf.DUMMYFUNCTION("""COMPUTED_VALUE"""),"Post")</f>
        <v>Post</v>
      </c>
      <c r="C5" s="47" t="str">
        <f>IFERROR(__xludf.DUMMYFUNCTION("TEXTJOIN("", "", TRUE, 
  FILTER('Main Report'!A14:A103, 
    ('Main Report'!B14:B103=A5) * ('Main Report'!C14:C103=B5)
  )
)
"),"BR-011, BR-012, BR-013, BR-014, BR-015, BR-016, BR-017, BR-018")</f>
        <v>BR-011, BR-012, BR-013, BR-014, BR-015, BR-016, BR-017, BR-018</v>
      </c>
      <c r="D5" s="44">
        <f>IFERROR(__xludf.DUMMYFUNCTION("COUNTA(UNIQUE(TRANSPOSE(SPLIT(C5, "", ""))))
"),8.0)</f>
        <v>8</v>
      </c>
      <c r="E5" s="47" t="str">
        <f>IF(D5="", "", TEXT((D5 / 'Main Report'!$E$7), "0.00%"))
</f>
        <v>8.89%</v>
      </c>
      <c r="F5" s="43" t="str">
        <f>IFERROR(__xludf.DUMMYFUNCTION("IF(C5="""", """", 
   TEXTJOIN("", "", TRUE, 
      ""High: "" &amp; COUNTIF(FILTER('Main Report'!K14:K1003, ISNUMBER(MATCH('Main Report'!A14:A1003, SPLIT(C5, "", ""), 0))), ""High"") &amp; CHAR(10) &amp;
      ""Medium: "" &amp; COUNTIF(FILTER('Main Report'!K14:K1003, I"&amp;"SNUMBER(MATCH('Main Report'!A14:A1003, SPLIT(C5, "", ""), 0))), ""Medium"") &amp; CHAR(10) &amp;
      ""Low: "" &amp; COUNTIF(FILTER('Main Report'!K14:K1003, ISNUMBER(MATCH('Main Report'!A14:A1003, SPLIT(C5, "", ""), 0))), ""Low"")
   )
)
"),"High: 3
Medium: 3
Low: 2")</f>
        <v>High: 3
Medium: 3
Low: 2</v>
      </c>
      <c r="G5" s="30"/>
      <c r="H5" s="30"/>
      <c r="I5" s="30"/>
      <c r="J5" s="30"/>
      <c r="K5" s="30"/>
      <c r="L5" s="30"/>
      <c r="M5" s="30"/>
      <c r="N5" s="30"/>
      <c r="O5" s="30"/>
      <c r="P5" s="30"/>
      <c r="Q5" s="30"/>
      <c r="R5" s="30"/>
      <c r="S5" s="30"/>
      <c r="T5" s="30"/>
      <c r="U5" s="30"/>
      <c r="V5" s="30"/>
      <c r="W5" s="30"/>
      <c r="X5" s="30"/>
      <c r="Y5" s="30"/>
      <c r="Z5" s="30"/>
      <c r="AA5" s="30"/>
    </row>
    <row r="6">
      <c r="A6" s="47" t="str">
        <f>IFERROR(__xludf.DUMMYFUNCTION("""COMPUTED_VALUE"""),"Landing Page")</f>
        <v>Landing Page</v>
      </c>
      <c r="B6" s="47" t="str">
        <f>IFERROR(__xludf.DUMMYFUNCTION("""COMPUTED_VALUE"""),"Home Screen")</f>
        <v>Home Screen</v>
      </c>
      <c r="C6" s="47" t="str">
        <f>IFERROR(__xludf.DUMMYFUNCTION("TEXTJOIN("", "", TRUE, 
  FILTER('Main Report'!A15:A104, 
    ('Main Report'!B15:B104=A6) * ('Main Report'!C15:C104=B6)
  )
)
"),"BR-019, BR-020, BR-021, BR-022, BR-023, BR-024, BR-025, BR-026, BR-027, BR-028, BR-029, BR-030")</f>
        <v>BR-019, BR-020, BR-021, BR-022, BR-023, BR-024, BR-025, BR-026, BR-027, BR-028, BR-029, BR-030</v>
      </c>
      <c r="D6" s="44">
        <f>IFERROR(__xludf.DUMMYFUNCTION("COUNTA(UNIQUE(TRANSPOSE(SPLIT(C6, "", ""))))
"),12.0)</f>
        <v>12</v>
      </c>
      <c r="E6" s="47" t="str">
        <f>IF(D6="", "", TEXT((D6 / 'Main Report'!$E$7), "0.00%"))
</f>
        <v>13.33%</v>
      </c>
      <c r="F6" s="43" t="str">
        <f>IFERROR(__xludf.DUMMYFUNCTION("IF(C6="""", """", 
   TEXTJOIN("", "", TRUE, 
      ""High: "" &amp; COUNTIF(FILTER('Main Report'!K15:K1004, ISNUMBER(MATCH('Main Report'!A15:A1004, SPLIT(C6, "", ""), 0))), ""High"") &amp; CHAR(10) &amp;
      ""Medium: "" &amp; COUNTIF(FILTER('Main Report'!K15:K1004, I"&amp;"SNUMBER(MATCH('Main Report'!A15:A1004, SPLIT(C6, "", ""), 0))), ""Medium"") &amp; CHAR(10) &amp;
      ""Low: "" &amp; COUNTIF(FILTER('Main Report'!K15:K1004, ISNUMBER(MATCH('Main Report'!A15:A1004, SPLIT(C6, "", ""), 0))), ""Low"")
   )
)
"),"High: 4
Medium: 2
Low: 6")</f>
        <v>High: 4
Medium: 2
Low: 6</v>
      </c>
      <c r="G6" s="30"/>
      <c r="H6" s="30"/>
      <c r="I6" s="30"/>
      <c r="J6" s="30"/>
      <c r="K6" s="30"/>
      <c r="L6" s="30"/>
      <c r="M6" s="30"/>
      <c r="N6" s="30"/>
      <c r="O6" s="30"/>
      <c r="P6" s="30"/>
      <c r="Q6" s="30"/>
      <c r="R6" s="30"/>
      <c r="S6" s="30"/>
      <c r="T6" s="30"/>
      <c r="U6" s="30"/>
      <c r="V6" s="30"/>
      <c r="W6" s="30"/>
      <c r="X6" s="30"/>
      <c r="Y6" s="30"/>
      <c r="Z6" s="30"/>
      <c r="AA6" s="30"/>
    </row>
    <row r="7">
      <c r="A7" s="47" t="str">
        <f>IFERROR(__xludf.DUMMYFUNCTION("""COMPUTED_VALUE"""),"Landing Page")</f>
        <v>Landing Page</v>
      </c>
      <c r="B7" s="47" t="str">
        <f>IFERROR(__xludf.DUMMYFUNCTION("""COMPUTED_VALUE"""),"Landing Page")</f>
        <v>Landing Page</v>
      </c>
      <c r="C7" s="47" t="str">
        <f>IFERROR(__xludf.DUMMYFUNCTION("TEXTJOIN("", "", TRUE, 
  FILTER('Main Report'!A16:A105, 
    ('Main Report'!B16:B105=A7) * ('Main Report'!C16:C105=B7)
  )
)
"),"BR-031, BR-032")</f>
        <v>BR-031, BR-032</v>
      </c>
      <c r="D7" s="44">
        <f>IFERROR(__xludf.DUMMYFUNCTION("COUNTA(UNIQUE(TRANSPOSE(SPLIT(C7, "", ""))))
"),2.0)</f>
        <v>2</v>
      </c>
      <c r="E7" s="47" t="str">
        <f>IF(D7="", "", TEXT((D7 / 'Main Report'!$E$7), "0.00%"))
</f>
        <v>2.22%</v>
      </c>
      <c r="F7" s="43" t="str">
        <f>IFERROR(__xludf.DUMMYFUNCTION("IF(C7="""", """", 
   TEXTJOIN("", "", TRUE, 
      ""High: "" &amp; COUNTIF(FILTER('Main Report'!K16:K1005, ISNUMBER(MATCH('Main Report'!A16:A1005, SPLIT(C7, "", ""), 0))), ""High"") &amp; CHAR(10) &amp;
      ""Medium: "" &amp; COUNTIF(FILTER('Main Report'!K16:K1005, I"&amp;"SNUMBER(MATCH('Main Report'!A16:A1005, SPLIT(C7, "", ""), 0))), ""Medium"") &amp; CHAR(10) &amp;
      ""Low: "" &amp; COUNTIF(FILTER('Main Report'!K16:K1005, ISNUMBER(MATCH('Main Report'!A16:A1005, SPLIT(C7, "", ""), 0))), ""Low"")
   )
)
"),"High: 0
Medium: 2
Low: 0")</f>
        <v>High: 0
Medium: 2
Low: 0</v>
      </c>
      <c r="G7" s="30"/>
      <c r="H7" s="30"/>
      <c r="I7" s="30"/>
      <c r="J7" s="30"/>
      <c r="K7" s="30"/>
      <c r="L7" s="30"/>
      <c r="M7" s="30"/>
      <c r="N7" s="30"/>
      <c r="O7" s="30"/>
      <c r="P7" s="30"/>
      <c r="Q7" s="30"/>
      <c r="R7" s="30"/>
      <c r="S7" s="30"/>
      <c r="T7" s="30"/>
      <c r="U7" s="30"/>
      <c r="V7" s="30"/>
      <c r="W7" s="30"/>
      <c r="X7" s="30"/>
      <c r="Y7" s="30"/>
      <c r="Z7" s="30"/>
      <c r="AA7" s="30"/>
    </row>
    <row r="8">
      <c r="A8" s="47" t="str">
        <f>IFERROR(__xludf.DUMMYFUNCTION("""COMPUTED_VALUE"""),"Landing Page")</f>
        <v>Landing Page</v>
      </c>
      <c r="B8" s="47" t="str">
        <f>IFERROR(__xludf.DUMMYFUNCTION("""COMPUTED_VALUE"""),"Login Screen")</f>
        <v>Login Screen</v>
      </c>
      <c r="C8" s="47" t="str">
        <f>IFERROR(__xludf.DUMMYFUNCTION("TEXTJOIN("", "", TRUE, 
  FILTER('Main Report'!A17:A106, 
    ('Main Report'!B17:B106=A8) * ('Main Report'!C17:C106=B8)
  )
)
"),"BR-033, BR-034, BR-035, BR-036")</f>
        <v>BR-033, BR-034, BR-035, BR-036</v>
      </c>
      <c r="D8" s="44">
        <f>IFERROR(__xludf.DUMMYFUNCTION("COUNTA(UNIQUE(TRANSPOSE(SPLIT(C8, "", ""))))
"),4.0)</f>
        <v>4</v>
      </c>
      <c r="E8" s="47" t="str">
        <f>IF(D8="", "", TEXT((D8 / 'Main Report'!$E$7), "0.00%"))
</f>
        <v>4.44%</v>
      </c>
      <c r="F8" s="43" t="str">
        <f>IFERROR(__xludf.DUMMYFUNCTION("IF(C8="""", """", 
   TEXTJOIN("", "", TRUE, 
      ""High: "" &amp; COUNTIF(FILTER('Main Report'!K17:K1006, ISNUMBER(MATCH('Main Report'!A17:A1006, SPLIT(C8, "", ""), 0))), ""High"") &amp; CHAR(10) &amp;
      ""Medium: "" &amp; COUNTIF(FILTER('Main Report'!K17:K1006, I"&amp;"SNUMBER(MATCH('Main Report'!A17:A1006, SPLIT(C8, "", ""), 0))), ""Medium"") &amp; CHAR(10) &amp;
      ""Low: "" &amp; COUNTIF(FILTER('Main Report'!K17:K1006, ISNUMBER(MATCH('Main Report'!A17:A1006, SPLIT(C8, "", ""), 0))), ""Low"")
   )
)
"),"High: 1
Medium: 2
Low: 1")</f>
        <v>High: 1
Medium: 2
Low: 1</v>
      </c>
      <c r="G8" s="30"/>
      <c r="H8" s="30"/>
      <c r="I8" s="30"/>
      <c r="J8" s="30"/>
      <c r="K8" s="30"/>
      <c r="L8" s="30"/>
      <c r="M8" s="30"/>
      <c r="N8" s="30"/>
      <c r="O8" s="30"/>
      <c r="P8" s="30"/>
      <c r="Q8" s="30"/>
      <c r="R8" s="30"/>
      <c r="S8" s="30"/>
      <c r="T8" s="30"/>
      <c r="U8" s="30"/>
      <c r="V8" s="30"/>
      <c r="W8" s="30"/>
      <c r="X8" s="30"/>
      <c r="Y8" s="30"/>
      <c r="Z8" s="30"/>
      <c r="AA8" s="30"/>
    </row>
    <row r="9">
      <c r="A9" s="47" t="str">
        <f>IFERROR(__xludf.DUMMYFUNCTION("""COMPUTED_VALUE"""),"Landing Page")</f>
        <v>Landing Page</v>
      </c>
      <c r="B9" s="47" t="str">
        <f>IFERROR(__xludf.DUMMYFUNCTION("""COMPUTED_VALUE"""),"Menu")</f>
        <v>Menu</v>
      </c>
      <c r="C9" s="47" t="str">
        <f>IFERROR(__xludf.DUMMYFUNCTION("TEXTJOIN("", "", TRUE, 
  FILTER('Main Report'!A18:A107, 
    ('Main Report'!B18:B107=A9) * ('Main Report'!C18:C107=B9)
  )
)
"),"BR-037, BR-038, BR-039, BR-040, BR-041, BR-042, BR-043, BR-044, BR-045")</f>
        <v>BR-037, BR-038, BR-039, BR-040, BR-041, BR-042, BR-043, BR-044, BR-045</v>
      </c>
      <c r="D9" s="44">
        <f>IFERROR(__xludf.DUMMYFUNCTION("COUNTA(UNIQUE(TRANSPOSE(SPLIT(C9, "", ""))))
"),9.0)</f>
        <v>9</v>
      </c>
      <c r="E9" s="47" t="str">
        <f>IF(D9="", "", TEXT((D9 / 'Main Report'!$E$7), "0.00%"))
</f>
        <v>10.00%</v>
      </c>
      <c r="F9" s="43" t="str">
        <f>IFERROR(__xludf.DUMMYFUNCTION("IF(C9="""", """", 
   TEXTJOIN("", "", TRUE, 
      ""High: "" &amp; COUNTIF(FILTER('Main Report'!K18:K1007, ISNUMBER(MATCH('Main Report'!A18:A1007, SPLIT(C9, "", ""), 0))), ""High"") &amp; CHAR(10) &amp;
      ""Medium: "" &amp; COUNTIF(FILTER('Main Report'!K18:K1007, I"&amp;"SNUMBER(MATCH('Main Report'!A18:A1007, SPLIT(C9, "", ""), 0))), ""Medium"") &amp; CHAR(10) &amp;
      ""Low: "" &amp; COUNTIF(FILTER('Main Report'!K18:K1007, ISNUMBER(MATCH('Main Report'!A18:A1007, SPLIT(C9, "", ""), 0))), ""Low"")
   )
)
"),"High: 6
Medium: 1
Low: 2")</f>
        <v>High: 6
Medium: 1
Low: 2</v>
      </c>
      <c r="G9" s="30"/>
      <c r="H9" s="30"/>
      <c r="I9" s="30"/>
      <c r="J9" s="30"/>
      <c r="K9" s="30"/>
      <c r="L9" s="30"/>
      <c r="M9" s="30"/>
      <c r="N9" s="30"/>
      <c r="O9" s="30"/>
      <c r="P9" s="30"/>
      <c r="Q9" s="30"/>
      <c r="R9" s="30"/>
      <c r="S9" s="30"/>
      <c r="T9" s="30"/>
      <c r="U9" s="30"/>
      <c r="V9" s="30"/>
      <c r="W9" s="30"/>
      <c r="X9" s="30"/>
      <c r="Y9" s="30"/>
      <c r="Z9" s="30"/>
      <c r="AA9" s="30"/>
    </row>
    <row r="10">
      <c r="A10" s="47" t="str">
        <f>IFERROR(__xludf.DUMMYFUNCTION("""COMPUTED_VALUE"""),"Landing Page")</f>
        <v>Landing Page</v>
      </c>
      <c r="B10" s="47" t="str">
        <f>IFERROR(__xludf.DUMMYFUNCTION("""COMPUTED_VALUE"""),"OTP")</f>
        <v>OTP</v>
      </c>
      <c r="C10" s="47" t="str">
        <f>IFERROR(__xludf.DUMMYFUNCTION("TEXTJOIN("", "", TRUE, 
  FILTER('Main Report'!A19:A108, 
    ('Main Report'!B19:B108=A10) * ('Main Report'!C19:C108=B10)
  )
)
"),"BR-046")</f>
        <v>BR-046</v>
      </c>
      <c r="D10" s="44">
        <f>IFERROR(__xludf.DUMMYFUNCTION("COUNTA(UNIQUE(TRANSPOSE(SPLIT(C10, "", ""))))
"),1.0)</f>
        <v>1</v>
      </c>
      <c r="E10" s="47" t="str">
        <f>IF(D10="", "", TEXT((D10 / 'Main Report'!$E$7), "0.00%"))
</f>
        <v>1.11%</v>
      </c>
      <c r="F10" s="43" t="str">
        <f>IFERROR(__xludf.DUMMYFUNCTION("IF(C10="""", """", 
   TEXTJOIN("", "", TRUE, 
      ""High: "" &amp; COUNTIF(FILTER('Main Report'!K19:K1008, ISNUMBER(MATCH('Main Report'!A19:A1008, SPLIT(C10, "", ""), 0))), ""High"") &amp; CHAR(10) &amp;
      ""Medium: "" &amp; COUNTIF(FILTER('Main Report'!K19:K1008,"&amp;" ISNUMBER(MATCH('Main Report'!A19:A1008, SPLIT(C10, "", ""), 0))), ""Medium"") &amp; CHAR(10) &amp;
      ""Low: "" &amp; COUNTIF(FILTER('Main Report'!K19:K1008, ISNUMBER(MATCH('Main Report'!A19:A1008, SPLIT(C10, "", ""), 0))), ""Low"")
   )
)
"),"High: 1
Medium: 0
Low: 0")</f>
        <v>High: 1
Medium: 0
Low: 0</v>
      </c>
      <c r="G10" s="30"/>
      <c r="H10" s="30"/>
      <c r="I10" s="30"/>
      <c r="J10" s="30"/>
      <c r="K10" s="30"/>
      <c r="L10" s="30"/>
      <c r="M10" s="30"/>
      <c r="N10" s="30"/>
      <c r="O10" s="30"/>
      <c r="P10" s="30"/>
      <c r="Q10" s="30"/>
      <c r="R10" s="30"/>
      <c r="S10" s="30"/>
      <c r="T10" s="30"/>
      <c r="U10" s="30"/>
      <c r="V10" s="30"/>
      <c r="W10" s="30"/>
      <c r="X10" s="30"/>
      <c r="Y10" s="30"/>
      <c r="Z10" s="30"/>
      <c r="AA10" s="30"/>
    </row>
    <row r="11">
      <c r="A11" s="47" t="str">
        <f>IFERROR(__xludf.DUMMYFUNCTION("""COMPUTED_VALUE"""),"Landing Page")</f>
        <v>Landing Page</v>
      </c>
      <c r="B11" s="47" t="str">
        <f>IFERROR(__xludf.DUMMYFUNCTION("""COMPUTED_VALUE"""),"Profile")</f>
        <v>Profile</v>
      </c>
      <c r="C11" s="47" t="str">
        <f>IFERROR(__xludf.DUMMYFUNCTION("TEXTJOIN("", "", TRUE, 
  FILTER('Main Report'!A20:A109, 
    ('Main Report'!B20:B109=A11) * ('Main Report'!C20:C109=B11)
  )
)
"),"BR-047")</f>
        <v>BR-047</v>
      </c>
      <c r="D11" s="44">
        <f>IFERROR(__xludf.DUMMYFUNCTION("COUNTA(UNIQUE(TRANSPOSE(SPLIT(C11, "", ""))))
"),1.0)</f>
        <v>1</v>
      </c>
      <c r="E11" s="47" t="str">
        <f>IF(D11="", "", TEXT((D11 / 'Main Report'!$E$7), "0.00%"))
</f>
        <v>1.11%</v>
      </c>
      <c r="F11" s="43" t="str">
        <f>IFERROR(__xludf.DUMMYFUNCTION("IF(C11="""", """", 
   TEXTJOIN("", "", TRUE, 
      ""High: "" &amp; COUNTIF(FILTER('Main Report'!K20:K1009, ISNUMBER(MATCH('Main Report'!A20:A1009, SPLIT(C11, "", ""), 0))), ""High"") &amp; CHAR(10) &amp;
      ""Medium: "" &amp; COUNTIF(FILTER('Main Report'!K20:K1009,"&amp;" ISNUMBER(MATCH('Main Report'!A20:A1009, SPLIT(C11, "", ""), 0))), ""Medium"") &amp; CHAR(10) &amp;
      ""Low: "" &amp; COUNTIF(FILTER('Main Report'!K20:K1009, ISNUMBER(MATCH('Main Report'!A20:A1009, SPLIT(C11, "", ""), 0))), ""Low"")
   )
)
"),"High: 0
Medium: 1
Low: 0")</f>
        <v>High: 0
Medium: 1
Low: 0</v>
      </c>
      <c r="G11" s="30"/>
      <c r="H11" s="30"/>
      <c r="I11" s="30"/>
      <c r="J11" s="30"/>
      <c r="K11" s="30"/>
      <c r="L11" s="30"/>
      <c r="M11" s="30"/>
      <c r="N11" s="30"/>
      <c r="O11" s="30"/>
      <c r="P11" s="30"/>
      <c r="Q11" s="30"/>
      <c r="R11" s="30"/>
      <c r="S11" s="30"/>
      <c r="T11" s="30"/>
      <c r="U11" s="30"/>
      <c r="V11" s="30"/>
      <c r="W11" s="30"/>
      <c r="X11" s="30"/>
      <c r="Y11" s="30"/>
      <c r="Z11" s="30"/>
      <c r="AA11" s="30"/>
    </row>
    <row r="12">
      <c r="A12" s="47" t="str">
        <f>IFERROR(__xludf.DUMMYFUNCTION("""COMPUTED_VALUE"""),"Landing Page")</f>
        <v>Landing Page</v>
      </c>
      <c r="B12" s="47" t="str">
        <f>IFERROR(__xludf.DUMMYFUNCTION("""COMPUTED_VALUE"""),"Signup Screen")</f>
        <v>Signup Screen</v>
      </c>
      <c r="C12" s="47" t="str">
        <f>IFERROR(__xludf.DUMMYFUNCTION("TEXTJOIN("", "", TRUE, 
  FILTER('Main Report'!A21:A110, 
    ('Main Report'!B21:B110=A12) * ('Main Report'!C21:C110=B12)
  )
)
"),"BR-048")</f>
        <v>BR-048</v>
      </c>
      <c r="D12" s="44">
        <f>IFERROR(__xludf.DUMMYFUNCTION("COUNTA(UNIQUE(TRANSPOSE(SPLIT(C12, "", ""))))
"),1.0)</f>
        <v>1</v>
      </c>
      <c r="E12" s="47" t="str">
        <f>IF(D12="", "", TEXT((D12 / 'Main Report'!$E$7), "0.00%"))
</f>
        <v>1.11%</v>
      </c>
      <c r="F12" s="43" t="str">
        <f>IFERROR(__xludf.DUMMYFUNCTION("IF(C12="""", """", 
   TEXTJOIN("", "", TRUE, 
      ""High: "" &amp; COUNTIF(FILTER('Main Report'!K21:K1010, ISNUMBER(MATCH('Main Report'!A21:A1010, SPLIT(C12, "", ""), 0))), ""High"") &amp; CHAR(10) &amp;
      ""Medium: "" &amp; COUNTIF(FILTER('Main Report'!K21:K1010,"&amp;" ISNUMBER(MATCH('Main Report'!A21:A1010, SPLIT(C12, "", ""), 0))), ""Medium"") &amp; CHAR(10) &amp;
      ""Low: "" &amp; COUNTIF(FILTER('Main Report'!K21:K1010, ISNUMBER(MATCH('Main Report'!A21:A1010, SPLIT(C12, "", ""), 0))), ""Low"")
   )
)
"),"High: 0
Medium: 1
Low: 0")</f>
        <v>High: 0
Medium: 1
Low: 0</v>
      </c>
      <c r="G12" s="30"/>
      <c r="H12" s="30"/>
      <c r="I12" s="30"/>
      <c r="J12" s="30"/>
      <c r="K12" s="30"/>
      <c r="L12" s="30"/>
      <c r="M12" s="30"/>
      <c r="N12" s="30"/>
      <c r="O12" s="30"/>
      <c r="P12" s="30"/>
      <c r="Q12" s="30"/>
      <c r="R12" s="30"/>
      <c r="S12" s="30"/>
      <c r="T12" s="30"/>
      <c r="U12" s="30"/>
      <c r="V12" s="30"/>
      <c r="W12" s="30"/>
      <c r="X12" s="30"/>
      <c r="Y12" s="30"/>
      <c r="Z12" s="30"/>
      <c r="AA12" s="30"/>
    </row>
    <row r="13">
      <c r="A13" s="47" t="str">
        <f>IFERROR(__xludf.DUMMYFUNCTION("""COMPUTED_VALUE"""),"Landing Page")</f>
        <v>Landing Page</v>
      </c>
      <c r="B13" s="47" t="str">
        <f>IFERROR(__xludf.DUMMYFUNCTION("""COMPUTED_VALUE"""),"Story")</f>
        <v>Story</v>
      </c>
      <c r="C13" s="47" t="str">
        <f>IFERROR(__xludf.DUMMYFUNCTION("TEXTJOIN("", "", TRUE, 
  FILTER('Main Report'!A22:A111, 
    ('Main Report'!B22:B111=A13) * ('Main Report'!C22:C111=B13)
  )
)
"),"BR-049")</f>
        <v>BR-049</v>
      </c>
      <c r="D13" s="44">
        <f>IFERROR(__xludf.DUMMYFUNCTION("COUNTA(UNIQUE(TRANSPOSE(SPLIT(C13, "", ""))))
"),1.0)</f>
        <v>1</v>
      </c>
      <c r="E13" s="47" t="str">
        <f>IF(D13="", "", TEXT((D13 / 'Main Report'!$E$7), "0.00%"))
</f>
        <v>1.11%</v>
      </c>
      <c r="F13" s="43" t="str">
        <f>IFERROR(__xludf.DUMMYFUNCTION("IF(C13="""", """", 
   TEXTJOIN("", "", TRUE, 
      ""High: "" &amp; COUNTIF(FILTER('Main Report'!K22:K1011, ISNUMBER(MATCH('Main Report'!A22:A1011, SPLIT(C13, "", ""), 0))), ""High"") &amp; CHAR(10) &amp;
      ""Medium: "" &amp; COUNTIF(FILTER('Main Report'!K22:K1011,"&amp;" ISNUMBER(MATCH('Main Report'!A22:A1011, SPLIT(C13, "", ""), 0))), ""Medium"") &amp; CHAR(10) &amp;
      ""Low: "" &amp; COUNTIF(FILTER('Main Report'!K22:K1011, ISNUMBER(MATCH('Main Report'!A22:A1011, SPLIT(C13, "", ""), 0))), ""Low"")
   )
)
"),"High: 1
Medium: 0
Low: 0")</f>
        <v>High: 1
Medium: 0
Low: 0</v>
      </c>
      <c r="G13" s="30"/>
      <c r="H13" s="30"/>
      <c r="I13" s="30"/>
      <c r="J13" s="30"/>
      <c r="K13" s="30"/>
      <c r="L13" s="30"/>
      <c r="M13" s="30"/>
      <c r="N13" s="30"/>
      <c r="O13" s="30"/>
      <c r="P13" s="30"/>
      <c r="Q13" s="30"/>
      <c r="R13" s="30"/>
      <c r="S13" s="30"/>
      <c r="T13" s="30"/>
      <c r="U13" s="30"/>
      <c r="V13" s="30"/>
      <c r="W13" s="30"/>
      <c r="X13" s="30"/>
      <c r="Y13" s="30"/>
      <c r="Z13" s="30"/>
      <c r="AA13" s="30"/>
    </row>
    <row r="14">
      <c r="A14" s="47" t="str">
        <f>IFERROR(__xludf.DUMMYFUNCTION("""COMPUTED_VALUE"""),"Menu")</f>
        <v>Menu</v>
      </c>
      <c r="B14" s="47" t="str">
        <f>IFERROR(__xludf.DUMMYFUNCTION("""COMPUTED_VALUE"""),"My Cart")</f>
        <v>My Cart</v>
      </c>
      <c r="C14" s="47" t="str">
        <f>IFERROR(__xludf.DUMMYFUNCTION("TEXTJOIN("", "", TRUE, 
  FILTER('Main Report'!A23:A112, 
    ('Main Report'!B23:B112=A14) * ('Main Report'!C23:C112=B14)
  )
)
"),"BR-050")</f>
        <v>BR-050</v>
      </c>
      <c r="D14" s="44">
        <f>IFERROR(__xludf.DUMMYFUNCTION("COUNTA(UNIQUE(TRANSPOSE(SPLIT(C14, "", ""))))
"),1.0)</f>
        <v>1</v>
      </c>
      <c r="E14" s="47" t="str">
        <f>IF(D14="", "", TEXT((D14 / 'Main Report'!$E$7), "0.00%"))
</f>
        <v>1.11%</v>
      </c>
      <c r="F14" s="43" t="str">
        <f>IFERROR(__xludf.DUMMYFUNCTION("IF(C14="""", """", 
   TEXTJOIN("", "", TRUE, 
      ""High: "" &amp; COUNTIF(FILTER('Main Report'!K23:K1012, ISNUMBER(MATCH('Main Report'!A23:A1012, SPLIT(C14, "", ""), 0))), ""High"") &amp; CHAR(10) &amp;
      ""Medium: "" &amp; COUNTIF(FILTER('Main Report'!K23:K1012,"&amp;" ISNUMBER(MATCH('Main Report'!A23:A1012, SPLIT(C14, "", ""), 0))), ""Medium"") &amp; CHAR(10) &amp;
      ""Low: "" &amp; COUNTIF(FILTER('Main Report'!K23:K1012, ISNUMBER(MATCH('Main Report'!A23:A1012, SPLIT(C14, "", ""), 0))), ""Low"")
   )
)
"),"High: 1
Medium: 0
Low: 0")</f>
        <v>High: 1
Medium: 0
Low: 0</v>
      </c>
      <c r="G14" s="30"/>
      <c r="H14" s="30"/>
      <c r="I14" s="30"/>
      <c r="J14" s="30"/>
      <c r="K14" s="30"/>
      <c r="L14" s="30"/>
      <c r="M14" s="30"/>
      <c r="N14" s="30"/>
      <c r="O14" s="30"/>
      <c r="P14" s="30"/>
      <c r="Q14" s="30"/>
      <c r="R14" s="30"/>
      <c r="S14" s="30"/>
      <c r="T14" s="30"/>
      <c r="U14" s="30"/>
      <c r="V14" s="30"/>
      <c r="W14" s="30"/>
      <c r="X14" s="30"/>
      <c r="Y14" s="30"/>
      <c r="Z14" s="30"/>
      <c r="AA14" s="30"/>
    </row>
    <row r="15">
      <c r="A15" s="47" t="str">
        <f>IFERROR(__xludf.DUMMYFUNCTION("""COMPUTED_VALUE"""),"Menu")</f>
        <v>Menu</v>
      </c>
      <c r="B15" s="47" t="str">
        <f>IFERROR(__xludf.DUMMYFUNCTION("""COMPUTED_VALUE"""),"Notification")</f>
        <v>Notification</v>
      </c>
      <c r="C15" s="47" t="str">
        <f>IFERROR(__xludf.DUMMYFUNCTION("TEXTJOIN("", "", TRUE, 
  FILTER('Main Report'!A24:A113, 
    ('Main Report'!B24:B113=A15) * ('Main Report'!C24:C113=B15)
  )
)
"),"BR-051")</f>
        <v>BR-051</v>
      </c>
      <c r="D15" s="44">
        <f>IFERROR(__xludf.DUMMYFUNCTION("COUNTA(UNIQUE(TRANSPOSE(SPLIT(C15, "", ""))))
"),1.0)</f>
        <v>1</v>
      </c>
      <c r="E15" s="47" t="str">
        <f>IF(D15="", "", TEXT((D15 / 'Main Report'!$E$7), "0.00%"))
</f>
        <v>1.11%</v>
      </c>
      <c r="F15" s="43" t="str">
        <f>IFERROR(__xludf.DUMMYFUNCTION("IF(C15="""", """", 
   TEXTJOIN("", "", TRUE, 
      ""High: "" &amp; COUNTIF(FILTER('Main Report'!K24:K1013, ISNUMBER(MATCH('Main Report'!A24:A1013, SPLIT(C15, "", ""), 0))), ""High"") &amp; CHAR(10) &amp;
      ""Medium: "" &amp; COUNTIF(FILTER('Main Report'!K24:K1013,"&amp;" ISNUMBER(MATCH('Main Report'!A24:A1013, SPLIT(C15, "", ""), 0))), ""Medium"") &amp; CHAR(10) &amp;
      ""Low: "" &amp; COUNTIF(FILTER('Main Report'!K24:K1013, ISNUMBER(MATCH('Main Report'!A24:A1013, SPLIT(C15, "", ""), 0))), ""Low"")
   )
)
"),"High: 0
Medium: 1
Low: 0")</f>
        <v>High: 0
Medium: 1
Low: 0</v>
      </c>
      <c r="G15" s="30"/>
      <c r="H15" s="30"/>
      <c r="I15" s="30"/>
      <c r="J15" s="30"/>
      <c r="K15" s="30"/>
      <c r="L15" s="30"/>
      <c r="M15" s="30"/>
      <c r="N15" s="30"/>
      <c r="O15" s="30"/>
      <c r="P15" s="30"/>
      <c r="Q15" s="30"/>
      <c r="R15" s="30"/>
      <c r="S15" s="30"/>
      <c r="T15" s="30"/>
      <c r="U15" s="30"/>
      <c r="V15" s="30"/>
      <c r="W15" s="30"/>
      <c r="X15" s="30"/>
      <c r="Y15" s="30"/>
      <c r="Z15" s="30"/>
      <c r="AA15" s="30"/>
    </row>
    <row r="16">
      <c r="A16" s="47" t="str">
        <f>IFERROR(__xludf.DUMMYFUNCTION("""COMPUTED_VALUE"""),"Messages")</f>
        <v>Messages</v>
      </c>
      <c r="B16" s="47" t="str">
        <f>IFERROR(__xludf.DUMMYFUNCTION("""COMPUTED_VALUE"""),"Community")</f>
        <v>Community</v>
      </c>
      <c r="C16" s="47" t="str">
        <f>IFERROR(__xludf.DUMMYFUNCTION("TEXTJOIN("", "", TRUE, 
  FILTER('Main Report'!A25:A114, 
    ('Main Report'!B25:B114=A16) * ('Main Report'!C25:C114=B16)
  )
)
"),"BR-052, BR-053")</f>
        <v>BR-052, BR-053</v>
      </c>
      <c r="D16" s="44">
        <f>IFERROR(__xludf.DUMMYFUNCTION("COUNTA(UNIQUE(TRANSPOSE(SPLIT(C16, "", ""))))
"),2.0)</f>
        <v>2</v>
      </c>
      <c r="E16" s="47" t="str">
        <f>IF(D16="", "", TEXT((D16 / 'Main Report'!$E$7), "0.00%"))
</f>
        <v>2.22%</v>
      </c>
      <c r="F16" s="43" t="str">
        <f>IFERROR(__xludf.DUMMYFUNCTION("IF(C16="""", """", 
   TEXTJOIN("", "", TRUE, 
      ""High: "" &amp; COUNTIF(FILTER('Main Report'!K25:K1014, ISNUMBER(MATCH('Main Report'!A25:A1014, SPLIT(C16, "", ""), 0))), ""High"") &amp; CHAR(10) &amp;
      ""Medium: "" &amp; COUNTIF(FILTER('Main Report'!K25:K1014,"&amp;" ISNUMBER(MATCH('Main Report'!A25:A1014, SPLIT(C16, "", ""), 0))), ""Medium"") &amp; CHAR(10) &amp;
      ""Low: "" &amp; COUNTIF(FILTER('Main Report'!K25:K1014, ISNUMBER(MATCH('Main Report'!A25:A1014, SPLIT(C16, "", ""), 0))), ""Low"")
   )
)
"),"High: 2
Medium: 0
Low: 0")</f>
        <v>High: 2
Medium: 0
Low: 0</v>
      </c>
      <c r="G16" s="30"/>
      <c r="H16" s="30"/>
      <c r="I16" s="30"/>
      <c r="J16" s="30"/>
      <c r="K16" s="30"/>
      <c r="L16" s="30"/>
      <c r="M16" s="30"/>
      <c r="N16" s="30"/>
      <c r="O16" s="30"/>
      <c r="P16" s="30"/>
      <c r="Q16" s="30"/>
      <c r="R16" s="30"/>
      <c r="S16" s="30"/>
      <c r="T16" s="30"/>
      <c r="U16" s="30"/>
      <c r="V16" s="30"/>
      <c r="W16" s="30"/>
      <c r="X16" s="30"/>
      <c r="Y16" s="30"/>
      <c r="Z16" s="30"/>
      <c r="AA16" s="30"/>
    </row>
    <row r="17">
      <c r="A17" s="47" t="str">
        <f>IFERROR(__xludf.DUMMYFUNCTION("""COMPUTED_VALUE"""),"Messages")</f>
        <v>Messages</v>
      </c>
      <c r="B17" s="47" t="str">
        <f>IFERROR(__xludf.DUMMYFUNCTION("""COMPUTED_VALUE"""),"Group")</f>
        <v>Group</v>
      </c>
      <c r="C17" s="47" t="str">
        <f>IFERROR(__xludf.DUMMYFUNCTION("TEXTJOIN("", "", TRUE, 
  FILTER('Main Report'!A26:A115, 
    ('Main Report'!B26:B115=A17) * ('Main Report'!C26:C115=B17)
  )
)
"),"BR-054, BR-055")</f>
        <v>BR-054, BR-055</v>
      </c>
      <c r="D17" s="44">
        <f>IFERROR(__xludf.DUMMYFUNCTION("COUNTA(UNIQUE(TRANSPOSE(SPLIT(C17, "", ""))))
"),2.0)</f>
        <v>2</v>
      </c>
      <c r="E17" s="47" t="str">
        <f>IF(D17="", "", TEXT((D17 / 'Main Report'!$E$7), "0.00%"))
</f>
        <v>2.22%</v>
      </c>
      <c r="F17" s="43" t="str">
        <f>IFERROR(__xludf.DUMMYFUNCTION("IF(C17="""", """", 
   TEXTJOIN("", "", TRUE, 
      ""High: "" &amp; COUNTIF(FILTER('Main Report'!K26:K1015, ISNUMBER(MATCH('Main Report'!A26:A1015, SPLIT(C17, "", ""), 0))), ""High"") &amp; CHAR(10) &amp;
      ""Medium: "" &amp; COUNTIF(FILTER('Main Report'!K26:K1015,"&amp;" ISNUMBER(MATCH('Main Report'!A26:A1015, SPLIT(C17, "", ""), 0))), ""Medium"") &amp; CHAR(10) &amp;
      ""Low: "" &amp; COUNTIF(FILTER('Main Report'!K26:K1015, ISNUMBER(MATCH('Main Report'!A26:A1015, SPLIT(C17, "", ""), 0))), ""Low"")
   )
)
"),"High: 2
Medium: 0
Low: 0")</f>
        <v>High: 2
Medium: 0
Low: 0</v>
      </c>
      <c r="G17" s="30"/>
      <c r="H17" s="30"/>
      <c r="I17" s="30"/>
      <c r="J17" s="30"/>
      <c r="K17" s="30"/>
      <c r="L17" s="30"/>
      <c r="M17" s="30"/>
      <c r="N17" s="30"/>
      <c r="O17" s="30"/>
      <c r="P17" s="30"/>
      <c r="Q17" s="30"/>
      <c r="R17" s="30"/>
      <c r="S17" s="30"/>
      <c r="T17" s="30"/>
      <c r="U17" s="30"/>
      <c r="V17" s="30"/>
      <c r="W17" s="30"/>
      <c r="X17" s="30"/>
      <c r="Y17" s="30"/>
      <c r="Z17" s="30"/>
      <c r="AA17" s="30"/>
    </row>
    <row r="18">
      <c r="A18" s="47" t="str">
        <f>IFERROR(__xludf.DUMMYFUNCTION("""COMPUTED_VALUE"""),"Messages")</f>
        <v>Messages</v>
      </c>
      <c r="B18" s="47" t="str">
        <f>IFERROR(__xludf.DUMMYFUNCTION("""COMPUTED_VALUE"""),"Messages")</f>
        <v>Messages</v>
      </c>
      <c r="C18" s="47" t="str">
        <f>IFERROR(__xludf.DUMMYFUNCTION("TEXTJOIN("", "", TRUE, 
  FILTER('Main Report'!A27:A116, 
    ('Main Report'!B27:B116=A18) * ('Main Report'!C27:C116=B18)
  )
)
"),"BR-056, BR-057, BR-058, BR-059, BR-060")</f>
        <v>BR-056, BR-057, BR-058, BR-059, BR-060</v>
      </c>
      <c r="D18" s="44">
        <f>IFERROR(__xludf.DUMMYFUNCTION("COUNTA(UNIQUE(TRANSPOSE(SPLIT(C18, "", ""))))
"),5.0)</f>
        <v>5</v>
      </c>
      <c r="E18" s="47" t="str">
        <f>IF(D18="", "", TEXT((D18 / 'Main Report'!$E$7), "0.00%"))
</f>
        <v>5.56%</v>
      </c>
      <c r="F18" s="43" t="str">
        <f>IFERROR(__xludf.DUMMYFUNCTION("IF(C18="""", """", 
   TEXTJOIN("", "", TRUE, 
      ""High: "" &amp; COUNTIF(FILTER('Main Report'!K27:K1016, ISNUMBER(MATCH('Main Report'!A27:A1016, SPLIT(C18, "", ""), 0))), ""High"") &amp; CHAR(10) &amp;
      ""Medium: "" &amp; COUNTIF(FILTER('Main Report'!K27:K1016,"&amp;" ISNUMBER(MATCH('Main Report'!A27:A1016, SPLIT(C18, "", ""), 0))), ""Medium"") &amp; CHAR(10) &amp;
      ""Low: "" &amp; COUNTIF(FILTER('Main Report'!K27:K1016, ISNUMBER(MATCH('Main Report'!A27:A1016, SPLIT(C18, "", ""), 0))), ""Low"")
   )
)
"),"High: 2
Medium: 3
Low: 0")</f>
        <v>High: 2
Medium: 3
Low: 0</v>
      </c>
      <c r="G18" s="30"/>
      <c r="H18" s="30"/>
      <c r="I18" s="30"/>
      <c r="J18" s="30"/>
      <c r="K18" s="30"/>
      <c r="L18" s="30"/>
      <c r="M18" s="30"/>
      <c r="N18" s="30"/>
      <c r="O18" s="30"/>
      <c r="P18" s="30"/>
      <c r="Q18" s="30"/>
      <c r="R18" s="30"/>
      <c r="S18" s="30"/>
      <c r="T18" s="30"/>
      <c r="U18" s="30"/>
      <c r="V18" s="30"/>
      <c r="W18" s="30"/>
      <c r="X18" s="30"/>
      <c r="Y18" s="30"/>
      <c r="Z18" s="30"/>
      <c r="AA18" s="30"/>
    </row>
    <row r="19">
      <c r="A19" s="47" t="str">
        <f>IFERROR(__xludf.DUMMYFUNCTION("""COMPUTED_VALUE"""),"My Profile")</f>
        <v>My Profile</v>
      </c>
      <c r="B19" s="47" t="str">
        <f>IFERROR(__xludf.DUMMYFUNCTION("""COMPUTED_VALUE"""),"Add Pet")</f>
        <v>Add Pet</v>
      </c>
      <c r="C19" s="47" t="str">
        <f>IFERROR(__xludf.DUMMYFUNCTION("TEXTJOIN("", "", TRUE, 
  FILTER('Main Report'!A28:A117, 
    ('Main Report'!B28:B117=A19) * ('Main Report'!C28:C117=B19)
  )
)
"),"BR-061, BR-062, BR-063, BR-064")</f>
        <v>BR-061, BR-062, BR-063, BR-064</v>
      </c>
      <c r="D19" s="44">
        <f>IFERROR(__xludf.DUMMYFUNCTION("COUNTA(UNIQUE(TRANSPOSE(SPLIT(C19, "", ""))))
"),4.0)</f>
        <v>4</v>
      </c>
      <c r="E19" s="47" t="str">
        <f>IF(D19="", "", TEXT((D19 / 'Main Report'!$E$7), "0.00%"))
</f>
        <v>4.44%</v>
      </c>
      <c r="F19" s="43" t="str">
        <f>IFERROR(__xludf.DUMMYFUNCTION("IF(C19="""", """", 
   TEXTJOIN("", "", TRUE, 
      ""High: "" &amp; COUNTIF(FILTER('Main Report'!K28:K1017, ISNUMBER(MATCH('Main Report'!A28:A1017, SPLIT(C19, "", ""), 0))), ""High"") &amp; CHAR(10) &amp;
      ""Medium: "" &amp; COUNTIF(FILTER('Main Report'!K28:K1017,"&amp;" ISNUMBER(MATCH('Main Report'!A28:A1017, SPLIT(C19, "", ""), 0))), ""Medium"") &amp; CHAR(10) &amp;
      ""Low: "" &amp; COUNTIF(FILTER('Main Report'!K28:K1017, ISNUMBER(MATCH('Main Report'!A28:A1017, SPLIT(C19, "", ""), 0))), ""Low"")
   )
)
"),"High: 1
Medium: 0
Low: 3")</f>
        <v>High: 1
Medium: 0
Low: 3</v>
      </c>
      <c r="G19" s="30"/>
      <c r="H19" s="30"/>
      <c r="I19" s="30"/>
      <c r="J19" s="30"/>
      <c r="K19" s="30"/>
      <c r="L19" s="30"/>
      <c r="M19" s="30"/>
      <c r="N19" s="30"/>
      <c r="O19" s="30"/>
      <c r="P19" s="30"/>
      <c r="Q19" s="30"/>
      <c r="R19" s="30"/>
      <c r="S19" s="30"/>
      <c r="T19" s="30"/>
      <c r="U19" s="30"/>
      <c r="V19" s="30"/>
      <c r="W19" s="30"/>
      <c r="X19" s="30"/>
      <c r="Y19" s="30"/>
      <c r="Z19" s="30"/>
      <c r="AA19" s="30"/>
    </row>
    <row r="20">
      <c r="A20" s="44" t="str">
        <f>IFERROR(__xludf.DUMMYFUNCTION("""COMPUTED_VALUE"""),"My Profile")</f>
        <v>My Profile</v>
      </c>
      <c r="B20" s="44" t="str">
        <f>IFERROR(__xludf.DUMMYFUNCTION("""COMPUTED_VALUE"""),"My Profile")</f>
        <v>My Profile</v>
      </c>
      <c r="C20" s="47" t="str">
        <f>IFERROR(__xludf.DUMMYFUNCTION("TEXTJOIN("", "", TRUE, 
  FILTER('Main Report'!A29:A118, 
    ('Main Report'!B29:B118=A20) * ('Main Report'!C29:C118=B20)
  )
)
"),"BR-065, BR-066, BR-067, BR-068, BR-069")</f>
        <v>BR-065, BR-066, BR-067, BR-068, BR-069</v>
      </c>
      <c r="D20" s="44">
        <f>IFERROR(__xludf.DUMMYFUNCTION("COUNTA(UNIQUE(TRANSPOSE(SPLIT(C20, "", ""))))
"),5.0)</f>
        <v>5</v>
      </c>
      <c r="E20" s="47" t="str">
        <f>IF(D20="", "", TEXT((D20 / 'Main Report'!$E$7), "0.00%"))
</f>
        <v>5.56%</v>
      </c>
      <c r="F20" s="43" t="str">
        <f>IFERROR(__xludf.DUMMYFUNCTION("IF(C20="""", """", 
   TEXTJOIN("", "", TRUE, 
      ""High: "" &amp; COUNTIF(FILTER('Main Report'!K29:K1018, ISNUMBER(MATCH('Main Report'!A29:A1018, SPLIT(C20, "", ""), 0))), ""High"") &amp; CHAR(10) &amp;
      ""Medium: "" &amp; COUNTIF(FILTER('Main Report'!K29:K1018,"&amp;" ISNUMBER(MATCH('Main Report'!A29:A1018, SPLIT(C20, "", ""), 0))), ""Medium"") &amp; CHAR(10) &amp;
      ""Low: "" &amp; COUNTIF(FILTER('Main Report'!K29:K1018, ISNUMBER(MATCH('Main Report'!A29:A1018, SPLIT(C20, "", ""), 0))), ""Low"")
   )
)
"),"High: 4
Medium: 1
Low: 0")</f>
        <v>High: 4
Medium: 1
Low: 0</v>
      </c>
      <c r="G20" s="30"/>
      <c r="H20" s="30"/>
      <c r="I20" s="30"/>
      <c r="J20" s="30"/>
      <c r="K20" s="30"/>
      <c r="L20" s="30"/>
      <c r="M20" s="30"/>
      <c r="N20" s="30"/>
      <c r="O20" s="30"/>
      <c r="P20" s="30"/>
      <c r="Q20" s="30"/>
      <c r="R20" s="30"/>
      <c r="S20" s="30"/>
      <c r="T20" s="30"/>
      <c r="U20" s="30"/>
      <c r="V20" s="30"/>
      <c r="W20" s="30"/>
      <c r="X20" s="30"/>
      <c r="Y20" s="30"/>
      <c r="Z20" s="30"/>
      <c r="AA20" s="30"/>
    </row>
    <row r="21">
      <c r="A21" s="47" t="str">
        <f>IFERROR(__xludf.DUMMYFUNCTION("""COMPUTED_VALUE"""),"Notification")</f>
        <v>Notification</v>
      </c>
      <c r="B21" s="47" t="str">
        <f>IFERROR(__xludf.DUMMYFUNCTION("""COMPUTED_VALUE"""),"Notification")</f>
        <v>Notification</v>
      </c>
      <c r="C21" s="47" t="str">
        <f>IFERROR(__xludf.DUMMYFUNCTION("TEXTJOIN("", "", TRUE, 
  FILTER('Main Report'!A30:A119, 
    ('Main Report'!B30:B119=A21) * ('Main Report'!C30:C119=B21)
  )
)
"),"BR-070, BR-071")</f>
        <v>BR-070, BR-071</v>
      </c>
      <c r="D21" s="44">
        <f>IFERROR(__xludf.DUMMYFUNCTION("COUNTA(UNIQUE(TRANSPOSE(SPLIT(C21, "", ""))))
"),2.0)</f>
        <v>2</v>
      </c>
      <c r="E21" s="47" t="str">
        <f>IF(D21="", "", TEXT((D21 / 'Main Report'!$E$7), "0.00%"))
</f>
        <v>2.22%</v>
      </c>
      <c r="F21" s="43" t="str">
        <f>IFERROR(__xludf.DUMMYFUNCTION("IF(C21="""", """", 
   TEXTJOIN("", "", TRUE, 
      ""High: "" &amp; COUNTIF(FILTER('Main Report'!K30:K1019, ISNUMBER(MATCH('Main Report'!A30:A1019, SPLIT(C21, "", ""), 0))), ""High"") &amp; CHAR(10) &amp;
      ""Medium: "" &amp; COUNTIF(FILTER('Main Report'!K30:K1019,"&amp;" ISNUMBER(MATCH('Main Report'!A30:A1019, SPLIT(C21, "", ""), 0))), ""Medium"") &amp; CHAR(10) &amp;
      ""Low: "" &amp; COUNTIF(FILTER('Main Report'!K30:K1019, ISNUMBER(MATCH('Main Report'!A30:A1019, SPLIT(C21, "", ""), 0))), ""Low"")
   )
)
"),"High: 0
Medium: 0
Low: 2")</f>
        <v>High: 0
Medium: 0
Low: 2</v>
      </c>
      <c r="G21" s="30"/>
      <c r="H21" s="30"/>
      <c r="I21" s="30"/>
      <c r="J21" s="30"/>
      <c r="K21" s="30"/>
      <c r="L21" s="30"/>
      <c r="M21" s="30"/>
      <c r="N21" s="30"/>
      <c r="O21" s="30"/>
      <c r="P21" s="30"/>
      <c r="Q21" s="30"/>
      <c r="R21" s="30"/>
      <c r="S21" s="30"/>
      <c r="T21" s="30"/>
      <c r="U21" s="30"/>
      <c r="V21" s="30"/>
      <c r="W21" s="30"/>
      <c r="X21" s="30"/>
      <c r="Y21" s="30"/>
      <c r="Z21" s="30"/>
      <c r="AA21" s="30"/>
    </row>
    <row r="22">
      <c r="A22" s="47" t="str">
        <f>IFERROR(__xludf.DUMMYFUNCTION("""COMPUTED_VALUE"""),"Pet Hotel")</f>
        <v>Pet Hotel</v>
      </c>
      <c r="B22" s="47" t="str">
        <f>IFERROR(__xludf.DUMMYFUNCTION("""COMPUTED_VALUE"""),"Pet Hotel")</f>
        <v>Pet Hotel</v>
      </c>
      <c r="C22" s="47" t="str">
        <f>IFERROR(__xludf.DUMMYFUNCTION("TEXTJOIN("", "", TRUE, 
  FILTER('Main Report'!A31:A120, 
    ('Main Report'!B31:B120=A22) * ('Main Report'!C31:C120=B22)
  )
)
"),"BR-072, BR-073, BR-074, BR-075, BR-076, BR-077")</f>
        <v>BR-072, BR-073, BR-074, BR-075, BR-076, BR-077</v>
      </c>
      <c r="D22" s="44">
        <f>IFERROR(__xludf.DUMMYFUNCTION("COUNTA(UNIQUE(TRANSPOSE(SPLIT(C22, "", ""))))
"),6.0)</f>
        <v>6</v>
      </c>
      <c r="E22" s="47" t="str">
        <f>IF(D22="", "", TEXT((D22 / 'Main Report'!$E$7), "0.00%"))
</f>
        <v>6.67%</v>
      </c>
      <c r="F22" s="43" t="str">
        <f>IFERROR(__xludf.DUMMYFUNCTION("IF(C22="""", """", 
   TEXTJOIN("", "", TRUE, 
      ""High: "" &amp; COUNTIF(FILTER('Main Report'!K31:K1020, ISNUMBER(MATCH('Main Report'!A31:A1020, SPLIT(C22, "", ""), 0))), ""High"") &amp; CHAR(10) &amp;
      ""Medium: "" &amp; COUNTIF(FILTER('Main Report'!K31:K1020,"&amp;" ISNUMBER(MATCH('Main Report'!A31:A1020, SPLIT(C22, "", ""), 0))), ""Medium"") &amp; CHAR(10) &amp;
      ""Low: "" &amp; COUNTIF(FILTER('Main Report'!K31:K1020, ISNUMBER(MATCH('Main Report'!A31:A1020, SPLIT(C22, "", ""), 0))), ""Low"")
   )
)
"),"High: 2
Medium: 3
Low: 1")</f>
        <v>High: 2
Medium: 3
Low: 1</v>
      </c>
      <c r="G22" s="30"/>
      <c r="H22" s="30"/>
      <c r="I22" s="30"/>
      <c r="J22" s="30"/>
      <c r="K22" s="30"/>
      <c r="L22" s="30"/>
      <c r="M22" s="30"/>
      <c r="N22" s="30"/>
      <c r="O22" s="30"/>
      <c r="P22" s="30"/>
      <c r="Q22" s="30"/>
      <c r="R22" s="30"/>
      <c r="S22" s="30"/>
      <c r="T22" s="30"/>
      <c r="U22" s="30"/>
      <c r="V22" s="30"/>
      <c r="W22" s="30"/>
      <c r="X22" s="30"/>
      <c r="Y22" s="30"/>
      <c r="Z22" s="30"/>
      <c r="AA22" s="30"/>
    </row>
    <row r="23">
      <c r="A23" s="47" t="str">
        <f>IFERROR(__xludf.DUMMYFUNCTION("""COMPUTED_VALUE"""),"QR")</f>
        <v>QR</v>
      </c>
      <c r="B23" s="47" t="str">
        <f>IFERROR(__xludf.DUMMYFUNCTION("""COMPUTED_VALUE"""),"QR")</f>
        <v>QR</v>
      </c>
      <c r="C23" s="47" t="str">
        <f>IFERROR(__xludf.DUMMYFUNCTION("TEXTJOIN("", "", TRUE, 
  FILTER('Main Report'!A32:A121, 
    ('Main Report'!B32:B121=A23) * ('Main Report'!C32:C121=B23)
  )
)
"),"BR-078")</f>
        <v>BR-078</v>
      </c>
      <c r="D23" s="44">
        <f>IFERROR(__xludf.DUMMYFUNCTION("COUNTA(UNIQUE(TRANSPOSE(SPLIT(C23, "", ""))))
"),1.0)</f>
        <v>1</v>
      </c>
      <c r="E23" s="47" t="str">
        <f>IF(D23="", "", TEXT((D23 / 'Main Report'!$E$7), "0.00%"))
</f>
        <v>1.11%</v>
      </c>
      <c r="F23" s="43" t="str">
        <f>IFERROR(__xludf.DUMMYFUNCTION("IF(C23="""", """", 
   TEXTJOIN("", "", TRUE, 
      ""High: "" &amp; COUNTIF(FILTER('Main Report'!K32:K1021, ISNUMBER(MATCH('Main Report'!A32:A1021, SPLIT(C23, "", ""), 0))), ""High"") &amp; CHAR(10) &amp;
      ""Medium: "" &amp; COUNTIF(FILTER('Main Report'!K32:K1021,"&amp;" ISNUMBER(MATCH('Main Report'!A32:A1021, SPLIT(C23, "", ""), 0))), ""Medium"") &amp; CHAR(10) &amp;
      ""Low: "" &amp; COUNTIF(FILTER('Main Report'!K32:K1021, ISNUMBER(MATCH('Main Report'!A32:A1021, SPLIT(C23, "", ""), 0))), ""Low"")
   )
)
"),"High: 0
Medium: 1
Low: 0")</f>
        <v>High: 0
Medium: 1
Low: 0</v>
      </c>
      <c r="G23" s="30"/>
      <c r="H23" s="30"/>
      <c r="I23" s="30"/>
      <c r="J23" s="30"/>
      <c r="K23" s="30"/>
      <c r="L23" s="30"/>
      <c r="M23" s="30"/>
      <c r="N23" s="30"/>
      <c r="O23" s="30"/>
      <c r="P23" s="30"/>
      <c r="Q23" s="30"/>
      <c r="R23" s="30"/>
      <c r="S23" s="30"/>
      <c r="T23" s="30"/>
      <c r="U23" s="30"/>
      <c r="V23" s="30"/>
      <c r="W23" s="30"/>
      <c r="X23" s="30"/>
      <c r="Y23" s="30"/>
      <c r="Z23" s="30"/>
      <c r="AA23" s="30"/>
    </row>
    <row r="24">
      <c r="A24" s="47" t="str">
        <f>IFERROR(__xludf.DUMMYFUNCTION("""COMPUTED_VALUE"""),"Shorts")</f>
        <v>Shorts</v>
      </c>
      <c r="B24" s="47" t="str">
        <f>IFERROR(__xludf.DUMMYFUNCTION("""COMPUTED_VALUE"""),"Comment")</f>
        <v>Comment</v>
      </c>
      <c r="C24" s="47" t="str">
        <f>IFERROR(__xludf.DUMMYFUNCTION("TEXTJOIN("", "", TRUE, 
  FILTER('Main Report'!A33:A122, 
    ('Main Report'!B33:B122=A24) * ('Main Report'!C33:C122=B24)
  )
)
"),"BR-079")</f>
        <v>BR-079</v>
      </c>
      <c r="D24" s="44">
        <f>IFERROR(__xludf.DUMMYFUNCTION("COUNTA(UNIQUE(TRANSPOSE(SPLIT(C24, "", ""))))
"),1.0)</f>
        <v>1</v>
      </c>
      <c r="E24" s="47" t="str">
        <f>IF(D24="", "", TEXT((D24 / 'Main Report'!$E$7), "0.00%"))
</f>
        <v>1.11%</v>
      </c>
      <c r="F24" s="46" t="str">
        <f>IFERROR(__xludf.DUMMYFUNCTION("IF(C24="""", """", 
   TEXTJOIN("", "", TRUE, 
      ""High: "" &amp; COUNTIF(FILTER('Main Report'!K33:K122, ISNUMBER(MATCH('Main Report'!A33:A122, SPLIT(C24, "", ""), 0))), ""High"") &amp; CHAR(10) &amp;
      ""Medium: "" &amp; COUNTIF(FILTER('Main Report'!K33:K122, IS"&amp;"NUMBER(MATCH('Main Report'!A33:A122, SPLIT(C24, "", ""), 0))), ""Medium"") &amp; CHAR(10) &amp;
      ""Low: "" &amp; COUNTIF(FILTER('Main Report'!K33:K122, ISNUMBER(MATCH('Main Report'!A33:A122, SPLIT(C24, "", ""), 0))), ""Low"")
   )
)
"),"High: 1
Medium: 0
Low: 0")</f>
        <v>High: 1
Medium: 0
Low: 0</v>
      </c>
      <c r="G24" s="30"/>
      <c r="H24" s="30"/>
      <c r="I24" s="30"/>
      <c r="J24" s="30"/>
      <c r="K24" s="30"/>
      <c r="L24" s="30"/>
      <c r="M24" s="30"/>
      <c r="N24" s="30"/>
      <c r="O24" s="30"/>
      <c r="P24" s="30"/>
      <c r="Q24" s="30"/>
      <c r="R24" s="30"/>
      <c r="S24" s="30"/>
      <c r="T24" s="30"/>
      <c r="U24" s="30"/>
      <c r="V24" s="30"/>
      <c r="W24" s="30"/>
      <c r="X24" s="30"/>
      <c r="Y24" s="30"/>
      <c r="Z24" s="30"/>
      <c r="AA24" s="30"/>
    </row>
    <row r="25">
      <c r="A25" s="47" t="str">
        <f>IFERROR(__xludf.DUMMYFUNCTION("""COMPUTED_VALUE"""),"Shorts")</f>
        <v>Shorts</v>
      </c>
      <c r="B25" s="47" t="str">
        <f>IFERROR(__xludf.DUMMYFUNCTION("""COMPUTED_VALUE"""),"Like")</f>
        <v>Like</v>
      </c>
      <c r="C25" s="47" t="str">
        <f>IFERROR(__xludf.DUMMYFUNCTION("TEXTJOIN("", "", TRUE, 
  FILTER('Main Report'!A34:A123, 
    ('Main Report'!B34:B123=A25) * ('Main Report'!C34:C123=B25)
  )
)
"),"BR-080")</f>
        <v>BR-080</v>
      </c>
      <c r="D25" s="44">
        <f>IFERROR(__xludf.DUMMYFUNCTION("COUNTA(UNIQUE(TRANSPOSE(SPLIT(C25, "", ""))))
"),1.0)</f>
        <v>1</v>
      </c>
      <c r="E25" s="47" t="str">
        <f>IF(D25="", "", TEXT((D25 / 'Main Report'!$E$7), "0.00%"))
</f>
        <v>1.11%</v>
      </c>
      <c r="F25" s="46" t="str">
        <f>IFERROR(__xludf.DUMMYFUNCTION("IF(C25="""", """", 
   TEXTJOIN("", "", TRUE, 
      ""High: "" &amp; COUNTIF(FILTER('Main Report'!K34:K123, ISNUMBER(MATCH('Main Report'!A34:A123, SPLIT(C25, "", ""), 0))), ""High"") &amp; CHAR(10) &amp;
      ""Medium: "" &amp; COUNTIF(FILTER('Main Report'!K34:K123, IS"&amp;"NUMBER(MATCH('Main Report'!A34:A123, SPLIT(C25, "", ""), 0))), ""Medium"") &amp; CHAR(10) &amp;
      ""Low: "" &amp; COUNTIF(FILTER('Main Report'!K34:K123, ISNUMBER(MATCH('Main Report'!A34:A123, SPLIT(C25, "", ""), 0))), ""Low"")
   )
)
"),"High: 1
Medium: 0
Low: 0")</f>
        <v>High: 1
Medium: 0
Low: 0</v>
      </c>
      <c r="G25" s="30"/>
      <c r="H25" s="30"/>
      <c r="I25" s="30"/>
      <c r="J25" s="30"/>
      <c r="K25" s="30"/>
      <c r="L25" s="30"/>
      <c r="M25" s="30"/>
      <c r="N25" s="30"/>
      <c r="O25" s="30"/>
      <c r="P25" s="30"/>
      <c r="Q25" s="30"/>
      <c r="R25" s="30"/>
      <c r="S25" s="30"/>
      <c r="T25" s="30"/>
      <c r="U25" s="30"/>
      <c r="V25" s="30"/>
      <c r="W25" s="30"/>
      <c r="X25" s="30"/>
      <c r="Y25" s="30"/>
      <c r="Z25" s="30"/>
      <c r="AA25" s="30"/>
    </row>
    <row r="26">
      <c r="A26" s="47" t="str">
        <f>IFERROR(__xludf.DUMMYFUNCTION("""COMPUTED_VALUE"""),"Shorts")</f>
        <v>Shorts</v>
      </c>
      <c r="B26" s="47" t="str">
        <f>IFERROR(__xludf.DUMMYFUNCTION("""COMPUTED_VALUE"""),"Shorts")</f>
        <v>Shorts</v>
      </c>
      <c r="C26" s="47" t="str">
        <f>IFERROR(__xludf.DUMMYFUNCTION("TEXTJOIN("", "", TRUE, 
  FILTER('Main Report'!A35:A124, 
    ('Main Report'!B35:B124=A26) * ('Main Report'!C35:C124=B26)
  )
)
"),"BR-081")</f>
        <v>BR-081</v>
      </c>
      <c r="D26" s="44">
        <f>IFERROR(__xludf.DUMMYFUNCTION("COUNTA(UNIQUE(TRANSPOSE(SPLIT(C26, "", ""))))
"),1.0)</f>
        <v>1</v>
      </c>
      <c r="E26" s="47" t="str">
        <f>IF(D26="", "", TEXT((D26 / 'Main Report'!$E$7), "0.00%"))
</f>
        <v>1.11%</v>
      </c>
      <c r="F26" s="46" t="str">
        <f>IFERROR(__xludf.DUMMYFUNCTION("IF(C26="""", """", 
   TEXTJOIN("", "", TRUE, 
      ""High: "" &amp; COUNTIF(FILTER('Main Report'!K35:K124, ISNUMBER(MATCH('Main Report'!A35:A124, SPLIT(C26, "", ""), 0))), ""High"") &amp; CHAR(10) &amp;
      ""Medium: "" &amp; COUNTIF(FILTER('Main Report'!K35:K124, IS"&amp;"NUMBER(MATCH('Main Report'!A35:A124, SPLIT(C26, "", ""), 0))), ""Medium"") &amp; CHAR(10) &amp;
      ""Low: "" &amp; COUNTIF(FILTER('Main Report'!K35:K124, ISNUMBER(MATCH('Main Report'!A35:A124, SPLIT(C26, "", ""), 0))), ""Low"")
   )
)
"),"High: 0
Medium: 1
Low: 0")</f>
        <v>High: 0
Medium: 1
Low: 0</v>
      </c>
      <c r="G26" s="30"/>
      <c r="H26" s="30"/>
      <c r="I26" s="30"/>
      <c r="J26" s="30"/>
      <c r="K26" s="30"/>
      <c r="L26" s="30"/>
      <c r="M26" s="30"/>
      <c r="N26" s="30"/>
      <c r="O26" s="30"/>
      <c r="P26" s="30"/>
      <c r="Q26" s="30"/>
      <c r="R26" s="30"/>
      <c r="S26" s="30"/>
      <c r="T26" s="30"/>
      <c r="U26" s="30"/>
      <c r="V26" s="30"/>
      <c r="W26" s="30"/>
      <c r="X26" s="30"/>
      <c r="Y26" s="30"/>
      <c r="Z26" s="30"/>
      <c r="AA26" s="30"/>
    </row>
    <row r="27">
      <c r="A27" s="47" t="str">
        <f>IFERROR(__xludf.DUMMYFUNCTION("""COMPUTED_VALUE"""),"Shorts")</f>
        <v>Shorts</v>
      </c>
      <c r="B27" s="47" t="str">
        <f>IFERROR(__xludf.DUMMYFUNCTION("""COMPUTED_VALUE"""),"Upload")</f>
        <v>Upload</v>
      </c>
      <c r="C27" s="47" t="str">
        <f>IFERROR(__xludf.DUMMYFUNCTION("TEXTJOIN("", "", TRUE, 
  FILTER('Main Report'!A36:A125, 
    ('Main Report'!B36:B125=A27) * ('Main Report'!C36:C125=B27)
  )
)
"),"BR-082")</f>
        <v>BR-082</v>
      </c>
      <c r="D27" s="44">
        <f>IFERROR(__xludf.DUMMYFUNCTION("COUNTA(UNIQUE(TRANSPOSE(SPLIT(C27, "", ""))))
"),1.0)</f>
        <v>1</v>
      </c>
      <c r="E27" s="47" t="str">
        <f>IF(D27="", "", TEXT((D27 / 'Main Report'!$E$7), "0.00%"))
</f>
        <v>1.11%</v>
      </c>
      <c r="F27" s="46" t="str">
        <f>IFERROR(__xludf.DUMMYFUNCTION("IF(C27="""", """", 
   TEXTJOIN("", "", TRUE, 
      ""High: "" &amp; COUNTIF(FILTER('Main Report'!K36:K125, ISNUMBER(MATCH('Main Report'!A36:A125, SPLIT(C27, "", ""), 0))), ""High"") &amp; CHAR(10) &amp;
      ""Medium: "" &amp; COUNTIF(FILTER('Main Report'!K36:K125, IS"&amp;"NUMBER(MATCH('Main Report'!A36:A125, SPLIT(C27, "", ""), 0))), ""Medium"") &amp; CHAR(10) &amp;
      ""Low: "" &amp; COUNTIF(FILTER('Main Report'!K36:K125, ISNUMBER(MATCH('Main Report'!A36:A125, SPLIT(C27, "", ""), 0))), ""Low"")
   )
)
"),"High: 1
Medium: 0
Low: 0")</f>
        <v>High: 1
Medium: 0
Low: 0</v>
      </c>
      <c r="G27" s="30"/>
      <c r="H27" s="30"/>
      <c r="I27" s="30"/>
      <c r="J27" s="30"/>
      <c r="K27" s="30"/>
      <c r="L27" s="30"/>
      <c r="M27" s="30"/>
      <c r="N27" s="30"/>
      <c r="O27" s="30"/>
      <c r="P27" s="30"/>
      <c r="Q27" s="30"/>
      <c r="R27" s="30"/>
      <c r="S27" s="30"/>
      <c r="T27" s="30"/>
      <c r="U27" s="30"/>
      <c r="V27" s="30"/>
      <c r="W27" s="30"/>
      <c r="X27" s="30"/>
      <c r="Y27" s="30"/>
      <c r="Z27" s="30"/>
      <c r="AA27" s="30"/>
    </row>
    <row r="28">
      <c r="A28" s="47" t="str">
        <f>IFERROR(__xludf.DUMMYFUNCTION("""COMPUTED_VALUE"""),"Story")</f>
        <v>Story</v>
      </c>
      <c r="B28" s="47" t="str">
        <f>IFERROR(__xludf.DUMMYFUNCTION("""COMPUTED_VALUE"""),"Story")</f>
        <v>Story</v>
      </c>
      <c r="C28" s="47" t="str">
        <f>IFERROR(__xludf.DUMMYFUNCTION("TEXTJOIN("", "", TRUE, 
  FILTER('Main Report'!A37:A126, 
    ('Main Report'!B37:B126=A28) * ('Main Report'!C37:C126=B28)
  )
)
"),"BR-083, BR-084, BR-085, BR-086, BR-087, BR-088, BR-089, BR-090")</f>
        <v>BR-083, BR-084, BR-085, BR-086, BR-087, BR-088, BR-089, BR-090</v>
      </c>
      <c r="D28" s="44">
        <f>IFERROR(__xludf.DUMMYFUNCTION("COUNTA(UNIQUE(TRANSPOSE(SPLIT(C28, "", ""))))
"),8.0)</f>
        <v>8</v>
      </c>
      <c r="E28" s="47" t="str">
        <f>IF(D28="", "", TEXT((D28 / 'Main Report'!$E$7), "0.00%"))
</f>
        <v>8.89%</v>
      </c>
      <c r="F28" s="46" t="str">
        <f>IFERROR(__xludf.DUMMYFUNCTION("IF(C28="""", """", 
   TEXTJOIN("", "", TRUE, 
      ""High: "" &amp; COUNTIF(FILTER('Main Report'!K37:K126, ISNUMBER(MATCH('Main Report'!A37:A126, SPLIT(C28, "", ""), 0))), ""High"") &amp; CHAR(10) &amp;
      ""Medium: "" &amp; COUNTIF(FILTER('Main Report'!K37:K126, IS"&amp;"NUMBER(MATCH('Main Report'!A37:A126, SPLIT(C28, "", ""), 0))), ""Medium"") &amp; CHAR(10) &amp;
      ""Low: "" &amp; COUNTIF(FILTER('Main Report'!K37:K126, ISNUMBER(MATCH('Main Report'!A37:A126, SPLIT(C28, "", ""), 0))), ""Low"")
   )
)
"),"High: 6
Medium: 2
Low: 0")</f>
        <v>High: 6
Medium: 2
Low: 0</v>
      </c>
      <c r="G28" s="30"/>
      <c r="H28" s="30"/>
      <c r="I28" s="30"/>
      <c r="J28" s="30"/>
      <c r="K28" s="30"/>
      <c r="L28" s="30"/>
      <c r="M28" s="30"/>
      <c r="N28" s="30"/>
      <c r="O28" s="30"/>
      <c r="P28" s="30"/>
      <c r="Q28" s="30"/>
      <c r="R28" s="30"/>
      <c r="S28" s="30"/>
      <c r="T28" s="30"/>
      <c r="U28" s="30"/>
      <c r="V28" s="30"/>
      <c r="W28" s="30"/>
      <c r="X28" s="30"/>
      <c r="Y28" s="30"/>
      <c r="Z28" s="30"/>
      <c r="AA28" s="30"/>
    </row>
    <row r="29">
      <c r="A29" s="47"/>
      <c r="B29" s="47"/>
      <c r="C29" s="47" t="str">
        <f>IFERROR(__xludf.DUMMYFUNCTION("TEXTJOIN("", "", TRUE, 
  FILTER('Main Report'!A38:A127, 
    ('Main Report'!B38:B127=A29) * ('Main Report'!C38:C127=B29)
  )
)
"),"")</f>
        <v/>
      </c>
      <c r="D29" s="44"/>
      <c r="E29" s="47"/>
      <c r="F29" s="46" t="str">
        <f>IFERROR(__xludf.DUMMYFUNCTION("IF(C29="""", """", 
   TEXTJOIN("", "", TRUE, 
      ""High: "" &amp; COUNTIF(FILTER('Main Report'!K38:K127, ISNUMBER(MATCH('Main Report'!A38:A127, SPLIT(C29, "", ""), 0))), ""High"") &amp; CHAR(10) &amp;
      ""Medium: "" &amp; COUNTIF(FILTER('Main Report'!K38:K127, IS"&amp;"NUMBER(MATCH('Main Report'!A38:A127, SPLIT(C29, "", ""), 0))), ""Medium"") &amp; CHAR(10) &amp;
      ""Low: "" &amp; COUNTIF(FILTER('Main Report'!K38:K127, ISNUMBER(MATCH('Main Report'!A38:A127, SPLIT(C29, "", ""), 0))), ""Low"")
   )
)
"),"")</f>
        <v/>
      </c>
      <c r="G29" s="30"/>
      <c r="H29" s="30"/>
      <c r="I29" s="30"/>
      <c r="J29" s="30"/>
      <c r="K29" s="30"/>
      <c r="L29" s="30"/>
      <c r="M29" s="30"/>
      <c r="N29" s="30"/>
      <c r="O29" s="30"/>
      <c r="P29" s="30"/>
      <c r="Q29" s="30"/>
      <c r="R29" s="30"/>
      <c r="S29" s="30"/>
      <c r="T29" s="30"/>
      <c r="U29" s="30"/>
      <c r="V29" s="30"/>
      <c r="W29" s="30"/>
      <c r="X29" s="30"/>
      <c r="Y29" s="30"/>
      <c r="Z29" s="30"/>
      <c r="AA29" s="30"/>
    </row>
    <row r="30">
      <c r="A30" s="47"/>
      <c r="B30" s="47"/>
      <c r="C30" s="47" t="str">
        <f>IFERROR(__xludf.DUMMYFUNCTION("TEXTJOIN("", "", TRUE, 
  FILTER('Main Report'!A39:A128, 
    ('Main Report'!B39:B128=A30) * ('Main Report'!C39:C128=B30)
  )
)
"),"")</f>
        <v/>
      </c>
      <c r="D30" s="44"/>
      <c r="E30" s="47"/>
      <c r="F30" s="46" t="str">
        <f>IFERROR(__xludf.DUMMYFUNCTION("IF(C30="""", """", 
   TEXTJOIN("", "", TRUE, 
      ""High: "" &amp; COUNTIF(FILTER('Main Report'!K39:K128, ISNUMBER(MATCH('Main Report'!A39:A128, SPLIT(C30, "", ""), 0))), ""High"") &amp; CHAR(10) &amp;
      ""Medium: "" &amp; COUNTIF(FILTER('Main Report'!K39:K128, IS"&amp;"NUMBER(MATCH('Main Report'!A39:A128, SPLIT(C30, "", ""), 0))), ""Medium"") &amp; CHAR(10) &amp;
      ""Low: "" &amp; COUNTIF(FILTER('Main Report'!K39:K128, ISNUMBER(MATCH('Main Report'!A39:A128, SPLIT(C30, "", ""), 0))), ""Low"")
   )
)
"),"")</f>
        <v/>
      </c>
      <c r="G30" s="30"/>
      <c r="H30" s="30"/>
      <c r="I30" s="30"/>
      <c r="J30" s="30"/>
      <c r="K30" s="30"/>
      <c r="L30" s="30"/>
      <c r="M30" s="30"/>
      <c r="N30" s="30"/>
      <c r="O30" s="30"/>
      <c r="P30" s="30"/>
      <c r="Q30" s="30"/>
      <c r="R30" s="30"/>
      <c r="S30" s="30"/>
      <c r="T30" s="30"/>
      <c r="U30" s="30"/>
      <c r="V30" s="30"/>
      <c r="W30" s="30"/>
      <c r="X30" s="30"/>
      <c r="Y30" s="30"/>
      <c r="Z30" s="30"/>
      <c r="AA30" s="30"/>
    </row>
    <row r="31">
      <c r="A31" s="47"/>
      <c r="B31" s="47"/>
      <c r="C31" s="47" t="str">
        <f>IFERROR(__xludf.DUMMYFUNCTION("TEXTJOIN("", "", TRUE, 
  FILTER('Main Report'!A40:A129, 
    ('Main Report'!B40:B129=A31) * ('Main Report'!C40:C129=B31)
  )
)
"),"")</f>
        <v/>
      </c>
      <c r="D31" s="44"/>
      <c r="E31" s="47"/>
      <c r="F31" s="46" t="str">
        <f>IFERROR(__xludf.DUMMYFUNCTION("IF(C31="""", """", 
   TEXTJOIN("", "", TRUE, 
      ""High: "" &amp; COUNTIF(FILTER('Main Report'!K40:K129, ISNUMBER(MATCH('Main Report'!A40:A129, SPLIT(C31, "", ""), 0))), ""High"") &amp; CHAR(10) &amp;
      ""Medium: "" &amp; COUNTIF(FILTER('Main Report'!K40:K129, IS"&amp;"NUMBER(MATCH('Main Report'!A40:A129, SPLIT(C31, "", ""), 0))), ""Medium"") &amp; CHAR(10) &amp;
      ""Low: "" &amp; COUNTIF(FILTER('Main Report'!K40:K129, ISNUMBER(MATCH('Main Report'!A40:A129, SPLIT(C31, "", ""), 0))), ""Low"")
   )
)
"),"")</f>
        <v/>
      </c>
      <c r="G31" s="30"/>
      <c r="H31" s="30"/>
      <c r="I31" s="30"/>
      <c r="J31" s="30"/>
      <c r="K31" s="30"/>
      <c r="L31" s="30"/>
      <c r="M31" s="30"/>
      <c r="N31" s="30"/>
      <c r="O31" s="30"/>
      <c r="P31" s="30"/>
      <c r="Q31" s="30"/>
      <c r="R31" s="30"/>
      <c r="S31" s="30"/>
      <c r="T31" s="30"/>
      <c r="U31" s="30"/>
      <c r="V31" s="30"/>
      <c r="W31" s="30"/>
      <c r="X31" s="30"/>
      <c r="Y31" s="30"/>
      <c r="Z31" s="30"/>
      <c r="AA31" s="30"/>
    </row>
    <row r="32">
      <c r="A32" s="47"/>
      <c r="B32" s="47"/>
      <c r="C32" s="47" t="str">
        <f>IFERROR(__xludf.DUMMYFUNCTION("TEXTJOIN("", "", TRUE, 
  FILTER('Main Report'!A41:A130, 
    ('Main Report'!B41:B130=A32) * ('Main Report'!C41:C130=B32)
  )
)
"),"")</f>
        <v/>
      </c>
      <c r="D32" s="44"/>
      <c r="E32" s="47"/>
      <c r="F32" s="46" t="str">
        <f>IFERROR(__xludf.DUMMYFUNCTION("IF(C32="""", """", 
   TEXTJOIN("", "", TRUE, 
      ""High: "" &amp; COUNTIF(FILTER('Main Report'!K41:K130, ISNUMBER(MATCH('Main Report'!A41:A130, SPLIT(C32, "", ""), 0))), ""High"") &amp; CHAR(10) &amp;
      ""Medium: "" &amp; COUNTIF(FILTER('Main Report'!K41:K130, IS"&amp;"NUMBER(MATCH('Main Report'!A41:A130, SPLIT(C32, "", ""), 0))), ""Medium"") &amp; CHAR(10) &amp;
      ""Low: "" &amp; COUNTIF(FILTER('Main Report'!K41:K130, ISNUMBER(MATCH('Main Report'!A41:A130, SPLIT(C32, "", ""), 0))), ""Low"")
   )
)
"),"")</f>
        <v/>
      </c>
      <c r="G32" s="30"/>
      <c r="H32" s="30"/>
      <c r="I32" s="30"/>
      <c r="J32" s="30"/>
      <c r="K32" s="30"/>
      <c r="L32" s="30"/>
      <c r="M32" s="30"/>
      <c r="N32" s="30"/>
      <c r="O32" s="30"/>
      <c r="P32" s="30"/>
      <c r="Q32" s="30"/>
      <c r="R32" s="30"/>
      <c r="S32" s="30"/>
      <c r="T32" s="30"/>
      <c r="U32" s="30"/>
      <c r="V32" s="30"/>
      <c r="W32" s="30"/>
      <c r="X32" s="30"/>
      <c r="Y32" s="30"/>
      <c r="Z32" s="30"/>
      <c r="AA32" s="30"/>
    </row>
    <row r="33">
      <c r="A33" s="47"/>
      <c r="B33" s="47"/>
      <c r="C33" s="47" t="str">
        <f>IFERROR(__xludf.DUMMYFUNCTION("TEXTJOIN("", "", TRUE, 
  FILTER('Main Report'!A42:A131, 
    ('Main Report'!B42:B131=A33) * ('Main Report'!C42:C131=B33)
  )
)
"),"")</f>
        <v/>
      </c>
      <c r="D33" s="47"/>
      <c r="E33" s="47"/>
      <c r="F33" s="47"/>
      <c r="G33" s="30"/>
      <c r="H33" s="30"/>
      <c r="I33" s="30"/>
      <c r="J33" s="30"/>
      <c r="K33" s="30"/>
      <c r="L33" s="30"/>
      <c r="M33" s="30"/>
      <c r="N33" s="30"/>
      <c r="O33" s="30"/>
      <c r="P33" s="30"/>
      <c r="Q33" s="30"/>
      <c r="R33" s="30"/>
      <c r="S33" s="30"/>
      <c r="T33" s="30"/>
      <c r="U33" s="30"/>
      <c r="V33" s="30"/>
      <c r="W33" s="30"/>
      <c r="X33" s="30"/>
      <c r="Y33" s="30"/>
      <c r="Z33" s="30"/>
      <c r="AA33" s="30"/>
    </row>
    <row r="34">
      <c r="A34" s="47"/>
      <c r="B34" s="47"/>
      <c r="C34" s="47"/>
      <c r="D34" s="47"/>
      <c r="E34" s="47"/>
      <c r="F34" s="47"/>
      <c r="G34" s="30"/>
      <c r="H34" s="30"/>
      <c r="I34" s="30"/>
      <c r="J34" s="30"/>
      <c r="K34" s="30"/>
      <c r="L34" s="30"/>
      <c r="M34" s="30"/>
      <c r="N34" s="30"/>
      <c r="O34" s="30"/>
      <c r="P34" s="30"/>
      <c r="Q34" s="30"/>
      <c r="R34" s="30"/>
      <c r="S34" s="30"/>
      <c r="T34" s="30"/>
      <c r="U34" s="30"/>
      <c r="V34" s="30"/>
      <c r="W34" s="30"/>
      <c r="X34" s="30"/>
      <c r="Y34" s="30"/>
      <c r="Z34" s="30"/>
      <c r="AA34" s="30"/>
    </row>
    <row r="35">
      <c r="A35" s="47"/>
      <c r="B35" s="47"/>
      <c r="C35" s="47"/>
      <c r="D35" s="47"/>
      <c r="E35" s="47"/>
      <c r="F35" s="47"/>
      <c r="G35" s="30"/>
      <c r="H35" s="30"/>
      <c r="I35" s="30"/>
      <c r="J35" s="30"/>
      <c r="K35" s="30"/>
      <c r="L35" s="30"/>
      <c r="M35" s="30"/>
      <c r="N35" s="30"/>
      <c r="O35" s="30"/>
      <c r="P35" s="30"/>
      <c r="Q35" s="30"/>
      <c r="R35" s="30"/>
      <c r="S35" s="30"/>
      <c r="T35" s="30"/>
      <c r="U35" s="30"/>
      <c r="V35" s="30"/>
      <c r="W35" s="30"/>
      <c r="X35" s="30"/>
      <c r="Y35" s="30"/>
      <c r="Z35" s="30"/>
      <c r="AA35" s="30"/>
    </row>
    <row r="36">
      <c r="A36" s="47"/>
      <c r="B36" s="47"/>
      <c r="C36" s="47"/>
      <c r="D36" s="47"/>
      <c r="E36" s="47"/>
      <c r="F36" s="47"/>
      <c r="G36" s="30"/>
      <c r="H36" s="30"/>
      <c r="I36" s="30"/>
      <c r="J36" s="30"/>
      <c r="K36" s="30"/>
      <c r="L36" s="30"/>
      <c r="M36" s="30"/>
      <c r="N36" s="30"/>
      <c r="O36" s="30"/>
      <c r="P36" s="30"/>
      <c r="Q36" s="30"/>
      <c r="R36" s="30"/>
      <c r="S36" s="30"/>
      <c r="T36" s="30"/>
      <c r="U36" s="30"/>
      <c r="V36" s="30"/>
      <c r="W36" s="30"/>
      <c r="X36" s="30"/>
      <c r="Y36" s="30"/>
      <c r="Z36" s="30"/>
      <c r="AA36" s="30"/>
    </row>
    <row r="37">
      <c r="A37" s="47"/>
      <c r="B37" s="47"/>
      <c r="C37" s="47"/>
      <c r="D37" s="47"/>
      <c r="E37" s="47"/>
      <c r="F37" s="47"/>
      <c r="G37" s="30"/>
      <c r="H37" s="30"/>
      <c r="I37" s="30"/>
      <c r="J37" s="30"/>
      <c r="K37" s="30"/>
      <c r="L37" s="30"/>
      <c r="M37" s="30"/>
      <c r="N37" s="30"/>
      <c r="O37" s="30"/>
      <c r="P37" s="30"/>
      <c r="Q37" s="30"/>
      <c r="R37" s="30"/>
      <c r="S37" s="30"/>
      <c r="T37" s="30"/>
      <c r="U37" s="30"/>
      <c r="V37" s="30"/>
      <c r="W37" s="30"/>
      <c r="X37" s="30"/>
      <c r="Y37" s="30"/>
      <c r="Z37" s="30"/>
      <c r="AA37" s="30"/>
    </row>
    <row r="38">
      <c r="A38" s="47"/>
      <c r="B38" s="47"/>
      <c r="C38" s="47"/>
      <c r="D38" s="47"/>
      <c r="E38" s="47"/>
      <c r="F38" s="47"/>
      <c r="G38" s="30"/>
      <c r="H38" s="30"/>
      <c r="I38" s="30"/>
      <c r="J38" s="30"/>
      <c r="K38" s="30"/>
      <c r="L38" s="30"/>
      <c r="M38" s="30"/>
      <c r="N38" s="30"/>
      <c r="O38" s="30"/>
      <c r="P38" s="30"/>
      <c r="Q38" s="30"/>
      <c r="R38" s="30"/>
      <c r="S38" s="30"/>
      <c r="T38" s="30"/>
      <c r="U38" s="30"/>
      <c r="V38" s="30"/>
      <c r="W38" s="30"/>
      <c r="X38" s="30"/>
      <c r="Y38" s="30"/>
      <c r="Z38" s="30"/>
      <c r="AA38" s="30"/>
    </row>
    <row r="39">
      <c r="A39" s="47"/>
      <c r="B39" s="47"/>
      <c r="C39" s="47"/>
      <c r="D39" s="47"/>
      <c r="E39" s="47"/>
      <c r="F39" s="47"/>
      <c r="G39" s="30"/>
      <c r="H39" s="30"/>
      <c r="I39" s="30"/>
      <c r="J39" s="30"/>
      <c r="K39" s="30"/>
      <c r="L39" s="30"/>
      <c r="M39" s="30"/>
      <c r="N39" s="30"/>
      <c r="O39" s="30"/>
      <c r="P39" s="30"/>
      <c r="Q39" s="30"/>
      <c r="R39" s="30"/>
      <c r="S39" s="30"/>
      <c r="T39" s="30"/>
      <c r="U39" s="30"/>
      <c r="V39" s="30"/>
      <c r="W39" s="30"/>
      <c r="X39" s="30"/>
      <c r="Y39" s="30"/>
      <c r="Z39" s="30"/>
      <c r="AA39" s="30"/>
    </row>
    <row r="40">
      <c r="A40" s="47"/>
      <c r="B40" s="47"/>
      <c r="C40" s="47"/>
      <c r="D40" s="47"/>
      <c r="E40" s="47"/>
      <c r="F40" s="47"/>
      <c r="G40" s="30"/>
      <c r="H40" s="30"/>
      <c r="I40" s="30"/>
      <c r="J40" s="30"/>
      <c r="K40" s="30"/>
      <c r="L40" s="30"/>
      <c r="M40" s="30"/>
      <c r="N40" s="30"/>
      <c r="O40" s="30"/>
      <c r="P40" s="30"/>
      <c r="Q40" s="30"/>
      <c r="R40" s="30"/>
      <c r="S40" s="30"/>
      <c r="T40" s="30"/>
      <c r="U40" s="30"/>
      <c r="V40" s="30"/>
      <c r="W40" s="30"/>
      <c r="X40" s="30"/>
      <c r="Y40" s="30"/>
      <c r="Z40" s="30"/>
      <c r="AA40" s="30"/>
    </row>
    <row r="41">
      <c r="A41" s="47"/>
      <c r="B41" s="47"/>
      <c r="C41" s="47"/>
      <c r="D41" s="47"/>
      <c r="E41" s="47"/>
      <c r="F41" s="47"/>
      <c r="G41" s="30"/>
      <c r="H41" s="30"/>
      <c r="I41" s="30"/>
      <c r="J41" s="30"/>
      <c r="K41" s="30"/>
      <c r="L41" s="30"/>
      <c r="M41" s="30"/>
      <c r="N41" s="30"/>
      <c r="O41" s="30"/>
      <c r="P41" s="30"/>
      <c r="Q41" s="30"/>
      <c r="R41" s="30"/>
      <c r="S41" s="30"/>
      <c r="T41" s="30"/>
      <c r="U41" s="30"/>
      <c r="V41" s="30"/>
      <c r="W41" s="30"/>
      <c r="X41" s="30"/>
      <c r="Y41" s="30"/>
      <c r="Z41" s="30"/>
      <c r="AA41" s="30"/>
    </row>
    <row r="42">
      <c r="A42" s="47"/>
      <c r="B42" s="47"/>
      <c r="C42" s="47"/>
      <c r="D42" s="47"/>
      <c r="E42" s="47"/>
      <c r="F42" s="47"/>
      <c r="G42" s="30"/>
      <c r="H42" s="30"/>
      <c r="I42" s="30"/>
      <c r="J42" s="30"/>
      <c r="K42" s="30"/>
      <c r="L42" s="30"/>
      <c r="M42" s="30"/>
      <c r="N42" s="30"/>
      <c r="O42" s="30"/>
      <c r="P42" s="30"/>
      <c r="Q42" s="30"/>
      <c r="R42" s="30"/>
      <c r="S42" s="30"/>
      <c r="T42" s="30"/>
      <c r="U42" s="30"/>
      <c r="V42" s="30"/>
      <c r="W42" s="30"/>
      <c r="X42" s="30"/>
      <c r="Y42" s="30"/>
      <c r="Z42" s="30"/>
      <c r="AA42" s="30"/>
    </row>
    <row r="43">
      <c r="A43" s="47"/>
      <c r="B43" s="47"/>
      <c r="C43" s="47"/>
      <c r="D43" s="47"/>
      <c r="E43" s="47"/>
      <c r="F43" s="47"/>
      <c r="G43" s="30"/>
      <c r="H43" s="30"/>
      <c r="I43" s="30"/>
      <c r="J43" s="30"/>
      <c r="K43" s="30"/>
      <c r="L43" s="30"/>
      <c r="M43" s="30"/>
      <c r="N43" s="30"/>
      <c r="O43" s="30"/>
      <c r="P43" s="30"/>
      <c r="Q43" s="30"/>
      <c r="R43" s="30"/>
      <c r="S43" s="30"/>
      <c r="T43" s="30"/>
      <c r="U43" s="30"/>
      <c r="V43" s="30"/>
      <c r="W43" s="30"/>
      <c r="X43" s="30"/>
      <c r="Y43" s="30"/>
      <c r="Z43" s="30"/>
      <c r="AA43" s="30"/>
    </row>
    <row r="44">
      <c r="A44" s="47"/>
      <c r="B44" s="47"/>
      <c r="C44" s="47"/>
      <c r="D44" s="47"/>
      <c r="E44" s="47"/>
      <c r="F44" s="47"/>
      <c r="G44" s="30"/>
      <c r="H44" s="30"/>
      <c r="I44" s="30"/>
      <c r="J44" s="30"/>
      <c r="K44" s="30"/>
      <c r="L44" s="30"/>
      <c r="M44" s="30"/>
      <c r="N44" s="30"/>
      <c r="O44" s="30"/>
      <c r="P44" s="30"/>
      <c r="Q44" s="30"/>
      <c r="R44" s="30"/>
      <c r="S44" s="30"/>
      <c r="T44" s="30"/>
      <c r="U44" s="30"/>
      <c r="V44" s="30"/>
      <c r="W44" s="30"/>
      <c r="X44" s="30"/>
      <c r="Y44" s="30"/>
      <c r="Z44" s="30"/>
      <c r="AA44" s="30"/>
    </row>
    <row r="45">
      <c r="A45" s="47"/>
      <c r="B45" s="47"/>
      <c r="C45" s="47"/>
      <c r="D45" s="47"/>
      <c r="E45" s="47"/>
      <c r="F45" s="47"/>
      <c r="G45" s="30"/>
      <c r="H45" s="30"/>
      <c r="I45" s="30"/>
      <c r="J45" s="30"/>
      <c r="K45" s="30"/>
      <c r="L45" s="30"/>
      <c r="M45" s="30"/>
      <c r="N45" s="30"/>
      <c r="O45" s="30"/>
      <c r="P45" s="30"/>
      <c r="Q45" s="30"/>
      <c r="R45" s="30"/>
      <c r="S45" s="30"/>
      <c r="T45" s="30"/>
      <c r="U45" s="30"/>
      <c r="V45" s="30"/>
      <c r="W45" s="30"/>
      <c r="X45" s="30"/>
      <c r="Y45" s="30"/>
      <c r="Z45" s="30"/>
      <c r="AA45" s="30"/>
    </row>
    <row r="46">
      <c r="A46" s="47"/>
      <c r="B46" s="47"/>
      <c r="C46" s="47"/>
      <c r="D46" s="47"/>
      <c r="E46" s="47"/>
      <c r="F46" s="47"/>
      <c r="G46" s="30"/>
      <c r="H46" s="30"/>
      <c r="I46" s="30"/>
      <c r="J46" s="30"/>
      <c r="K46" s="30"/>
      <c r="L46" s="30"/>
      <c r="M46" s="30"/>
      <c r="N46" s="30"/>
      <c r="O46" s="30"/>
      <c r="P46" s="30"/>
      <c r="Q46" s="30"/>
      <c r="R46" s="30"/>
      <c r="S46" s="30"/>
      <c r="T46" s="30"/>
      <c r="U46" s="30"/>
      <c r="V46" s="30"/>
      <c r="W46" s="30"/>
      <c r="X46" s="30"/>
      <c r="Y46" s="30"/>
      <c r="Z46" s="30"/>
      <c r="AA46" s="30"/>
    </row>
    <row r="47">
      <c r="A47" s="47"/>
      <c r="B47" s="47"/>
      <c r="C47" s="47"/>
      <c r="D47" s="47"/>
      <c r="E47" s="47"/>
      <c r="F47" s="47"/>
      <c r="G47" s="30"/>
      <c r="H47" s="30"/>
      <c r="I47" s="30"/>
      <c r="J47" s="30"/>
      <c r="K47" s="30"/>
      <c r="L47" s="30"/>
      <c r="M47" s="30"/>
      <c r="N47" s="30"/>
      <c r="O47" s="30"/>
      <c r="P47" s="30"/>
      <c r="Q47" s="30"/>
      <c r="R47" s="30"/>
      <c r="S47" s="30"/>
      <c r="T47" s="30"/>
      <c r="U47" s="30"/>
      <c r="V47" s="30"/>
      <c r="W47" s="30"/>
      <c r="X47" s="30"/>
      <c r="Y47" s="30"/>
      <c r="Z47" s="30"/>
      <c r="AA47" s="30"/>
    </row>
    <row r="48">
      <c r="A48" s="47"/>
      <c r="B48" s="47"/>
      <c r="C48" s="47"/>
      <c r="D48" s="47"/>
      <c r="E48" s="47"/>
      <c r="F48" s="47"/>
      <c r="G48" s="30"/>
      <c r="H48" s="30"/>
      <c r="I48" s="30"/>
      <c r="J48" s="30"/>
      <c r="K48" s="30"/>
      <c r="L48" s="30"/>
      <c r="M48" s="30"/>
      <c r="N48" s="30"/>
      <c r="O48" s="30"/>
      <c r="P48" s="30"/>
      <c r="Q48" s="30"/>
      <c r="R48" s="30"/>
      <c r="S48" s="30"/>
      <c r="T48" s="30"/>
      <c r="U48" s="30"/>
      <c r="V48" s="30"/>
      <c r="W48" s="30"/>
      <c r="X48" s="30"/>
      <c r="Y48" s="30"/>
      <c r="Z48" s="30"/>
      <c r="AA48" s="30"/>
    </row>
    <row r="49">
      <c r="A49" s="47"/>
      <c r="B49" s="47"/>
      <c r="C49" s="47"/>
      <c r="D49" s="47"/>
      <c r="E49" s="47"/>
      <c r="F49" s="47"/>
      <c r="G49" s="30"/>
      <c r="H49" s="30"/>
      <c r="I49" s="30"/>
      <c r="J49" s="30"/>
      <c r="K49" s="30"/>
      <c r="L49" s="30"/>
      <c r="M49" s="30"/>
      <c r="N49" s="30"/>
      <c r="O49" s="30"/>
      <c r="P49" s="30"/>
      <c r="Q49" s="30"/>
      <c r="R49" s="30"/>
      <c r="S49" s="30"/>
      <c r="T49" s="30"/>
      <c r="U49" s="30"/>
      <c r="V49" s="30"/>
      <c r="W49" s="30"/>
      <c r="X49" s="30"/>
      <c r="Y49" s="30"/>
      <c r="Z49" s="30"/>
      <c r="AA49" s="30"/>
    </row>
    <row r="50">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row>
    <row r="5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row>
    <row r="52">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row>
    <row r="53">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row>
    <row r="54">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row>
    <row r="5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row>
    <row r="5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row>
    <row r="57">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row>
    <row r="58">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row>
    <row r="59">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row>
    <row r="60">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row>
    <row r="6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row>
    <row r="62">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row>
    <row r="63">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row>
    <row r="64">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row>
    <row r="6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row>
    <row r="982">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row>
    <row r="983">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row>
    <row r="984">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row>
    <row r="98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row>
    <row r="98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row>
    <row r="987">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row>
    <row r="988">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row>
    <row r="989">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row>
    <row r="990">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row>
    <row r="99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row>
    <row r="992">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row>
    <row r="993">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row>
    <row r="994">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row>
    <row r="995">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row>
    <row r="996">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row>
    <row r="997">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row>
    <row r="998">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row>
    <row r="999">
      <c r="A999" s="30"/>
      <c r="B999" s="30"/>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row>
    <row r="1000">
      <c r="A1000" s="30"/>
      <c r="B1000" s="30"/>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25"/>
    <col customWidth="1" min="2" max="2" width="19.5"/>
    <col customWidth="1" min="3" max="3" width="15.75"/>
    <col customWidth="1" min="4" max="4" width="21.63"/>
    <col customWidth="1" min="5" max="5" width="17.13"/>
    <col customWidth="1" min="6" max="6" width="23.13"/>
    <col customWidth="1" min="8" max="8" width="19.63"/>
    <col customWidth="1" min="9" max="9" width="15.88"/>
    <col customWidth="1" min="11" max="11" width="16.0"/>
    <col customWidth="1" min="12" max="12" width="16.5"/>
    <col customWidth="1" min="13" max="13" width="17.13"/>
    <col customWidth="1" min="14" max="14" width="14.13"/>
  </cols>
  <sheetData>
    <row r="1">
      <c r="A1" s="56"/>
      <c r="B1" s="56"/>
      <c r="C1" s="56"/>
      <c r="D1" s="56"/>
      <c r="E1" s="1"/>
      <c r="F1" s="1"/>
      <c r="G1" s="56"/>
      <c r="H1" s="56"/>
      <c r="I1" s="56"/>
      <c r="J1" s="56"/>
      <c r="K1" s="56"/>
      <c r="L1" s="56"/>
      <c r="M1" s="56"/>
      <c r="N1" s="56"/>
      <c r="O1" s="56"/>
      <c r="P1" s="56"/>
    </row>
    <row r="2">
      <c r="A2" s="57" t="s">
        <v>0</v>
      </c>
      <c r="B2" s="58"/>
      <c r="C2" s="56"/>
      <c r="D2" s="4" t="s">
        <v>2</v>
      </c>
      <c r="E2" s="4" t="s">
        <v>3</v>
      </c>
      <c r="F2" s="56"/>
      <c r="G2" s="56"/>
      <c r="H2" s="56"/>
      <c r="I2" s="56"/>
      <c r="J2" s="56"/>
      <c r="K2" s="56"/>
      <c r="L2" s="56"/>
      <c r="M2" s="56"/>
      <c r="N2" s="56"/>
      <c r="O2" s="56"/>
      <c r="P2" s="56"/>
    </row>
    <row r="3">
      <c r="A3" s="57" t="s">
        <v>4</v>
      </c>
      <c r="B3" s="59"/>
      <c r="C3" s="56"/>
      <c r="D3" s="60" t="s">
        <v>5</v>
      </c>
      <c r="E3" s="61">
        <f>COUNTIF(K14:K1005, "High")</f>
        <v>0</v>
      </c>
      <c r="F3" s="56"/>
      <c r="G3" s="56"/>
      <c r="H3" s="56"/>
      <c r="I3" s="56"/>
      <c r="J3" s="56"/>
      <c r="K3" s="56"/>
      <c r="L3" s="56"/>
      <c r="M3" s="56"/>
      <c r="N3" s="56"/>
      <c r="O3" s="56"/>
      <c r="P3" s="56"/>
    </row>
    <row r="4">
      <c r="A4" s="57" t="s">
        <v>6</v>
      </c>
      <c r="B4" s="62"/>
      <c r="C4" s="56"/>
      <c r="D4" s="60" t="s">
        <v>7</v>
      </c>
      <c r="E4" s="61">
        <f>COUNTIF(K14:K1006, "Medium")</f>
        <v>0</v>
      </c>
      <c r="F4" s="56"/>
      <c r="G4" s="56"/>
      <c r="H4" s="56"/>
      <c r="I4" s="56"/>
      <c r="J4" s="56"/>
      <c r="K4" s="56"/>
      <c r="L4" s="56"/>
      <c r="M4" s="56"/>
      <c r="N4" s="56"/>
      <c r="O4" s="56"/>
      <c r="P4" s="56"/>
    </row>
    <row r="5">
      <c r="A5" s="57" t="s">
        <v>8</v>
      </c>
      <c r="B5" s="63"/>
      <c r="C5" s="56"/>
      <c r="D5" s="60" t="s">
        <v>9</v>
      </c>
      <c r="E5" s="61">
        <f>COUNTIF(K14:K1007, "Low") </f>
        <v>0</v>
      </c>
      <c r="F5" s="56"/>
      <c r="G5" s="56"/>
      <c r="H5" s="56"/>
      <c r="I5" s="56"/>
      <c r="J5" s="56"/>
      <c r="K5" s="56"/>
      <c r="L5" s="56"/>
      <c r="M5" s="56"/>
      <c r="N5" s="56"/>
      <c r="O5" s="56"/>
      <c r="P5" s="56"/>
    </row>
    <row r="6">
      <c r="A6" s="57" t="s">
        <v>10</v>
      </c>
      <c r="B6" s="63"/>
      <c r="C6" s="56"/>
      <c r="D6" s="56"/>
      <c r="E6" s="56"/>
      <c r="F6" s="56"/>
      <c r="G6" s="56"/>
      <c r="H6" s="56"/>
      <c r="I6" s="56"/>
      <c r="J6" s="56"/>
      <c r="K6" s="56"/>
      <c r="L6" s="56"/>
      <c r="M6" s="56"/>
      <c r="N6" s="56"/>
      <c r="O6" s="56"/>
      <c r="P6" s="56"/>
    </row>
    <row r="7">
      <c r="A7" s="64" t="s">
        <v>11</v>
      </c>
      <c r="B7" s="63"/>
      <c r="C7" s="56"/>
      <c r="D7" s="65" t="s">
        <v>12</v>
      </c>
      <c r="E7" s="66">
        <f>SUM(E3:E5)</f>
        <v>0</v>
      </c>
      <c r="F7" s="56"/>
      <c r="G7" s="56"/>
      <c r="H7" s="56"/>
      <c r="I7" s="56"/>
      <c r="J7" s="56"/>
      <c r="K7" s="56"/>
      <c r="L7" s="56"/>
      <c r="M7" s="56"/>
      <c r="N7" s="56"/>
      <c r="O7" s="56"/>
      <c r="P7" s="56"/>
    </row>
    <row r="8">
      <c r="A8" s="56"/>
      <c r="B8" s="56"/>
      <c r="C8" s="56"/>
      <c r="D8" s="65" t="s">
        <v>13</v>
      </c>
      <c r="E8" s="63"/>
      <c r="F8" s="56"/>
      <c r="G8" s="56"/>
      <c r="H8" s="56"/>
      <c r="I8" s="56"/>
      <c r="J8" s="56"/>
      <c r="K8" s="56"/>
      <c r="L8" s="56"/>
      <c r="M8" s="56"/>
      <c r="N8" s="56"/>
      <c r="O8" s="56"/>
      <c r="P8" s="56"/>
    </row>
    <row r="9">
      <c r="A9" s="56"/>
      <c r="B9" s="56"/>
      <c r="C9" s="56"/>
      <c r="D9" s="56"/>
      <c r="E9" s="56"/>
      <c r="F9" s="56"/>
      <c r="G9" s="56"/>
      <c r="H9" s="56"/>
      <c r="I9" s="56"/>
      <c r="J9" s="56"/>
      <c r="K9" s="56"/>
      <c r="L9" s="56"/>
      <c r="M9" s="56"/>
      <c r="N9" s="56"/>
      <c r="O9" s="56"/>
      <c r="P9" s="56"/>
    </row>
    <row r="10">
      <c r="A10" s="56"/>
      <c r="B10" s="56"/>
      <c r="C10" s="56"/>
      <c r="D10" s="56"/>
      <c r="E10" s="56"/>
      <c r="F10" s="56"/>
      <c r="G10" s="56"/>
      <c r="H10" s="56"/>
      <c r="I10" s="56"/>
      <c r="J10" s="56"/>
      <c r="K10" s="56"/>
      <c r="L10" s="56"/>
      <c r="M10" s="56"/>
      <c r="N10" s="56"/>
      <c r="O10" s="56"/>
      <c r="P10" s="56"/>
    </row>
    <row r="11">
      <c r="A11" s="56"/>
      <c r="B11" s="56"/>
      <c r="C11" s="56"/>
      <c r="D11" s="56"/>
      <c r="E11" s="56"/>
      <c r="F11" s="56"/>
      <c r="G11" s="56"/>
      <c r="H11" s="56"/>
      <c r="I11" s="56"/>
      <c r="J11" s="56"/>
      <c r="K11" s="56"/>
      <c r="L11" s="56"/>
      <c r="M11" s="56"/>
      <c r="N11" s="56"/>
      <c r="O11" s="56"/>
      <c r="P11" s="56"/>
    </row>
    <row r="12">
      <c r="A12" s="56"/>
      <c r="B12" s="56"/>
      <c r="C12" s="56"/>
      <c r="D12" s="56"/>
      <c r="E12" s="56"/>
      <c r="F12" s="56"/>
      <c r="G12" s="56"/>
      <c r="H12" s="56"/>
      <c r="I12" s="56"/>
      <c r="J12" s="56"/>
      <c r="K12" s="56"/>
      <c r="L12" s="56"/>
      <c r="M12" s="56"/>
      <c r="N12" s="56"/>
      <c r="O12" s="56"/>
      <c r="P12" s="56"/>
    </row>
    <row r="13">
      <c r="A13" s="56"/>
      <c r="B13" s="56"/>
      <c r="C13" s="56"/>
      <c r="D13" s="56"/>
      <c r="E13" s="56"/>
      <c r="F13" s="56"/>
      <c r="G13" s="56"/>
      <c r="H13" s="56"/>
      <c r="I13" s="56"/>
      <c r="J13" s="56"/>
      <c r="K13" s="56"/>
      <c r="L13" s="56"/>
      <c r="M13" s="56"/>
      <c r="N13" s="56"/>
      <c r="O13" s="56"/>
      <c r="P13" s="56"/>
    </row>
    <row r="14">
      <c r="A14" s="67" t="s">
        <v>14</v>
      </c>
      <c r="B14" s="67" t="s">
        <v>15</v>
      </c>
      <c r="C14" s="67" t="s">
        <v>16</v>
      </c>
      <c r="D14" s="67" t="s">
        <v>17</v>
      </c>
      <c r="E14" s="67" t="s">
        <v>18</v>
      </c>
      <c r="F14" s="67" t="s">
        <v>19</v>
      </c>
      <c r="G14" s="67" t="s">
        <v>20</v>
      </c>
      <c r="H14" s="67" t="s">
        <v>21</v>
      </c>
      <c r="I14" s="67" t="s">
        <v>22</v>
      </c>
      <c r="J14" s="67" t="s">
        <v>23</v>
      </c>
      <c r="K14" s="67" t="s">
        <v>2</v>
      </c>
      <c r="L14" s="67" t="s">
        <v>24</v>
      </c>
      <c r="M14" s="67" t="s">
        <v>25</v>
      </c>
      <c r="N14" s="67" t="s">
        <v>26</v>
      </c>
      <c r="O14" s="56"/>
      <c r="P14" s="56"/>
    </row>
    <row r="15">
      <c r="A15" s="68"/>
      <c r="B15" s="68"/>
      <c r="C15" s="68"/>
      <c r="D15" s="68"/>
      <c r="E15" s="68"/>
      <c r="F15" s="68"/>
      <c r="G15" s="68"/>
      <c r="H15" s="68"/>
      <c r="I15" s="68"/>
      <c r="J15" s="68"/>
      <c r="K15" s="68"/>
      <c r="L15" s="69"/>
      <c r="M15" s="70"/>
      <c r="N15" s="70"/>
      <c r="O15" s="56"/>
      <c r="P15" s="56"/>
    </row>
    <row r="16">
      <c r="A16" s="68"/>
      <c r="B16" s="68"/>
      <c r="C16" s="68"/>
      <c r="D16" s="68"/>
      <c r="E16" s="68"/>
      <c r="F16" s="68"/>
      <c r="G16" s="68"/>
      <c r="H16" s="68"/>
      <c r="I16" s="68"/>
      <c r="J16" s="68"/>
      <c r="K16" s="68"/>
      <c r="L16" s="69"/>
      <c r="M16" s="70"/>
      <c r="N16" s="71"/>
      <c r="O16" s="56"/>
      <c r="P16" s="56"/>
    </row>
    <row r="17">
      <c r="A17" s="68"/>
      <c r="B17" s="68"/>
      <c r="C17" s="68"/>
      <c r="D17" s="68"/>
      <c r="E17" s="68"/>
      <c r="F17" s="68"/>
      <c r="G17" s="68"/>
      <c r="H17" s="68"/>
      <c r="I17" s="68"/>
      <c r="J17" s="68"/>
      <c r="K17" s="68"/>
      <c r="L17" s="69"/>
      <c r="M17" s="70"/>
      <c r="N17" s="70"/>
      <c r="O17" s="56"/>
      <c r="P17" s="56"/>
    </row>
    <row r="18">
      <c r="A18" s="68"/>
      <c r="B18" s="68"/>
      <c r="C18" s="68"/>
      <c r="D18" s="68"/>
      <c r="E18" s="68"/>
      <c r="F18" s="68"/>
      <c r="G18" s="72"/>
      <c r="H18" s="68"/>
      <c r="I18" s="68"/>
      <c r="J18" s="68"/>
      <c r="K18" s="68"/>
      <c r="L18" s="69"/>
      <c r="M18" s="70"/>
      <c r="N18" s="71"/>
      <c r="O18" s="56"/>
      <c r="P18" s="56"/>
    </row>
    <row r="19">
      <c r="A19" s="68"/>
      <c r="B19" s="68"/>
      <c r="C19" s="68"/>
      <c r="D19" s="68"/>
      <c r="E19" s="68"/>
      <c r="F19" s="68"/>
      <c r="G19" s="68"/>
      <c r="H19" s="68"/>
      <c r="I19" s="68"/>
      <c r="J19" s="68"/>
      <c r="K19" s="68"/>
      <c r="L19" s="69"/>
      <c r="M19" s="70"/>
      <c r="N19" s="70"/>
      <c r="O19" s="56"/>
      <c r="P19" s="56"/>
    </row>
    <row r="20">
      <c r="A20" s="68"/>
      <c r="B20" s="68"/>
      <c r="C20" s="68"/>
      <c r="D20" s="68"/>
      <c r="E20" s="68"/>
      <c r="F20" s="68"/>
      <c r="G20" s="68"/>
      <c r="H20" s="68"/>
      <c r="I20" s="68"/>
      <c r="J20" s="68"/>
      <c r="K20" s="68"/>
      <c r="L20" s="69"/>
      <c r="M20" s="70"/>
      <c r="N20" s="71"/>
      <c r="O20" s="56"/>
      <c r="P20" s="56"/>
    </row>
    <row r="21">
      <c r="A21" s="68"/>
      <c r="B21" s="68"/>
      <c r="C21" s="68"/>
      <c r="D21" s="68"/>
      <c r="E21" s="68"/>
      <c r="F21" s="68"/>
      <c r="G21" s="68"/>
      <c r="H21" s="68"/>
      <c r="I21" s="68"/>
      <c r="J21" s="68"/>
      <c r="K21" s="68"/>
      <c r="L21" s="69"/>
      <c r="M21" s="70"/>
      <c r="N21" s="70"/>
      <c r="O21" s="56"/>
      <c r="P21" s="56"/>
    </row>
    <row r="22">
      <c r="A22" s="68"/>
      <c r="B22" s="68"/>
      <c r="C22" s="68"/>
      <c r="D22" s="68"/>
      <c r="E22" s="68"/>
      <c r="F22" s="68"/>
      <c r="G22" s="68"/>
      <c r="H22" s="68"/>
      <c r="I22" s="68"/>
      <c r="J22" s="68"/>
      <c r="K22" s="68"/>
      <c r="L22" s="69"/>
      <c r="M22" s="70"/>
      <c r="N22" s="71"/>
      <c r="O22" s="56"/>
      <c r="P22" s="56"/>
    </row>
    <row r="23">
      <c r="A23" s="68"/>
      <c r="B23" s="68"/>
      <c r="C23" s="68"/>
      <c r="D23" s="68"/>
      <c r="E23" s="68"/>
      <c r="F23" s="68"/>
      <c r="G23" s="68"/>
      <c r="H23" s="68"/>
      <c r="I23" s="68"/>
      <c r="J23" s="68"/>
      <c r="K23" s="68"/>
      <c r="L23" s="68"/>
      <c r="M23" s="73"/>
      <c r="N23" s="70"/>
      <c r="O23" s="56"/>
      <c r="P23" s="56"/>
    </row>
    <row r="24">
      <c r="A24" s="68"/>
      <c r="B24" s="68"/>
      <c r="C24" s="68"/>
      <c r="D24" s="68"/>
      <c r="E24" s="68"/>
      <c r="F24" s="68"/>
      <c r="G24" s="68"/>
      <c r="H24" s="68"/>
      <c r="I24" s="68"/>
      <c r="J24" s="68"/>
      <c r="K24" s="68"/>
      <c r="L24" s="68"/>
      <c r="M24" s="73"/>
      <c r="N24" s="71"/>
      <c r="O24" s="56"/>
      <c r="P24" s="56"/>
    </row>
    <row r="25">
      <c r="A25" s="68"/>
      <c r="B25" s="68"/>
      <c r="C25" s="68"/>
      <c r="D25" s="68"/>
      <c r="E25" s="68"/>
      <c r="F25" s="68"/>
      <c r="G25" s="68"/>
      <c r="H25" s="68"/>
      <c r="I25" s="68"/>
      <c r="J25" s="68"/>
      <c r="K25" s="68"/>
      <c r="L25" s="68"/>
      <c r="M25" s="73"/>
      <c r="N25" s="70"/>
      <c r="O25" s="56"/>
      <c r="P25" s="56"/>
    </row>
    <row r="26">
      <c r="A26" s="68"/>
      <c r="B26" s="68"/>
      <c r="C26" s="68"/>
      <c r="D26" s="68"/>
      <c r="E26" s="68"/>
      <c r="F26" s="68"/>
      <c r="G26" s="68"/>
      <c r="H26" s="68"/>
      <c r="I26" s="68"/>
      <c r="J26" s="68"/>
      <c r="K26" s="68"/>
      <c r="L26" s="68"/>
      <c r="M26" s="73"/>
      <c r="N26" s="71"/>
      <c r="O26" s="56"/>
      <c r="P26" s="56"/>
    </row>
    <row r="27">
      <c r="A27" s="68"/>
      <c r="B27" s="68"/>
      <c r="C27" s="68"/>
      <c r="D27" s="68"/>
      <c r="E27" s="68"/>
      <c r="F27" s="68"/>
      <c r="G27" s="68"/>
      <c r="H27" s="68"/>
      <c r="I27" s="68"/>
      <c r="J27" s="68"/>
      <c r="K27" s="68"/>
      <c r="L27" s="68"/>
      <c r="M27" s="73"/>
      <c r="N27" s="70"/>
      <c r="O27" s="56"/>
      <c r="P27" s="56"/>
    </row>
    <row r="28">
      <c r="A28" s="68"/>
      <c r="B28" s="68"/>
      <c r="C28" s="68"/>
      <c r="D28" s="68"/>
      <c r="E28" s="68"/>
      <c r="F28" s="68"/>
      <c r="G28" s="68"/>
      <c r="H28" s="68"/>
      <c r="I28" s="68"/>
      <c r="J28" s="68"/>
      <c r="K28" s="68"/>
      <c r="L28" s="68"/>
      <c r="M28" s="73"/>
      <c r="N28" s="71"/>
      <c r="O28" s="56"/>
      <c r="P28" s="56"/>
    </row>
    <row r="29">
      <c r="A29" s="68"/>
      <c r="B29" s="68"/>
      <c r="C29" s="68"/>
      <c r="D29" s="68"/>
      <c r="E29" s="68"/>
      <c r="F29" s="68"/>
      <c r="G29" s="68"/>
      <c r="H29" s="68"/>
      <c r="I29" s="68"/>
      <c r="J29" s="68"/>
      <c r="K29" s="68"/>
      <c r="L29" s="68"/>
      <c r="M29" s="73"/>
      <c r="N29" s="70"/>
      <c r="O29" s="56"/>
      <c r="P29" s="56"/>
    </row>
    <row r="30">
      <c r="A30" s="68"/>
      <c r="B30" s="73"/>
      <c r="C30" s="73"/>
      <c r="D30" s="73"/>
      <c r="E30" s="73"/>
      <c r="F30" s="73"/>
      <c r="G30" s="73"/>
      <c r="H30" s="73"/>
      <c r="I30" s="73"/>
      <c r="J30" s="73"/>
      <c r="K30" s="73"/>
      <c r="L30" s="73"/>
      <c r="M30" s="73"/>
      <c r="N30" s="71"/>
      <c r="O30" s="56"/>
      <c r="P30" s="56"/>
    </row>
    <row r="31">
      <c r="A31" s="68"/>
      <c r="B31" s="73"/>
      <c r="C31" s="73"/>
      <c r="D31" s="73"/>
      <c r="E31" s="73"/>
      <c r="F31" s="73"/>
      <c r="G31" s="73"/>
      <c r="H31" s="73"/>
      <c r="I31" s="73"/>
      <c r="J31" s="73"/>
      <c r="K31" s="73"/>
      <c r="L31" s="73"/>
      <c r="M31" s="73"/>
      <c r="N31" s="70"/>
      <c r="O31" s="56"/>
      <c r="P31" s="56"/>
    </row>
    <row r="32">
      <c r="A32" s="68"/>
      <c r="B32" s="73"/>
      <c r="C32" s="73"/>
      <c r="D32" s="73"/>
      <c r="E32" s="73"/>
      <c r="F32" s="73"/>
      <c r="G32" s="73"/>
      <c r="H32" s="73"/>
      <c r="I32" s="73"/>
      <c r="J32" s="73"/>
      <c r="K32" s="73"/>
      <c r="L32" s="73"/>
      <c r="M32" s="73"/>
      <c r="N32" s="71"/>
      <c r="O32" s="56"/>
      <c r="P32" s="56"/>
    </row>
    <row r="33">
      <c r="A33" s="68"/>
      <c r="B33" s="73"/>
      <c r="C33" s="73"/>
      <c r="D33" s="73"/>
      <c r="E33" s="73"/>
      <c r="F33" s="73"/>
      <c r="G33" s="73"/>
      <c r="H33" s="73"/>
      <c r="I33" s="73"/>
      <c r="J33" s="73"/>
      <c r="K33" s="73"/>
      <c r="L33" s="73"/>
      <c r="M33" s="73"/>
      <c r="N33" s="70"/>
      <c r="O33" s="56"/>
      <c r="P33" s="56"/>
    </row>
    <row r="34">
      <c r="A34" s="68"/>
      <c r="B34" s="73"/>
      <c r="C34" s="73"/>
      <c r="D34" s="73"/>
      <c r="E34" s="73"/>
      <c r="F34" s="73"/>
      <c r="G34" s="73"/>
      <c r="H34" s="73"/>
      <c r="I34" s="73"/>
      <c r="J34" s="73"/>
      <c r="K34" s="73"/>
      <c r="L34" s="73"/>
      <c r="M34" s="73"/>
      <c r="N34" s="71"/>
      <c r="O34" s="56"/>
      <c r="P34" s="56"/>
    </row>
    <row r="35">
      <c r="A35" s="68"/>
      <c r="B35" s="73"/>
      <c r="C35" s="73"/>
      <c r="D35" s="73"/>
      <c r="E35" s="73"/>
      <c r="F35" s="73"/>
      <c r="G35" s="73"/>
      <c r="H35" s="73"/>
      <c r="I35" s="73"/>
      <c r="J35" s="73"/>
      <c r="K35" s="73"/>
      <c r="L35" s="73"/>
      <c r="M35" s="73"/>
      <c r="N35" s="70"/>
      <c r="O35" s="56"/>
      <c r="P35" s="56"/>
    </row>
    <row r="36">
      <c r="A36" s="68"/>
      <c r="B36" s="73"/>
      <c r="C36" s="73"/>
      <c r="D36" s="73"/>
      <c r="E36" s="73"/>
      <c r="F36" s="73"/>
      <c r="G36" s="73"/>
      <c r="H36" s="73"/>
      <c r="I36" s="73"/>
      <c r="J36" s="73"/>
      <c r="K36" s="73"/>
      <c r="L36" s="73"/>
      <c r="M36" s="73"/>
      <c r="N36" s="71"/>
      <c r="O36" s="56"/>
      <c r="P36" s="56"/>
    </row>
    <row r="37">
      <c r="A37" s="68"/>
      <c r="B37" s="73"/>
      <c r="C37" s="73"/>
      <c r="D37" s="73"/>
      <c r="E37" s="73"/>
      <c r="F37" s="73"/>
      <c r="G37" s="73"/>
      <c r="H37" s="73"/>
      <c r="I37" s="73"/>
      <c r="J37" s="73"/>
      <c r="K37" s="73"/>
      <c r="L37" s="73"/>
      <c r="M37" s="73"/>
      <c r="N37" s="70"/>
      <c r="O37" s="56"/>
      <c r="P37" s="56"/>
    </row>
    <row r="38">
      <c r="A38" s="68"/>
      <c r="B38" s="73"/>
      <c r="C38" s="73"/>
      <c r="D38" s="73"/>
      <c r="E38" s="73"/>
      <c r="F38" s="73"/>
      <c r="G38" s="73"/>
      <c r="H38" s="73"/>
      <c r="I38" s="73"/>
      <c r="J38" s="73"/>
      <c r="K38" s="73"/>
      <c r="L38" s="73"/>
      <c r="M38" s="73"/>
      <c r="N38" s="71"/>
      <c r="O38" s="56"/>
      <c r="P38" s="56"/>
    </row>
    <row r="39">
      <c r="A39" s="68"/>
      <c r="B39" s="73"/>
      <c r="C39" s="73"/>
      <c r="D39" s="73"/>
      <c r="E39" s="73"/>
      <c r="F39" s="73"/>
      <c r="G39" s="73"/>
      <c r="H39" s="73"/>
      <c r="I39" s="73"/>
      <c r="J39" s="73"/>
      <c r="K39" s="73"/>
      <c r="L39" s="73"/>
      <c r="M39" s="73"/>
      <c r="N39" s="70"/>
      <c r="O39" s="56"/>
      <c r="P39" s="56"/>
    </row>
    <row r="40">
      <c r="A40" s="68"/>
      <c r="B40" s="73"/>
      <c r="C40" s="73"/>
      <c r="D40" s="73"/>
      <c r="E40" s="73"/>
      <c r="F40" s="73"/>
      <c r="G40" s="73"/>
      <c r="H40" s="73"/>
      <c r="I40" s="73"/>
      <c r="J40" s="73"/>
      <c r="K40" s="73"/>
      <c r="L40" s="73"/>
      <c r="M40" s="73"/>
      <c r="N40" s="71"/>
      <c r="O40" s="56"/>
      <c r="P40" s="56"/>
    </row>
    <row r="41">
      <c r="A41" s="68"/>
      <c r="B41" s="73"/>
      <c r="C41" s="73"/>
      <c r="D41" s="73"/>
      <c r="E41" s="73"/>
      <c r="F41" s="73"/>
      <c r="G41" s="73"/>
      <c r="H41" s="73"/>
      <c r="I41" s="73"/>
      <c r="J41" s="73"/>
      <c r="K41" s="73"/>
      <c r="L41" s="73"/>
      <c r="M41" s="73"/>
      <c r="N41" s="70"/>
      <c r="O41" s="56"/>
      <c r="P41" s="56"/>
    </row>
    <row r="42">
      <c r="A42" s="68"/>
      <c r="B42" s="73"/>
      <c r="C42" s="73"/>
      <c r="D42" s="73"/>
      <c r="E42" s="73"/>
      <c r="F42" s="73"/>
      <c r="G42" s="73"/>
      <c r="H42" s="73"/>
      <c r="I42" s="73"/>
      <c r="J42" s="73"/>
      <c r="K42" s="73"/>
      <c r="L42" s="73"/>
      <c r="M42" s="73"/>
      <c r="N42" s="71"/>
      <c r="O42" s="56"/>
      <c r="P42" s="56"/>
    </row>
    <row r="43">
      <c r="A43" s="68"/>
      <c r="B43" s="73"/>
      <c r="C43" s="73"/>
      <c r="D43" s="73"/>
      <c r="E43" s="73"/>
      <c r="F43" s="73"/>
      <c r="G43" s="73"/>
      <c r="H43" s="73"/>
      <c r="I43" s="73"/>
      <c r="J43" s="73"/>
      <c r="K43" s="73"/>
      <c r="L43" s="73"/>
      <c r="M43" s="73"/>
      <c r="N43" s="70"/>
      <c r="O43" s="56"/>
      <c r="P43" s="56"/>
    </row>
    <row r="44">
      <c r="A44" s="68"/>
      <c r="B44" s="73"/>
      <c r="C44" s="73"/>
      <c r="D44" s="73"/>
      <c r="E44" s="73"/>
      <c r="F44" s="73"/>
      <c r="G44" s="73"/>
      <c r="H44" s="73"/>
      <c r="I44" s="73"/>
      <c r="J44" s="73"/>
      <c r="K44" s="73"/>
      <c r="L44" s="73"/>
      <c r="M44" s="73"/>
      <c r="N44" s="71"/>
      <c r="O44" s="56"/>
      <c r="P44" s="56"/>
    </row>
    <row r="45">
      <c r="A45" s="68"/>
      <c r="B45" s="73"/>
      <c r="C45" s="73"/>
      <c r="D45" s="73"/>
      <c r="E45" s="73"/>
      <c r="F45" s="73"/>
      <c r="G45" s="73"/>
      <c r="H45" s="73"/>
      <c r="I45" s="73"/>
      <c r="J45" s="73"/>
      <c r="K45" s="73"/>
      <c r="L45" s="73"/>
      <c r="M45" s="73"/>
      <c r="N45" s="70"/>
      <c r="O45" s="56"/>
      <c r="P45" s="56"/>
    </row>
    <row r="46">
      <c r="A46" s="68"/>
      <c r="B46" s="73"/>
      <c r="C46" s="73"/>
      <c r="D46" s="73"/>
      <c r="E46" s="73"/>
      <c r="F46" s="73"/>
      <c r="G46" s="73"/>
      <c r="H46" s="73"/>
      <c r="I46" s="73"/>
      <c r="J46" s="73"/>
      <c r="K46" s="73"/>
      <c r="L46" s="73"/>
      <c r="M46" s="73"/>
      <c r="N46" s="71"/>
      <c r="O46" s="56"/>
      <c r="P46" s="56"/>
    </row>
    <row r="47">
      <c r="A47" s="68"/>
      <c r="B47" s="73"/>
      <c r="C47" s="73"/>
      <c r="D47" s="73"/>
      <c r="E47" s="73"/>
      <c r="F47" s="73"/>
      <c r="G47" s="73"/>
      <c r="H47" s="73"/>
      <c r="I47" s="73"/>
      <c r="J47" s="73"/>
      <c r="K47" s="73"/>
      <c r="L47" s="73"/>
      <c r="M47" s="73"/>
      <c r="N47" s="70"/>
      <c r="O47" s="56"/>
      <c r="P47" s="56"/>
    </row>
    <row r="48">
      <c r="A48" s="68"/>
      <c r="B48" s="73"/>
      <c r="C48" s="73"/>
      <c r="D48" s="73"/>
      <c r="E48" s="73"/>
      <c r="F48" s="73"/>
      <c r="G48" s="73"/>
      <c r="H48" s="73"/>
      <c r="I48" s="73"/>
      <c r="J48" s="73"/>
      <c r="K48" s="73"/>
      <c r="L48" s="73"/>
      <c r="M48" s="73"/>
      <c r="N48" s="71"/>
      <c r="O48" s="56"/>
      <c r="P48" s="56"/>
    </row>
    <row r="49">
      <c r="A49" s="68"/>
      <c r="B49" s="73"/>
      <c r="C49" s="73"/>
      <c r="D49" s="73"/>
      <c r="E49" s="73"/>
      <c r="F49" s="73"/>
      <c r="G49" s="73"/>
      <c r="H49" s="73"/>
      <c r="I49" s="73"/>
      <c r="J49" s="73"/>
      <c r="K49" s="73"/>
      <c r="L49" s="73"/>
      <c r="M49" s="73"/>
      <c r="N49" s="70"/>
      <c r="O49" s="56"/>
      <c r="P49" s="56"/>
    </row>
    <row r="50">
      <c r="A50" s="68"/>
      <c r="B50" s="73"/>
      <c r="C50" s="73"/>
      <c r="D50" s="73"/>
      <c r="E50" s="73"/>
      <c r="F50" s="73"/>
      <c r="G50" s="73"/>
      <c r="H50" s="73"/>
      <c r="I50" s="73"/>
      <c r="J50" s="73"/>
      <c r="K50" s="73"/>
      <c r="L50" s="73"/>
      <c r="M50" s="73"/>
      <c r="N50" s="71"/>
      <c r="O50" s="56"/>
      <c r="P50" s="56"/>
    </row>
    <row r="51">
      <c r="A51" s="68"/>
      <c r="B51" s="73"/>
      <c r="C51" s="73"/>
      <c r="D51" s="73"/>
      <c r="E51" s="73"/>
      <c r="F51" s="73"/>
      <c r="G51" s="73"/>
      <c r="H51" s="73"/>
      <c r="I51" s="73"/>
      <c r="J51" s="73"/>
      <c r="K51" s="73"/>
      <c r="L51" s="73"/>
      <c r="M51" s="73"/>
      <c r="N51" s="70"/>
      <c r="O51" s="56"/>
      <c r="P51" s="56"/>
    </row>
    <row r="52">
      <c r="A52" s="68"/>
      <c r="B52" s="73"/>
      <c r="C52" s="73"/>
      <c r="D52" s="73"/>
      <c r="E52" s="73"/>
      <c r="F52" s="73"/>
      <c r="G52" s="73"/>
      <c r="H52" s="73"/>
      <c r="I52" s="73"/>
      <c r="J52" s="73"/>
      <c r="K52" s="73"/>
      <c r="L52" s="73"/>
      <c r="M52" s="73"/>
      <c r="N52" s="71"/>
      <c r="O52" s="56"/>
      <c r="P52" s="56"/>
    </row>
    <row r="53">
      <c r="A53" s="68"/>
      <c r="B53" s="73"/>
      <c r="C53" s="73"/>
      <c r="D53" s="73"/>
      <c r="E53" s="73"/>
      <c r="F53" s="73"/>
      <c r="G53" s="73"/>
      <c r="H53" s="73"/>
      <c r="I53" s="73"/>
      <c r="J53" s="73"/>
      <c r="K53" s="73"/>
      <c r="L53" s="73"/>
      <c r="M53" s="73"/>
      <c r="N53" s="70"/>
      <c r="O53" s="56"/>
      <c r="P53" s="56"/>
    </row>
    <row r="54">
      <c r="A54" s="68"/>
      <c r="B54" s="73"/>
      <c r="C54" s="73"/>
      <c r="D54" s="73"/>
      <c r="E54" s="73"/>
      <c r="F54" s="73"/>
      <c r="G54" s="73"/>
      <c r="H54" s="73"/>
      <c r="I54" s="73"/>
      <c r="J54" s="73"/>
      <c r="K54" s="73"/>
      <c r="L54" s="73"/>
      <c r="M54" s="73"/>
      <c r="N54" s="71"/>
      <c r="O54" s="56"/>
      <c r="P54" s="56"/>
    </row>
    <row r="55">
      <c r="A55" s="68"/>
      <c r="B55" s="73"/>
      <c r="C55" s="73"/>
      <c r="D55" s="73"/>
      <c r="E55" s="73"/>
      <c r="F55" s="73"/>
      <c r="G55" s="73"/>
      <c r="H55" s="73"/>
      <c r="I55" s="73"/>
      <c r="J55" s="73"/>
      <c r="K55" s="73"/>
      <c r="L55" s="73"/>
      <c r="M55" s="73"/>
      <c r="N55" s="70"/>
      <c r="O55" s="56"/>
      <c r="P55" s="56"/>
    </row>
    <row r="56">
      <c r="A56" s="68"/>
      <c r="B56" s="73"/>
      <c r="C56" s="73"/>
      <c r="D56" s="73"/>
      <c r="E56" s="73"/>
      <c r="F56" s="73"/>
      <c r="G56" s="73"/>
      <c r="H56" s="73"/>
      <c r="I56" s="73"/>
      <c r="J56" s="73"/>
      <c r="K56" s="73"/>
      <c r="L56" s="73"/>
      <c r="M56" s="73"/>
      <c r="N56" s="71"/>
      <c r="O56" s="56"/>
      <c r="P56" s="56"/>
    </row>
    <row r="57">
      <c r="A57" s="68"/>
      <c r="B57" s="73"/>
      <c r="C57" s="73"/>
      <c r="D57" s="73"/>
      <c r="E57" s="73"/>
      <c r="F57" s="73"/>
      <c r="G57" s="73"/>
      <c r="H57" s="73"/>
      <c r="I57" s="73"/>
      <c r="J57" s="73"/>
      <c r="K57" s="73"/>
      <c r="L57" s="73"/>
      <c r="M57" s="73"/>
      <c r="N57" s="70"/>
      <c r="O57" s="56"/>
      <c r="P57" s="56"/>
    </row>
    <row r="58">
      <c r="A58" s="68"/>
      <c r="B58" s="73"/>
      <c r="C58" s="73"/>
      <c r="D58" s="73"/>
      <c r="E58" s="73"/>
      <c r="F58" s="73"/>
      <c r="G58" s="73"/>
      <c r="H58" s="73"/>
      <c r="I58" s="73"/>
      <c r="J58" s="73"/>
      <c r="K58" s="73"/>
      <c r="L58" s="73"/>
      <c r="M58" s="73"/>
      <c r="N58" s="71"/>
      <c r="O58" s="56"/>
      <c r="P58" s="56"/>
    </row>
    <row r="59">
      <c r="A59" s="68"/>
      <c r="B59" s="73"/>
      <c r="C59" s="73"/>
      <c r="D59" s="73"/>
      <c r="E59" s="73"/>
      <c r="F59" s="73"/>
      <c r="G59" s="73"/>
      <c r="H59" s="73"/>
      <c r="I59" s="73"/>
      <c r="J59" s="73"/>
      <c r="K59" s="73"/>
      <c r="L59" s="73"/>
      <c r="M59" s="73"/>
      <c r="N59" s="70"/>
      <c r="O59" s="56"/>
      <c r="P59" s="56"/>
    </row>
    <row r="60">
      <c r="A60" s="68"/>
      <c r="B60" s="73"/>
      <c r="C60" s="73"/>
      <c r="D60" s="73"/>
      <c r="E60" s="73"/>
      <c r="F60" s="73"/>
      <c r="G60" s="73"/>
      <c r="H60" s="73"/>
      <c r="I60" s="73"/>
      <c r="J60" s="73"/>
      <c r="K60" s="73"/>
      <c r="L60" s="73"/>
      <c r="M60" s="73"/>
      <c r="N60" s="71"/>
      <c r="O60" s="56"/>
      <c r="P60" s="56"/>
    </row>
    <row r="61">
      <c r="A61" s="68"/>
      <c r="B61" s="73"/>
      <c r="C61" s="73"/>
      <c r="D61" s="73"/>
      <c r="E61" s="73"/>
      <c r="F61" s="73"/>
      <c r="G61" s="73"/>
      <c r="H61" s="73"/>
      <c r="I61" s="73"/>
      <c r="J61" s="73"/>
      <c r="K61" s="73"/>
      <c r="L61" s="73"/>
      <c r="M61" s="73"/>
      <c r="N61" s="70"/>
      <c r="O61" s="56"/>
      <c r="P61" s="56"/>
    </row>
    <row r="62">
      <c r="A62" s="68"/>
      <c r="B62" s="73"/>
      <c r="C62" s="73"/>
      <c r="D62" s="73"/>
      <c r="E62" s="73"/>
      <c r="F62" s="73"/>
      <c r="G62" s="73"/>
      <c r="H62" s="73"/>
      <c r="I62" s="73"/>
      <c r="J62" s="73"/>
      <c r="K62" s="73"/>
      <c r="L62" s="73"/>
      <c r="M62" s="73"/>
      <c r="N62" s="71"/>
      <c r="O62" s="56"/>
      <c r="P62" s="56"/>
    </row>
    <row r="63">
      <c r="A63" s="68"/>
      <c r="B63" s="73"/>
      <c r="C63" s="73"/>
      <c r="D63" s="73"/>
      <c r="E63" s="73"/>
      <c r="F63" s="73"/>
      <c r="G63" s="73"/>
      <c r="H63" s="73"/>
      <c r="I63" s="73"/>
      <c r="J63" s="73"/>
      <c r="K63" s="73"/>
      <c r="L63" s="73"/>
      <c r="M63" s="73"/>
      <c r="N63" s="70"/>
      <c r="O63" s="56"/>
      <c r="P63" s="56"/>
    </row>
    <row r="64">
      <c r="A64" s="68"/>
      <c r="B64" s="73"/>
      <c r="C64" s="73"/>
      <c r="D64" s="73"/>
      <c r="E64" s="73"/>
      <c r="F64" s="73"/>
      <c r="G64" s="73"/>
      <c r="H64" s="73"/>
      <c r="I64" s="73"/>
      <c r="J64" s="73"/>
      <c r="K64" s="73"/>
      <c r="L64" s="73"/>
      <c r="M64" s="73"/>
      <c r="N64" s="71"/>
      <c r="O64" s="56"/>
      <c r="P64" s="56"/>
    </row>
    <row r="65">
      <c r="A65" s="68"/>
      <c r="B65" s="70"/>
      <c r="C65" s="70"/>
      <c r="D65" s="70"/>
      <c r="E65" s="70"/>
      <c r="F65" s="70"/>
      <c r="G65" s="70"/>
      <c r="H65" s="70"/>
      <c r="I65" s="70"/>
      <c r="J65" s="70"/>
      <c r="K65" s="70"/>
      <c r="L65" s="70"/>
      <c r="M65" s="70"/>
      <c r="N65" s="70"/>
      <c r="O65" s="56"/>
      <c r="P65" s="56"/>
    </row>
    <row r="66">
      <c r="A66" s="68"/>
      <c r="B66" s="70"/>
      <c r="C66" s="70"/>
      <c r="D66" s="70"/>
      <c r="E66" s="70"/>
      <c r="F66" s="70"/>
      <c r="G66" s="70"/>
      <c r="H66" s="70"/>
      <c r="I66" s="70"/>
      <c r="J66" s="70"/>
      <c r="K66" s="70"/>
      <c r="L66" s="70"/>
      <c r="M66" s="70"/>
      <c r="N66" s="71"/>
      <c r="O66" s="56"/>
      <c r="P66" s="56"/>
    </row>
    <row r="67">
      <c r="A67" s="68"/>
      <c r="B67" s="70"/>
      <c r="C67" s="70"/>
      <c r="D67" s="70"/>
      <c r="E67" s="70"/>
      <c r="F67" s="70"/>
      <c r="G67" s="70"/>
      <c r="H67" s="70"/>
      <c r="I67" s="70"/>
      <c r="J67" s="70"/>
      <c r="K67" s="70"/>
      <c r="L67" s="70"/>
      <c r="M67" s="70"/>
      <c r="N67" s="70"/>
      <c r="O67" s="56"/>
      <c r="P67" s="56"/>
    </row>
    <row r="68">
      <c r="A68" s="68"/>
      <c r="B68" s="70"/>
      <c r="C68" s="70"/>
      <c r="D68" s="70"/>
      <c r="E68" s="70"/>
      <c r="F68" s="70"/>
      <c r="G68" s="70"/>
      <c r="H68" s="70"/>
      <c r="I68" s="70"/>
      <c r="J68" s="70"/>
      <c r="K68" s="70"/>
      <c r="L68" s="70"/>
      <c r="M68" s="70"/>
      <c r="N68" s="71"/>
      <c r="O68" s="56"/>
      <c r="P68" s="56"/>
    </row>
    <row r="69">
      <c r="A69" s="68"/>
      <c r="B69" s="70"/>
      <c r="C69" s="70"/>
      <c r="D69" s="70"/>
      <c r="E69" s="70"/>
      <c r="F69" s="70"/>
      <c r="G69" s="70"/>
      <c r="H69" s="70"/>
      <c r="I69" s="70"/>
      <c r="J69" s="70"/>
      <c r="K69" s="70"/>
      <c r="L69" s="70"/>
      <c r="M69" s="70"/>
      <c r="N69" s="70"/>
      <c r="O69" s="56"/>
      <c r="P69" s="56"/>
    </row>
    <row r="70">
      <c r="A70" s="68"/>
      <c r="B70" s="70"/>
      <c r="C70" s="70"/>
      <c r="D70" s="70"/>
      <c r="E70" s="70"/>
      <c r="F70" s="70"/>
      <c r="G70" s="70"/>
      <c r="H70" s="70"/>
      <c r="I70" s="70"/>
      <c r="J70" s="70"/>
      <c r="K70" s="70"/>
      <c r="L70" s="70"/>
      <c r="M70" s="70"/>
      <c r="N70" s="71"/>
      <c r="O70" s="56"/>
      <c r="P70" s="56"/>
    </row>
    <row r="71">
      <c r="A71" s="68"/>
      <c r="B71" s="70"/>
      <c r="C71" s="70"/>
      <c r="D71" s="70"/>
      <c r="E71" s="70"/>
      <c r="F71" s="70"/>
      <c r="G71" s="70"/>
      <c r="H71" s="70"/>
      <c r="I71" s="70"/>
      <c r="J71" s="70"/>
      <c r="K71" s="70"/>
      <c r="L71" s="70"/>
      <c r="M71" s="70"/>
      <c r="N71" s="70"/>
      <c r="O71" s="56"/>
      <c r="P71" s="56"/>
    </row>
    <row r="72">
      <c r="A72" s="68"/>
      <c r="B72" s="70"/>
      <c r="C72" s="70"/>
      <c r="D72" s="70"/>
      <c r="E72" s="70"/>
      <c r="F72" s="70"/>
      <c r="G72" s="70"/>
      <c r="H72" s="70"/>
      <c r="I72" s="70"/>
      <c r="J72" s="70"/>
      <c r="K72" s="70"/>
      <c r="L72" s="70"/>
      <c r="M72" s="70"/>
      <c r="N72" s="71"/>
      <c r="O72" s="56"/>
      <c r="P72" s="56"/>
    </row>
    <row r="73">
      <c r="A73" s="68"/>
      <c r="B73" s="70"/>
      <c r="C73" s="70"/>
      <c r="D73" s="70"/>
      <c r="E73" s="70"/>
      <c r="F73" s="70"/>
      <c r="G73" s="70"/>
      <c r="H73" s="70"/>
      <c r="I73" s="70"/>
      <c r="J73" s="70"/>
      <c r="K73" s="70"/>
      <c r="L73" s="70"/>
      <c r="M73" s="70"/>
      <c r="N73" s="70"/>
      <c r="O73" s="56"/>
      <c r="P73" s="56"/>
    </row>
    <row r="74">
      <c r="A74" s="68"/>
      <c r="B74" s="70"/>
      <c r="C74" s="70"/>
      <c r="D74" s="70"/>
      <c r="E74" s="70"/>
      <c r="F74" s="70"/>
      <c r="G74" s="70"/>
      <c r="H74" s="70"/>
      <c r="I74" s="70"/>
      <c r="J74" s="70"/>
      <c r="K74" s="70"/>
      <c r="L74" s="70"/>
      <c r="M74" s="70"/>
      <c r="N74" s="71"/>
      <c r="O74" s="56"/>
      <c r="P74" s="56"/>
    </row>
    <row r="75">
      <c r="A75" s="68"/>
      <c r="B75" s="70"/>
      <c r="C75" s="70"/>
      <c r="D75" s="70"/>
      <c r="E75" s="70"/>
      <c r="F75" s="70"/>
      <c r="G75" s="70"/>
      <c r="H75" s="70"/>
      <c r="I75" s="70"/>
      <c r="J75" s="70"/>
      <c r="K75" s="70"/>
      <c r="L75" s="70"/>
      <c r="M75" s="70"/>
      <c r="N75" s="70"/>
      <c r="O75" s="56"/>
      <c r="P75" s="56"/>
    </row>
    <row r="76">
      <c r="A76" s="68"/>
      <c r="B76" s="70"/>
      <c r="C76" s="70"/>
      <c r="D76" s="70"/>
      <c r="E76" s="70"/>
      <c r="F76" s="70"/>
      <c r="G76" s="70"/>
      <c r="H76" s="70"/>
      <c r="I76" s="70"/>
      <c r="J76" s="70"/>
      <c r="K76" s="70"/>
      <c r="L76" s="70"/>
      <c r="M76" s="70"/>
      <c r="N76" s="71"/>
      <c r="O76" s="56"/>
      <c r="P76" s="56"/>
    </row>
    <row r="77">
      <c r="A77" s="68"/>
      <c r="B77" s="70"/>
      <c r="C77" s="70"/>
      <c r="D77" s="70"/>
      <c r="E77" s="70"/>
      <c r="F77" s="70"/>
      <c r="G77" s="70"/>
      <c r="H77" s="70"/>
      <c r="I77" s="70"/>
      <c r="J77" s="70"/>
      <c r="K77" s="70"/>
      <c r="L77" s="70"/>
      <c r="M77" s="70"/>
      <c r="N77" s="70"/>
      <c r="O77" s="56"/>
      <c r="P77" s="56"/>
    </row>
    <row r="78">
      <c r="A78" s="68"/>
      <c r="B78" s="70"/>
      <c r="C78" s="70"/>
      <c r="D78" s="70"/>
      <c r="E78" s="70"/>
      <c r="F78" s="70"/>
      <c r="G78" s="70"/>
      <c r="H78" s="70"/>
      <c r="I78" s="70"/>
      <c r="J78" s="70"/>
      <c r="K78" s="70"/>
      <c r="L78" s="70"/>
      <c r="M78" s="70"/>
      <c r="N78" s="71"/>
      <c r="O78" s="56"/>
      <c r="P78" s="56"/>
    </row>
    <row r="79">
      <c r="A79" s="73"/>
      <c r="B79" s="70"/>
      <c r="C79" s="70"/>
      <c r="D79" s="70"/>
      <c r="E79" s="70"/>
      <c r="F79" s="70"/>
      <c r="G79" s="70"/>
      <c r="H79" s="70"/>
      <c r="I79" s="70"/>
      <c r="J79" s="70"/>
      <c r="K79" s="70"/>
      <c r="L79" s="70"/>
      <c r="M79" s="70"/>
      <c r="N79" s="70"/>
      <c r="O79" s="56"/>
      <c r="P79" s="56"/>
    </row>
    <row r="80">
      <c r="A80" s="70"/>
      <c r="B80" s="70"/>
      <c r="C80" s="70"/>
      <c r="D80" s="70"/>
      <c r="E80" s="70"/>
      <c r="F80" s="70"/>
      <c r="G80" s="70"/>
      <c r="H80" s="70"/>
      <c r="I80" s="70"/>
      <c r="J80" s="70"/>
      <c r="K80" s="70"/>
      <c r="L80" s="70"/>
      <c r="M80" s="70"/>
      <c r="N80" s="71"/>
      <c r="O80" s="56"/>
      <c r="P80" s="56"/>
    </row>
    <row r="81">
      <c r="A81" s="70"/>
      <c r="B81" s="70"/>
      <c r="C81" s="70"/>
      <c r="D81" s="70"/>
      <c r="E81" s="70"/>
      <c r="F81" s="70"/>
      <c r="G81" s="70"/>
      <c r="H81" s="70"/>
      <c r="I81" s="70"/>
      <c r="J81" s="70"/>
      <c r="K81" s="70"/>
      <c r="L81" s="70"/>
      <c r="M81" s="70"/>
      <c r="N81" s="70"/>
      <c r="O81" s="56"/>
      <c r="P81" s="56"/>
    </row>
    <row r="82">
      <c r="A82" s="70"/>
      <c r="B82" s="70"/>
      <c r="C82" s="70"/>
      <c r="D82" s="70"/>
      <c r="E82" s="70"/>
      <c r="F82" s="70"/>
      <c r="G82" s="70"/>
      <c r="H82" s="70"/>
      <c r="I82" s="70"/>
      <c r="J82" s="70"/>
      <c r="K82" s="70"/>
      <c r="L82" s="70"/>
      <c r="M82" s="70"/>
      <c r="N82" s="71"/>
      <c r="O82" s="56"/>
      <c r="P82" s="56"/>
    </row>
    <row r="83">
      <c r="A83" s="70"/>
      <c r="B83" s="70"/>
      <c r="C83" s="70"/>
      <c r="D83" s="70"/>
      <c r="E83" s="70"/>
      <c r="F83" s="70"/>
      <c r="G83" s="70"/>
      <c r="H83" s="70"/>
      <c r="I83" s="70"/>
      <c r="J83" s="70"/>
      <c r="K83" s="70"/>
      <c r="L83" s="70"/>
      <c r="M83" s="70"/>
      <c r="N83" s="70"/>
      <c r="O83" s="56"/>
      <c r="P83" s="56"/>
    </row>
    <row r="84">
      <c r="A84" s="70"/>
      <c r="B84" s="70"/>
      <c r="C84" s="70"/>
      <c r="D84" s="70"/>
      <c r="E84" s="70"/>
      <c r="F84" s="70"/>
      <c r="G84" s="70"/>
      <c r="H84" s="70"/>
      <c r="I84" s="70"/>
      <c r="J84" s="70"/>
      <c r="K84" s="70"/>
      <c r="L84" s="70"/>
      <c r="M84" s="70"/>
      <c r="N84" s="71"/>
      <c r="O84" s="56"/>
      <c r="P84" s="56"/>
    </row>
    <row r="85">
      <c r="A85" s="70"/>
      <c r="B85" s="70"/>
      <c r="C85" s="70"/>
      <c r="D85" s="70"/>
      <c r="E85" s="70"/>
      <c r="F85" s="70"/>
      <c r="G85" s="70"/>
      <c r="H85" s="70"/>
      <c r="I85" s="70"/>
      <c r="J85" s="70"/>
      <c r="K85" s="70"/>
      <c r="L85" s="70"/>
      <c r="M85" s="70"/>
      <c r="N85" s="70"/>
      <c r="O85" s="56"/>
      <c r="P85" s="56"/>
    </row>
    <row r="86">
      <c r="A86" s="70"/>
      <c r="B86" s="70"/>
      <c r="C86" s="70"/>
      <c r="D86" s="70"/>
      <c r="E86" s="70"/>
      <c r="F86" s="70"/>
      <c r="G86" s="70"/>
      <c r="H86" s="70"/>
      <c r="I86" s="70"/>
      <c r="J86" s="70"/>
      <c r="K86" s="70"/>
      <c r="L86" s="70"/>
      <c r="M86" s="70"/>
      <c r="N86" s="71"/>
      <c r="O86" s="56"/>
      <c r="P86" s="56"/>
    </row>
    <row r="87">
      <c r="A87" s="70"/>
      <c r="B87" s="70"/>
      <c r="C87" s="70"/>
      <c r="D87" s="70"/>
      <c r="E87" s="70"/>
      <c r="F87" s="70"/>
      <c r="G87" s="70"/>
      <c r="H87" s="70"/>
      <c r="I87" s="70"/>
      <c r="J87" s="70"/>
      <c r="K87" s="70"/>
      <c r="L87" s="70"/>
      <c r="M87" s="70"/>
      <c r="N87" s="70"/>
      <c r="O87" s="56"/>
      <c r="P87" s="56"/>
    </row>
    <row r="88">
      <c r="A88" s="70"/>
      <c r="B88" s="70"/>
      <c r="C88" s="70"/>
      <c r="D88" s="70"/>
      <c r="E88" s="70"/>
      <c r="F88" s="70"/>
      <c r="G88" s="70"/>
      <c r="H88" s="70"/>
      <c r="I88" s="70"/>
      <c r="J88" s="70"/>
      <c r="K88" s="70"/>
      <c r="L88" s="70"/>
      <c r="M88" s="70"/>
      <c r="N88" s="71"/>
      <c r="O88" s="56"/>
      <c r="P88" s="56"/>
    </row>
    <row r="89">
      <c r="A89" s="70"/>
      <c r="B89" s="70"/>
      <c r="C89" s="70"/>
      <c r="D89" s="70"/>
      <c r="E89" s="70"/>
      <c r="F89" s="70"/>
      <c r="G89" s="70"/>
      <c r="H89" s="70"/>
      <c r="I89" s="70"/>
      <c r="J89" s="70"/>
      <c r="K89" s="70"/>
      <c r="L89" s="70"/>
      <c r="M89" s="70"/>
      <c r="N89" s="70"/>
      <c r="O89" s="56"/>
      <c r="P89" s="56"/>
    </row>
    <row r="90">
      <c r="A90" s="70"/>
      <c r="B90" s="70"/>
      <c r="C90" s="70"/>
      <c r="D90" s="70"/>
      <c r="E90" s="70"/>
      <c r="F90" s="70"/>
      <c r="G90" s="70"/>
      <c r="H90" s="70"/>
      <c r="I90" s="70"/>
      <c r="J90" s="70"/>
      <c r="K90" s="70"/>
      <c r="L90" s="70"/>
      <c r="M90" s="70"/>
      <c r="N90" s="71"/>
      <c r="O90" s="56"/>
      <c r="P90" s="56"/>
    </row>
    <row r="91">
      <c r="A91" s="70"/>
      <c r="B91" s="70"/>
      <c r="C91" s="70"/>
      <c r="D91" s="70"/>
      <c r="E91" s="70"/>
      <c r="F91" s="70"/>
      <c r="G91" s="70"/>
      <c r="H91" s="70"/>
      <c r="I91" s="70"/>
      <c r="J91" s="70"/>
      <c r="K91" s="70"/>
      <c r="L91" s="70"/>
      <c r="M91" s="70"/>
      <c r="N91" s="70"/>
      <c r="O91" s="56"/>
      <c r="P91" s="56"/>
    </row>
    <row r="92">
      <c r="A92" s="70"/>
      <c r="B92" s="70"/>
      <c r="C92" s="70"/>
      <c r="D92" s="70"/>
      <c r="E92" s="70"/>
      <c r="F92" s="70"/>
      <c r="G92" s="70"/>
      <c r="H92" s="70"/>
      <c r="I92" s="70"/>
      <c r="J92" s="70"/>
      <c r="K92" s="70"/>
      <c r="L92" s="70"/>
      <c r="M92" s="70"/>
      <c r="N92" s="71"/>
      <c r="O92" s="56"/>
      <c r="P92" s="56"/>
    </row>
    <row r="93">
      <c r="A93" s="70"/>
      <c r="B93" s="70"/>
      <c r="C93" s="70"/>
      <c r="D93" s="70"/>
      <c r="E93" s="70"/>
      <c r="F93" s="70"/>
      <c r="G93" s="70"/>
      <c r="H93" s="70"/>
      <c r="I93" s="70"/>
      <c r="J93" s="70"/>
      <c r="K93" s="70"/>
      <c r="L93" s="70"/>
      <c r="M93" s="70"/>
      <c r="N93" s="70"/>
      <c r="O93" s="56"/>
      <c r="P93" s="56"/>
    </row>
    <row r="94">
      <c r="A94" s="70"/>
      <c r="B94" s="70"/>
      <c r="C94" s="70"/>
      <c r="D94" s="70"/>
      <c r="E94" s="70"/>
      <c r="F94" s="70"/>
      <c r="G94" s="70"/>
      <c r="H94" s="70"/>
      <c r="I94" s="70"/>
      <c r="J94" s="70"/>
      <c r="K94" s="70"/>
      <c r="L94" s="70"/>
      <c r="M94" s="70"/>
      <c r="N94" s="71"/>
      <c r="O94" s="56"/>
      <c r="P94" s="56"/>
    </row>
    <row r="95">
      <c r="A95" s="74"/>
      <c r="B95" s="68"/>
      <c r="C95" s="68"/>
      <c r="D95" s="68"/>
      <c r="E95" s="68"/>
      <c r="F95" s="68"/>
      <c r="G95" s="68"/>
      <c r="H95" s="68"/>
      <c r="I95" s="68"/>
      <c r="J95" s="68"/>
      <c r="K95" s="68"/>
      <c r="L95" s="75"/>
      <c r="M95" s="68"/>
      <c r="N95" s="68"/>
      <c r="O95" s="56"/>
      <c r="P95" s="56"/>
    </row>
    <row r="96">
      <c r="A96" s="68"/>
      <c r="B96" s="76"/>
      <c r="C96" s="76"/>
      <c r="D96" s="76"/>
      <c r="E96" s="76"/>
      <c r="F96" s="76"/>
      <c r="G96" s="76"/>
      <c r="H96" s="76"/>
      <c r="I96" s="76"/>
      <c r="J96" s="76"/>
      <c r="K96" s="76"/>
      <c r="L96" s="77"/>
      <c r="M96" s="76"/>
      <c r="N96" s="78"/>
      <c r="O96" s="56"/>
      <c r="P96" s="56"/>
    </row>
    <row r="97">
      <c r="A97" s="79"/>
      <c r="B97" s="80"/>
      <c r="C97" s="80"/>
      <c r="D97" s="80"/>
      <c r="E97" s="80"/>
      <c r="F97" s="80"/>
      <c r="G97" s="80"/>
      <c r="H97" s="80"/>
      <c r="I97" s="80"/>
      <c r="J97" s="80"/>
      <c r="K97" s="80"/>
      <c r="L97" s="81"/>
      <c r="M97" s="80"/>
      <c r="N97" s="80"/>
      <c r="O97" s="56"/>
      <c r="P97" s="56"/>
    </row>
    <row r="98">
      <c r="A98" s="82"/>
      <c r="B98" s="79"/>
      <c r="C98" s="79"/>
      <c r="D98" s="79"/>
      <c r="E98" s="79"/>
      <c r="F98" s="79"/>
      <c r="G98" s="79"/>
      <c r="H98" s="79"/>
      <c r="I98" s="79"/>
      <c r="J98" s="79"/>
      <c r="K98" s="79"/>
      <c r="L98" s="83"/>
      <c r="M98" s="79"/>
      <c r="N98" s="84"/>
      <c r="O98" s="56"/>
      <c r="P98" s="56"/>
    </row>
    <row r="99">
      <c r="A99" s="80"/>
      <c r="B99" s="80"/>
      <c r="C99" s="80"/>
      <c r="D99" s="80"/>
      <c r="E99" s="80"/>
      <c r="F99" s="80"/>
      <c r="G99" s="80"/>
      <c r="H99" s="80"/>
      <c r="I99" s="80"/>
      <c r="J99" s="80"/>
      <c r="K99" s="80"/>
      <c r="L99" s="81"/>
      <c r="M99" s="80"/>
      <c r="N99" s="80"/>
      <c r="O99" s="56"/>
      <c r="P99" s="56"/>
    </row>
    <row r="100">
      <c r="A100" s="56"/>
      <c r="B100" s="56"/>
      <c r="C100" s="56"/>
      <c r="D100" s="56"/>
      <c r="E100" s="56"/>
      <c r="F100" s="56"/>
      <c r="G100" s="56"/>
      <c r="H100" s="56"/>
      <c r="I100" s="56"/>
      <c r="J100" s="56"/>
      <c r="K100" s="56"/>
      <c r="L100" s="56"/>
      <c r="M100" s="56"/>
      <c r="N100" s="56"/>
      <c r="O100" s="56"/>
      <c r="P100" s="56"/>
    </row>
    <row r="101">
      <c r="A101" s="56"/>
      <c r="B101" s="56"/>
      <c r="C101" s="56"/>
      <c r="D101" s="56"/>
      <c r="E101" s="56"/>
      <c r="F101" s="56"/>
      <c r="G101" s="56"/>
      <c r="H101" s="56"/>
      <c r="I101" s="56"/>
      <c r="J101" s="56"/>
      <c r="K101" s="56"/>
      <c r="L101" s="56"/>
      <c r="M101" s="56"/>
      <c r="N101" s="56"/>
      <c r="O101" s="56"/>
      <c r="P101" s="56"/>
    </row>
    <row r="102">
      <c r="A102" s="56"/>
      <c r="B102" s="56"/>
      <c r="C102" s="56"/>
      <c r="D102" s="56"/>
      <c r="E102" s="56"/>
      <c r="F102" s="56"/>
      <c r="G102" s="56"/>
      <c r="H102" s="56"/>
      <c r="I102" s="56"/>
      <c r="J102" s="56"/>
      <c r="K102" s="56"/>
      <c r="L102" s="56"/>
      <c r="M102" s="56"/>
      <c r="N102" s="56"/>
      <c r="O102" s="56"/>
      <c r="P102" s="56"/>
    </row>
    <row r="103">
      <c r="A103" s="56"/>
      <c r="B103" s="56"/>
      <c r="C103" s="56"/>
      <c r="D103" s="56"/>
      <c r="E103" s="56"/>
      <c r="F103" s="56"/>
      <c r="G103" s="56"/>
      <c r="H103" s="56"/>
      <c r="I103" s="56"/>
      <c r="J103" s="56"/>
      <c r="K103" s="56"/>
      <c r="L103" s="56"/>
      <c r="M103" s="56"/>
      <c r="N103" s="56"/>
      <c r="O103" s="56"/>
      <c r="P103" s="56"/>
    </row>
    <row r="104">
      <c r="A104" s="56"/>
      <c r="B104" s="56"/>
      <c r="C104" s="56"/>
      <c r="D104" s="56"/>
      <c r="E104" s="56"/>
      <c r="F104" s="56"/>
      <c r="G104" s="56"/>
      <c r="H104" s="56"/>
      <c r="I104" s="56"/>
      <c r="J104" s="56"/>
      <c r="K104" s="56"/>
      <c r="L104" s="56"/>
      <c r="M104" s="56"/>
      <c r="N104" s="56"/>
      <c r="O104" s="56"/>
      <c r="P104" s="56"/>
    </row>
    <row r="105">
      <c r="A105" s="56"/>
      <c r="B105" s="56"/>
      <c r="C105" s="56"/>
      <c r="D105" s="56"/>
      <c r="E105" s="56"/>
      <c r="F105" s="56"/>
      <c r="G105" s="56"/>
      <c r="H105" s="56"/>
      <c r="I105" s="56"/>
      <c r="J105" s="56"/>
      <c r="K105" s="56"/>
      <c r="L105" s="56"/>
      <c r="M105" s="56"/>
      <c r="N105" s="56"/>
      <c r="O105" s="56"/>
      <c r="P105" s="56"/>
    </row>
  </sheetData>
  <dataValidations>
    <dataValidation type="list" allowBlank="1" showErrorMessage="1" sqref="K17">
      <formula1>"High,Medium,Low"</formula1>
    </dataValidation>
    <dataValidation type="list" allowBlank="1" showErrorMessage="1" sqref="N15:N95 N97 N99">
      <formula1>"Solved,Unsolved"</formula1>
    </dataValidation>
    <dataValidation type="list" allowBlank="1" showErrorMessage="1" sqref="K15:K16 K18:K95 K97 K99">
      <formula1>"High,Medium,Low,Severity"</formula1>
    </dataValidation>
    <dataValidation type="list" allowBlank="1" showErrorMessage="1" sqref="J15:J95 J97 J99">
      <formula1>"Pass,Fail"</formula1>
    </dataValidation>
  </dataValidations>
  <drawing r:id="rId1"/>
</worksheet>
</file>