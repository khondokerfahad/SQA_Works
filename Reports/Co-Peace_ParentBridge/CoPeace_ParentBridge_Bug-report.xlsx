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had" sheetId="1" r:id="rId5"/>
    <sheet state="hidden" name="Tahsin" sheetId="2" r:id="rId6"/>
    <sheet state="visible" name="Summary Report" sheetId="3" r:id="rId7"/>
    <sheet state="visible" name="Main Report" sheetId="4" r:id="rId8"/>
  </sheets>
  <definedNames/>
  <calcPr/>
</workbook>
</file>

<file path=xl/sharedStrings.xml><?xml version="1.0" encoding="utf-8"?>
<sst xmlns="http://schemas.openxmlformats.org/spreadsheetml/2006/main" count="765" uniqueCount="343">
  <si>
    <t xml:space="preserve">Tester : </t>
  </si>
  <si>
    <t>Mohammed Fahad Faisal</t>
  </si>
  <si>
    <t>Project Name:</t>
  </si>
  <si>
    <t>Parent Bridge</t>
  </si>
  <si>
    <t>Developer:</t>
  </si>
  <si>
    <t>AI Hunter</t>
  </si>
  <si>
    <t xml:space="preserve">OS: </t>
  </si>
  <si>
    <t>Windows 11 Pro 
Version:24H2 
OS build:26100.4946</t>
  </si>
  <si>
    <t>Environment:</t>
  </si>
  <si>
    <t>Brave 1.81.135 
(Official Build) (64-bit)
Chromium: 139.0.7258.127</t>
  </si>
  <si>
    <t>Place solve if the issue resolves 
|
\/</t>
  </si>
  <si>
    <t>Mention which Stack solved the issue 
|
\/</t>
  </si>
  <si>
    <t>Test ID</t>
  </si>
  <si>
    <t>Module</t>
  </si>
  <si>
    <t>Sub Module</t>
  </si>
  <si>
    <t>Test Case Description</t>
  </si>
  <si>
    <t>Preconditions</t>
  </si>
  <si>
    <t>Test Steps</t>
  </si>
  <si>
    <t>Test Data</t>
  </si>
  <si>
    <t>Expected Result</t>
  </si>
  <si>
    <t>Actual Result</t>
  </si>
  <si>
    <t>Status</t>
  </si>
  <si>
    <t>Severity</t>
  </si>
  <si>
    <t>Screen Shots</t>
  </si>
  <si>
    <t>Suggestion</t>
  </si>
  <si>
    <t>Feedback</t>
  </si>
  <si>
    <t>Stack</t>
  </si>
  <si>
    <t>Comment</t>
  </si>
  <si>
    <t>BR_001</t>
  </si>
  <si>
    <t>Splash Screen</t>
  </si>
  <si>
    <t>"Next Button" is not implemented</t>
  </si>
  <si>
    <t>User need to able to access website using browser</t>
  </si>
  <si>
    <t>1. Open website of ParentBridge</t>
  </si>
  <si>
    <t>N/A</t>
  </si>
  <si>
    <t>User should be able to change pages by sliding right to left or click button</t>
  </si>
  <si>
    <t>Unable to change page screen</t>
  </si>
  <si>
    <t>Fail</t>
  </si>
  <si>
    <t>Medium</t>
  </si>
  <si>
    <t>001.png</t>
  </si>
  <si>
    <t>Solved</t>
  </si>
  <si>
    <t>Front-End</t>
  </si>
  <si>
    <t>Splash screen is removed</t>
  </si>
  <si>
    <t>BR_002</t>
  </si>
  <si>
    <t>A blank space has been spotted on the splash screen.</t>
  </si>
  <si>
    <t>The screen should be filled with the necessary information.</t>
  </si>
  <si>
    <t>A blank space has been noticed on the splash screen.</t>
  </si>
  <si>
    <t>002.png</t>
  </si>
  <si>
    <t>BR_003</t>
  </si>
  <si>
    <t>Login</t>
  </si>
  <si>
    <t>Forget Password</t>
  </si>
  <si>
    <t>The forgot password section failed to display the correct error message.</t>
  </si>
  <si>
    <t>1. Open website of ParentBridge
2. Goto Login Page
3. Click on Forget Password</t>
  </si>
  <si>
    <t>The error should clearly display the exact problem.</t>
  </si>
  <si>
    <t>The user was not found in the database, and the system returned a 400 error code, which doesn’t seem accurate from the user’s side.</t>
  </si>
  <si>
    <t>High</t>
  </si>
  <si>
    <t>003.png</t>
  </si>
  <si>
    <t>BR_004</t>
  </si>
  <si>
    <t>Signup</t>
  </si>
  <si>
    <t>Failed to signup using google signin</t>
  </si>
  <si>
    <t>1. Open website of ParentBridge
2. Goto Login Page
3. Click on SignUp</t>
  </si>
  <si>
    <t>User should be able to signup through google signup</t>
  </si>
  <si>
    <t>Unable to sign up using Google.</t>
  </si>
  <si>
    <t>004.png</t>
  </si>
  <si>
    <t>BR_005</t>
  </si>
  <si>
    <t>OTP</t>
  </si>
  <si>
    <t>Able to signup with expired OTP</t>
  </si>
  <si>
    <t>1. Open website of ParentBridge
2. Goto Login Page
3. Click on SignUp
4. Enter expired OTP and click on verify</t>
  </si>
  <si>
    <t>USER CREDENTIAL</t>
  </si>
  <si>
    <t>User shouldn’t be able to verify their login credentials using an expired OTP.</t>
  </si>
  <si>
    <t>Users can verify their profile using an expired OTP.</t>
  </si>
  <si>
    <t>005.mp4</t>
  </si>
  <si>
    <t>BR_006</t>
  </si>
  <si>
    <t>Onboarding</t>
  </si>
  <si>
    <t>Secure route has not been implemented yet.</t>
  </si>
  <si>
    <t xml:space="preserve">1. Open website of ParentBridge
2. Goto Login Page
3. Goto /accout-setup route </t>
  </si>
  <si>
    <t>Users should not be allowed to change the route manually.</t>
  </si>
  <si>
    <t>User can manually change the route, which could raise security concerns.</t>
  </si>
  <si>
    <t>006.mp4</t>
  </si>
  <si>
    <t>BR_007</t>
  </si>
  <si>
    <t>Basic Info</t>
  </si>
  <si>
    <t>The required mark on basic information should be displayed correctly.</t>
  </si>
  <si>
    <t>1. Open website of ParentBridge
2. Goto Login Page
3. Login using valid credentials</t>
  </si>
  <si>
    <t>A required mark should be placed in the input field.</t>
  </si>
  <si>
    <t>Required field are not mentioned.</t>
  </si>
  <si>
    <t>007.png</t>
  </si>
  <si>
    <t>BR_008</t>
  </si>
  <si>
    <t>Character limit hasn’t been implemented.</t>
  </si>
  <si>
    <t>The input field should allow users to enter only a limited number of characters.</t>
  </si>
  <si>
    <t>Can enter an unlimited number of characters in the input field.</t>
  </si>
  <si>
    <t>Low</t>
  </si>
  <si>
    <t>008.png</t>
  </si>
  <si>
    <t>BR_009</t>
  </si>
  <si>
    <t>Data validation problem in the basic information.</t>
  </si>
  <si>
    <t>Character field should only accept letters, while the number field should only accept numeric values.</t>
  </si>
  <si>
    <t>Data input validation hasn’t been implemented.</t>
  </si>
  <si>
    <t>009.png</t>
  </si>
  <si>
    <t>BR_010</t>
  </si>
  <si>
    <t>Subscription</t>
  </si>
  <si>
    <t>Calculation error has been noticed in ParentBridge Pro plan</t>
  </si>
  <si>
    <t>1. Open website of ParentBridge
2. Goto Login Page
3. Login using valid credentials
4. Fill up Basic information</t>
  </si>
  <si>
    <t>The price plan calculation needs to be accurate on the frontend.</t>
  </si>
  <si>
    <t>Miscalculation in the monthly and yearly plan has been noticed.</t>
  </si>
  <si>
    <t>010.png</t>
  </si>
  <si>
    <t xml:space="preserve">Add discount rate </t>
  </si>
  <si>
    <t>Unsolved</t>
  </si>
  <si>
    <t>The whole pricing is controlled from the backend only.</t>
  </si>
  <si>
    <t>BR_011</t>
  </si>
  <si>
    <t>Calculation error has been noticed in ParentBridge Pro Plus plan</t>
  </si>
  <si>
    <t>011.png</t>
  </si>
  <si>
    <t>BR_012</t>
  </si>
  <si>
    <t>Can't buy the plan</t>
  </si>
  <si>
    <t>1. Open website of ParentBridge
2. Goto Login Page
3. Login using valid credentials
4. Fill up Basic information
5. Click next and goto subscription page</t>
  </si>
  <si>
    <t>Users should not encounter errors when purchasing a plan.</t>
  </si>
  <si>
    <t>Unable to complete plan purchase</t>
  </si>
  <si>
    <t>012.png</t>
  </si>
  <si>
    <t>BR_013</t>
  </si>
  <si>
    <t>Checkout page redirect to localhost url</t>
  </si>
  <si>
    <t>After purchasing a plan, the user should be redirected to either the home page or the payment success page.</t>
  </si>
  <si>
    <t>After purchasing a plan, the user wasn’t redirected to the home page or the payment success page.</t>
  </si>
  <si>
    <t>013.png</t>
  </si>
  <si>
    <t>BR_014</t>
  </si>
  <si>
    <t>Home</t>
  </si>
  <si>
    <t>Chat</t>
  </si>
  <si>
    <t>A non-functional button has been noticed.</t>
  </si>
  <si>
    <t>1. Open website of ParentBridge
2. Login using valid credential
3. goto chat</t>
  </si>
  <si>
    <t>The settings button and options should be accessible in the chat section.</t>
  </si>
  <si>
    <t>Chat options are missing in the frontend.</t>
  </si>
  <si>
    <t>014.png</t>
  </si>
  <si>
    <t>BR_015</t>
  </si>
  <si>
    <t>Quick access settings button isn’t working.</t>
  </si>
  <si>
    <t>1. Open website of ParentBridge
2. Login using valid credential
3. goto Home
4. goto quick access section</t>
  </si>
  <si>
    <t>User should be able to set quick access manually</t>
  </si>
  <si>
    <t>Quick access setup failed on the user’s side.</t>
  </si>
  <si>
    <t>015.png</t>
  </si>
  <si>
    <t>BR_016</t>
  </si>
  <si>
    <t xml:space="preserve">Failed to redirect user to calender </t>
  </si>
  <si>
    <t>1. Open website of ParentBridge
2. Login using valid credential
3. goto Home
4. goto up comming events section</t>
  </si>
  <si>
    <t>User should be redirected to the desired page when clicking the quick access links</t>
  </si>
  <si>
    <t>Could not redirect the user to the intended location.</t>
  </si>
  <si>
    <t>016.png</t>
  </si>
  <si>
    <t>BR_017</t>
  </si>
  <si>
    <t>Calls</t>
  </si>
  <si>
    <t>Unable to connect with co-parent</t>
  </si>
  <si>
    <t>Users should have the option to add co-parents right after creating an account or choose to add them later.</t>
  </si>
  <si>
    <t>Couldn’t add a co-parent after setting up the account.</t>
  </si>
  <si>
    <t>017.png</t>
  </si>
  <si>
    <t>Front-End, Back-End</t>
  </si>
  <si>
    <t>BR_018</t>
  </si>
  <si>
    <t>Calendar</t>
  </si>
  <si>
    <t>Children are given default names whenever a different name is entered.</t>
  </si>
  <si>
    <t>1. Open website of ParentBridge
2. Login using valid credential
3. goto Home
4. Click on calender</t>
  </si>
  <si>
    <t>Should display the child's name that is entered.</t>
  </si>
  <si>
    <t>Default child names are showing up even when they haven’t been entered.</t>
  </si>
  <si>
    <t>018.png</t>
  </si>
  <si>
    <t>BR_019</t>
  </si>
  <si>
    <t>Can set an event in the past.</t>
  </si>
  <si>
    <t>Users shouldn’t be able to mark past events on the calendar to avoid any misunderstanding issues.</t>
  </si>
  <si>
    <t>User is able to set mark on past event</t>
  </si>
  <si>
    <t>019.png</t>
  </si>
  <si>
    <t xml:space="preserve">Need to discuss this matter with client to avoid miss-understanding between co-parent </t>
  </si>
  <si>
    <t>Back-End</t>
  </si>
  <si>
    <t>If backend will fix this problem then in my frontend, it wont show the past event.</t>
  </si>
  <si>
    <t>BR_020</t>
  </si>
  <si>
    <t>Calendar navigation arrow missing in the frontend</t>
  </si>
  <si>
    <t>The calendar navigation arrow should be positioned to allow viewing of past events.</t>
  </si>
  <si>
    <t>Missing navigation arrow in calendar</t>
  </si>
  <si>
    <t>020.png</t>
  </si>
  <si>
    <t>BR_021</t>
  </si>
  <si>
    <t>Date wise event view failed</t>
  </si>
  <si>
    <t>Event number under the date should be implemented according to the Figma requirements.</t>
  </si>
  <si>
    <t>Event number under the date is missing on the frontend.</t>
  </si>
  <si>
    <t>021.png</t>
  </si>
  <si>
    <t>BR_022</t>
  </si>
  <si>
    <t>Failed to add holiday planner to calendar.</t>
  </si>
  <si>
    <t>Users should be able to add a holiday planner to their calendar.</t>
  </si>
  <si>
    <t>Couldn’t add the holiday planner to the calendar section.</t>
  </si>
  <si>
    <t>022.png</t>
  </si>
  <si>
    <t>BR_023</t>
  </si>
  <si>
    <t>Documents</t>
  </si>
  <si>
    <t>Can't upload document on the frontend.</t>
  </si>
  <si>
    <t>User should be able to upload a document without any issues.</t>
  </si>
  <si>
    <t>Unable to upload document.</t>
  </si>
  <si>
    <t>023.png</t>
  </si>
  <si>
    <t>The images and the pdf is not showing in the website because backend is using local base url</t>
  </si>
  <si>
    <t>BR_024</t>
  </si>
  <si>
    <t>All-day event toggle button is missing from the frontend.</t>
  </si>
  <si>
    <t xml:space="preserve">1. Open website of ParentBridge
2. Login using valid credential
3. goto Home
4. Click on calender
5. Click on add event </t>
  </si>
  <si>
    <t>Feature should be available as shown in Figma.</t>
  </si>
  <si>
    <t>All-day event button is missing in the frontend</t>
  </si>
  <si>
    <t>024.png</t>
  </si>
  <si>
    <t>BR_025</t>
  </si>
  <si>
    <t>Dull color theme of the signup button makes users think it’s not clickable.</t>
  </si>
  <si>
    <t>Button color should be bright from the user's perspective.</t>
  </si>
  <si>
    <t>Signup button uses a dull color.</t>
  </si>
  <si>
    <t>025.png</t>
  </si>
  <si>
    <t>It is handled by backend</t>
  </si>
  <si>
    <t>BR_026</t>
  </si>
  <si>
    <t>Yearly subscription failed on both plans.</t>
  </si>
  <si>
    <t>Users should be to purchase a monthly or yearly plan on both subscriptions without any issues.</t>
  </si>
  <si>
    <t>Unable to complete the purchase of the yearly subscription for either.</t>
  </si>
  <si>
    <t>026.png</t>
  </si>
  <si>
    <t>BR_027</t>
  </si>
  <si>
    <t>After purchasing a plan, it should redirect to the home or dashboard page.</t>
  </si>
  <si>
    <t>After a successful purchase, the user should be redirected to the home or dashboard page.</t>
  </si>
  <si>
    <t>Redirecting to the subscription page doesn’t make sense.</t>
  </si>
  <si>
    <t>027.png</t>
  </si>
  <si>
    <t>BR_028</t>
  </si>
  <si>
    <t>Purchased a yearly plan, but it shows that both the monthly and yearly plans are active.</t>
  </si>
  <si>
    <t>If the subscription card contains both monthly and yearly data, then when a user purchases a yearly plan, it should not display the current plan as active under the monthly data.</t>
  </si>
  <si>
    <t>Displays both monthly and yearly plans as active on a single subscription card.</t>
  </si>
  <si>
    <t>028.png</t>
  </si>
  <si>
    <t>BR_029</t>
  </si>
  <si>
    <t>Settings</t>
  </si>
  <si>
    <t>Profile Information</t>
  </si>
  <si>
    <t>Email field missing in profile information tab</t>
  </si>
  <si>
    <t>1. Open website of ParentBridge
2. Login using valid credentials
3. click on settings
4. click on profile information</t>
  </si>
  <si>
    <t>Email field should be visible in the profile information.</t>
  </si>
  <si>
    <t>Email name field is missing in the profile information section.</t>
  </si>
  <si>
    <t>029.png</t>
  </si>
  <si>
    <t>Email is not coming in profile api</t>
  </si>
  <si>
    <t>BR_030</t>
  </si>
  <si>
    <t>Logout button should be positioned in the left section.</t>
  </si>
  <si>
    <t>1. Open website of ParentBridge
2. Login using valid credentials
3. click on settings</t>
  </si>
  <si>
    <t>Logout button should be placed below the sidebar for convenient access.</t>
  </si>
  <si>
    <t>Logout button is under setting tab</t>
  </si>
  <si>
    <t>030.png</t>
  </si>
  <si>
    <t>BR_031</t>
  </si>
  <si>
    <t>Responsiveness didn’t work.</t>
  </si>
  <si>
    <t>1. Open website of ParentBridge
2. Login using valid credentials</t>
  </si>
  <si>
    <t>Web app should be responsive and adapt seamlessly to any device.</t>
  </si>
  <si>
    <t>Sidebar failed to display responsive mode.</t>
  </si>
  <si>
    <t>031.png</t>
  </si>
  <si>
    <t>BR_032</t>
  </si>
  <si>
    <t>Co-parent's contact number is not showing up in the user’s co-parent information section.</t>
  </si>
  <si>
    <t>1. Open website of ParentBridge
2. Login using valid credentials
3. click on settings
4. click on co-parent information</t>
  </si>
  <si>
    <t>Contact should be displayed in both parents' profiles</t>
  </si>
  <si>
    <t>Co-parent’s profile is missing a contact number.</t>
  </si>
  <si>
    <t>032.png</t>
  </si>
  <si>
    <t>Backend, please check this issue because I am showing all the fields properly</t>
  </si>
  <si>
    <t>BR_033</t>
  </si>
  <si>
    <t>Expense</t>
  </si>
  <si>
    <t>Placeholder text color blends with the background, making it hard to read.</t>
  </si>
  <si>
    <t>1. Open website of ParentBridge
2. Login using valid credentials
3. click on expense</t>
  </si>
  <si>
    <t>Placeholder text should be in the opposite color of the background for better visibility and user understanding.</t>
  </si>
  <si>
    <t>Background color and the placeholder text color are the same, making it difficult to read the text.</t>
  </si>
  <si>
    <t>033.png</t>
  </si>
  <si>
    <t>BR_034</t>
  </si>
  <si>
    <t>Export feature hasn’t been added yet.</t>
  </si>
  <si>
    <t>Export feature should be implemented according to the Figma design.</t>
  </si>
  <si>
    <t>Export feature is missing on the web.</t>
  </si>
  <si>
    <t>034.png</t>
  </si>
  <si>
    <t>Export feature is not implmeneted in backend</t>
  </si>
  <si>
    <t>BR_035</t>
  </si>
  <si>
    <t>Parent and co-parent expenses are not displayed correctly.</t>
  </si>
  <si>
    <t>Expenses should be displayed accurately.</t>
  </si>
  <si>
    <t>Mismatch has been noticed between the parent and co-parent expense data.</t>
  </si>
  <si>
    <t>035.png</t>
  </si>
  <si>
    <t>Backend is not giving the data</t>
  </si>
  <si>
    <t>BR_036</t>
  </si>
  <si>
    <t>Display issue with the total expense calculation has been noticed.</t>
  </si>
  <si>
    <t>Calculated amount should be accurately displayed.</t>
  </si>
  <si>
    <t>Miscalculation has been spotted in the expense tab.</t>
  </si>
  <si>
    <t>036.png</t>
  </si>
  <si>
    <t>Backend needs to be fixed.</t>
  </si>
  <si>
    <t>BR_037</t>
  </si>
  <si>
    <t>Name, state, and phone are typically required to create an account, but you can still set one up without them.</t>
  </si>
  <si>
    <t>Profile setup page should include the required field.</t>
  </si>
  <si>
    <t>Required fields are not being captured during profile setup.</t>
  </si>
  <si>
    <t>037.png</t>
  </si>
  <si>
    <t>User cant create account without account setup</t>
  </si>
  <si>
    <t>BR_038</t>
  </si>
  <si>
    <t>Help and Support</t>
  </si>
  <si>
    <t>Call support is not integrated yet.</t>
  </si>
  <si>
    <t>1. Open website of ParentBridge
2. Login using valid credentials
3. click on settings
4. click on Help and Support</t>
  </si>
  <si>
    <t>Call support button should be implemented flawlessly.</t>
  </si>
  <si>
    <t>Call support feature hasn’t been set up yet.</t>
  </si>
  <si>
    <t>038.png</t>
  </si>
  <si>
    <t>I need the support phone number</t>
  </si>
  <si>
    <t>BR_039</t>
  </si>
  <si>
    <t>Email support hasn’t been set up yet.</t>
  </si>
  <si>
    <t>Email support should be implemented precisely.</t>
  </si>
  <si>
    <t>Feature hasn't been implemented yet.</t>
  </si>
  <si>
    <t>039.png</t>
  </si>
  <si>
    <t>I need teh support email address</t>
  </si>
  <si>
    <t>BR_040</t>
  </si>
  <si>
    <t>Live chat support hasn’t been set up yet.</t>
  </si>
  <si>
    <t>Live chat support should be implemented precisely.</t>
  </si>
  <si>
    <t>040.png</t>
  </si>
  <si>
    <t>Its not in figma so I removed it</t>
  </si>
  <si>
    <t>BR_041</t>
  </si>
  <si>
    <t>BR_042</t>
  </si>
  <si>
    <t>BR_043</t>
  </si>
  <si>
    <t>BR_044</t>
  </si>
  <si>
    <t>Issues</t>
  </si>
  <si>
    <t>Project URL:</t>
  </si>
  <si>
    <t>Environment</t>
  </si>
  <si>
    <t>Total Test Cases:</t>
  </si>
  <si>
    <t>Test Case Solved :</t>
  </si>
  <si>
    <t>Test Case ID</t>
  </si>
  <si>
    <t>Bug Count</t>
  </si>
  <si>
    <t>Bug Rate %</t>
  </si>
  <si>
    <t>Bug Severity</t>
  </si>
  <si>
    <t>Tester</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</si>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</sst>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2.0"/>
      <color theme="1"/>
      <name val="Calibri"/>
    </font>
    <font>
      <sz val="12.0"/>
      <color theme="1"/>
      <name val="Calibri"/>
    </font>
    <font>
      <color theme="1"/>
      <name val="Arial"/>
    </font>
    <font>
      <color rgb="FF1E2624"/>
      <name val="Inter"/>
    </font>
    <font>
      <b/>
      <color theme="1"/>
      <name val="Times New Roman"/>
    </font>
    <font>
      <color rgb="FF1E2624"/>
      <name val="Arial"/>
    </font>
    <font>
      <color theme="1"/>
      <name val="Times New Roman"/>
    </font>
    <font>
      <b/>
      <sz val="13.0"/>
      <color theme="1"/>
      <name val="Times New Roman"/>
    </font>
    <font>
      <b/>
      <sz val="15.0"/>
      <color theme="1"/>
      <name val="Calibri"/>
    </font>
    <font>
      <sz val="13.0"/>
      <color theme="1"/>
      <name val="Arial"/>
      <scheme val="minor"/>
    </font>
    <font>
      <sz val="12.0"/>
      <color theme="1"/>
      <name val="Times New Roman"/>
    </font>
    <font>
      <u/>
      <color theme="1"/>
      <name val="Arial"/>
      <scheme val="minor"/>
    </font>
    <font>
      <color theme="1"/>
      <name val="Arial"/>
      <scheme val="minor"/>
    </font>
    <font>
      <u/>
      <sz val="12.0"/>
      <color rgb="FF1155CC"/>
      <name val="Times New Roman"/>
    </font>
    <font>
      <u/>
      <color theme="1"/>
      <name val="Arial"/>
      <scheme val="minor"/>
    </font>
    <font>
      <u/>
      <sz val="12.0"/>
      <color rgb="FF1155CC"/>
      <name val="Times New Roman"/>
    </font>
    <font>
      <b/>
      <sz val="12.0"/>
      <color theme="1"/>
      <name val="Arial"/>
    </font>
    <font>
      <u/>
      <color rgb="FF1155CC"/>
      <name val="Arial"/>
    </font>
    <font>
      <b/>
      <sz val="11.0"/>
      <color theme="1"/>
      <name val="Calibri"/>
    </font>
    <font>
      <sz val="11.0"/>
      <color theme="1"/>
      <name val="Calibri"/>
    </font>
    <font>
      <b/>
      <color rgb="FF000000"/>
      <name val="Arial"/>
      <scheme val="minor"/>
    </font>
    <font>
      <b/>
      <color theme="1"/>
      <name val="Arial"/>
    </font>
    <font>
      <sz val="15.0"/>
      <color theme="1"/>
      <name val="Arial"/>
      <scheme val="minor"/>
    </font>
    <font>
      <u/>
      <color theme="1"/>
      <name val="Arial"/>
      <scheme val="minor"/>
    </font>
    <font>
      <u/>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FFD966"/>
        <bgColor rgb="FFFFD966"/>
      </patternFill>
    </fill>
    <fill>
      <patternFill patternType="solid">
        <fgColor rgb="FF00FF00"/>
        <bgColor rgb="FF00FF00"/>
      </patternFill>
    </fill>
    <fill>
      <patternFill patternType="solid">
        <fgColor rgb="FF00FFFF"/>
        <bgColor rgb="FF00FFFF"/>
      </patternFill>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F1C232"/>
        <bgColor rgb="FFF1C232"/>
      </patternFill>
    </fill>
  </fills>
  <borders count="6">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0" fontId="1" numFmtId="0" xfId="0" applyAlignment="1" applyBorder="1" applyFont="1">
      <alignment horizontal="right" shrinkToFit="0" vertical="center" wrapText="1"/>
    </xf>
    <xf borderId="1" fillId="0" fontId="2" numFmtId="0" xfId="0" applyAlignment="1" applyBorder="1" applyFont="1">
      <alignment horizontal="center" readingOrder="0" vertical="center"/>
    </xf>
    <xf borderId="0" fillId="0" fontId="3" numFmtId="0" xfId="0" applyFont="1"/>
    <xf borderId="1" fillId="0" fontId="3" numFmtId="0" xfId="0" applyAlignment="1" applyBorder="1" applyFont="1">
      <alignment horizontal="center" readingOrder="0" vertical="center"/>
    </xf>
    <xf borderId="1" fillId="0" fontId="3" numFmtId="0" xfId="0" applyAlignment="1" applyBorder="1" applyFont="1">
      <alignment horizontal="center" readingOrder="0" vertical="center"/>
    </xf>
    <xf borderId="1" fillId="2" fontId="4" numFmtId="0" xfId="0" applyAlignment="1" applyBorder="1" applyFill="1" applyFont="1">
      <alignment horizontal="center" readingOrder="0" vertical="center"/>
    </xf>
    <xf borderId="0" fillId="0" fontId="5" numFmtId="0" xfId="0" applyAlignment="1" applyFont="1">
      <alignment horizontal="center" shrinkToFit="0" wrapText="1"/>
    </xf>
    <xf borderId="1" fillId="0" fontId="1" numFmtId="0" xfId="0" applyAlignment="1" applyBorder="1" applyFont="1">
      <alignment horizontal="right" readingOrder="0" vertical="center"/>
    </xf>
    <xf borderId="1" fillId="2" fontId="6" numFmtId="0" xfId="0" applyAlignment="1" applyBorder="1" applyFont="1">
      <alignment horizontal="center" readingOrder="0" vertical="center"/>
    </xf>
    <xf borderId="0" fillId="3" fontId="7" numFmtId="0" xfId="0" applyAlignment="1" applyFill="1" applyFont="1">
      <alignment horizontal="center" readingOrder="0" shrinkToFit="0" wrapText="1"/>
    </xf>
    <xf borderId="2" fillId="4" fontId="8" numFmtId="0" xfId="0" applyAlignment="1" applyBorder="1" applyFill="1" applyFont="1">
      <alignment horizontal="center" shrinkToFit="0" vertical="center" wrapText="1"/>
    </xf>
    <xf borderId="2" fillId="4" fontId="9" numFmtId="0" xfId="0" applyAlignment="1" applyBorder="1" applyFont="1">
      <alignment horizontal="center" shrinkToFit="0" vertical="center" wrapText="1"/>
    </xf>
    <xf borderId="2" fillId="4" fontId="9" numFmtId="0" xfId="0" applyAlignment="1" applyBorder="1" applyFont="1">
      <alignment horizontal="center" readingOrder="0" shrinkToFit="0" vertical="center" wrapText="1"/>
    </xf>
    <xf borderId="0" fillId="0" fontId="10" numFmtId="0" xfId="0" applyAlignment="1" applyFont="1">
      <alignment vertical="center"/>
    </xf>
    <xf borderId="0" fillId="0" fontId="10" numFmtId="0" xfId="0" applyAlignment="1" applyFont="1">
      <alignment readingOrder="0" vertical="center"/>
    </xf>
    <xf borderId="3" fillId="0" fontId="11"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3" fillId="0" fontId="11" numFmtId="0" xfId="0" applyAlignment="1" applyBorder="1" applyFont="1">
      <alignment horizontal="left" readingOrder="0" shrinkToFit="0" vertical="center" wrapText="1"/>
    </xf>
    <xf borderId="3" fillId="0" fontId="3" numFmtId="0" xfId="0" applyAlignment="1" applyBorder="1" applyFont="1">
      <alignment horizontal="center" readingOrder="0" shrinkToFit="0" vertical="center" wrapText="1"/>
    </xf>
    <xf borderId="4" fillId="0" fontId="1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13" numFmtId="0" xfId="0" applyAlignment="1" applyFont="1">
      <alignment horizontal="center" shrinkToFit="0" vertical="center" wrapText="1"/>
    </xf>
    <xf borderId="0" fillId="0" fontId="13" numFmtId="0" xfId="0" applyAlignment="1" applyFont="1">
      <alignment horizontal="left" shrinkToFit="0" vertical="center" wrapText="1"/>
    </xf>
    <xf borderId="0" fillId="0" fontId="3" numFmtId="0" xfId="0" applyAlignment="1" applyFont="1">
      <alignment horizontal="center" shrinkToFit="0" vertical="center" wrapText="1"/>
    </xf>
    <xf borderId="1" fillId="0" fontId="11" numFmtId="0" xfId="0" applyAlignment="1" applyBorder="1" applyFont="1">
      <alignment horizontal="left" readingOrder="0" shrinkToFit="0" vertical="center" wrapText="1"/>
    </xf>
    <xf borderId="1" fillId="0" fontId="14"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 fillId="0" fontId="3" numFmtId="0" xfId="0" applyAlignment="1" applyBorder="1" applyFont="1">
      <alignment horizontal="center" shrinkToFit="0" vertical="center" wrapText="1"/>
    </xf>
    <xf borderId="1" fillId="0" fontId="11" numFmtId="0" xfId="0" applyAlignment="1" applyBorder="1" applyFont="1">
      <alignment horizontal="left" readingOrder="0" shrinkToFit="0" vertical="center" wrapText="1"/>
    </xf>
    <xf borderId="1" fillId="0" fontId="16" numFmtId="0" xfId="0" applyAlignment="1" applyBorder="1" applyFont="1">
      <alignment horizontal="center" shrinkToFit="0" vertical="center" wrapText="1"/>
    </xf>
    <xf borderId="0" fillId="0" fontId="3" numFmtId="0" xfId="0" applyAlignment="1" applyFont="1">
      <alignment vertical="bottom"/>
    </xf>
    <xf borderId="1" fillId="0" fontId="1"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7" numFmtId="0" xfId="0" applyAlignment="1" applyBorder="1" applyFont="1">
      <alignment horizontal="center" shrinkToFit="0" wrapText="1"/>
    </xf>
    <xf borderId="1" fillId="0" fontId="3" numFmtId="0" xfId="0" applyAlignment="1" applyBorder="1" applyFont="1">
      <alignment horizontal="center" readingOrder="0" vertical="bottom"/>
    </xf>
    <xf borderId="1" fillId="0" fontId="3" numFmtId="0" xfId="0" applyAlignment="1" applyBorder="1" applyFont="1">
      <alignment horizontal="center" shrinkToFit="0" wrapText="1"/>
    </xf>
    <xf borderId="1" fillId="0" fontId="3" numFmtId="0" xfId="0" applyAlignment="1" applyBorder="1" applyFont="1">
      <alignment horizontal="center"/>
    </xf>
    <xf borderId="1" fillId="0" fontId="18" numFmtId="0" xfId="0" applyAlignment="1" applyBorder="1" applyFont="1">
      <alignment horizontal="center" readingOrder="0" shrinkToFit="0" vertical="bottom" wrapText="1"/>
    </xf>
    <xf borderId="1" fillId="0" fontId="3" numFmtId="0" xfId="0" applyAlignment="1" applyBorder="1" applyFont="1">
      <alignment vertical="bottom"/>
    </xf>
    <xf borderId="1" fillId="0" fontId="1" numFmtId="0" xfId="0" applyAlignment="1" applyBorder="1" applyFont="1">
      <alignment horizontal="right" vertical="bottom"/>
    </xf>
    <xf borderId="1" fillId="0" fontId="19" numFmtId="0" xfId="0" applyAlignment="1" applyBorder="1" applyFont="1">
      <alignment horizontal="right" vertical="bottom"/>
    </xf>
    <xf borderId="1" fillId="0" fontId="3" numFmtId="0" xfId="0" applyAlignment="1" applyBorder="1" applyFont="1">
      <alignment horizontal="center" vertical="bottom"/>
    </xf>
    <xf borderId="2" fillId="5" fontId="8" numFmtId="0" xfId="0" applyAlignment="1" applyBorder="1" applyFill="1" applyFont="1">
      <alignment horizontal="center" shrinkToFit="0" vertical="center" wrapText="1"/>
    </xf>
    <xf borderId="2" fillId="5" fontId="9" numFmtId="0" xfId="0" applyAlignment="1" applyBorder="1" applyFont="1">
      <alignment horizontal="center" shrinkToFit="0" vertical="center" wrapText="1"/>
    </xf>
    <xf borderId="2" fillId="5" fontId="9" numFmtId="0" xfId="0" applyAlignment="1" applyBorder="1" applyFont="1">
      <alignment horizontal="center" readingOrder="0" shrinkToFit="0" vertical="center" wrapText="1"/>
    </xf>
    <xf borderId="4" fillId="0" fontId="13"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2" fillId="5" fontId="8" numFmtId="0" xfId="0" applyAlignment="1" applyBorder="1" applyFont="1">
      <alignment horizontal="center" shrinkToFit="0" vertical="center" wrapText="1"/>
    </xf>
    <xf borderId="2" fillId="5" fontId="8"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20" numFmtId="0" xfId="0" applyAlignment="1" applyBorder="1" applyFont="1">
      <alignment horizontal="center" readingOrder="0" shrinkToFit="0" vertical="center" wrapText="1"/>
    </xf>
    <xf borderId="0" fillId="0" fontId="21"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6" fontId="22" numFmtId="0" xfId="0" applyAlignment="1" applyBorder="1" applyFill="1" applyFont="1">
      <alignment horizontal="center" shrinkToFit="0" vertical="center" wrapText="1"/>
    </xf>
    <xf borderId="1" fillId="0" fontId="22" numFmtId="0" xfId="0" applyAlignment="1" applyBorder="1" applyFont="1">
      <alignment horizontal="center" shrinkToFit="0" vertical="center" wrapText="1"/>
    </xf>
    <xf borderId="1" fillId="0" fontId="13" numFmtId="0" xfId="0" applyAlignment="1" applyBorder="1" applyFont="1">
      <alignment horizontal="center" readingOrder="0"/>
    </xf>
    <xf borderId="1" fillId="7" fontId="22" numFmtId="0" xfId="0" applyAlignment="1" applyBorder="1" applyFill="1" applyFont="1">
      <alignment horizontal="center" shrinkToFit="0" vertical="center" wrapText="1"/>
    </xf>
    <xf borderId="1" fillId="8" fontId="22" numFmtId="0" xfId="0" applyAlignment="1" applyBorder="1" applyFill="1" applyFont="1">
      <alignment horizontal="center" shrinkToFit="0" vertical="center" wrapText="1"/>
    </xf>
    <xf borderId="1" fillId="0" fontId="3" numFmtId="0" xfId="0" applyBorder="1" applyFont="1"/>
    <xf borderId="0" fillId="0" fontId="22" numFmtId="0" xfId="0" applyFont="1"/>
    <xf borderId="1" fillId="0" fontId="19" numFmtId="0" xfId="0" applyAlignment="1" applyBorder="1" applyFont="1">
      <alignment horizontal="center" shrinkToFit="0" wrapText="1"/>
    </xf>
    <xf borderId="1" fillId="0" fontId="22" numFmtId="0" xfId="0" applyAlignment="1" applyBorder="1" applyFont="1">
      <alignment horizontal="center" shrinkToFit="0" wrapText="1"/>
    </xf>
    <xf borderId="0" fillId="3" fontId="7" numFmtId="0" xfId="0" applyAlignment="1" applyFont="1">
      <alignment horizontal="center" readingOrder="0" shrinkToFit="0" vertical="center" wrapText="1"/>
    </xf>
    <xf borderId="0" fillId="9" fontId="7" numFmtId="0" xfId="0" applyAlignment="1" applyFill="1" applyFont="1">
      <alignment horizontal="center" readingOrder="0" shrinkToFit="0" vertical="center" wrapText="1"/>
    </xf>
    <xf borderId="2" fillId="9" fontId="9" numFmtId="0" xfId="0" applyAlignment="1" applyBorder="1" applyFont="1">
      <alignment horizontal="center" shrinkToFit="0" vertical="center" wrapText="1"/>
    </xf>
    <xf borderId="2" fillId="9" fontId="9" numFmtId="0" xfId="0" applyAlignment="1" applyBorder="1" applyFont="1">
      <alignment horizontal="center" readingOrder="0" shrinkToFit="0" vertical="center" wrapText="1"/>
    </xf>
    <xf borderId="0" fillId="0" fontId="23" numFmtId="0" xfId="0" applyAlignment="1" applyFont="1">
      <alignment horizontal="center" shrinkToFit="0" vertical="center" wrapText="1"/>
    </xf>
    <xf borderId="5" fillId="0" fontId="13" numFmtId="0" xfId="0" applyAlignment="1" applyBorder="1" applyFont="1">
      <alignment horizontal="center" readingOrder="0" shrinkToFit="0" vertical="center" wrapText="1"/>
    </xf>
    <xf borderId="3" fillId="0" fontId="13" numFmtId="0" xfId="0" applyAlignment="1" applyBorder="1" applyFont="1">
      <alignment horizontal="center" shrinkToFit="0" vertical="center" wrapText="1"/>
    </xf>
    <xf borderId="3" fillId="0" fontId="24" numFmtId="0" xfId="0" applyAlignment="1" applyBorder="1" applyFont="1">
      <alignment horizontal="center" shrinkToFit="0" vertical="center" wrapText="1"/>
    </xf>
    <xf borderId="3" fillId="0" fontId="13" numFmtId="0" xfId="0" applyAlignment="1" applyBorder="1" applyFont="1">
      <alignment horizontal="center" readingOrder="0" shrinkToFit="0" vertical="center" wrapText="1"/>
    </xf>
    <xf borderId="1" fillId="0" fontId="13"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0" fillId="0" fontId="13" numFmtId="0" xfId="0" applyAlignment="1" applyFont="1">
      <alignment horizontal="center" readingOrder="0" shrinkToFit="0" vertical="center" wrapText="1"/>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3676650" cy="1943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sWIUH1geFNttVbUqzwuAYpAez30ZRPsb/view?usp=sharing" TargetMode="External"/><Relationship Id="rId20" Type="http://schemas.openxmlformats.org/officeDocument/2006/relationships/hyperlink" Target="https://drive.google.com/file/d/1d4v36X1Ew9i2Lk263I1YAMJKBgNGD1Le/view?usp=drive_link" TargetMode="External"/><Relationship Id="rId41" Type="http://schemas.openxmlformats.org/officeDocument/2006/relationships/drawing" Target="../drawings/drawing1.xml"/><Relationship Id="rId22" Type="http://schemas.openxmlformats.org/officeDocument/2006/relationships/hyperlink" Target="https://drive.google.com/file/d/1vFVFr_GeyWFqd0CWcmD0RRRjYoPAE1Ng/view?usp=sharing" TargetMode="External"/><Relationship Id="rId21" Type="http://schemas.openxmlformats.org/officeDocument/2006/relationships/hyperlink" Target="https://drive.google.com/file/d/1NdV1DlzbhsrXe0uyCzncubIkYr0Wowsd/view?usp=drive_link" TargetMode="External"/><Relationship Id="rId24" Type="http://schemas.openxmlformats.org/officeDocument/2006/relationships/hyperlink" Target="https://drive.google.com/file/d/1FycEe77sYKS1ODT38aAeQUUvMyBwNZCU/view?usp=sharing" TargetMode="External"/><Relationship Id="rId23" Type="http://schemas.openxmlformats.org/officeDocument/2006/relationships/hyperlink" Target="https://drive.google.com/file/d/1TTQZWzNw8byqB-kZWDu1d8Bnrqrm3Pfi/view?usp=sharing" TargetMode="External"/><Relationship Id="rId1" Type="http://schemas.openxmlformats.org/officeDocument/2006/relationships/hyperlink" Target="https://drive.google.com/file/d/1We37V-GmQRQ0HhQyCpOz_ItRQYes504H/view?usp=sharing" TargetMode="External"/><Relationship Id="rId2" Type="http://schemas.openxmlformats.org/officeDocument/2006/relationships/hyperlink" Target="https://drive.google.com/file/d/105P6OhgGBibb8bC2IEk6El4Ds1mDoHkK/view?usp=sharing" TargetMode="External"/><Relationship Id="rId3" Type="http://schemas.openxmlformats.org/officeDocument/2006/relationships/hyperlink" Target="https://drive.google.com/file/d/18tqXtNtel-NLq3AJkEyLBX7KuNw2RDBd/view?usp=drive_link" TargetMode="External"/><Relationship Id="rId4" Type="http://schemas.openxmlformats.org/officeDocument/2006/relationships/hyperlink" Target="https://drive.google.com/file/d/1-hqPdGF_qYkM4QMrjla-Ofx2oySgksZn/view?usp=sharing" TargetMode="External"/><Relationship Id="rId9" Type="http://schemas.openxmlformats.org/officeDocument/2006/relationships/hyperlink" Target="https://drive.google.com/file/d/1aqfvIamIulfG5QJdQEvH1PqC0sDJF-6b/view?usp=sharing" TargetMode="External"/><Relationship Id="rId26" Type="http://schemas.openxmlformats.org/officeDocument/2006/relationships/hyperlink" Target="https://drive.google.com/file/d/1Oqf9M7ofugXD6dzeLwusFiUo2WDr-7hm/view?usp=drive_link" TargetMode="External"/><Relationship Id="rId25" Type="http://schemas.openxmlformats.org/officeDocument/2006/relationships/hyperlink" Target="https://drive.google.com/file/d/1Z2si_MuczBVoV8ZqVklWcuOj0z_XyZGl/view?usp=drive_link" TargetMode="External"/><Relationship Id="rId28" Type="http://schemas.openxmlformats.org/officeDocument/2006/relationships/hyperlink" Target="https://drive.google.com/file/d/1tDVJSZCPXLRxC8JNLM2Kfdu3W1150RKS/view?usp=sharing" TargetMode="External"/><Relationship Id="rId27" Type="http://schemas.openxmlformats.org/officeDocument/2006/relationships/hyperlink" Target="https://drive.google.com/file/d/1z00qnq77JlaAnutT8TfqQPmGz2iyCBOe/view?usp=sharing" TargetMode="External"/><Relationship Id="rId5" Type="http://schemas.openxmlformats.org/officeDocument/2006/relationships/hyperlink" Target="https://drive.google.com/file/d/1Z42hyGvdom27ekT94-rQU3j-vElis5Nj/view?usp=sharing" TargetMode="External"/><Relationship Id="rId6" Type="http://schemas.openxmlformats.org/officeDocument/2006/relationships/hyperlink" Target="https://drive.google.com/file/d/1uwpcosyV8tWQWtgtZbEvFol35bO2BIhA/view?usp=drive_link" TargetMode="External"/><Relationship Id="rId29" Type="http://schemas.openxmlformats.org/officeDocument/2006/relationships/hyperlink" Target="https://drive.google.com/file/d/1K5SoQfK_aEBKi2NcDMvx5IJpFnZR44RX/view?usp=drive_link" TargetMode="External"/><Relationship Id="rId7" Type="http://schemas.openxmlformats.org/officeDocument/2006/relationships/hyperlink" Target="https://drive.google.com/file/d/1wnywCiiUUAE5fmEkXHvWQKDnaI2nQgPD/view?usp=drive_link" TargetMode="External"/><Relationship Id="rId8" Type="http://schemas.openxmlformats.org/officeDocument/2006/relationships/hyperlink" Target="https://drive.google.com/file/d/1Cvr16l9shmqyV-LORVQC9_DrCCzEuos8/view?usp=sharing" TargetMode="External"/><Relationship Id="rId31" Type="http://schemas.openxmlformats.org/officeDocument/2006/relationships/hyperlink" Target="https://drive.google.com/file/d/12hB1tIQc9eXwkn7W-R4YizxP_uiR9rUg/view?usp=sharing" TargetMode="External"/><Relationship Id="rId30" Type="http://schemas.openxmlformats.org/officeDocument/2006/relationships/hyperlink" Target="https://drive.google.com/file/d/1D6uj8Dni81nni_vasUXGyolMAuq7k4Jl/view?usp=sharing" TargetMode="External"/><Relationship Id="rId11" Type="http://schemas.openxmlformats.org/officeDocument/2006/relationships/hyperlink" Target="https://drive.google.com/file/d/1iFI1A-MzeZkYVxYRe3RwDOVzo8QjrTj-/view?usp=sharing" TargetMode="External"/><Relationship Id="rId33" Type="http://schemas.openxmlformats.org/officeDocument/2006/relationships/hyperlink" Target="https://drive.google.com/file/d/1yyUeATS7zSLxwW4mvY3wy2npazwXebFw/view?usp=sharing" TargetMode="External"/><Relationship Id="rId10" Type="http://schemas.openxmlformats.org/officeDocument/2006/relationships/hyperlink" Target="https://drive.google.com/file/d/10Gr8zUqDFmSXOSsiVYQ4lP6Tn8arT_IQ/view?usp=drive_link" TargetMode="External"/><Relationship Id="rId32" Type="http://schemas.openxmlformats.org/officeDocument/2006/relationships/hyperlink" Target="https://drive.google.com/file/d/1LlWJLoiwY78C3-Nt2P1gcJrAS_O1BxXs/view?usp=sharing" TargetMode="External"/><Relationship Id="rId13" Type="http://schemas.openxmlformats.org/officeDocument/2006/relationships/hyperlink" Target="https://drive.google.com/file/d/1ecz8Ic2T4nmf-HnMn9oYwqvT6tz4y1kW/view?usp=sharing" TargetMode="External"/><Relationship Id="rId35" Type="http://schemas.openxmlformats.org/officeDocument/2006/relationships/hyperlink" Target="https://drive.google.com/file/d/1C4DEtSqLbIsYyYvEYFjoW1U1G6O3VwpD/view?usp=sharing" TargetMode="External"/><Relationship Id="rId12" Type="http://schemas.openxmlformats.org/officeDocument/2006/relationships/hyperlink" Target="https://drive.google.com/file/d/1TVBOzXYdHNeVw86hSFGg6QgjJ5k4c6XK/view?usp=sharing" TargetMode="External"/><Relationship Id="rId34" Type="http://schemas.openxmlformats.org/officeDocument/2006/relationships/hyperlink" Target="https://drive.google.com/file/d/1T6GqpAH326gbdUpBKxXbApaAdfbgDdHj/view?usp=sharing" TargetMode="External"/><Relationship Id="rId15" Type="http://schemas.openxmlformats.org/officeDocument/2006/relationships/hyperlink" Target="https://drive.google.com/file/d/1BBG_Udp74CKN0VoTiqvRfZMqTTQqORyO/view?usp=drive_link" TargetMode="External"/><Relationship Id="rId37" Type="http://schemas.openxmlformats.org/officeDocument/2006/relationships/hyperlink" Target="https://drive.google.com/file/d/1-TTHVtETBovhzhWRKDfxmT8-65WxzWJe/view?usp=sharing" TargetMode="External"/><Relationship Id="rId14" Type="http://schemas.openxmlformats.org/officeDocument/2006/relationships/hyperlink" Target="https://drive.google.com/file/d/1aF15PmmFFeelX8BoruJLzXOsAS0q85yA/view?usp=drive_link" TargetMode="External"/><Relationship Id="rId36" Type="http://schemas.openxmlformats.org/officeDocument/2006/relationships/hyperlink" Target="https://drive.google.com/file/d/1CSSJq0uzGphzfAVoquUTw8CDz5tvOP5X/view?usp=sharing" TargetMode="External"/><Relationship Id="rId17" Type="http://schemas.openxmlformats.org/officeDocument/2006/relationships/hyperlink" Target="https://drive.google.com/file/d/1wvBIm1wL35Z1ErYUxhEA-D2kwQHxzX9Q/view?usp=sharing" TargetMode="External"/><Relationship Id="rId39" Type="http://schemas.openxmlformats.org/officeDocument/2006/relationships/hyperlink" Target="https://drive.google.com/file/d/1RAVsssH_8dslMShwuJASOBOgfJdlHxaG/view?usp=sharing" TargetMode="External"/><Relationship Id="rId16" Type="http://schemas.openxmlformats.org/officeDocument/2006/relationships/hyperlink" Target="https://drive.google.com/file/d/150Q_WEuEBck9e05iKoV2JNYI5ze1X1qR/view?usp=drive_link" TargetMode="External"/><Relationship Id="rId38" Type="http://schemas.openxmlformats.org/officeDocument/2006/relationships/hyperlink" Target="https://drive.google.com/file/d/1IxpofUzNMN3FfgTMi-JqB1yuIMyl2Tmq/view?usp=sharing" TargetMode="External"/><Relationship Id="rId19" Type="http://schemas.openxmlformats.org/officeDocument/2006/relationships/hyperlink" Target="https://drive.google.com/file/d/1FPlOsVwB3YJVTNiICRrV8iPBxthYTL0M/view?usp=sharing" TargetMode="External"/><Relationship Id="rId18" Type="http://schemas.openxmlformats.org/officeDocument/2006/relationships/hyperlink" Target="https://drive.google.com/file/d/1ndpMHjF0I3BVyas8xzEYbZeu1yRZY6On/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tDVJSZCPXLRxC8JNLM2Kfdu3W1150RKS/view?usp=sharing" TargetMode="External"/><Relationship Id="rId20" Type="http://schemas.openxmlformats.org/officeDocument/2006/relationships/hyperlink" Target="https://drive.google.com/file/d/1D6uj8Dni81nni_vasUXGyolMAuq7k4Jl/view?usp=sharing" TargetMode="External"/><Relationship Id="rId41" Type="http://schemas.openxmlformats.org/officeDocument/2006/relationships/drawing" Target="../drawings/drawing4.xml"/><Relationship Id="rId22" Type="http://schemas.openxmlformats.org/officeDocument/2006/relationships/hyperlink" Target="https://drive.google.com/file/d/1uwpcosyV8tWQWtgtZbEvFol35bO2BIhA/view?usp=drive_link" TargetMode="External"/><Relationship Id="rId21" Type="http://schemas.openxmlformats.org/officeDocument/2006/relationships/hyperlink" Target="https://drive.google.com/file/d/18tqXtNtel-NLq3AJkEyLBX7KuNw2RDBd/view?usp=drive_link" TargetMode="External"/><Relationship Id="rId24" Type="http://schemas.openxmlformats.org/officeDocument/2006/relationships/hyperlink" Target="https://drive.google.com/file/d/1RAVsssH_8dslMShwuJASOBOgfJdlHxaG/view?usp=sharing" TargetMode="External"/><Relationship Id="rId23" Type="http://schemas.openxmlformats.org/officeDocument/2006/relationships/hyperlink" Target="https://drive.google.com/file/d/1IxpofUzNMN3FfgTMi-JqB1yuIMyl2Tmq/view?usp=sharing" TargetMode="External"/><Relationship Id="rId1" Type="http://schemas.openxmlformats.org/officeDocument/2006/relationships/hyperlink" Target="https://drive.google.com/file/d/1wnywCiiUUAE5fmEkXHvWQKDnaI2nQgPD/view?usp=drive_link" TargetMode="External"/><Relationship Id="rId2" Type="http://schemas.openxmlformats.org/officeDocument/2006/relationships/hyperlink" Target="https://drive.google.com/file/d/1Cvr16l9shmqyV-LORVQC9_DrCCzEuos8/view?usp=sharing" TargetMode="External"/><Relationship Id="rId3" Type="http://schemas.openxmlformats.org/officeDocument/2006/relationships/hyperlink" Target="https://drive.google.com/file/d/1aqfvIamIulfG5QJdQEvH1PqC0sDJF-6b/view?usp=sharing" TargetMode="External"/><Relationship Id="rId4" Type="http://schemas.openxmlformats.org/officeDocument/2006/relationships/hyperlink" Target="https://drive.google.com/file/d/1ndpMHjF0I3BVyas8xzEYbZeu1yRZY6On/view?usp=sharing" TargetMode="External"/><Relationship Id="rId9" Type="http://schemas.openxmlformats.org/officeDocument/2006/relationships/hyperlink" Target="https://drive.google.com/file/d/1FycEe77sYKS1ODT38aAeQUUvMyBwNZCU/view?usp=sharing" TargetMode="External"/><Relationship Id="rId26" Type="http://schemas.openxmlformats.org/officeDocument/2006/relationships/hyperlink" Target="https://drive.google.com/file/d/1K5SoQfK_aEBKi2NcDMvx5IJpFnZR44RX/view?usp=drive_link" TargetMode="External"/><Relationship Id="rId25" Type="http://schemas.openxmlformats.org/officeDocument/2006/relationships/hyperlink" Target="https://drive.google.com/file/d/1sWIUH1geFNttVbUqzwuAYpAez30ZRPsb/view?usp=sharing" TargetMode="External"/><Relationship Id="rId28" Type="http://schemas.openxmlformats.org/officeDocument/2006/relationships/hyperlink" Target="https://drive.google.com/file/d/1-TTHVtETBovhzhWRKDfxmT8-65WxzWJe/view?usp=sharing" TargetMode="External"/><Relationship Id="rId27" Type="http://schemas.openxmlformats.org/officeDocument/2006/relationships/hyperlink" Target="https://drive.google.com/file/d/1LlWJLoiwY78C3-Nt2P1gcJrAS_O1BxXs/view?usp=sharing" TargetMode="External"/><Relationship Id="rId5" Type="http://schemas.openxmlformats.org/officeDocument/2006/relationships/hyperlink" Target="https://drive.google.com/file/d/1FPlOsVwB3YJVTNiICRrV8iPBxthYTL0M/view?usp=sharing" TargetMode="External"/><Relationship Id="rId6" Type="http://schemas.openxmlformats.org/officeDocument/2006/relationships/hyperlink" Target="https://drive.google.com/file/d/1d4v36X1Ew9i2Lk263I1YAMJKBgNGD1Le/view?usp=drive_link" TargetMode="External"/><Relationship Id="rId29" Type="http://schemas.openxmlformats.org/officeDocument/2006/relationships/hyperlink" Target="https://drive.google.com/file/d/1Z42hyGvdom27ekT94-rQU3j-vElis5Nj/view?usp=sharing" TargetMode="External"/><Relationship Id="rId7" Type="http://schemas.openxmlformats.org/officeDocument/2006/relationships/hyperlink" Target="https://drive.google.com/file/d/1NdV1DlzbhsrXe0uyCzncubIkYr0Wowsd/view?usp=drive_link" TargetMode="External"/><Relationship Id="rId8" Type="http://schemas.openxmlformats.org/officeDocument/2006/relationships/hyperlink" Target="https://drive.google.com/file/d/1vFVFr_GeyWFqd0CWcmD0RRRjYoPAE1Ng/view?usp=sharing" TargetMode="External"/><Relationship Id="rId31" Type="http://schemas.openxmlformats.org/officeDocument/2006/relationships/hyperlink" Target="https://drive.google.com/file/d/1Z2si_MuczBVoV8ZqVklWcuOj0z_XyZGl/view?usp=drive_link" TargetMode="External"/><Relationship Id="rId30" Type="http://schemas.openxmlformats.org/officeDocument/2006/relationships/hyperlink" Target="https://drive.google.com/file/d/1-hqPdGF_qYkM4QMrjla-Ofx2oySgksZn/view?usp=sharing" TargetMode="External"/><Relationship Id="rId11" Type="http://schemas.openxmlformats.org/officeDocument/2006/relationships/hyperlink" Target="https://drive.google.com/file/d/1aF15PmmFFeelX8BoruJLzXOsAS0q85yA/view?usp=drive_link" TargetMode="External"/><Relationship Id="rId33" Type="http://schemas.openxmlformats.org/officeDocument/2006/relationships/hyperlink" Target="https://drive.google.com/file/d/105P6OhgGBibb8bC2IEk6El4Ds1mDoHkK/view?usp=sharing" TargetMode="External"/><Relationship Id="rId10" Type="http://schemas.openxmlformats.org/officeDocument/2006/relationships/hyperlink" Target="https://drive.google.com/file/d/1wvBIm1wL35Z1ErYUxhEA-D2kwQHxzX9Q/view?usp=sharing" TargetMode="External"/><Relationship Id="rId32" Type="http://schemas.openxmlformats.org/officeDocument/2006/relationships/hyperlink" Target="https://drive.google.com/file/d/1We37V-GmQRQ0HhQyCpOz_ItRQYes504H/view?usp=sharing" TargetMode="External"/><Relationship Id="rId13" Type="http://schemas.openxmlformats.org/officeDocument/2006/relationships/hyperlink" Target="https://drive.google.com/file/d/1yyUeATS7zSLxwW4mvY3wy2npazwXebFw/view?usp=sharing" TargetMode="External"/><Relationship Id="rId35" Type="http://schemas.openxmlformats.org/officeDocument/2006/relationships/hyperlink" Target="https://drive.google.com/file/d/1iFI1A-MzeZkYVxYRe3RwDOVzo8QjrTj-/view?usp=sharing" TargetMode="External"/><Relationship Id="rId12" Type="http://schemas.openxmlformats.org/officeDocument/2006/relationships/hyperlink" Target="https://drive.google.com/file/d/1TTQZWzNw8byqB-kZWDu1d8Bnrqrm3Pfi/view?usp=sharing" TargetMode="External"/><Relationship Id="rId34" Type="http://schemas.openxmlformats.org/officeDocument/2006/relationships/hyperlink" Target="https://drive.google.com/file/d/10Gr8zUqDFmSXOSsiVYQ4lP6Tn8arT_IQ/view?usp=drive_link" TargetMode="External"/><Relationship Id="rId15" Type="http://schemas.openxmlformats.org/officeDocument/2006/relationships/hyperlink" Target="https://drive.google.com/file/d/1C4DEtSqLbIsYyYvEYFjoW1U1G6O3VwpD/view?usp=sharing" TargetMode="External"/><Relationship Id="rId37" Type="http://schemas.openxmlformats.org/officeDocument/2006/relationships/hyperlink" Target="https://drive.google.com/file/d/1ecz8Ic2T4nmf-HnMn9oYwqvT6tz4y1kW/view?usp=sharing" TargetMode="External"/><Relationship Id="rId14" Type="http://schemas.openxmlformats.org/officeDocument/2006/relationships/hyperlink" Target="https://drive.google.com/file/d/1T6GqpAH326gbdUpBKxXbApaAdfbgDdHj/view?usp=sharing" TargetMode="External"/><Relationship Id="rId36" Type="http://schemas.openxmlformats.org/officeDocument/2006/relationships/hyperlink" Target="https://drive.google.com/file/d/1TVBOzXYdHNeVw86hSFGg6QgjJ5k4c6XK/view?usp=sharing" TargetMode="External"/><Relationship Id="rId17" Type="http://schemas.openxmlformats.org/officeDocument/2006/relationships/hyperlink" Target="https://drive.google.com/file/d/1BBG_Udp74CKN0VoTiqvRfZMqTTQqORyO/view?usp=drive_link" TargetMode="External"/><Relationship Id="rId39" Type="http://schemas.openxmlformats.org/officeDocument/2006/relationships/hyperlink" Target="https://drive.google.com/file/d/1z00qnq77JlaAnutT8TfqQPmGz2iyCBOe/view?usp=sharing" TargetMode="External"/><Relationship Id="rId16" Type="http://schemas.openxmlformats.org/officeDocument/2006/relationships/hyperlink" Target="https://drive.google.com/file/d/1CSSJq0uzGphzfAVoquUTw8CDz5tvOP5X/view?usp=sharing" TargetMode="External"/><Relationship Id="rId38" Type="http://schemas.openxmlformats.org/officeDocument/2006/relationships/hyperlink" Target="https://drive.google.com/file/d/1Oqf9M7ofugXD6dzeLwusFiUo2WDr-7hm/view?usp=drive_link" TargetMode="External"/><Relationship Id="rId19" Type="http://schemas.openxmlformats.org/officeDocument/2006/relationships/hyperlink" Target="https://drive.google.com/file/d/12hB1tIQc9eXwkn7W-R4YizxP_uiR9rUg/view?usp=sharing" TargetMode="External"/><Relationship Id="rId18" Type="http://schemas.openxmlformats.org/officeDocument/2006/relationships/hyperlink" Target="https://drive.google.com/file/d/150Q_WEuEBck9e05iKoV2JNYI5ze1X1qR/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1.25"/>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6.63"/>
    <col customWidth="1" min="15" max="15" width="15.88"/>
  </cols>
  <sheetData>
    <row r="1">
      <c r="A1" s="1" t="s">
        <v>0</v>
      </c>
      <c r="B1" s="2" t="s">
        <v>1</v>
      </c>
      <c r="C1" s="3"/>
      <c r="D1" s="3"/>
      <c r="E1" s="3"/>
      <c r="F1" s="3"/>
      <c r="G1" s="3"/>
      <c r="H1" s="3"/>
      <c r="I1" s="3"/>
      <c r="J1" s="3"/>
      <c r="K1" s="3"/>
      <c r="L1" s="3"/>
      <c r="M1" s="3"/>
    </row>
    <row r="2">
      <c r="A2" s="1" t="s">
        <v>2</v>
      </c>
      <c r="B2" s="4" t="s">
        <v>3</v>
      </c>
      <c r="C2" s="3"/>
      <c r="D2" s="3"/>
      <c r="E2" s="3"/>
      <c r="F2" s="3"/>
      <c r="G2" s="3"/>
      <c r="H2" s="3"/>
      <c r="I2" s="3"/>
      <c r="J2" s="3"/>
      <c r="K2" s="3"/>
      <c r="L2" s="3"/>
      <c r="M2" s="3"/>
    </row>
    <row r="3">
      <c r="A3" s="1" t="s">
        <v>4</v>
      </c>
      <c r="B3" s="5" t="s">
        <v>5</v>
      </c>
      <c r="C3" s="3"/>
      <c r="D3" s="3"/>
      <c r="E3" s="3"/>
      <c r="F3" s="3"/>
      <c r="G3" s="3"/>
      <c r="H3" s="3"/>
      <c r="I3" s="3"/>
      <c r="J3" s="3"/>
      <c r="K3" s="3"/>
      <c r="L3" s="3"/>
      <c r="M3" s="3"/>
    </row>
    <row r="4">
      <c r="A4" s="1" t="s">
        <v>6</v>
      </c>
      <c r="B4" s="6" t="s">
        <v>7</v>
      </c>
      <c r="C4" s="3"/>
      <c r="D4" s="3"/>
      <c r="E4" s="3"/>
      <c r="F4" s="3"/>
      <c r="G4" s="3"/>
      <c r="H4" s="3"/>
      <c r="I4" s="3"/>
      <c r="J4" s="3"/>
      <c r="K4" s="3"/>
      <c r="L4" s="3"/>
      <c r="M4" s="3"/>
      <c r="N4" s="7"/>
      <c r="O4" s="7"/>
    </row>
    <row r="5">
      <c r="A5" s="8" t="s">
        <v>8</v>
      </c>
      <c r="B5" s="9" t="s">
        <v>9</v>
      </c>
      <c r="C5" s="3"/>
      <c r="D5" s="3"/>
      <c r="E5" s="3"/>
      <c r="F5" s="3"/>
      <c r="G5" s="3"/>
      <c r="H5" s="3"/>
      <c r="I5" s="3"/>
      <c r="J5" s="3"/>
      <c r="K5" s="3"/>
      <c r="L5" s="3"/>
      <c r="M5" s="3"/>
      <c r="N5" s="10" t="s">
        <v>10</v>
      </c>
      <c r="O5" s="10" t="s">
        <v>11</v>
      </c>
    </row>
    <row r="6">
      <c r="A6" s="3"/>
      <c r="B6" s="3"/>
      <c r="C6" s="3"/>
      <c r="D6" s="3"/>
      <c r="E6" s="3"/>
      <c r="F6" s="3"/>
      <c r="G6" s="3"/>
      <c r="H6" s="3"/>
      <c r="I6" s="3"/>
      <c r="J6" s="3"/>
      <c r="K6" s="3"/>
      <c r="L6" s="3"/>
      <c r="M6" s="3"/>
    </row>
    <row r="7">
      <c r="A7" s="11" t="s">
        <v>12</v>
      </c>
      <c r="B7" s="11" t="s">
        <v>13</v>
      </c>
      <c r="C7" s="11" t="s">
        <v>14</v>
      </c>
      <c r="D7" s="11" t="s">
        <v>15</v>
      </c>
      <c r="E7" s="11" t="s">
        <v>16</v>
      </c>
      <c r="F7" s="11" t="s">
        <v>17</v>
      </c>
      <c r="G7" s="11" t="s">
        <v>18</v>
      </c>
      <c r="H7" s="11" t="s">
        <v>19</v>
      </c>
      <c r="I7" s="11" t="s">
        <v>20</v>
      </c>
      <c r="J7" s="11" t="s">
        <v>21</v>
      </c>
      <c r="K7" s="11" t="s">
        <v>22</v>
      </c>
      <c r="L7" s="11" t="s">
        <v>23</v>
      </c>
      <c r="M7" s="11" t="s">
        <v>24</v>
      </c>
      <c r="N7" s="12" t="s">
        <v>25</v>
      </c>
      <c r="O7" s="12" t="s">
        <v>26</v>
      </c>
      <c r="P7" s="13" t="s">
        <v>27</v>
      </c>
      <c r="Q7" s="14"/>
      <c r="R7" s="14"/>
      <c r="S7" s="14"/>
      <c r="T7" s="15"/>
      <c r="U7" s="14"/>
      <c r="V7" s="14"/>
      <c r="W7" s="14"/>
      <c r="X7" s="14"/>
      <c r="Y7" s="14"/>
    </row>
    <row r="8">
      <c r="A8" s="16" t="s">
        <v>28</v>
      </c>
      <c r="B8" s="17" t="s">
        <v>29</v>
      </c>
      <c r="C8" s="17" t="s">
        <v>29</v>
      </c>
      <c r="D8" s="16" t="s">
        <v>30</v>
      </c>
      <c r="E8" s="16" t="s">
        <v>31</v>
      </c>
      <c r="F8" s="18" t="s">
        <v>32</v>
      </c>
      <c r="G8" s="19" t="s">
        <v>33</v>
      </c>
      <c r="H8" s="16" t="s">
        <v>34</v>
      </c>
      <c r="I8" s="16" t="s">
        <v>35</v>
      </c>
      <c r="J8" s="16" t="s">
        <v>36</v>
      </c>
      <c r="K8" s="16" t="s">
        <v>37</v>
      </c>
      <c r="L8" s="20" t="s">
        <v>38</v>
      </c>
      <c r="M8" s="19"/>
      <c r="N8" s="19" t="s">
        <v>39</v>
      </c>
      <c r="O8" s="19" t="s">
        <v>40</v>
      </c>
      <c r="P8" s="21" t="s">
        <v>41</v>
      </c>
      <c r="Q8" s="22"/>
      <c r="R8" s="22"/>
      <c r="S8" s="22"/>
      <c r="T8" s="22"/>
      <c r="U8" s="22"/>
      <c r="V8" s="22"/>
      <c r="W8" s="22"/>
      <c r="X8" s="22"/>
      <c r="Y8" s="22"/>
    </row>
    <row r="9">
      <c r="A9" s="22"/>
      <c r="B9" s="22"/>
      <c r="C9" s="22"/>
      <c r="D9" s="22"/>
      <c r="E9" s="22"/>
      <c r="F9" s="23"/>
      <c r="G9" s="22"/>
      <c r="H9" s="22"/>
      <c r="I9" s="22"/>
      <c r="J9" s="22"/>
      <c r="K9" s="22"/>
      <c r="L9" s="22"/>
      <c r="M9" s="22"/>
      <c r="N9" s="24"/>
      <c r="O9" s="24"/>
      <c r="P9" s="22"/>
      <c r="Q9" s="22"/>
      <c r="R9" s="22"/>
      <c r="S9" s="22"/>
      <c r="T9" s="22"/>
      <c r="U9" s="22"/>
      <c r="V9" s="22"/>
      <c r="W9" s="22"/>
      <c r="X9" s="22"/>
      <c r="Y9" s="22"/>
    </row>
    <row r="10">
      <c r="A10" s="17" t="s">
        <v>42</v>
      </c>
      <c r="B10" s="17" t="s">
        <v>29</v>
      </c>
      <c r="C10" s="17" t="s">
        <v>29</v>
      </c>
      <c r="D10" s="17" t="s">
        <v>43</v>
      </c>
      <c r="E10" s="17" t="s">
        <v>31</v>
      </c>
      <c r="F10" s="25" t="s">
        <v>32</v>
      </c>
      <c r="G10" s="21" t="s">
        <v>33</v>
      </c>
      <c r="H10" s="17" t="s">
        <v>44</v>
      </c>
      <c r="I10" s="17" t="s">
        <v>45</v>
      </c>
      <c r="J10" s="17" t="s">
        <v>36</v>
      </c>
      <c r="K10" s="17" t="s">
        <v>37</v>
      </c>
      <c r="L10" s="26" t="s">
        <v>46</v>
      </c>
      <c r="M10" s="21"/>
      <c r="N10" s="21" t="s">
        <v>39</v>
      </c>
      <c r="O10" s="21" t="s">
        <v>40</v>
      </c>
      <c r="P10" s="21" t="s">
        <v>41</v>
      </c>
      <c r="Q10" s="22"/>
      <c r="R10" s="22"/>
      <c r="S10" s="22"/>
      <c r="T10" s="22"/>
      <c r="U10" s="22"/>
      <c r="V10" s="22"/>
      <c r="W10" s="22"/>
      <c r="X10" s="22"/>
      <c r="Y10" s="22"/>
    </row>
    <row r="11">
      <c r="A11" s="22"/>
      <c r="B11" s="22"/>
      <c r="C11" s="22"/>
      <c r="D11" s="22"/>
      <c r="E11" s="22"/>
      <c r="F11" s="23"/>
      <c r="G11" s="22"/>
      <c r="H11" s="22"/>
      <c r="I11" s="22"/>
      <c r="J11" s="22"/>
      <c r="K11" s="22"/>
      <c r="L11" s="22"/>
      <c r="M11" s="22"/>
      <c r="N11" s="24"/>
      <c r="O11" s="24"/>
      <c r="P11" s="22"/>
      <c r="Q11" s="22"/>
      <c r="R11" s="22"/>
      <c r="S11" s="22"/>
      <c r="T11" s="22"/>
      <c r="U11" s="22"/>
      <c r="V11" s="22"/>
      <c r="W11" s="22"/>
      <c r="X11" s="22"/>
      <c r="Y11" s="22"/>
    </row>
    <row r="12">
      <c r="A12" s="17" t="s">
        <v>47</v>
      </c>
      <c r="B12" s="17" t="s">
        <v>48</v>
      </c>
      <c r="C12" s="17" t="s">
        <v>49</v>
      </c>
      <c r="D12" s="17" t="s">
        <v>50</v>
      </c>
      <c r="E12" s="17" t="s">
        <v>31</v>
      </c>
      <c r="F12" s="25" t="s">
        <v>51</v>
      </c>
      <c r="G12" s="21" t="s">
        <v>33</v>
      </c>
      <c r="H12" s="17" t="s">
        <v>52</v>
      </c>
      <c r="I12" s="17" t="s">
        <v>53</v>
      </c>
      <c r="J12" s="17" t="s">
        <v>36</v>
      </c>
      <c r="K12" s="17" t="s">
        <v>54</v>
      </c>
      <c r="L12" s="27" t="s">
        <v>55</v>
      </c>
      <c r="M12" s="21"/>
      <c r="N12" s="21" t="s">
        <v>39</v>
      </c>
      <c r="O12" s="21" t="s">
        <v>40</v>
      </c>
      <c r="P12" s="21"/>
      <c r="Q12" s="22"/>
      <c r="R12" s="22"/>
      <c r="S12" s="22"/>
      <c r="T12" s="22"/>
      <c r="U12" s="22"/>
      <c r="V12" s="22"/>
      <c r="W12" s="22"/>
      <c r="X12" s="22"/>
      <c r="Y12" s="22"/>
    </row>
    <row r="13">
      <c r="A13" s="22"/>
      <c r="B13" s="22"/>
      <c r="C13" s="22"/>
      <c r="D13" s="22"/>
      <c r="E13" s="22"/>
      <c r="F13" s="23"/>
      <c r="G13" s="22"/>
      <c r="H13" s="22"/>
      <c r="I13" s="22"/>
      <c r="J13" s="22"/>
      <c r="K13" s="22"/>
      <c r="L13" s="22"/>
      <c r="M13" s="22"/>
      <c r="N13" s="24"/>
      <c r="O13" s="24"/>
      <c r="P13" s="22"/>
      <c r="Q13" s="22"/>
      <c r="R13" s="22"/>
      <c r="S13" s="22"/>
      <c r="T13" s="22"/>
      <c r="U13" s="22"/>
      <c r="V13" s="22"/>
      <c r="W13" s="22"/>
      <c r="X13" s="22"/>
      <c r="Y13" s="22"/>
    </row>
    <row r="14">
      <c r="A14" s="17" t="s">
        <v>56</v>
      </c>
      <c r="B14" s="17" t="s">
        <v>57</v>
      </c>
      <c r="C14" s="17" t="s">
        <v>57</v>
      </c>
      <c r="D14" s="17" t="s">
        <v>58</v>
      </c>
      <c r="E14" s="17" t="s">
        <v>31</v>
      </c>
      <c r="F14" s="25" t="s">
        <v>59</v>
      </c>
      <c r="G14" s="28" t="s">
        <v>33</v>
      </c>
      <c r="H14" s="17" t="s">
        <v>60</v>
      </c>
      <c r="I14" s="17" t="s">
        <v>61</v>
      </c>
      <c r="J14" s="17" t="s">
        <v>36</v>
      </c>
      <c r="K14" s="17" t="s">
        <v>54</v>
      </c>
      <c r="L14" s="26" t="s">
        <v>62</v>
      </c>
      <c r="M14" s="29"/>
      <c r="N14" s="21" t="s">
        <v>39</v>
      </c>
      <c r="O14" s="30" t="s">
        <v>40</v>
      </c>
      <c r="P14" s="21"/>
      <c r="Q14" s="22"/>
      <c r="R14" s="22"/>
      <c r="S14" s="22"/>
      <c r="T14" s="22"/>
      <c r="U14" s="22"/>
      <c r="V14" s="22"/>
      <c r="W14" s="22"/>
      <c r="X14" s="22"/>
      <c r="Y14" s="22"/>
    </row>
    <row r="15">
      <c r="A15" s="22"/>
      <c r="B15" s="22"/>
      <c r="C15" s="22"/>
      <c r="D15" s="22"/>
      <c r="E15" s="22"/>
      <c r="F15" s="23"/>
      <c r="G15" s="22"/>
      <c r="H15" s="22"/>
      <c r="I15" s="22"/>
      <c r="J15" s="22"/>
      <c r="K15" s="22"/>
      <c r="L15" s="22"/>
      <c r="M15" s="22"/>
      <c r="N15" s="24"/>
      <c r="O15" s="24"/>
      <c r="P15" s="22"/>
      <c r="Q15" s="22"/>
      <c r="R15" s="22"/>
      <c r="S15" s="22"/>
      <c r="T15" s="22"/>
      <c r="U15" s="22"/>
      <c r="V15" s="22"/>
      <c r="W15" s="22"/>
      <c r="X15" s="22"/>
      <c r="Y15" s="22"/>
    </row>
    <row r="16">
      <c r="A16" s="17" t="s">
        <v>63</v>
      </c>
      <c r="B16" s="17" t="s">
        <v>57</v>
      </c>
      <c r="C16" s="17" t="s">
        <v>64</v>
      </c>
      <c r="D16" s="17" t="s">
        <v>65</v>
      </c>
      <c r="E16" s="17" t="s">
        <v>31</v>
      </c>
      <c r="F16" s="25" t="s">
        <v>66</v>
      </c>
      <c r="G16" s="28" t="s">
        <v>67</v>
      </c>
      <c r="H16" s="17" t="s">
        <v>68</v>
      </c>
      <c r="I16" s="17" t="s">
        <v>69</v>
      </c>
      <c r="J16" s="17" t="s">
        <v>36</v>
      </c>
      <c r="K16" s="17" t="s">
        <v>54</v>
      </c>
      <c r="L16" s="26" t="s">
        <v>70</v>
      </c>
      <c r="M16" s="31"/>
      <c r="N16" s="21" t="s">
        <v>39</v>
      </c>
      <c r="O16" s="30" t="s">
        <v>40</v>
      </c>
      <c r="P16" s="21"/>
      <c r="Q16" s="32"/>
      <c r="R16" s="32"/>
      <c r="S16" s="32"/>
      <c r="T16" s="32"/>
      <c r="U16" s="32"/>
      <c r="V16" s="32"/>
      <c r="W16" s="32"/>
      <c r="X16" s="32"/>
      <c r="Y16" s="32"/>
    </row>
    <row r="17">
      <c r="A17" s="22"/>
      <c r="B17" s="22"/>
      <c r="C17" s="22"/>
      <c r="D17" s="22"/>
      <c r="E17" s="22"/>
      <c r="F17" s="23"/>
      <c r="G17" s="22"/>
      <c r="H17" s="22"/>
      <c r="I17" s="22"/>
      <c r="J17" s="22"/>
      <c r="K17" s="22"/>
      <c r="L17" s="22"/>
      <c r="M17" s="22"/>
      <c r="N17" s="24"/>
      <c r="O17" s="24"/>
      <c r="P17" s="22"/>
      <c r="Q17" s="22"/>
      <c r="R17" s="22"/>
      <c r="S17" s="22"/>
      <c r="T17" s="22"/>
      <c r="U17" s="22"/>
      <c r="V17" s="22"/>
      <c r="W17" s="22"/>
      <c r="X17" s="22"/>
      <c r="Y17" s="22"/>
    </row>
    <row r="18">
      <c r="A18" s="17" t="s">
        <v>71</v>
      </c>
      <c r="B18" s="17" t="s">
        <v>72</v>
      </c>
      <c r="C18" s="17" t="s">
        <v>72</v>
      </c>
      <c r="D18" s="17" t="s">
        <v>73</v>
      </c>
      <c r="E18" s="17" t="s">
        <v>31</v>
      </c>
      <c r="F18" s="25" t="s">
        <v>74</v>
      </c>
      <c r="G18" s="28" t="s">
        <v>67</v>
      </c>
      <c r="H18" s="17" t="s">
        <v>75</v>
      </c>
      <c r="I18" s="17" t="s">
        <v>76</v>
      </c>
      <c r="J18" s="17" t="s">
        <v>36</v>
      </c>
      <c r="K18" s="17" t="s">
        <v>54</v>
      </c>
      <c r="L18" s="26" t="s">
        <v>77</v>
      </c>
      <c r="M18" s="33"/>
      <c r="N18" s="21" t="s">
        <v>39</v>
      </c>
      <c r="O18" s="30" t="s">
        <v>40</v>
      </c>
      <c r="P18" s="21"/>
      <c r="Q18" s="22"/>
      <c r="R18" s="22"/>
      <c r="S18" s="22"/>
      <c r="T18" s="22"/>
      <c r="U18" s="22"/>
      <c r="V18" s="22"/>
      <c r="W18" s="22"/>
      <c r="X18" s="22"/>
      <c r="Y18" s="22"/>
    </row>
    <row r="19">
      <c r="A19" s="22"/>
      <c r="B19" s="22"/>
      <c r="C19" s="22"/>
      <c r="D19" s="22"/>
      <c r="E19" s="22"/>
      <c r="F19" s="23"/>
      <c r="G19" s="22"/>
      <c r="H19" s="22"/>
      <c r="I19" s="22"/>
      <c r="J19" s="22"/>
      <c r="K19" s="22"/>
      <c r="L19" s="22"/>
      <c r="M19" s="22"/>
      <c r="N19" s="24"/>
      <c r="O19" s="24"/>
      <c r="P19" s="22"/>
      <c r="Q19" s="22"/>
      <c r="R19" s="22"/>
      <c r="S19" s="22"/>
      <c r="T19" s="22"/>
      <c r="U19" s="22"/>
      <c r="V19" s="22"/>
      <c r="W19" s="22"/>
      <c r="X19" s="22"/>
      <c r="Y19" s="22"/>
    </row>
    <row r="20">
      <c r="A20" s="17" t="s">
        <v>78</v>
      </c>
      <c r="B20" s="17" t="s">
        <v>79</v>
      </c>
      <c r="C20" s="17" t="s">
        <v>79</v>
      </c>
      <c r="D20" s="17" t="s">
        <v>80</v>
      </c>
      <c r="E20" s="17" t="s">
        <v>31</v>
      </c>
      <c r="F20" s="25" t="s">
        <v>81</v>
      </c>
      <c r="G20" s="28" t="s">
        <v>67</v>
      </c>
      <c r="H20" s="17" t="s">
        <v>82</v>
      </c>
      <c r="I20" s="17" t="s">
        <v>83</v>
      </c>
      <c r="J20" s="17" t="s">
        <v>36</v>
      </c>
      <c r="K20" s="17" t="s">
        <v>37</v>
      </c>
      <c r="L20" s="26" t="s">
        <v>84</v>
      </c>
      <c r="M20" s="33"/>
      <c r="N20" s="21" t="s">
        <v>39</v>
      </c>
      <c r="O20" s="30" t="s">
        <v>40</v>
      </c>
      <c r="P20" s="21"/>
      <c r="Q20" s="22"/>
      <c r="R20" s="22"/>
      <c r="S20" s="22"/>
      <c r="T20" s="22"/>
      <c r="U20" s="22"/>
      <c r="V20" s="22"/>
      <c r="W20" s="22"/>
      <c r="X20" s="22"/>
      <c r="Y20" s="22"/>
    </row>
    <row r="21">
      <c r="A21" s="22"/>
      <c r="B21" s="22"/>
      <c r="C21" s="22"/>
      <c r="D21" s="22"/>
      <c r="E21" s="22"/>
      <c r="F21" s="23"/>
      <c r="G21" s="22"/>
      <c r="H21" s="22"/>
      <c r="I21" s="22"/>
      <c r="J21" s="22"/>
      <c r="K21" s="22"/>
      <c r="L21" s="22"/>
      <c r="M21" s="22"/>
      <c r="N21" s="24"/>
      <c r="O21" s="24"/>
      <c r="P21" s="22"/>
      <c r="Q21" s="22"/>
      <c r="R21" s="22"/>
      <c r="S21" s="22"/>
      <c r="T21" s="22"/>
      <c r="U21" s="22"/>
      <c r="V21" s="22"/>
      <c r="W21" s="22"/>
      <c r="X21" s="22"/>
      <c r="Y21" s="22"/>
    </row>
    <row r="22">
      <c r="A22" s="17" t="s">
        <v>85</v>
      </c>
      <c r="B22" s="17" t="s">
        <v>79</v>
      </c>
      <c r="C22" s="17" t="s">
        <v>79</v>
      </c>
      <c r="D22" s="17" t="s">
        <v>86</v>
      </c>
      <c r="E22" s="17" t="s">
        <v>31</v>
      </c>
      <c r="F22" s="25" t="s">
        <v>81</v>
      </c>
      <c r="G22" s="28" t="s">
        <v>67</v>
      </c>
      <c r="H22" s="17" t="s">
        <v>87</v>
      </c>
      <c r="I22" s="17" t="s">
        <v>88</v>
      </c>
      <c r="J22" s="17" t="s">
        <v>36</v>
      </c>
      <c r="K22" s="17" t="s">
        <v>89</v>
      </c>
      <c r="L22" s="26" t="s">
        <v>90</v>
      </c>
      <c r="M22" s="33"/>
      <c r="N22" s="21" t="s">
        <v>39</v>
      </c>
      <c r="O22" s="30" t="s">
        <v>40</v>
      </c>
      <c r="P22" s="21"/>
      <c r="Q22" s="22"/>
      <c r="R22" s="22"/>
      <c r="S22" s="22"/>
      <c r="T22" s="22"/>
      <c r="U22" s="22"/>
      <c r="V22" s="22"/>
      <c r="W22" s="22"/>
      <c r="X22" s="22"/>
      <c r="Y22" s="22"/>
    </row>
    <row r="23">
      <c r="A23" s="22"/>
      <c r="B23" s="22"/>
      <c r="C23" s="22"/>
      <c r="D23" s="22"/>
      <c r="E23" s="22"/>
      <c r="F23" s="23"/>
      <c r="G23" s="22"/>
      <c r="H23" s="22"/>
      <c r="I23" s="22"/>
      <c r="J23" s="22"/>
      <c r="K23" s="22"/>
      <c r="L23" s="22"/>
      <c r="M23" s="22"/>
      <c r="N23" s="24"/>
      <c r="O23" s="24"/>
      <c r="P23" s="22"/>
      <c r="Q23" s="22"/>
      <c r="R23" s="22"/>
      <c r="S23" s="22"/>
      <c r="T23" s="22"/>
      <c r="U23" s="22"/>
      <c r="V23" s="22"/>
      <c r="W23" s="22"/>
      <c r="X23" s="22"/>
      <c r="Y23" s="22"/>
    </row>
    <row r="24">
      <c r="A24" s="17" t="s">
        <v>91</v>
      </c>
      <c r="B24" s="17" t="s">
        <v>79</v>
      </c>
      <c r="C24" s="17" t="s">
        <v>79</v>
      </c>
      <c r="D24" s="17" t="s">
        <v>92</v>
      </c>
      <c r="E24" s="17" t="s">
        <v>31</v>
      </c>
      <c r="F24" s="25" t="s">
        <v>81</v>
      </c>
      <c r="G24" s="28" t="s">
        <v>67</v>
      </c>
      <c r="H24" s="17" t="s">
        <v>93</v>
      </c>
      <c r="I24" s="17" t="s">
        <v>94</v>
      </c>
      <c r="J24" s="17" t="s">
        <v>36</v>
      </c>
      <c r="K24" s="17" t="s">
        <v>54</v>
      </c>
      <c r="L24" s="26" t="s">
        <v>95</v>
      </c>
      <c r="M24" s="33"/>
      <c r="N24" s="21" t="s">
        <v>39</v>
      </c>
      <c r="O24" s="30" t="s">
        <v>40</v>
      </c>
      <c r="P24" s="21"/>
      <c r="Q24" s="22"/>
      <c r="R24" s="22"/>
      <c r="S24" s="22"/>
      <c r="T24" s="22"/>
      <c r="U24" s="22"/>
      <c r="V24" s="22"/>
      <c r="W24" s="22"/>
      <c r="X24" s="22"/>
      <c r="Y24" s="22"/>
    </row>
    <row r="25">
      <c r="A25" s="22"/>
      <c r="B25" s="22"/>
      <c r="C25" s="22"/>
      <c r="D25" s="22"/>
      <c r="E25" s="22"/>
      <c r="F25" s="23"/>
      <c r="G25" s="22"/>
      <c r="H25" s="22"/>
      <c r="I25" s="22"/>
      <c r="J25" s="22"/>
      <c r="K25" s="22"/>
      <c r="L25" s="22"/>
      <c r="M25" s="22"/>
      <c r="N25" s="24"/>
      <c r="O25" s="24"/>
      <c r="P25" s="22"/>
      <c r="Q25" s="22"/>
      <c r="R25" s="22"/>
      <c r="S25" s="22"/>
      <c r="T25" s="22"/>
      <c r="U25" s="22"/>
      <c r="V25" s="22"/>
      <c r="W25" s="22"/>
      <c r="X25" s="22"/>
      <c r="Y25" s="22"/>
    </row>
    <row r="26">
      <c r="A26" s="17" t="s">
        <v>96</v>
      </c>
      <c r="B26" s="17" t="s">
        <v>97</v>
      </c>
      <c r="C26" s="17" t="s">
        <v>97</v>
      </c>
      <c r="D26" s="17" t="s">
        <v>98</v>
      </c>
      <c r="E26" s="17" t="s">
        <v>31</v>
      </c>
      <c r="F26" s="25" t="s">
        <v>99</v>
      </c>
      <c r="G26" s="28" t="s">
        <v>67</v>
      </c>
      <c r="H26" s="17" t="s">
        <v>100</v>
      </c>
      <c r="I26" s="17" t="s">
        <v>101</v>
      </c>
      <c r="J26" s="17" t="s">
        <v>36</v>
      </c>
      <c r="K26" s="17" t="s">
        <v>54</v>
      </c>
      <c r="L26" s="27" t="s">
        <v>102</v>
      </c>
      <c r="M26" s="21" t="s">
        <v>103</v>
      </c>
      <c r="N26" s="21" t="s">
        <v>104</v>
      </c>
      <c r="O26" s="30" t="s">
        <v>40</v>
      </c>
      <c r="P26" s="21" t="s">
        <v>105</v>
      </c>
      <c r="Q26" s="22"/>
      <c r="R26" s="22"/>
      <c r="S26" s="22"/>
      <c r="T26" s="22"/>
      <c r="U26" s="22"/>
      <c r="V26" s="22"/>
      <c r="W26" s="22"/>
      <c r="X26" s="22"/>
      <c r="Y26" s="22"/>
    </row>
    <row r="27">
      <c r="A27" s="22"/>
      <c r="B27" s="22"/>
      <c r="C27" s="22"/>
      <c r="D27" s="22"/>
      <c r="E27" s="22"/>
      <c r="F27" s="23"/>
      <c r="G27" s="22"/>
      <c r="H27" s="22"/>
      <c r="I27" s="22"/>
      <c r="J27" s="22"/>
      <c r="K27" s="22"/>
      <c r="L27" s="22"/>
      <c r="M27" s="22"/>
      <c r="N27" s="24"/>
      <c r="O27" s="24"/>
      <c r="P27" s="22"/>
      <c r="Q27" s="22"/>
      <c r="R27" s="22"/>
      <c r="S27" s="22"/>
      <c r="T27" s="22"/>
      <c r="U27" s="22"/>
      <c r="V27" s="22"/>
      <c r="W27" s="22"/>
      <c r="X27" s="22"/>
      <c r="Y27" s="22"/>
    </row>
    <row r="28">
      <c r="A28" s="17" t="s">
        <v>106</v>
      </c>
      <c r="B28" s="17" t="s">
        <v>97</v>
      </c>
      <c r="C28" s="17" t="s">
        <v>97</v>
      </c>
      <c r="D28" s="17" t="s">
        <v>107</v>
      </c>
      <c r="E28" s="17" t="s">
        <v>31</v>
      </c>
      <c r="F28" s="25" t="s">
        <v>99</v>
      </c>
      <c r="G28" s="28" t="s">
        <v>67</v>
      </c>
      <c r="H28" s="17" t="s">
        <v>100</v>
      </c>
      <c r="I28" s="17" t="s">
        <v>101</v>
      </c>
      <c r="J28" s="17" t="s">
        <v>36</v>
      </c>
      <c r="K28" s="17" t="s">
        <v>54</v>
      </c>
      <c r="L28" s="26" t="s">
        <v>108</v>
      </c>
      <c r="M28" s="21" t="s">
        <v>103</v>
      </c>
      <c r="N28" s="21" t="s">
        <v>104</v>
      </c>
      <c r="O28" s="30" t="s">
        <v>40</v>
      </c>
      <c r="P28" s="21" t="s">
        <v>105</v>
      </c>
      <c r="Q28" s="22"/>
      <c r="R28" s="22"/>
      <c r="S28" s="22"/>
      <c r="T28" s="22"/>
      <c r="U28" s="22"/>
      <c r="V28" s="22"/>
      <c r="W28" s="22"/>
      <c r="X28" s="22"/>
      <c r="Y28" s="22"/>
    </row>
    <row r="29">
      <c r="A29" s="22"/>
      <c r="B29" s="22"/>
      <c r="C29" s="22"/>
      <c r="D29" s="22"/>
      <c r="E29" s="22"/>
      <c r="F29" s="23"/>
      <c r="G29" s="22"/>
      <c r="H29" s="22"/>
      <c r="I29" s="22"/>
      <c r="J29" s="22"/>
      <c r="K29" s="22"/>
      <c r="L29" s="22"/>
      <c r="M29" s="22"/>
      <c r="N29" s="24"/>
      <c r="O29" s="24"/>
      <c r="P29" s="22"/>
      <c r="Q29" s="22"/>
      <c r="R29" s="22"/>
      <c r="S29" s="22"/>
      <c r="T29" s="22"/>
      <c r="U29" s="22"/>
      <c r="V29" s="22"/>
      <c r="W29" s="22"/>
      <c r="X29" s="22"/>
      <c r="Y29" s="22"/>
    </row>
    <row r="30">
      <c r="A30" s="17" t="s">
        <v>109</v>
      </c>
      <c r="B30" s="17" t="s">
        <v>97</v>
      </c>
      <c r="C30" s="17" t="s">
        <v>97</v>
      </c>
      <c r="D30" s="17" t="s">
        <v>110</v>
      </c>
      <c r="E30" s="17" t="s">
        <v>31</v>
      </c>
      <c r="F30" s="25" t="s">
        <v>111</v>
      </c>
      <c r="G30" s="28" t="s">
        <v>67</v>
      </c>
      <c r="H30" s="17" t="s">
        <v>112</v>
      </c>
      <c r="I30" s="17" t="s">
        <v>113</v>
      </c>
      <c r="J30" s="17" t="s">
        <v>36</v>
      </c>
      <c r="K30" s="17" t="s">
        <v>54</v>
      </c>
      <c r="L30" s="26" t="s">
        <v>114</v>
      </c>
      <c r="M30" s="21" t="s">
        <v>103</v>
      </c>
      <c r="N30" s="21" t="s">
        <v>39</v>
      </c>
      <c r="O30" s="30" t="s">
        <v>40</v>
      </c>
      <c r="P30" s="21"/>
      <c r="Q30" s="22"/>
      <c r="R30" s="22"/>
      <c r="S30" s="22"/>
      <c r="T30" s="22"/>
      <c r="U30" s="22"/>
      <c r="V30" s="22"/>
      <c r="W30" s="22"/>
      <c r="X30" s="22"/>
      <c r="Y30" s="22"/>
    </row>
    <row r="31">
      <c r="A31" s="22"/>
      <c r="B31" s="22"/>
      <c r="C31" s="22"/>
      <c r="D31" s="22"/>
      <c r="E31" s="22"/>
      <c r="F31" s="23"/>
      <c r="G31" s="22"/>
      <c r="H31" s="22"/>
      <c r="I31" s="22"/>
      <c r="J31" s="22"/>
      <c r="K31" s="22"/>
      <c r="L31" s="22"/>
      <c r="M31" s="22"/>
      <c r="N31" s="24"/>
      <c r="O31" s="24"/>
      <c r="P31" s="22"/>
      <c r="Q31" s="22"/>
      <c r="R31" s="22"/>
      <c r="S31" s="22"/>
      <c r="T31" s="22"/>
      <c r="U31" s="22"/>
      <c r="V31" s="22"/>
      <c r="W31" s="22"/>
      <c r="X31" s="22"/>
      <c r="Y31" s="22"/>
    </row>
    <row r="32">
      <c r="A32" s="17" t="s">
        <v>115</v>
      </c>
      <c r="B32" s="17" t="s">
        <v>97</v>
      </c>
      <c r="C32" s="17" t="s">
        <v>97</v>
      </c>
      <c r="D32" s="17" t="s">
        <v>116</v>
      </c>
      <c r="E32" s="17" t="s">
        <v>31</v>
      </c>
      <c r="F32" s="25" t="s">
        <v>111</v>
      </c>
      <c r="G32" s="28" t="s">
        <v>67</v>
      </c>
      <c r="H32" s="17" t="s">
        <v>117</v>
      </c>
      <c r="I32" s="17" t="s">
        <v>118</v>
      </c>
      <c r="J32" s="17" t="s">
        <v>36</v>
      </c>
      <c r="K32" s="17" t="s">
        <v>54</v>
      </c>
      <c r="L32" s="26" t="s">
        <v>119</v>
      </c>
      <c r="M32" s="33"/>
      <c r="N32" s="21" t="s">
        <v>39</v>
      </c>
      <c r="O32" s="33"/>
      <c r="P32" s="21"/>
      <c r="Q32" s="22"/>
      <c r="R32" s="22"/>
      <c r="S32" s="22"/>
      <c r="T32" s="22"/>
      <c r="U32" s="22"/>
      <c r="V32" s="22"/>
      <c r="W32" s="22"/>
      <c r="X32" s="22"/>
      <c r="Y32" s="22"/>
    </row>
    <row r="33">
      <c r="A33" s="22"/>
      <c r="B33" s="22"/>
      <c r="C33" s="22"/>
      <c r="D33" s="22"/>
      <c r="E33" s="22"/>
      <c r="F33" s="23"/>
      <c r="G33" s="22"/>
      <c r="H33" s="22"/>
      <c r="I33" s="22"/>
      <c r="J33" s="22"/>
      <c r="K33" s="22"/>
      <c r="L33" s="22"/>
      <c r="M33" s="22"/>
      <c r="N33" s="24"/>
      <c r="O33" s="24"/>
      <c r="P33" s="22"/>
      <c r="Q33" s="22"/>
      <c r="R33" s="22"/>
      <c r="S33" s="22"/>
      <c r="T33" s="22"/>
      <c r="U33" s="22"/>
      <c r="V33" s="22"/>
      <c r="W33" s="22"/>
      <c r="X33" s="22"/>
      <c r="Y33" s="22"/>
    </row>
    <row r="34">
      <c r="A34" s="17" t="s">
        <v>120</v>
      </c>
      <c r="B34" s="17" t="s">
        <v>121</v>
      </c>
      <c r="C34" s="17" t="s">
        <v>122</v>
      </c>
      <c r="D34" s="17" t="s">
        <v>123</v>
      </c>
      <c r="E34" s="17" t="s">
        <v>31</v>
      </c>
      <c r="F34" s="25" t="s">
        <v>124</v>
      </c>
      <c r="G34" s="28" t="s">
        <v>67</v>
      </c>
      <c r="H34" s="17" t="s">
        <v>125</v>
      </c>
      <c r="I34" s="17" t="s">
        <v>126</v>
      </c>
      <c r="J34" s="17" t="s">
        <v>36</v>
      </c>
      <c r="K34" s="17" t="s">
        <v>37</v>
      </c>
      <c r="L34" s="26" t="s">
        <v>127</v>
      </c>
      <c r="M34" s="33"/>
      <c r="N34" s="21" t="s">
        <v>39</v>
      </c>
      <c r="O34" s="30" t="s">
        <v>40</v>
      </c>
      <c r="P34" s="21"/>
      <c r="Q34" s="22"/>
      <c r="R34" s="22"/>
      <c r="S34" s="22"/>
      <c r="T34" s="22"/>
      <c r="U34" s="22"/>
      <c r="V34" s="22"/>
      <c r="W34" s="22"/>
      <c r="X34" s="22"/>
      <c r="Y34" s="22"/>
    </row>
    <row r="35">
      <c r="A35" s="22"/>
      <c r="B35" s="22"/>
      <c r="C35" s="22"/>
      <c r="D35" s="22"/>
      <c r="E35" s="22"/>
      <c r="F35" s="23"/>
      <c r="G35" s="22"/>
      <c r="H35" s="22"/>
      <c r="I35" s="22"/>
      <c r="J35" s="22"/>
      <c r="K35" s="22"/>
      <c r="L35" s="22"/>
      <c r="M35" s="22"/>
      <c r="N35" s="24"/>
      <c r="O35" s="24"/>
      <c r="P35" s="22"/>
      <c r="Q35" s="22"/>
      <c r="R35" s="22"/>
      <c r="S35" s="22"/>
      <c r="T35" s="22"/>
      <c r="U35" s="22"/>
      <c r="V35" s="22"/>
      <c r="W35" s="22"/>
      <c r="X35" s="22"/>
      <c r="Y35" s="22"/>
    </row>
    <row r="36">
      <c r="A36" s="17" t="s">
        <v>128</v>
      </c>
      <c r="B36" s="17" t="s">
        <v>121</v>
      </c>
      <c r="C36" s="17" t="s">
        <v>121</v>
      </c>
      <c r="D36" s="17" t="s">
        <v>129</v>
      </c>
      <c r="E36" s="17" t="s">
        <v>31</v>
      </c>
      <c r="F36" s="25" t="s">
        <v>130</v>
      </c>
      <c r="G36" s="28" t="s">
        <v>67</v>
      </c>
      <c r="H36" s="17" t="s">
        <v>131</v>
      </c>
      <c r="I36" s="17" t="s">
        <v>132</v>
      </c>
      <c r="J36" s="17" t="s">
        <v>36</v>
      </c>
      <c r="K36" s="17" t="s">
        <v>37</v>
      </c>
      <c r="L36" s="26" t="s">
        <v>133</v>
      </c>
      <c r="M36" s="33"/>
      <c r="N36" s="21" t="s">
        <v>39</v>
      </c>
      <c r="O36" s="30" t="s">
        <v>40</v>
      </c>
      <c r="P36" s="21"/>
      <c r="Q36" s="22"/>
      <c r="R36" s="22"/>
      <c r="S36" s="22"/>
      <c r="T36" s="22"/>
      <c r="U36" s="22"/>
      <c r="V36" s="22"/>
      <c r="W36" s="22"/>
      <c r="X36" s="22"/>
      <c r="Y36" s="22"/>
    </row>
    <row r="37">
      <c r="A37" s="22"/>
      <c r="B37" s="22"/>
      <c r="C37" s="22"/>
      <c r="D37" s="22"/>
      <c r="E37" s="22"/>
      <c r="F37" s="23"/>
      <c r="G37" s="22"/>
      <c r="H37" s="22"/>
      <c r="I37" s="22"/>
      <c r="J37" s="22"/>
      <c r="K37" s="22"/>
      <c r="L37" s="22"/>
      <c r="M37" s="22"/>
      <c r="N37" s="24"/>
      <c r="O37" s="24"/>
      <c r="P37" s="22"/>
      <c r="Q37" s="22"/>
      <c r="R37" s="22"/>
      <c r="S37" s="22"/>
      <c r="T37" s="22"/>
      <c r="U37" s="22"/>
      <c r="V37" s="22"/>
      <c r="W37" s="22"/>
      <c r="X37" s="22"/>
      <c r="Y37" s="22"/>
    </row>
    <row r="38">
      <c r="A38" s="17" t="s">
        <v>134</v>
      </c>
      <c r="B38" s="17" t="s">
        <v>121</v>
      </c>
      <c r="C38" s="17" t="s">
        <v>121</v>
      </c>
      <c r="D38" s="17" t="s">
        <v>135</v>
      </c>
      <c r="E38" s="17" t="s">
        <v>31</v>
      </c>
      <c r="F38" s="25" t="s">
        <v>136</v>
      </c>
      <c r="G38" s="28" t="s">
        <v>67</v>
      </c>
      <c r="H38" s="17" t="s">
        <v>137</v>
      </c>
      <c r="I38" s="17" t="s">
        <v>138</v>
      </c>
      <c r="J38" s="17" t="s">
        <v>36</v>
      </c>
      <c r="K38" s="17" t="s">
        <v>54</v>
      </c>
      <c r="L38" s="26" t="s">
        <v>139</v>
      </c>
      <c r="M38" s="33"/>
      <c r="N38" s="21" t="s">
        <v>39</v>
      </c>
      <c r="O38" s="30" t="s">
        <v>40</v>
      </c>
      <c r="P38" s="21"/>
      <c r="Q38" s="22"/>
      <c r="R38" s="22"/>
      <c r="S38" s="22"/>
      <c r="T38" s="22"/>
      <c r="U38" s="22"/>
      <c r="V38" s="22"/>
      <c r="W38" s="22"/>
      <c r="X38" s="22"/>
      <c r="Y38" s="22"/>
    </row>
    <row r="39">
      <c r="A39" s="22"/>
      <c r="B39" s="22"/>
      <c r="C39" s="22"/>
      <c r="D39" s="22"/>
      <c r="E39" s="22"/>
      <c r="F39" s="23"/>
      <c r="G39" s="22"/>
      <c r="H39" s="22"/>
      <c r="I39" s="22"/>
      <c r="J39" s="22"/>
      <c r="K39" s="22"/>
      <c r="L39" s="22"/>
      <c r="M39" s="22"/>
      <c r="N39" s="24"/>
      <c r="O39" s="24"/>
      <c r="P39" s="22"/>
      <c r="Q39" s="22"/>
      <c r="R39" s="22"/>
      <c r="S39" s="22"/>
      <c r="T39" s="22"/>
      <c r="U39" s="22"/>
      <c r="V39" s="22"/>
      <c r="W39" s="22"/>
      <c r="X39" s="22"/>
      <c r="Y39" s="22"/>
    </row>
    <row r="40">
      <c r="A40" s="17" t="s">
        <v>140</v>
      </c>
      <c r="B40" s="17" t="s">
        <v>121</v>
      </c>
      <c r="C40" s="17" t="s">
        <v>141</v>
      </c>
      <c r="D40" s="17" t="s">
        <v>142</v>
      </c>
      <c r="E40" s="17" t="s">
        <v>31</v>
      </c>
      <c r="F40" s="25" t="s">
        <v>136</v>
      </c>
      <c r="G40" s="28" t="s">
        <v>67</v>
      </c>
      <c r="H40" s="17" t="s">
        <v>143</v>
      </c>
      <c r="I40" s="17" t="s">
        <v>144</v>
      </c>
      <c r="J40" s="17" t="s">
        <v>36</v>
      </c>
      <c r="K40" s="17" t="s">
        <v>54</v>
      </c>
      <c r="L40" s="26" t="s">
        <v>145</v>
      </c>
      <c r="M40" s="33"/>
      <c r="N40" s="21" t="s">
        <v>39</v>
      </c>
      <c r="O40" s="30" t="s">
        <v>146</v>
      </c>
      <c r="P40" s="21"/>
      <c r="Q40" s="22"/>
      <c r="R40" s="22"/>
      <c r="S40" s="22"/>
      <c r="T40" s="22"/>
      <c r="U40" s="22"/>
      <c r="V40" s="22"/>
      <c r="W40" s="22"/>
      <c r="X40" s="22"/>
      <c r="Y40" s="22"/>
    </row>
    <row r="41">
      <c r="A41" s="22"/>
      <c r="B41" s="22"/>
      <c r="C41" s="22"/>
      <c r="D41" s="22"/>
      <c r="E41" s="22"/>
      <c r="F41" s="23"/>
      <c r="G41" s="22"/>
      <c r="H41" s="22"/>
      <c r="I41" s="22"/>
      <c r="J41" s="22"/>
      <c r="K41" s="22"/>
      <c r="L41" s="22"/>
      <c r="M41" s="22"/>
      <c r="N41" s="24"/>
      <c r="O41" s="24"/>
      <c r="P41" s="22"/>
      <c r="Q41" s="22"/>
      <c r="R41" s="22"/>
      <c r="S41" s="22"/>
      <c r="T41" s="22"/>
      <c r="U41" s="22"/>
      <c r="V41" s="22"/>
      <c r="W41" s="22"/>
      <c r="X41" s="22"/>
      <c r="Y41" s="22"/>
    </row>
    <row r="42">
      <c r="A42" s="17" t="s">
        <v>147</v>
      </c>
      <c r="B42" s="17" t="s">
        <v>121</v>
      </c>
      <c r="C42" s="17" t="s">
        <v>148</v>
      </c>
      <c r="D42" s="17" t="s">
        <v>149</v>
      </c>
      <c r="E42" s="17" t="s">
        <v>31</v>
      </c>
      <c r="F42" s="25" t="s">
        <v>150</v>
      </c>
      <c r="G42" s="28" t="s">
        <v>67</v>
      </c>
      <c r="H42" s="17" t="s">
        <v>151</v>
      </c>
      <c r="I42" s="17" t="s">
        <v>152</v>
      </c>
      <c r="J42" s="17" t="s">
        <v>36</v>
      </c>
      <c r="K42" s="17" t="s">
        <v>37</v>
      </c>
      <c r="L42" s="26" t="s">
        <v>153</v>
      </c>
      <c r="M42" s="33"/>
      <c r="N42" s="21" t="s">
        <v>39</v>
      </c>
      <c r="O42" s="30" t="s">
        <v>146</v>
      </c>
      <c r="P42" s="21"/>
      <c r="Q42" s="22"/>
      <c r="R42" s="22"/>
      <c r="S42" s="22"/>
      <c r="T42" s="22"/>
      <c r="U42" s="22"/>
      <c r="V42" s="22"/>
      <c r="W42" s="22"/>
      <c r="X42" s="22"/>
      <c r="Y42" s="22"/>
    </row>
    <row r="43">
      <c r="A43" s="22"/>
      <c r="B43" s="22"/>
      <c r="C43" s="22"/>
      <c r="D43" s="22"/>
      <c r="E43" s="22"/>
      <c r="F43" s="23"/>
      <c r="G43" s="22"/>
      <c r="H43" s="22"/>
      <c r="I43" s="22"/>
      <c r="J43" s="22"/>
      <c r="K43" s="22"/>
      <c r="L43" s="22"/>
      <c r="M43" s="22"/>
      <c r="N43" s="24"/>
      <c r="O43" s="24"/>
      <c r="P43" s="22"/>
      <c r="Q43" s="22"/>
      <c r="R43" s="22"/>
      <c r="S43" s="22"/>
      <c r="T43" s="22"/>
      <c r="U43" s="22"/>
      <c r="V43" s="22"/>
      <c r="W43" s="22"/>
      <c r="X43" s="22"/>
      <c r="Y43" s="22"/>
    </row>
    <row r="44">
      <c r="A44" s="17" t="s">
        <v>154</v>
      </c>
      <c r="B44" s="17" t="s">
        <v>121</v>
      </c>
      <c r="C44" s="17" t="s">
        <v>148</v>
      </c>
      <c r="D44" s="17" t="s">
        <v>155</v>
      </c>
      <c r="E44" s="17" t="s">
        <v>31</v>
      </c>
      <c r="F44" s="25" t="s">
        <v>150</v>
      </c>
      <c r="G44" s="28" t="s">
        <v>67</v>
      </c>
      <c r="H44" s="17" t="s">
        <v>156</v>
      </c>
      <c r="I44" s="17" t="s">
        <v>157</v>
      </c>
      <c r="J44" s="17" t="s">
        <v>36</v>
      </c>
      <c r="K44" s="17" t="s">
        <v>37</v>
      </c>
      <c r="L44" s="26" t="s">
        <v>158</v>
      </c>
      <c r="M44" s="21" t="s">
        <v>159</v>
      </c>
      <c r="N44" s="21" t="s">
        <v>104</v>
      </c>
      <c r="O44" s="30" t="s">
        <v>160</v>
      </c>
      <c r="P44" s="21" t="s">
        <v>161</v>
      </c>
      <c r="Q44" s="22"/>
      <c r="R44" s="22"/>
      <c r="S44" s="22"/>
      <c r="T44" s="22"/>
      <c r="U44" s="22"/>
      <c r="V44" s="22"/>
      <c r="W44" s="22"/>
      <c r="X44" s="22"/>
      <c r="Y44" s="22"/>
    </row>
    <row r="45">
      <c r="A45" s="22"/>
      <c r="B45" s="22"/>
      <c r="C45" s="22"/>
      <c r="D45" s="22"/>
      <c r="E45" s="22"/>
      <c r="F45" s="23"/>
      <c r="G45" s="22"/>
      <c r="H45" s="22"/>
      <c r="I45" s="22"/>
      <c r="J45" s="22"/>
      <c r="K45" s="22"/>
      <c r="L45" s="22"/>
      <c r="M45" s="22"/>
      <c r="N45" s="24"/>
      <c r="O45" s="24"/>
      <c r="P45" s="22"/>
      <c r="Q45" s="22"/>
      <c r="R45" s="22"/>
      <c r="S45" s="22"/>
      <c r="T45" s="22"/>
      <c r="U45" s="22"/>
      <c r="V45" s="22"/>
      <c r="W45" s="22"/>
      <c r="X45" s="22"/>
      <c r="Y45" s="22"/>
    </row>
    <row r="46">
      <c r="A46" s="17" t="s">
        <v>162</v>
      </c>
      <c r="B46" s="17" t="s">
        <v>121</v>
      </c>
      <c r="C46" s="17" t="s">
        <v>148</v>
      </c>
      <c r="D46" s="17" t="s">
        <v>163</v>
      </c>
      <c r="E46" s="17" t="s">
        <v>31</v>
      </c>
      <c r="F46" s="25" t="s">
        <v>150</v>
      </c>
      <c r="G46" s="28" t="s">
        <v>67</v>
      </c>
      <c r="H46" s="17" t="s">
        <v>164</v>
      </c>
      <c r="I46" s="17" t="s">
        <v>165</v>
      </c>
      <c r="J46" s="17" t="s">
        <v>36</v>
      </c>
      <c r="K46" s="17" t="s">
        <v>37</v>
      </c>
      <c r="L46" s="26" t="s">
        <v>166</v>
      </c>
      <c r="M46" s="33"/>
      <c r="N46" s="21" t="s">
        <v>39</v>
      </c>
      <c r="O46" s="30" t="s">
        <v>40</v>
      </c>
      <c r="P46" s="21"/>
      <c r="Q46" s="22"/>
      <c r="R46" s="22"/>
      <c r="S46" s="22"/>
      <c r="T46" s="22"/>
      <c r="U46" s="22"/>
      <c r="V46" s="22"/>
      <c r="W46" s="22"/>
      <c r="X46" s="22"/>
      <c r="Y46" s="22"/>
    </row>
    <row r="47">
      <c r="A47" s="22"/>
      <c r="B47" s="22"/>
      <c r="C47" s="22"/>
      <c r="D47" s="22"/>
      <c r="E47" s="22"/>
      <c r="F47" s="23"/>
      <c r="G47" s="22"/>
      <c r="H47" s="22"/>
      <c r="I47" s="22"/>
      <c r="J47" s="22"/>
      <c r="K47" s="22"/>
      <c r="L47" s="22"/>
      <c r="M47" s="22"/>
      <c r="N47" s="24"/>
      <c r="O47" s="24"/>
      <c r="P47" s="22"/>
      <c r="Q47" s="22"/>
      <c r="R47" s="22"/>
      <c r="S47" s="22"/>
      <c r="T47" s="22"/>
      <c r="U47" s="22"/>
      <c r="V47" s="22"/>
      <c r="W47" s="22"/>
      <c r="X47" s="22"/>
      <c r="Y47" s="22"/>
    </row>
    <row r="48">
      <c r="A48" s="17" t="s">
        <v>167</v>
      </c>
      <c r="B48" s="17" t="s">
        <v>121</v>
      </c>
      <c r="C48" s="17" t="s">
        <v>148</v>
      </c>
      <c r="D48" s="17" t="s">
        <v>168</v>
      </c>
      <c r="E48" s="17" t="s">
        <v>31</v>
      </c>
      <c r="F48" s="25" t="s">
        <v>150</v>
      </c>
      <c r="G48" s="28" t="s">
        <v>67</v>
      </c>
      <c r="H48" s="17" t="s">
        <v>169</v>
      </c>
      <c r="I48" s="17" t="s">
        <v>170</v>
      </c>
      <c r="J48" s="17" t="s">
        <v>36</v>
      </c>
      <c r="K48" s="17" t="s">
        <v>54</v>
      </c>
      <c r="L48" s="26" t="s">
        <v>171</v>
      </c>
      <c r="M48" s="21"/>
      <c r="N48" s="21" t="s">
        <v>39</v>
      </c>
      <c r="O48" s="30" t="s">
        <v>40</v>
      </c>
      <c r="P48" s="21"/>
      <c r="Q48" s="22"/>
      <c r="R48" s="22"/>
      <c r="S48" s="22"/>
      <c r="T48" s="22"/>
      <c r="U48" s="22"/>
      <c r="V48" s="22"/>
      <c r="W48" s="22"/>
      <c r="X48" s="22"/>
      <c r="Y48" s="22"/>
    </row>
    <row r="49">
      <c r="A49" s="22"/>
      <c r="B49" s="22"/>
      <c r="C49" s="22"/>
      <c r="D49" s="22"/>
      <c r="E49" s="22"/>
      <c r="F49" s="23"/>
      <c r="G49" s="22"/>
      <c r="H49" s="22"/>
      <c r="I49" s="22"/>
      <c r="J49" s="22"/>
      <c r="K49" s="22"/>
      <c r="L49" s="22"/>
      <c r="M49" s="22"/>
      <c r="N49" s="24"/>
      <c r="O49" s="24"/>
      <c r="P49" s="22"/>
      <c r="Q49" s="22"/>
      <c r="R49" s="22"/>
      <c r="S49" s="22"/>
      <c r="T49" s="22"/>
      <c r="U49" s="22"/>
      <c r="V49" s="22"/>
      <c r="W49" s="22"/>
      <c r="X49" s="22"/>
      <c r="Y49" s="22"/>
    </row>
    <row r="50">
      <c r="A50" s="17" t="s">
        <v>172</v>
      </c>
      <c r="B50" s="17" t="s">
        <v>121</v>
      </c>
      <c r="C50" s="17" t="s">
        <v>148</v>
      </c>
      <c r="D50" s="17" t="s">
        <v>173</v>
      </c>
      <c r="E50" s="17" t="s">
        <v>31</v>
      </c>
      <c r="F50" s="25" t="s">
        <v>150</v>
      </c>
      <c r="G50" s="28" t="s">
        <v>67</v>
      </c>
      <c r="H50" s="17" t="s">
        <v>174</v>
      </c>
      <c r="I50" s="17" t="s">
        <v>175</v>
      </c>
      <c r="J50" s="17" t="s">
        <v>36</v>
      </c>
      <c r="K50" s="17" t="s">
        <v>54</v>
      </c>
      <c r="L50" s="26" t="s">
        <v>176</v>
      </c>
      <c r="M50" s="33"/>
      <c r="N50" s="21" t="s">
        <v>39</v>
      </c>
      <c r="O50" s="30" t="s">
        <v>40</v>
      </c>
      <c r="P50" s="21"/>
      <c r="Q50" s="22"/>
      <c r="R50" s="22"/>
      <c r="S50" s="22"/>
      <c r="T50" s="22"/>
      <c r="U50" s="22"/>
      <c r="V50" s="22"/>
      <c r="W50" s="22"/>
      <c r="X50" s="22"/>
      <c r="Y50" s="22"/>
    </row>
    <row r="51">
      <c r="A51" s="22"/>
      <c r="B51" s="22"/>
      <c r="C51" s="22"/>
      <c r="D51" s="22"/>
      <c r="E51" s="22"/>
      <c r="F51" s="23"/>
      <c r="G51" s="22"/>
      <c r="H51" s="22"/>
      <c r="I51" s="22"/>
      <c r="J51" s="22"/>
      <c r="K51" s="22"/>
      <c r="L51" s="22"/>
      <c r="M51" s="22"/>
      <c r="N51" s="24"/>
      <c r="O51" s="24"/>
      <c r="P51" s="22"/>
      <c r="Q51" s="22"/>
      <c r="R51" s="22"/>
      <c r="S51" s="22"/>
      <c r="T51" s="22"/>
      <c r="U51" s="22"/>
      <c r="V51" s="22"/>
      <c r="W51" s="22"/>
      <c r="X51" s="22"/>
      <c r="Y51" s="22"/>
    </row>
    <row r="52">
      <c r="A52" s="17" t="s">
        <v>177</v>
      </c>
      <c r="B52" s="17" t="s">
        <v>121</v>
      </c>
      <c r="C52" s="17" t="s">
        <v>178</v>
      </c>
      <c r="D52" s="17" t="s">
        <v>179</v>
      </c>
      <c r="E52" s="17" t="s">
        <v>31</v>
      </c>
      <c r="F52" s="25" t="s">
        <v>150</v>
      </c>
      <c r="G52" s="28" t="s">
        <v>67</v>
      </c>
      <c r="H52" s="17" t="s">
        <v>180</v>
      </c>
      <c r="I52" s="17" t="s">
        <v>181</v>
      </c>
      <c r="J52" s="17" t="s">
        <v>36</v>
      </c>
      <c r="K52" s="17" t="s">
        <v>54</v>
      </c>
      <c r="L52" s="27" t="s">
        <v>182</v>
      </c>
      <c r="M52" s="33"/>
      <c r="N52" s="21" t="s">
        <v>39</v>
      </c>
      <c r="O52" s="30" t="s">
        <v>40</v>
      </c>
      <c r="P52" s="21" t="s">
        <v>183</v>
      </c>
      <c r="Q52" s="22"/>
      <c r="R52" s="22"/>
      <c r="S52" s="22"/>
      <c r="T52" s="22"/>
      <c r="U52" s="22"/>
      <c r="V52" s="22"/>
      <c r="W52" s="22"/>
      <c r="X52" s="22"/>
      <c r="Y52" s="22"/>
    </row>
    <row r="53">
      <c r="A53" s="22"/>
      <c r="B53" s="22"/>
      <c r="C53" s="22"/>
      <c r="D53" s="22"/>
      <c r="E53" s="22"/>
      <c r="F53" s="23"/>
      <c r="G53" s="22"/>
      <c r="H53" s="22"/>
      <c r="I53" s="22"/>
      <c r="J53" s="22"/>
      <c r="K53" s="22"/>
      <c r="L53" s="22"/>
      <c r="M53" s="22"/>
      <c r="N53" s="24"/>
      <c r="O53" s="24"/>
      <c r="P53" s="22"/>
      <c r="Q53" s="22"/>
      <c r="R53" s="22"/>
      <c r="S53" s="22"/>
      <c r="T53" s="22"/>
      <c r="U53" s="22"/>
      <c r="V53" s="22"/>
      <c r="W53" s="22"/>
      <c r="X53" s="22"/>
      <c r="Y53" s="22"/>
    </row>
    <row r="54">
      <c r="A54" s="17" t="s">
        <v>184</v>
      </c>
      <c r="B54" s="17" t="s">
        <v>121</v>
      </c>
      <c r="C54" s="17" t="s">
        <v>148</v>
      </c>
      <c r="D54" s="17" t="s">
        <v>185</v>
      </c>
      <c r="E54" s="17" t="s">
        <v>31</v>
      </c>
      <c r="F54" s="25" t="s">
        <v>186</v>
      </c>
      <c r="G54" s="28" t="s">
        <v>67</v>
      </c>
      <c r="H54" s="17" t="s">
        <v>187</v>
      </c>
      <c r="I54" s="17" t="s">
        <v>188</v>
      </c>
      <c r="J54" s="17" t="s">
        <v>36</v>
      </c>
      <c r="K54" s="17" t="s">
        <v>54</v>
      </c>
      <c r="L54" s="26" t="s">
        <v>189</v>
      </c>
      <c r="M54" s="33"/>
      <c r="N54" s="21" t="s">
        <v>39</v>
      </c>
      <c r="O54" s="30" t="s">
        <v>40</v>
      </c>
      <c r="P54" s="21"/>
      <c r="Q54" s="22"/>
      <c r="R54" s="22"/>
      <c r="S54" s="22"/>
      <c r="T54" s="22"/>
      <c r="U54" s="22"/>
      <c r="V54" s="22"/>
      <c r="W54" s="22"/>
      <c r="X54" s="22"/>
      <c r="Y54" s="22"/>
    </row>
    <row r="55">
      <c r="A55" s="22"/>
      <c r="B55" s="22"/>
      <c r="C55" s="22"/>
      <c r="D55" s="22"/>
      <c r="E55" s="22"/>
      <c r="F55" s="23"/>
      <c r="G55" s="22"/>
      <c r="H55" s="22"/>
      <c r="I55" s="22"/>
      <c r="J55" s="22"/>
      <c r="K55" s="22"/>
      <c r="L55" s="22"/>
      <c r="M55" s="22"/>
      <c r="N55" s="24"/>
      <c r="O55" s="24"/>
      <c r="P55" s="22"/>
      <c r="Q55" s="22"/>
      <c r="R55" s="22"/>
      <c r="S55" s="22"/>
      <c r="T55" s="22"/>
      <c r="U55" s="22"/>
      <c r="V55" s="22"/>
      <c r="W55" s="22"/>
      <c r="X55" s="22"/>
      <c r="Y55" s="22"/>
    </row>
    <row r="56">
      <c r="A56" s="17" t="s">
        <v>190</v>
      </c>
      <c r="B56" s="17" t="s">
        <v>57</v>
      </c>
      <c r="C56" s="17" t="s">
        <v>57</v>
      </c>
      <c r="D56" s="17" t="s">
        <v>191</v>
      </c>
      <c r="E56" s="17" t="s">
        <v>31</v>
      </c>
      <c r="F56" s="25" t="s">
        <v>59</v>
      </c>
      <c r="G56" s="28" t="s">
        <v>33</v>
      </c>
      <c r="H56" s="17" t="s">
        <v>192</v>
      </c>
      <c r="I56" s="17" t="s">
        <v>193</v>
      </c>
      <c r="J56" s="17" t="s">
        <v>36</v>
      </c>
      <c r="K56" s="17" t="s">
        <v>89</v>
      </c>
      <c r="L56" s="26" t="s">
        <v>194</v>
      </c>
      <c r="M56" s="33"/>
      <c r="N56" s="21" t="s">
        <v>39</v>
      </c>
      <c r="O56" s="30" t="s">
        <v>160</v>
      </c>
      <c r="P56" s="21" t="s">
        <v>195</v>
      </c>
      <c r="Q56" s="22"/>
      <c r="R56" s="22"/>
      <c r="S56" s="22"/>
      <c r="T56" s="22"/>
      <c r="U56" s="22"/>
      <c r="V56" s="22"/>
      <c r="W56" s="22"/>
      <c r="X56" s="22"/>
      <c r="Y56" s="22"/>
    </row>
    <row r="57">
      <c r="A57" s="22"/>
      <c r="B57" s="22"/>
      <c r="C57" s="22"/>
      <c r="D57" s="22"/>
      <c r="E57" s="22"/>
      <c r="F57" s="23"/>
      <c r="G57" s="22"/>
      <c r="H57" s="22"/>
      <c r="I57" s="22"/>
      <c r="J57" s="22"/>
      <c r="K57" s="22"/>
      <c r="L57" s="22"/>
      <c r="M57" s="22"/>
      <c r="N57" s="24"/>
      <c r="O57" s="24"/>
      <c r="P57" s="22"/>
      <c r="Q57" s="22"/>
      <c r="R57" s="22"/>
      <c r="S57" s="22"/>
      <c r="T57" s="22"/>
      <c r="U57" s="22"/>
      <c r="V57" s="22"/>
      <c r="W57" s="22"/>
      <c r="X57" s="22"/>
      <c r="Y57" s="22"/>
    </row>
    <row r="58">
      <c r="A58" s="17" t="s">
        <v>196</v>
      </c>
      <c r="B58" s="17" t="s">
        <v>97</v>
      </c>
      <c r="C58" s="17" t="s">
        <v>97</v>
      </c>
      <c r="D58" s="17" t="s">
        <v>197</v>
      </c>
      <c r="E58" s="17" t="s">
        <v>31</v>
      </c>
      <c r="F58" s="25" t="s">
        <v>111</v>
      </c>
      <c r="G58" s="21" t="s">
        <v>67</v>
      </c>
      <c r="H58" s="17" t="s">
        <v>198</v>
      </c>
      <c r="I58" s="17" t="s">
        <v>199</v>
      </c>
      <c r="J58" s="17" t="s">
        <v>36</v>
      </c>
      <c r="K58" s="17" t="s">
        <v>54</v>
      </c>
      <c r="L58" s="26" t="s">
        <v>200</v>
      </c>
      <c r="M58" s="33"/>
      <c r="N58" s="21" t="s">
        <v>39</v>
      </c>
      <c r="O58" s="30" t="s">
        <v>160</v>
      </c>
      <c r="P58" s="21" t="s">
        <v>195</v>
      </c>
      <c r="Q58" s="22"/>
      <c r="R58" s="22"/>
      <c r="S58" s="22"/>
      <c r="T58" s="22"/>
      <c r="U58" s="22"/>
      <c r="V58" s="22"/>
      <c r="W58" s="22"/>
      <c r="X58" s="22"/>
      <c r="Y58" s="22"/>
    </row>
    <row r="59">
      <c r="A59" s="22"/>
      <c r="B59" s="22"/>
      <c r="C59" s="22"/>
      <c r="D59" s="22"/>
      <c r="E59" s="22"/>
      <c r="F59" s="23"/>
      <c r="G59" s="22"/>
      <c r="H59" s="22"/>
      <c r="I59" s="22"/>
      <c r="J59" s="22"/>
      <c r="K59" s="22"/>
      <c r="L59" s="22"/>
      <c r="M59" s="22"/>
      <c r="N59" s="24"/>
      <c r="O59" s="24"/>
      <c r="P59" s="22"/>
      <c r="Q59" s="22"/>
      <c r="R59" s="22"/>
      <c r="S59" s="22"/>
      <c r="T59" s="22"/>
      <c r="U59" s="22"/>
      <c r="V59" s="22"/>
      <c r="W59" s="22"/>
      <c r="X59" s="22"/>
      <c r="Y59" s="22"/>
    </row>
    <row r="60">
      <c r="A60" s="17" t="s">
        <v>201</v>
      </c>
      <c r="B60" s="17" t="s">
        <v>97</v>
      </c>
      <c r="C60" s="17" t="s">
        <v>97</v>
      </c>
      <c r="D60" s="17" t="s">
        <v>202</v>
      </c>
      <c r="E60" s="17" t="s">
        <v>31</v>
      </c>
      <c r="F60" s="25" t="s">
        <v>111</v>
      </c>
      <c r="G60" s="21" t="s">
        <v>67</v>
      </c>
      <c r="H60" s="17" t="s">
        <v>203</v>
      </c>
      <c r="I60" s="17" t="s">
        <v>204</v>
      </c>
      <c r="J60" s="17" t="s">
        <v>36</v>
      </c>
      <c r="K60" s="17" t="s">
        <v>37</v>
      </c>
      <c r="L60" s="26" t="s">
        <v>205</v>
      </c>
      <c r="M60" s="33"/>
      <c r="N60" s="21" t="s">
        <v>39</v>
      </c>
      <c r="O60" s="30" t="s">
        <v>40</v>
      </c>
      <c r="P60" s="21"/>
      <c r="Q60" s="22"/>
      <c r="R60" s="22"/>
      <c r="S60" s="22"/>
      <c r="T60" s="22"/>
      <c r="U60" s="22"/>
      <c r="V60" s="22"/>
      <c r="W60" s="22"/>
      <c r="X60" s="22"/>
      <c r="Y60" s="22"/>
    </row>
    <row r="61">
      <c r="A61" s="22"/>
      <c r="B61" s="22"/>
      <c r="C61" s="22"/>
      <c r="D61" s="22"/>
      <c r="E61" s="22"/>
      <c r="F61" s="23"/>
      <c r="G61" s="22"/>
      <c r="H61" s="22"/>
      <c r="I61" s="22"/>
      <c r="J61" s="22"/>
      <c r="K61" s="22"/>
      <c r="L61" s="22"/>
      <c r="M61" s="22"/>
      <c r="N61" s="24"/>
      <c r="O61" s="24"/>
      <c r="P61" s="22"/>
      <c r="Q61" s="22"/>
      <c r="R61" s="22"/>
      <c r="S61" s="22"/>
      <c r="T61" s="22"/>
      <c r="U61" s="22"/>
      <c r="V61" s="22"/>
      <c r="W61" s="22"/>
      <c r="X61" s="22"/>
      <c r="Y61" s="22"/>
    </row>
    <row r="62">
      <c r="A62" s="17" t="s">
        <v>206</v>
      </c>
      <c r="B62" s="17" t="s">
        <v>97</v>
      </c>
      <c r="C62" s="17" t="s">
        <v>97</v>
      </c>
      <c r="D62" s="17" t="s">
        <v>207</v>
      </c>
      <c r="E62" s="17" t="s">
        <v>31</v>
      </c>
      <c r="F62" s="25" t="s">
        <v>111</v>
      </c>
      <c r="G62" s="21" t="s">
        <v>67</v>
      </c>
      <c r="H62" s="17" t="s">
        <v>208</v>
      </c>
      <c r="I62" s="17" t="s">
        <v>209</v>
      </c>
      <c r="J62" s="17" t="s">
        <v>36</v>
      </c>
      <c r="K62" s="17" t="s">
        <v>54</v>
      </c>
      <c r="L62" s="26" t="s">
        <v>210</v>
      </c>
      <c r="M62" s="33"/>
      <c r="N62" s="21" t="s">
        <v>39</v>
      </c>
      <c r="O62" s="30" t="s">
        <v>40</v>
      </c>
      <c r="P62" s="21"/>
      <c r="Q62" s="22"/>
      <c r="R62" s="22"/>
      <c r="S62" s="22"/>
      <c r="T62" s="22"/>
      <c r="U62" s="22"/>
      <c r="V62" s="22"/>
      <c r="W62" s="22"/>
      <c r="X62" s="22"/>
      <c r="Y62" s="22"/>
    </row>
    <row r="63">
      <c r="A63" s="22"/>
      <c r="B63" s="22"/>
      <c r="C63" s="22"/>
      <c r="D63" s="22"/>
      <c r="E63" s="22"/>
      <c r="F63" s="23"/>
      <c r="G63" s="22"/>
      <c r="H63" s="22"/>
      <c r="I63" s="22"/>
      <c r="J63" s="22"/>
      <c r="K63" s="22"/>
      <c r="L63" s="22"/>
      <c r="M63" s="22"/>
      <c r="N63" s="24"/>
      <c r="O63" s="24"/>
      <c r="P63" s="22"/>
      <c r="Q63" s="22"/>
      <c r="R63" s="22"/>
      <c r="S63" s="22"/>
      <c r="T63" s="22"/>
      <c r="U63" s="22"/>
      <c r="V63" s="22"/>
      <c r="W63" s="22"/>
      <c r="X63" s="22"/>
      <c r="Y63" s="22"/>
    </row>
    <row r="64">
      <c r="A64" s="17" t="s">
        <v>211</v>
      </c>
      <c r="B64" s="17" t="s">
        <v>212</v>
      </c>
      <c r="C64" s="17" t="s">
        <v>213</v>
      </c>
      <c r="D64" s="17" t="s">
        <v>214</v>
      </c>
      <c r="E64" s="17" t="s">
        <v>31</v>
      </c>
      <c r="F64" s="25" t="s">
        <v>215</v>
      </c>
      <c r="G64" s="21" t="s">
        <v>67</v>
      </c>
      <c r="H64" s="17" t="s">
        <v>216</v>
      </c>
      <c r="I64" s="17" t="s">
        <v>217</v>
      </c>
      <c r="J64" s="17" t="s">
        <v>36</v>
      </c>
      <c r="K64" s="17" t="s">
        <v>37</v>
      </c>
      <c r="L64" s="26" t="s">
        <v>218</v>
      </c>
      <c r="M64" s="33"/>
      <c r="N64" s="21" t="s">
        <v>104</v>
      </c>
      <c r="O64" s="30" t="s">
        <v>160</v>
      </c>
      <c r="P64" s="21" t="s">
        <v>219</v>
      </c>
      <c r="Q64" s="22"/>
      <c r="R64" s="22"/>
      <c r="S64" s="22"/>
      <c r="T64" s="22"/>
      <c r="U64" s="22"/>
      <c r="V64" s="22"/>
      <c r="W64" s="22"/>
      <c r="X64" s="22"/>
      <c r="Y64" s="22"/>
    </row>
    <row r="65">
      <c r="A65" s="22"/>
      <c r="B65" s="22"/>
      <c r="C65" s="22"/>
      <c r="D65" s="22"/>
      <c r="E65" s="22"/>
      <c r="F65" s="23"/>
      <c r="G65" s="22"/>
      <c r="H65" s="22"/>
      <c r="I65" s="22"/>
      <c r="J65" s="22"/>
      <c r="K65" s="22"/>
      <c r="L65" s="22"/>
      <c r="M65" s="22"/>
      <c r="N65" s="24"/>
      <c r="O65" s="24"/>
      <c r="P65" s="22"/>
      <c r="Q65" s="22"/>
      <c r="R65" s="22"/>
      <c r="S65" s="22"/>
      <c r="T65" s="22"/>
      <c r="U65" s="22"/>
      <c r="V65" s="22"/>
      <c r="W65" s="22"/>
      <c r="X65" s="22"/>
      <c r="Y65" s="22"/>
    </row>
    <row r="66">
      <c r="A66" s="17" t="s">
        <v>220</v>
      </c>
      <c r="B66" s="17" t="s">
        <v>121</v>
      </c>
      <c r="C66" s="17" t="s">
        <v>212</v>
      </c>
      <c r="D66" s="17" t="s">
        <v>221</v>
      </c>
      <c r="E66" s="17" t="s">
        <v>31</v>
      </c>
      <c r="F66" s="25" t="s">
        <v>222</v>
      </c>
      <c r="G66" s="21" t="s">
        <v>67</v>
      </c>
      <c r="H66" s="17" t="s">
        <v>223</v>
      </c>
      <c r="I66" s="17" t="s">
        <v>224</v>
      </c>
      <c r="J66" s="17" t="s">
        <v>36</v>
      </c>
      <c r="K66" s="17" t="s">
        <v>37</v>
      </c>
      <c r="L66" s="26" t="s">
        <v>225</v>
      </c>
      <c r="M66" s="33"/>
      <c r="N66" s="21" t="s">
        <v>39</v>
      </c>
      <c r="O66" s="30" t="s">
        <v>40</v>
      </c>
      <c r="P66" s="21"/>
      <c r="Q66" s="22"/>
      <c r="R66" s="22"/>
      <c r="S66" s="22"/>
      <c r="T66" s="22"/>
      <c r="U66" s="22"/>
      <c r="V66" s="22"/>
      <c r="W66" s="22"/>
      <c r="X66" s="22"/>
      <c r="Y66" s="22"/>
    </row>
    <row r="67">
      <c r="A67" s="22"/>
      <c r="B67" s="22"/>
      <c r="C67" s="22"/>
      <c r="D67" s="22"/>
      <c r="E67" s="22"/>
      <c r="F67" s="23"/>
      <c r="G67" s="22"/>
      <c r="H67" s="22"/>
      <c r="I67" s="22"/>
      <c r="J67" s="22"/>
      <c r="K67" s="22"/>
      <c r="L67" s="22"/>
      <c r="M67" s="22"/>
      <c r="N67" s="24"/>
      <c r="O67" s="24"/>
      <c r="P67" s="22"/>
      <c r="Q67" s="22"/>
      <c r="R67" s="22"/>
      <c r="S67" s="22"/>
      <c r="T67" s="22"/>
      <c r="U67" s="22"/>
      <c r="V67" s="22"/>
      <c r="W67" s="22"/>
      <c r="X67" s="22"/>
      <c r="Y67" s="22"/>
    </row>
    <row r="68">
      <c r="A68" s="17" t="s">
        <v>226</v>
      </c>
      <c r="B68" s="17" t="s">
        <v>121</v>
      </c>
      <c r="C68" s="17" t="s">
        <v>121</v>
      </c>
      <c r="D68" s="17" t="s">
        <v>227</v>
      </c>
      <c r="E68" s="17" t="s">
        <v>31</v>
      </c>
      <c r="F68" s="25" t="s">
        <v>228</v>
      </c>
      <c r="G68" s="21" t="s">
        <v>67</v>
      </c>
      <c r="H68" s="17" t="s">
        <v>229</v>
      </c>
      <c r="I68" s="17" t="s">
        <v>230</v>
      </c>
      <c r="J68" s="17" t="s">
        <v>36</v>
      </c>
      <c r="K68" s="17" t="s">
        <v>54</v>
      </c>
      <c r="L68" s="26" t="s">
        <v>231</v>
      </c>
      <c r="M68" s="33"/>
      <c r="N68" s="21" t="s">
        <v>39</v>
      </c>
      <c r="O68" s="30" t="s">
        <v>40</v>
      </c>
      <c r="P68" s="21"/>
      <c r="Q68" s="22"/>
      <c r="R68" s="22"/>
      <c r="S68" s="22"/>
      <c r="T68" s="22"/>
      <c r="U68" s="22"/>
      <c r="V68" s="22"/>
      <c r="W68" s="22"/>
      <c r="X68" s="22"/>
      <c r="Y68" s="22"/>
    </row>
    <row r="69">
      <c r="A69" s="22"/>
      <c r="B69" s="22"/>
      <c r="C69" s="22"/>
      <c r="D69" s="22"/>
      <c r="E69" s="22"/>
      <c r="F69" s="23"/>
      <c r="G69" s="22"/>
      <c r="H69" s="22"/>
      <c r="I69" s="22"/>
      <c r="J69" s="22"/>
      <c r="K69" s="22"/>
      <c r="L69" s="22"/>
      <c r="M69" s="22"/>
      <c r="N69" s="24"/>
      <c r="O69" s="24"/>
      <c r="P69" s="22"/>
      <c r="Q69" s="22"/>
      <c r="R69" s="22"/>
      <c r="S69" s="22"/>
      <c r="T69" s="22"/>
      <c r="U69" s="22"/>
      <c r="V69" s="22"/>
      <c r="W69" s="22"/>
      <c r="X69" s="22"/>
      <c r="Y69" s="22"/>
    </row>
    <row r="70">
      <c r="A70" s="17" t="s">
        <v>232</v>
      </c>
      <c r="B70" s="17" t="s">
        <v>212</v>
      </c>
      <c r="C70" s="17" t="s">
        <v>213</v>
      </c>
      <c r="D70" s="17" t="s">
        <v>233</v>
      </c>
      <c r="E70" s="17" t="s">
        <v>31</v>
      </c>
      <c r="F70" s="25" t="s">
        <v>234</v>
      </c>
      <c r="G70" s="21" t="s">
        <v>67</v>
      </c>
      <c r="H70" s="17" t="s">
        <v>235</v>
      </c>
      <c r="I70" s="17" t="s">
        <v>236</v>
      </c>
      <c r="J70" s="17" t="s">
        <v>36</v>
      </c>
      <c r="K70" s="17" t="s">
        <v>54</v>
      </c>
      <c r="L70" s="26" t="s">
        <v>237</v>
      </c>
      <c r="M70" s="33"/>
      <c r="N70" s="21" t="s">
        <v>104</v>
      </c>
      <c r="O70" s="30" t="s">
        <v>160</v>
      </c>
      <c r="P70" s="21" t="s">
        <v>238</v>
      </c>
      <c r="Q70" s="22"/>
      <c r="R70" s="22"/>
      <c r="S70" s="22"/>
      <c r="T70" s="22"/>
      <c r="U70" s="22"/>
      <c r="V70" s="22"/>
      <c r="W70" s="22"/>
      <c r="X70" s="22"/>
      <c r="Y70" s="22"/>
    </row>
    <row r="71">
      <c r="A71" s="22"/>
      <c r="B71" s="22"/>
      <c r="C71" s="22"/>
      <c r="D71" s="22"/>
      <c r="E71" s="22"/>
      <c r="F71" s="23"/>
      <c r="G71" s="22"/>
      <c r="H71" s="22"/>
      <c r="I71" s="22"/>
      <c r="J71" s="22"/>
      <c r="K71" s="22"/>
      <c r="L71" s="22"/>
      <c r="M71" s="22"/>
      <c r="N71" s="24"/>
      <c r="O71" s="24"/>
      <c r="P71" s="22"/>
      <c r="Q71" s="22"/>
      <c r="R71" s="22"/>
      <c r="S71" s="22"/>
      <c r="T71" s="22"/>
      <c r="U71" s="22"/>
      <c r="V71" s="22"/>
      <c r="W71" s="22"/>
      <c r="X71" s="22"/>
      <c r="Y71" s="22"/>
    </row>
    <row r="72">
      <c r="A72" s="17" t="s">
        <v>239</v>
      </c>
      <c r="B72" s="17" t="s">
        <v>121</v>
      </c>
      <c r="C72" s="17" t="s">
        <v>240</v>
      </c>
      <c r="D72" s="17" t="s">
        <v>241</v>
      </c>
      <c r="E72" s="17" t="s">
        <v>31</v>
      </c>
      <c r="F72" s="25" t="s">
        <v>242</v>
      </c>
      <c r="G72" s="21" t="s">
        <v>67</v>
      </c>
      <c r="H72" s="17" t="s">
        <v>243</v>
      </c>
      <c r="I72" s="17" t="s">
        <v>244</v>
      </c>
      <c r="J72" s="17" t="s">
        <v>36</v>
      </c>
      <c r="K72" s="17" t="s">
        <v>37</v>
      </c>
      <c r="L72" s="26" t="s">
        <v>245</v>
      </c>
      <c r="M72" s="33"/>
      <c r="N72" s="21" t="s">
        <v>39</v>
      </c>
      <c r="O72" s="30" t="s">
        <v>40</v>
      </c>
      <c r="P72" s="21"/>
      <c r="Q72" s="22"/>
      <c r="R72" s="22"/>
      <c r="S72" s="22"/>
      <c r="T72" s="22"/>
      <c r="U72" s="22"/>
      <c r="V72" s="22"/>
      <c r="W72" s="22"/>
      <c r="X72" s="22"/>
      <c r="Y72" s="22"/>
    </row>
    <row r="73">
      <c r="A73" s="22"/>
      <c r="B73" s="22"/>
      <c r="C73" s="22"/>
      <c r="D73" s="22"/>
      <c r="E73" s="22"/>
      <c r="F73" s="23"/>
      <c r="G73" s="22"/>
      <c r="H73" s="22"/>
      <c r="I73" s="22"/>
      <c r="J73" s="22"/>
      <c r="K73" s="22"/>
      <c r="L73" s="22"/>
      <c r="M73" s="22"/>
      <c r="N73" s="24"/>
      <c r="O73" s="24"/>
      <c r="P73" s="22"/>
      <c r="Q73" s="22"/>
      <c r="R73" s="22"/>
      <c r="S73" s="22"/>
      <c r="T73" s="22"/>
      <c r="U73" s="22"/>
      <c r="V73" s="22"/>
      <c r="W73" s="22"/>
      <c r="X73" s="22"/>
      <c r="Y73" s="22"/>
    </row>
    <row r="74">
      <c r="A74" s="17" t="s">
        <v>246</v>
      </c>
      <c r="B74" s="17" t="s">
        <v>121</v>
      </c>
      <c r="C74" s="17" t="s">
        <v>240</v>
      </c>
      <c r="D74" s="17" t="s">
        <v>247</v>
      </c>
      <c r="E74" s="17" t="s">
        <v>31</v>
      </c>
      <c r="F74" s="25" t="s">
        <v>242</v>
      </c>
      <c r="G74" s="21" t="s">
        <v>67</v>
      </c>
      <c r="H74" s="17" t="s">
        <v>248</v>
      </c>
      <c r="I74" s="17" t="s">
        <v>249</v>
      </c>
      <c r="J74" s="17" t="s">
        <v>36</v>
      </c>
      <c r="K74" s="17" t="s">
        <v>54</v>
      </c>
      <c r="L74" s="26" t="s">
        <v>250</v>
      </c>
      <c r="M74" s="33"/>
      <c r="N74" s="21" t="s">
        <v>104</v>
      </c>
      <c r="O74" s="30" t="s">
        <v>160</v>
      </c>
      <c r="P74" s="21" t="s">
        <v>251</v>
      </c>
      <c r="Q74" s="22"/>
      <c r="R74" s="22"/>
      <c r="S74" s="22"/>
      <c r="T74" s="22"/>
      <c r="U74" s="22"/>
      <c r="V74" s="22"/>
      <c r="W74" s="22"/>
      <c r="X74" s="22"/>
      <c r="Y74" s="22"/>
    </row>
    <row r="75">
      <c r="A75" s="22"/>
      <c r="B75" s="22"/>
      <c r="C75" s="22"/>
      <c r="D75" s="22"/>
      <c r="E75" s="22"/>
      <c r="F75" s="23"/>
      <c r="G75" s="22"/>
      <c r="H75" s="22"/>
      <c r="I75" s="22"/>
      <c r="J75" s="22"/>
      <c r="K75" s="22"/>
      <c r="L75" s="22"/>
      <c r="M75" s="22"/>
      <c r="N75" s="24"/>
      <c r="O75" s="24"/>
      <c r="P75" s="22"/>
      <c r="Q75" s="22"/>
      <c r="R75" s="22"/>
      <c r="S75" s="22"/>
      <c r="T75" s="22"/>
      <c r="U75" s="22"/>
      <c r="V75" s="22"/>
      <c r="W75" s="22"/>
      <c r="X75" s="22"/>
      <c r="Y75" s="22"/>
    </row>
    <row r="76">
      <c r="A76" s="17" t="s">
        <v>252</v>
      </c>
      <c r="B76" s="17" t="s">
        <v>121</v>
      </c>
      <c r="C76" s="17" t="s">
        <v>240</v>
      </c>
      <c r="D76" s="17" t="s">
        <v>253</v>
      </c>
      <c r="E76" s="17" t="s">
        <v>31</v>
      </c>
      <c r="F76" s="25" t="s">
        <v>242</v>
      </c>
      <c r="G76" s="21" t="s">
        <v>67</v>
      </c>
      <c r="H76" s="17" t="s">
        <v>254</v>
      </c>
      <c r="I76" s="17" t="s">
        <v>255</v>
      </c>
      <c r="J76" s="17" t="s">
        <v>36</v>
      </c>
      <c r="K76" s="17" t="s">
        <v>54</v>
      </c>
      <c r="L76" s="26" t="s">
        <v>256</v>
      </c>
      <c r="M76" s="33"/>
      <c r="N76" s="21" t="s">
        <v>104</v>
      </c>
      <c r="O76" s="30" t="s">
        <v>160</v>
      </c>
      <c r="P76" s="21" t="s">
        <v>257</v>
      </c>
      <c r="Q76" s="22"/>
      <c r="R76" s="22"/>
      <c r="S76" s="22"/>
      <c r="T76" s="22"/>
      <c r="U76" s="22"/>
      <c r="V76" s="22"/>
      <c r="W76" s="22"/>
      <c r="X76" s="22"/>
      <c r="Y76" s="22"/>
    </row>
    <row r="77">
      <c r="A77" s="22"/>
      <c r="B77" s="22"/>
      <c r="C77" s="22"/>
      <c r="D77" s="22"/>
      <c r="E77" s="22"/>
      <c r="F77" s="23"/>
      <c r="G77" s="22"/>
      <c r="H77" s="22"/>
      <c r="I77" s="22"/>
      <c r="J77" s="22"/>
      <c r="K77" s="22"/>
      <c r="L77" s="22"/>
      <c r="M77" s="22"/>
      <c r="N77" s="24"/>
      <c r="O77" s="24"/>
      <c r="P77" s="22"/>
      <c r="Q77" s="22"/>
      <c r="R77" s="22"/>
      <c r="S77" s="22"/>
      <c r="T77" s="22"/>
      <c r="U77" s="22"/>
      <c r="V77" s="22"/>
      <c r="W77" s="22"/>
      <c r="X77" s="22"/>
      <c r="Y77" s="22"/>
    </row>
    <row r="78">
      <c r="A78" s="17" t="s">
        <v>258</v>
      </c>
      <c r="B78" s="17" t="s">
        <v>121</v>
      </c>
      <c r="C78" s="17" t="s">
        <v>240</v>
      </c>
      <c r="D78" s="17" t="s">
        <v>259</v>
      </c>
      <c r="E78" s="17" t="s">
        <v>31</v>
      </c>
      <c r="F78" s="25" t="s">
        <v>242</v>
      </c>
      <c r="G78" s="21" t="s">
        <v>67</v>
      </c>
      <c r="H78" s="17" t="s">
        <v>260</v>
      </c>
      <c r="I78" s="17" t="s">
        <v>261</v>
      </c>
      <c r="J78" s="17" t="s">
        <v>36</v>
      </c>
      <c r="K78" s="17" t="s">
        <v>54</v>
      </c>
      <c r="L78" s="26" t="s">
        <v>262</v>
      </c>
      <c r="M78" s="33"/>
      <c r="N78" s="21" t="s">
        <v>104</v>
      </c>
      <c r="O78" s="30" t="s">
        <v>160</v>
      </c>
      <c r="P78" s="21" t="s">
        <v>263</v>
      </c>
      <c r="Q78" s="22"/>
      <c r="R78" s="22"/>
      <c r="S78" s="22"/>
      <c r="T78" s="22"/>
      <c r="U78" s="22"/>
      <c r="V78" s="22"/>
      <c r="W78" s="22"/>
      <c r="X78" s="22"/>
      <c r="Y78" s="22"/>
    </row>
    <row r="79">
      <c r="A79" s="22"/>
      <c r="B79" s="22"/>
      <c r="C79" s="22"/>
      <c r="D79" s="22"/>
      <c r="E79" s="22"/>
      <c r="F79" s="23"/>
      <c r="G79" s="22"/>
      <c r="H79" s="22"/>
      <c r="I79" s="22"/>
      <c r="J79" s="22"/>
      <c r="K79" s="22"/>
      <c r="L79" s="22"/>
      <c r="M79" s="22"/>
      <c r="N79" s="24"/>
      <c r="O79" s="24"/>
      <c r="P79" s="22"/>
      <c r="Q79" s="22"/>
      <c r="R79" s="22"/>
      <c r="S79" s="22"/>
      <c r="T79" s="22"/>
      <c r="U79" s="22"/>
      <c r="V79" s="22"/>
      <c r="W79" s="22"/>
      <c r="X79" s="22"/>
      <c r="Y79" s="22"/>
    </row>
    <row r="80">
      <c r="A80" s="17" t="s">
        <v>264</v>
      </c>
      <c r="B80" s="17" t="s">
        <v>212</v>
      </c>
      <c r="C80" s="17" t="s">
        <v>213</v>
      </c>
      <c r="D80" s="17" t="s">
        <v>265</v>
      </c>
      <c r="E80" s="17" t="s">
        <v>31</v>
      </c>
      <c r="F80" s="34" t="s">
        <v>234</v>
      </c>
      <c r="G80" s="21" t="s">
        <v>67</v>
      </c>
      <c r="H80" s="17" t="s">
        <v>266</v>
      </c>
      <c r="I80" s="17" t="s">
        <v>267</v>
      </c>
      <c r="J80" s="17" t="s">
        <v>36</v>
      </c>
      <c r="K80" s="17" t="s">
        <v>54</v>
      </c>
      <c r="L80" s="26" t="s">
        <v>268</v>
      </c>
      <c r="M80" s="33"/>
      <c r="N80" s="21" t="s">
        <v>104</v>
      </c>
      <c r="O80" s="33"/>
      <c r="P80" s="21" t="s">
        <v>269</v>
      </c>
      <c r="Q80" s="22"/>
      <c r="R80" s="22"/>
      <c r="S80" s="22"/>
      <c r="T80" s="22"/>
      <c r="U80" s="22"/>
      <c r="V80" s="22"/>
      <c r="W80" s="22"/>
      <c r="X80" s="22"/>
      <c r="Y80" s="22"/>
    </row>
    <row r="81">
      <c r="A81" s="22"/>
      <c r="B81" s="22"/>
      <c r="C81" s="22"/>
      <c r="D81" s="22"/>
      <c r="E81" s="22"/>
      <c r="F81" s="23"/>
      <c r="G81" s="22"/>
      <c r="H81" s="22"/>
      <c r="I81" s="22"/>
      <c r="J81" s="22"/>
      <c r="K81" s="22"/>
      <c r="L81" s="22"/>
      <c r="M81" s="22"/>
      <c r="N81" s="24"/>
      <c r="O81" s="24"/>
      <c r="P81" s="22"/>
      <c r="Q81" s="22"/>
      <c r="R81" s="22"/>
      <c r="S81" s="22"/>
      <c r="T81" s="22"/>
      <c r="U81" s="22"/>
      <c r="V81" s="22"/>
      <c r="W81" s="22"/>
      <c r="X81" s="22"/>
      <c r="Y81" s="22"/>
    </row>
    <row r="82">
      <c r="A82" s="17" t="s">
        <v>270</v>
      </c>
      <c r="B82" s="17" t="s">
        <v>212</v>
      </c>
      <c r="C82" s="17" t="s">
        <v>271</v>
      </c>
      <c r="D82" s="17" t="s">
        <v>272</v>
      </c>
      <c r="E82" s="17" t="s">
        <v>31</v>
      </c>
      <c r="F82" s="34" t="s">
        <v>273</v>
      </c>
      <c r="G82" s="21" t="s">
        <v>67</v>
      </c>
      <c r="H82" s="17" t="s">
        <v>274</v>
      </c>
      <c r="I82" s="17" t="s">
        <v>275</v>
      </c>
      <c r="J82" s="17" t="s">
        <v>36</v>
      </c>
      <c r="K82" s="17" t="s">
        <v>54</v>
      </c>
      <c r="L82" s="26" t="s">
        <v>276</v>
      </c>
      <c r="M82" s="33"/>
      <c r="N82" s="21" t="s">
        <v>104</v>
      </c>
      <c r="O82" s="33"/>
      <c r="P82" s="21" t="s">
        <v>277</v>
      </c>
      <c r="Q82" s="22"/>
      <c r="R82" s="22"/>
      <c r="S82" s="22"/>
      <c r="T82" s="22"/>
      <c r="U82" s="22"/>
      <c r="V82" s="22"/>
      <c r="W82" s="22"/>
      <c r="X82" s="22"/>
      <c r="Y82" s="22"/>
    </row>
    <row r="84">
      <c r="A84" s="17" t="s">
        <v>278</v>
      </c>
      <c r="B84" s="17" t="s">
        <v>212</v>
      </c>
      <c r="C84" s="17" t="s">
        <v>271</v>
      </c>
      <c r="D84" s="17" t="s">
        <v>279</v>
      </c>
      <c r="E84" s="17" t="s">
        <v>31</v>
      </c>
      <c r="F84" s="34" t="s">
        <v>273</v>
      </c>
      <c r="G84" s="21" t="s">
        <v>67</v>
      </c>
      <c r="H84" s="17" t="s">
        <v>280</v>
      </c>
      <c r="I84" s="17" t="s">
        <v>281</v>
      </c>
      <c r="J84" s="17" t="s">
        <v>36</v>
      </c>
      <c r="K84" s="17" t="s">
        <v>54</v>
      </c>
      <c r="L84" s="26" t="s">
        <v>282</v>
      </c>
      <c r="M84" s="33"/>
      <c r="N84" s="21" t="s">
        <v>104</v>
      </c>
      <c r="O84" s="33"/>
      <c r="P84" s="21" t="s">
        <v>283</v>
      </c>
    </row>
    <row r="86">
      <c r="A86" s="17" t="s">
        <v>284</v>
      </c>
      <c r="B86" s="17" t="s">
        <v>212</v>
      </c>
      <c r="C86" s="17" t="s">
        <v>271</v>
      </c>
      <c r="D86" s="17" t="s">
        <v>285</v>
      </c>
      <c r="E86" s="17" t="s">
        <v>31</v>
      </c>
      <c r="F86" s="34" t="s">
        <v>273</v>
      </c>
      <c r="G86" s="21" t="s">
        <v>67</v>
      </c>
      <c r="H86" s="17" t="s">
        <v>286</v>
      </c>
      <c r="I86" s="17" t="s">
        <v>281</v>
      </c>
      <c r="J86" s="17" t="s">
        <v>36</v>
      </c>
      <c r="K86" s="17" t="s">
        <v>54</v>
      </c>
      <c r="L86" s="26" t="s">
        <v>287</v>
      </c>
      <c r="M86" s="33"/>
      <c r="N86" s="21" t="s">
        <v>39</v>
      </c>
      <c r="O86" s="33"/>
      <c r="P86" s="21" t="s">
        <v>288</v>
      </c>
    </row>
    <row r="88">
      <c r="A88" s="17" t="s">
        <v>289</v>
      </c>
      <c r="B88" s="31"/>
      <c r="C88" s="31"/>
      <c r="D88" s="31"/>
      <c r="E88" s="31"/>
      <c r="F88" s="31"/>
      <c r="G88" s="33"/>
      <c r="H88" s="31"/>
      <c r="I88" s="31"/>
      <c r="J88" s="31"/>
      <c r="K88" s="31"/>
      <c r="L88" s="26"/>
      <c r="M88" s="33"/>
      <c r="N88" s="33"/>
      <c r="O88" s="33"/>
      <c r="P88" s="21"/>
    </row>
    <row r="90">
      <c r="A90" s="17" t="s">
        <v>290</v>
      </c>
      <c r="B90" s="31"/>
      <c r="C90" s="31"/>
      <c r="D90" s="31"/>
      <c r="E90" s="31"/>
      <c r="F90" s="31"/>
      <c r="G90" s="33"/>
      <c r="H90" s="31"/>
      <c r="I90" s="31"/>
      <c r="J90" s="31"/>
      <c r="K90" s="31"/>
      <c r="L90" s="35"/>
      <c r="M90" s="33"/>
      <c r="N90" s="33"/>
      <c r="O90" s="33"/>
      <c r="P90" s="21"/>
    </row>
    <row r="92">
      <c r="A92" s="17" t="s">
        <v>291</v>
      </c>
      <c r="B92" s="31"/>
      <c r="C92" s="31"/>
      <c r="D92" s="31"/>
      <c r="E92" s="31"/>
      <c r="F92" s="31"/>
      <c r="G92" s="33"/>
      <c r="H92" s="31"/>
      <c r="I92" s="31"/>
      <c r="J92" s="31"/>
      <c r="K92" s="31"/>
      <c r="L92" s="35"/>
      <c r="M92" s="33"/>
      <c r="N92" s="33"/>
      <c r="O92" s="33"/>
      <c r="P92" s="21"/>
    </row>
    <row r="94">
      <c r="A94" s="17" t="s">
        <v>292</v>
      </c>
      <c r="B94" s="31"/>
      <c r="C94" s="31"/>
      <c r="D94" s="31"/>
      <c r="E94" s="31"/>
      <c r="F94" s="31"/>
      <c r="G94" s="33"/>
      <c r="H94" s="31"/>
      <c r="I94" s="31"/>
      <c r="J94" s="31"/>
      <c r="K94" s="31"/>
      <c r="L94" s="35"/>
      <c r="M94" s="33"/>
      <c r="N94" s="33"/>
      <c r="O94" s="33"/>
      <c r="P94" s="21"/>
    </row>
  </sheetData>
  <mergeCells count="2">
    <mergeCell ref="N5:N6"/>
    <mergeCell ref="O5:O6"/>
  </mergeCells>
  <dataValidations>
    <dataValidation type="list" allowBlank="1" showErrorMessage="1" sqref="N8 N10 N12 N14 N16 N18 N20 N22 N24 N26 N28 N30 N32 N34 N36 N38 N40 N42 N44 N46 N48 N50 N52 N54 N56 N58 N60 N62 N64 N66 N68 N70 N72 N74 N76 N78 N80 N82 N84 N86 N88 N90 N92 N94">
      <formula1>"Solved,Unsolved"</formula1>
    </dataValidation>
    <dataValidation type="list" allowBlank="1" showErrorMessage="1" sqref="J8 J10 J12 J14 J16 J18 J20 J22 J24 J26 J28 J30 J32 J34 J36 J38 J40 J42 J44 J46 J48 J50 J52 J54 J56 J58 J60 J62 J64 J66 J68 J70 J72 J74 J76 J78 J80 J82 J84 J86 J88 J90 J92 J94">
      <formula1>"Pass,Fail"</formula1>
    </dataValidation>
    <dataValidation type="list" allowBlank="1" showErrorMessage="1" sqref="K8 K10 K12 K14 K16 K18 K20 K22 K24 K26 K28 K30 K32 K34 K36 K38 K40 K42 K44 K46 K48 K50 K52 K54 K56 K58 K60 K62 K64 K66 K68 K70 K72 K74 K76 K78 K80 K82 K84 K86 K88 K90 K92 K94">
      <formula1>"High,Medium,Low"</formula1>
    </dataValidation>
    <dataValidation type="list" allowBlank="1" showErrorMessage="1" sqref="O8 O10 O12 O14 O16 O18 O20 O22 O24 O26 O28 O30 O32 O34 O36 O38 O40 O42 O44 O46 O48 O50 O52 O54 O56 O58 O60 O62 O64 O66 O68 O70 O72 O74 O76 O78 O80 O82 O84 O86 O88 O90 O92 O94">
      <formula1>"Front-End,Back-End,AI,UI/UX"</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 r:id="rId27" ref="L60"/>
    <hyperlink r:id="rId28" ref="L62"/>
    <hyperlink r:id="rId29" ref="L64"/>
    <hyperlink r:id="rId30" ref="L66"/>
    <hyperlink r:id="rId31" ref="L68"/>
    <hyperlink r:id="rId32" ref="L70"/>
    <hyperlink r:id="rId33" ref="L72"/>
    <hyperlink r:id="rId34" ref="L74"/>
    <hyperlink r:id="rId35" ref="L76"/>
    <hyperlink r:id="rId36" ref="L78"/>
    <hyperlink r:id="rId37" ref="L80"/>
    <hyperlink r:id="rId38" ref="L82"/>
    <hyperlink r:id="rId39" ref="L84"/>
    <hyperlink r:id="rId40" ref="L86"/>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0"/>
    <col customWidth="1" min="15" max="15" width="14.13"/>
  </cols>
  <sheetData>
    <row r="1">
      <c r="A1" s="36"/>
      <c r="B1" s="36"/>
      <c r="C1" s="36"/>
      <c r="D1" s="36"/>
      <c r="E1" s="3"/>
      <c r="F1" s="3"/>
      <c r="G1" s="36"/>
      <c r="H1" s="36"/>
      <c r="I1" s="36"/>
      <c r="J1" s="36"/>
      <c r="K1" s="36"/>
      <c r="L1" s="36"/>
      <c r="M1" s="36"/>
      <c r="N1" s="36"/>
      <c r="O1" s="36"/>
    </row>
    <row r="2">
      <c r="A2" s="37" t="s">
        <v>0</v>
      </c>
      <c r="B2" s="38"/>
      <c r="C2" s="36"/>
      <c r="D2" s="39" t="s">
        <v>22</v>
      </c>
      <c r="E2" s="39" t="s">
        <v>293</v>
      </c>
      <c r="F2" s="36"/>
      <c r="G2" s="36"/>
      <c r="H2" s="36"/>
      <c r="I2" s="36"/>
      <c r="J2" s="36"/>
      <c r="K2" s="36"/>
      <c r="L2" s="36"/>
      <c r="M2" s="36"/>
      <c r="N2" s="36"/>
      <c r="O2" s="36"/>
    </row>
    <row r="3">
      <c r="A3" s="37" t="s">
        <v>2</v>
      </c>
      <c r="B3" s="40"/>
      <c r="C3" s="36"/>
      <c r="D3" s="41" t="s">
        <v>54</v>
      </c>
      <c r="E3" s="42">
        <f>COUNTIF(K14:K897, "High")</f>
        <v>0</v>
      </c>
      <c r="F3" s="36"/>
      <c r="G3" s="36"/>
      <c r="H3" s="36"/>
      <c r="I3" s="36"/>
      <c r="J3" s="36"/>
      <c r="K3" s="36"/>
      <c r="L3" s="36"/>
      <c r="M3" s="36"/>
      <c r="N3" s="36"/>
      <c r="O3" s="36"/>
    </row>
    <row r="4">
      <c r="A4" s="37" t="s">
        <v>294</v>
      </c>
      <c r="B4" s="43"/>
      <c r="C4" s="36"/>
      <c r="D4" s="41" t="s">
        <v>37</v>
      </c>
      <c r="E4" s="42">
        <f>COUNTIF(K14:K898, "Medium")</f>
        <v>0</v>
      </c>
      <c r="F4" s="36"/>
      <c r="G4" s="36"/>
      <c r="H4" s="36"/>
      <c r="I4" s="36"/>
      <c r="J4" s="36"/>
      <c r="K4" s="36"/>
      <c r="L4" s="36"/>
      <c r="M4" s="36"/>
      <c r="N4" s="36"/>
      <c r="O4" s="36"/>
    </row>
    <row r="5">
      <c r="A5" s="37" t="s">
        <v>4</v>
      </c>
      <c r="B5" s="44"/>
      <c r="C5" s="36"/>
      <c r="D5" s="41" t="s">
        <v>89</v>
      </c>
      <c r="E5" s="42">
        <f>COUNTIF(K14:K899, "Low") </f>
        <v>0</v>
      </c>
      <c r="F5" s="36"/>
      <c r="G5" s="36"/>
      <c r="H5" s="36"/>
      <c r="I5" s="36"/>
      <c r="J5" s="36"/>
      <c r="K5" s="36"/>
      <c r="L5" s="36"/>
      <c r="M5" s="36"/>
      <c r="N5" s="36"/>
      <c r="O5" s="36"/>
    </row>
    <row r="6">
      <c r="A6" s="37" t="s">
        <v>6</v>
      </c>
      <c r="B6" s="44"/>
      <c r="C6" s="36"/>
      <c r="D6" s="36"/>
      <c r="E6" s="36"/>
      <c r="F6" s="36"/>
      <c r="G6" s="36"/>
      <c r="H6" s="36"/>
      <c r="I6" s="36"/>
      <c r="J6" s="36"/>
      <c r="K6" s="36"/>
      <c r="L6" s="36"/>
      <c r="M6" s="36"/>
      <c r="N6" s="36"/>
      <c r="O6" s="36"/>
    </row>
    <row r="7">
      <c r="A7" s="45" t="s">
        <v>295</v>
      </c>
      <c r="B7" s="44"/>
      <c r="C7" s="36"/>
      <c r="D7" s="46" t="s">
        <v>296</v>
      </c>
      <c r="E7" s="47">
        <f>SUM(E3:E5)</f>
        <v>0</v>
      </c>
      <c r="F7" s="36"/>
      <c r="G7" s="36"/>
      <c r="H7" s="36"/>
      <c r="I7" s="36"/>
      <c r="J7" s="36"/>
      <c r="K7" s="36"/>
      <c r="L7" s="36"/>
      <c r="M7" s="36"/>
      <c r="N7" s="36"/>
      <c r="O7" s="36"/>
    </row>
    <row r="8">
      <c r="A8" s="36"/>
      <c r="B8" s="36"/>
      <c r="C8" s="36"/>
      <c r="D8" s="46" t="s">
        <v>297</v>
      </c>
      <c r="E8" s="44"/>
      <c r="F8" s="36"/>
      <c r="G8" s="36"/>
      <c r="H8" s="36"/>
      <c r="I8" s="36"/>
      <c r="J8" s="36"/>
      <c r="K8" s="36"/>
      <c r="L8" s="36"/>
      <c r="M8" s="36"/>
      <c r="N8" s="36"/>
      <c r="O8" s="36"/>
    </row>
    <row r="9">
      <c r="A9" s="36"/>
      <c r="B9" s="36"/>
      <c r="C9" s="36"/>
      <c r="D9" s="36"/>
      <c r="E9" s="36"/>
      <c r="F9" s="36"/>
      <c r="G9" s="36"/>
      <c r="H9" s="36"/>
      <c r="I9" s="36"/>
      <c r="J9" s="36"/>
      <c r="K9" s="36"/>
      <c r="L9" s="36"/>
      <c r="M9" s="36"/>
      <c r="N9" s="36"/>
      <c r="O9" s="36"/>
    </row>
    <row r="10">
      <c r="A10" s="48" t="s">
        <v>12</v>
      </c>
      <c r="B10" s="48" t="s">
        <v>13</v>
      </c>
      <c r="C10" s="48" t="s">
        <v>14</v>
      </c>
      <c r="D10" s="48" t="s">
        <v>15</v>
      </c>
      <c r="E10" s="48" t="s">
        <v>16</v>
      </c>
      <c r="F10" s="48" t="s">
        <v>17</v>
      </c>
      <c r="G10" s="48" t="s">
        <v>18</v>
      </c>
      <c r="H10" s="48" t="s">
        <v>19</v>
      </c>
      <c r="I10" s="48" t="s">
        <v>20</v>
      </c>
      <c r="J10" s="48" t="s">
        <v>21</v>
      </c>
      <c r="K10" s="48" t="s">
        <v>22</v>
      </c>
      <c r="L10" s="48" t="s">
        <v>23</v>
      </c>
      <c r="M10" s="48" t="s">
        <v>24</v>
      </c>
      <c r="N10" s="49" t="s">
        <v>25</v>
      </c>
      <c r="O10" s="49" t="s">
        <v>26</v>
      </c>
      <c r="P10" s="50" t="s">
        <v>27</v>
      </c>
    </row>
    <row r="11">
      <c r="A11" s="16"/>
      <c r="B11" s="17"/>
      <c r="C11" s="17"/>
      <c r="D11" s="16"/>
      <c r="E11" s="16"/>
      <c r="F11" s="18"/>
      <c r="G11" s="19"/>
      <c r="H11" s="16"/>
      <c r="I11" s="16"/>
      <c r="J11" s="16"/>
      <c r="K11" s="16"/>
      <c r="L11" s="51"/>
      <c r="M11" s="19"/>
      <c r="N11" s="19"/>
      <c r="O11" s="19"/>
      <c r="P11" s="21"/>
    </row>
    <row r="12">
      <c r="A12" s="22"/>
      <c r="B12" s="22"/>
      <c r="C12" s="22"/>
      <c r="D12" s="22"/>
      <c r="E12" s="22"/>
      <c r="F12" s="23"/>
      <c r="G12" s="22"/>
      <c r="H12" s="22"/>
      <c r="I12" s="22"/>
      <c r="J12" s="22"/>
      <c r="K12" s="22"/>
      <c r="L12" s="22"/>
      <c r="M12" s="22"/>
      <c r="N12" s="24"/>
      <c r="O12" s="24"/>
      <c r="P12" s="22"/>
    </row>
    <row r="13">
      <c r="A13" s="17"/>
      <c r="B13" s="17"/>
      <c r="C13" s="17"/>
      <c r="D13" s="17"/>
      <c r="E13" s="17"/>
      <c r="F13" s="25"/>
      <c r="G13" s="21"/>
      <c r="H13" s="17"/>
      <c r="I13" s="17"/>
      <c r="J13" s="17"/>
      <c r="K13" s="17"/>
      <c r="L13" s="52"/>
      <c r="M13" s="33"/>
      <c r="N13" s="33"/>
      <c r="O13" s="33"/>
      <c r="P13" s="21"/>
    </row>
  </sheetData>
  <dataValidations>
    <dataValidation type="list" allowBlank="1" showErrorMessage="1" sqref="N11 N13">
      <formula1>"Solved,Unsolved"</formula1>
    </dataValidation>
    <dataValidation type="list" allowBlank="1" showErrorMessage="1" sqref="J11 J13">
      <formula1>"Pass,Fail"</formula1>
    </dataValidation>
    <dataValidation type="list" allowBlank="1" showErrorMessage="1" sqref="K11 K13">
      <formula1>"High,Medium,Low"</formula1>
    </dataValidation>
    <dataValidation type="list" allowBlank="1" showErrorMessage="1" sqref="O11 O13">
      <formula1>"Front-End,Back-End,AI,UI/UX"</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53" t="s">
        <v>13</v>
      </c>
      <c r="B1" s="53" t="s">
        <v>14</v>
      </c>
      <c r="C1" s="54" t="s">
        <v>298</v>
      </c>
      <c r="D1" s="53" t="s">
        <v>299</v>
      </c>
      <c r="E1" s="53" t="s">
        <v>300</v>
      </c>
      <c r="F1" s="48" t="s">
        <v>301</v>
      </c>
      <c r="G1" s="24"/>
      <c r="H1" s="24"/>
      <c r="I1" s="24"/>
      <c r="J1" s="24"/>
      <c r="K1" s="24"/>
      <c r="L1" s="24"/>
      <c r="M1" s="24"/>
      <c r="N1" s="24"/>
      <c r="O1" s="24"/>
      <c r="P1" s="24"/>
      <c r="Q1" s="24"/>
      <c r="R1" s="24"/>
      <c r="S1" s="24"/>
      <c r="T1" s="24"/>
      <c r="U1" s="24"/>
      <c r="V1" s="24"/>
      <c r="W1" s="24"/>
      <c r="X1" s="24"/>
      <c r="Y1" s="24"/>
      <c r="Z1" s="24"/>
      <c r="AA1" s="24"/>
    </row>
    <row r="2">
      <c r="A2" s="55" t="str">
        <f>IFERROR(__xludf.DUMMYFUNCTION("SORT(
  SPLIT(
    UNIQUE(
      FILTER('Main Report'!B11:B100 &amp; ""♦"" &amp; 'Main Report'!C11:C100, LEN('Main Report'!C11:C100))
    ),
    ""♦""
  ),
  1, TRUE, 2, TRUE
)
"),"Basic Info")</f>
        <v>Basic Info</v>
      </c>
      <c r="B2" s="55" t="str">
        <f>IFERROR(__xludf.DUMMYFUNCTION("""COMPUTED_VALUE"""),"Basic Info")</f>
        <v>Basic Info</v>
      </c>
      <c r="C2" s="55" t="str">
        <f>IFERROR(__xludf.DUMMYFUNCTION("TEXTJOIN("", "", TRUE, 
  FILTER('Main Report'!A11:A100, 
    ('Main Report'!B11:B100=A2) * ('Main Report'!C11:C100=B2)
  )
)
"),"BR-001, BR-002, BR-003")</f>
        <v>BR-001, BR-002, BR-003</v>
      </c>
      <c r="D2" s="55">
        <f>IFERROR(__xludf.DUMMYFUNCTION("COUNTA(UNIQUE(TRANSPOSE(SPLIT(C2, "", ""))))
"),3.0)</f>
        <v>3</v>
      </c>
      <c r="E2" s="55" t="str">
        <f>IF(D2="", "", TEXT((D2 / 'Main Report'!$E$7), "0.00%"))
</f>
        <v>7.50%</v>
      </c>
      <c r="F2" s="56"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1
Medium: 1
Low: 1")</f>
        <v>High: 1
Medium: 1
Low: 1</v>
      </c>
      <c r="G2" s="24"/>
      <c r="H2" s="24"/>
      <c r="I2" s="24"/>
      <c r="J2" s="24"/>
      <c r="K2" s="24"/>
      <c r="L2" s="24"/>
      <c r="M2" s="24"/>
      <c r="N2" s="24"/>
      <c r="O2" s="24"/>
      <c r="P2" s="24"/>
      <c r="Q2" s="24"/>
      <c r="R2" s="24"/>
      <c r="S2" s="24"/>
      <c r="T2" s="24"/>
      <c r="U2" s="24"/>
      <c r="V2" s="24"/>
      <c r="W2" s="24"/>
      <c r="X2" s="24"/>
      <c r="Y2" s="24"/>
      <c r="Z2" s="24"/>
      <c r="AA2" s="24"/>
    </row>
    <row r="3">
      <c r="A3" s="33" t="str">
        <f>IFERROR(__xludf.DUMMYFUNCTION("""COMPUTED_VALUE"""),"Home")</f>
        <v>Home</v>
      </c>
      <c r="B3" s="33" t="str">
        <f>IFERROR(__xludf.DUMMYFUNCTION("""COMPUTED_VALUE"""),"Calendar")</f>
        <v>Calendar</v>
      </c>
      <c r="C3" s="33" t="str">
        <f>IFERROR(__xludf.DUMMYFUNCTION("TEXTJOIN("", "", TRUE, 
  FILTER('Main Report'!A12:A101, 
    ('Main Report'!B12:B101=A3) * ('Main Report'!C12:C101=B3)
  )
)
"),"BR-004, BR-005, BR-006, BR-007, BR-008, BR-009")</f>
        <v>BR-004, BR-005, BR-006, BR-007, BR-008, BR-009</v>
      </c>
      <c r="D3" s="55">
        <f>IFERROR(__xludf.DUMMYFUNCTION("COUNTA(UNIQUE(TRANSPOSE(SPLIT(C3, "", ""))))
"),6.0)</f>
        <v>6</v>
      </c>
      <c r="E3" s="33" t="str">
        <f>IF(D3="", "", TEXT((D3 / 'Main Report'!$E$7), "0.00%"))
</f>
        <v>15.00%</v>
      </c>
      <c r="F3" s="57"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3
Medium: 3
Low: 0")</f>
        <v>High: 3
Medium: 3
Low: 0</v>
      </c>
      <c r="G3" s="24"/>
      <c r="H3" s="24"/>
      <c r="I3" s="24"/>
      <c r="J3" s="24"/>
      <c r="K3" s="24"/>
      <c r="L3" s="24"/>
      <c r="M3" s="24"/>
      <c r="N3" s="24"/>
      <c r="O3" s="24"/>
      <c r="P3" s="24"/>
      <c r="Q3" s="24"/>
      <c r="R3" s="24"/>
      <c r="S3" s="24"/>
      <c r="T3" s="24"/>
      <c r="U3" s="24"/>
      <c r="V3" s="24"/>
      <c r="W3" s="24"/>
      <c r="X3" s="24"/>
      <c r="Y3" s="24"/>
      <c r="Z3" s="24"/>
      <c r="AA3" s="24"/>
    </row>
    <row r="4">
      <c r="A4" s="33" t="str">
        <f>IFERROR(__xludf.DUMMYFUNCTION("""COMPUTED_VALUE"""),"Home")</f>
        <v>Home</v>
      </c>
      <c r="B4" s="33" t="str">
        <f>IFERROR(__xludf.DUMMYFUNCTION("""COMPUTED_VALUE"""),"Calls")</f>
        <v>Calls</v>
      </c>
      <c r="C4" s="33" t="str">
        <f>IFERROR(__xludf.DUMMYFUNCTION("TEXTJOIN("", "", TRUE, 
  FILTER('Main Report'!A13:A102, 
    ('Main Report'!B13:B102=A4) * ('Main Report'!C13:C102=B4)
  )
)
"),"BR-010")</f>
        <v>BR-010</v>
      </c>
      <c r="D4" s="55">
        <f>IFERROR(__xludf.DUMMYFUNCTION("COUNTA(UNIQUE(TRANSPOSE(SPLIT(C4, "", ""))))
"),1.0)</f>
        <v>1</v>
      </c>
      <c r="E4" s="33" t="str">
        <f>IF(D4="", "", TEXT((D4 / 'Main Report'!$E$7), "0.00%"))
</f>
        <v>2.50%</v>
      </c>
      <c r="F4" s="57"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24"/>
      <c r="H4" s="24"/>
      <c r="I4" s="24"/>
      <c r="J4" s="24"/>
      <c r="K4" s="24"/>
      <c r="L4" s="24"/>
      <c r="M4" s="24"/>
      <c r="N4" s="24"/>
      <c r="O4" s="24"/>
      <c r="P4" s="24"/>
      <c r="Q4" s="24"/>
      <c r="R4" s="24"/>
      <c r="S4" s="24"/>
      <c r="T4" s="24"/>
      <c r="U4" s="24"/>
      <c r="V4" s="24"/>
      <c r="W4" s="24"/>
      <c r="X4" s="24"/>
      <c r="Y4" s="24"/>
      <c r="Z4" s="24"/>
      <c r="AA4" s="24"/>
    </row>
    <row r="5">
      <c r="A5" s="33" t="str">
        <f>IFERROR(__xludf.DUMMYFUNCTION("""COMPUTED_VALUE"""),"Home")</f>
        <v>Home</v>
      </c>
      <c r="B5" s="33" t="str">
        <f>IFERROR(__xludf.DUMMYFUNCTION("""COMPUTED_VALUE"""),"Chat")</f>
        <v>Chat</v>
      </c>
      <c r="C5" s="33" t="str">
        <f>IFERROR(__xludf.DUMMYFUNCTION("TEXTJOIN("", "", TRUE, 
  FILTER('Main Report'!A14:A103, 
    ('Main Report'!B14:B103=A5) * ('Main Report'!C14:C103=B5)
  )
)
"),"BR-011")</f>
        <v>BR-011</v>
      </c>
      <c r="D5" s="55">
        <f>IFERROR(__xludf.DUMMYFUNCTION("COUNTA(UNIQUE(TRANSPOSE(SPLIT(C5, "", ""))))
"),1.0)</f>
        <v>1</v>
      </c>
      <c r="E5" s="33" t="str">
        <f>IF(D5="", "", TEXT((D5 / 'Main Report'!$E$7), "0.00%"))
</f>
        <v>2.50%</v>
      </c>
      <c r="F5" s="57"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0
Medium: 1
Low: 0")</f>
        <v>High: 0
Medium: 1
Low: 0</v>
      </c>
      <c r="G5" s="24"/>
      <c r="H5" s="24"/>
      <c r="I5" s="24"/>
      <c r="J5" s="24"/>
      <c r="K5" s="24"/>
      <c r="L5" s="24"/>
      <c r="M5" s="24"/>
      <c r="N5" s="24"/>
      <c r="O5" s="24"/>
      <c r="P5" s="24"/>
      <c r="Q5" s="24"/>
      <c r="R5" s="24"/>
      <c r="S5" s="24"/>
      <c r="T5" s="24"/>
      <c r="U5" s="24"/>
      <c r="V5" s="24"/>
      <c r="W5" s="24"/>
      <c r="X5" s="24"/>
      <c r="Y5" s="24"/>
      <c r="Z5" s="24"/>
      <c r="AA5" s="24"/>
    </row>
    <row r="6">
      <c r="A6" s="33" t="str">
        <f>IFERROR(__xludf.DUMMYFUNCTION("""COMPUTED_VALUE"""),"Home")</f>
        <v>Home</v>
      </c>
      <c r="B6" s="33" t="str">
        <f>IFERROR(__xludf.DUMMYFUNCTION("""COMPUTED_VALUE"""),"Documents")</f>
        <v>Documents</v>
      </c>
      <c r="C6" s="33" t="str">
        <f>IFERROR(__xludf.DUMMYFUNCTION("TEXTJOIN("", "", TRUE, 
  FILTER('Main Report'!A15:A104, 
    ('Main Report'!B15:B104=A6) * ('Main Report'!C15:C104=B6)
  )
)
"),"BR-012")</f>
        <v>BR-012</v>
      </c>
      <c r="D6" s="55">
        <f>IFERROR(__xludf.DUMMYFUNCTION("COUNTA(UNIQUE(TRANSPOSE(SPLIT(C6, "", ""))))
"),1.0)</f>
        <v>1</v>
      </c>
      <c r="E6" s="33" t="str">
        <f>IF(D6="", "", TEXT((D6 / 'Main Report'!$E$7), "0.00%"))
</f>
        <v>2.50%</v>
      </c>
      <c r="F6" s="57"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1
Medium: 0
Low: 0")</f>
        <v>High: 1
Medium: 0
Low: 0</v>
      </c>
      <c r="G6" s="24"/>
      <c r="H6" s="24"/>
      <c r="I6" s="24"/>
      <c r="J6" s="24"/>
      <c r="K6" s="24"/>
      <c r="L6" s="24"/>
      <c r="M6" s="24"/>
      <c r="N6" s="24"/>
      <c r="O6" s="24"/>
      <c r="P6" s="24"/>
      <c r="Q6" s="24"/>
      <c r="R6" s="24"/>
      <c r="S6" s="24"/>
      <c r="T6" s="24"/>
      <c r="U6" s="24"/>
      <c r="V6" s="24"/>
      <c r="W6" s="24"/>
      <c r="X6" s="24"/>
      <c r="Y6" s="24"/>
      <c r="Z6" s="24"/>
      <c r="AA6" s="24"/>
    </row>
    <row r="7">
      <c r="A7" s="33" t="str">
        <f>IFERROR(__xludf.DUMMYFUNCTION("""COMPUTED_VALUE"""),"Home")</f>
        <v>Home</v>
      </c>
      <c r="B7" s="33" t="str">
        <f>IFERROR(__xludf.DUMMYFUNCTION("""COMPUTED_VALUE"""),"Expense")</f>
        <v>Expense</v>
      </c>
      <c r="C7" s="33" t="str">
        <f>IFERROR(__xludf.DUMMYFUNCTION("TEXTJOIN("", "", TRUE, 
  FILTER('Main Report'!A16:A105, 
    ('Main Report'!B16:B105=A7) * ('Main Report'!C16:C105=B7)
  )
)
"),"BR-013, BR-014, BR-015, BR-016")</f>
        <v>BR-013, BR-014, BR-015, BR-016</v>
      </c>
      <c r="D7" s="55">
        <f>IFERROR(__xludf.DUMMYFUNCTION("COUNTA(UNIQUE(TRANSPOSE(SPLIT(C7, "", ""))))
"),4.0)</f>
        <v>4</v>
      </c>
      <c r="E7" s="33" t="str">
        <f>IF(D7="", "", TEXT((D7 / 'Main Report'!$E$7), "0.00%"))
</f>
        <v>10.00%</v>
      </c>
      <c r="F7" s="57"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3
Medium: 1
Low: 0")</f>
        <v>High: 3
Medium: 1
Low: 0</v>
      </c>
      <c r="G7" s="24"/>
      <c r="H7" s="24"/>
      <c r="I7" s="24"/>
      <c r="J7" s="24"/>
      <c r="K7" s="24"/>
      <c r="L7" s="24"/>
      <c r="M7" s="24"/>
      <c r="N7" s="24"/>
      <c r="O7" s="24"/>
      <c r="P7" s="24"/>
      <c r="Q7" s="24"/>
      <c r="R7" s="24"/>
      <c r="S7" s="24"/>
      <c r="T7" s="24"/>
      <c r="U7" s="24"/>
      <c r="V7" s="24"/>
      <c r="W7" s="24"/>
      <c r="X7" s="24"/>
      <c r="Y7" s="24"/>
      <c r="Z7" s="24"/>
      <c r="AA7" s="24"/>
    </row>
    <row r="8">
      <c r="A8" s="33" t="str">
        <f>IFERROR(__xludf.DUMMYFUNCTION("""COMPUTED_VALUE"""),"Home")</f>
        <v>Home</v>
      </c>
      <c r="B8" s="33" t="str">
        <f>IFERROR(__xludf.DUMMYFUNCTION("""COMPUTED_VALUE"""),"Home")</f>
        <v>Home</v>
      </c>
      <c r="C8" s="33" t="str">
        <f>IFERROR(__xludf.DUMMYFUNCTION("TEXTJOIN("", "", TRUE, 
  FILTER('Main Report'!A17:A106, 
    ('Main Report'!B17:B106=A8) * ('Main Report'!C17:C106=B8)
  )
)
"),"BR-017, BR-018, BR-019")</f>
        <v>BR-017, BR-018, BR-019</v>
      </c>
      <c r="D8" s="55">
        <f>IFERROR(__xludf.DUMMYFUNCTION("COUNTA(UNIQUE(TRANSPOSE(SPLIT(C8, "", ""))))
"),3.0)</f>
        <v>3</v>
      </c>
      <c r="E8" s="33" t="str">
        <f>IF(D8="", "", TEXT((D8 / 'Main Report'!$E$7), "0.00%"))
</f>
        <v>7.50%</v>
      </c>
      <c r="F8" s="57"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2
Medium: 1
Low: 0")</f>
        <v>High: 2
Medium: 1
Low: 0</v>
      </c>
      <c r="G8" s="24"/>
      <c r="H8" s="24"/>
      <c r="I8" s="24"/>
      <c r="J8" s="24"/>
      <c r="K8" s="24"/>
      <c r="L8" s="24"/>
      <c r="M8" s="24"/>
      <c r="N8" s="24"/>
      <c r="O8" s="24"/>
      <c r="P8" s="24"/>
      <c r="Q8" s="24"/>
      <c r="R8" s="24"/>
      <c r="S8" s="24"/>
      <c r="T8" s="24"/>
      <c r="U8" s="24"/>
      <c r="V8" s="24"/>
      <c r="W8" s="24"/>
      <c r="X8" s="24"/>
      <c r="Y8" s="24"/>
      <c r="Z8" s="24"/>
      <c r="AA8" s="24"/>
    </row>
    <row r="9">
      <c r="A9" s="33" t="str">
        <f>IFERROR(__xludf.DUMMYFUNCTION("""COMPUTED_VALUE"""),"Home")</f>
        <v>Home</v>
      </c>
      <c r="B9" s="33" t="str">
        <f>IFERROR(__xludf.DUMMYFUNCTION("""COMPUTED_VALUE"""),"Settings")</f>
        <v>Settings</v>
      </c>
      <c r="C9" s="33" t="str">
        <f>IFERROR(__xludf.DUMMYFUNCTION("TEXTJOIN("", "", TRUE, 
  FILTER('Main Report'!A18:A107, 
    ('Main Report'!B18:B107=A9) * ('Main Report'!C18:C107=B9)
  )
)
"),"BR-020")</f>
        <v>BR-020</v>
      </c>
      <c r="D9" s="55">
        <f>IFERROR(__xludf.DUMMYFUNCTION("COUNTA(UNIQUE(TRANSPOSE(SPLIT(C9, "", ""))))
"),1.0)</f>
        <v>1</v>
      </c>
      <c r="E9" s="33" t="str">
        <f>IF(D9="", "", TEXT((D9 / 'Main Report'!$E$7), "0.00%"))
</f>
        <v>2.50%</v>
      </c>
      <c r="F9" s="57"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0
Medium: 1
Low: 0")</f>
        <v>High: 0
Medium: 1
Low: 0</v>
      </c>
      <c r="G9" s="24"/>
      <c r="H9" s="24"/>
      <c r="I9" s="24"/>
      <c r="J9" s="24"/>
      <c r="K9" s="24"/>
      <c r="L9" s="24"/>
      <c r="M9" s="24"/>
      <c r="N9" s="24"/>
      <c r="O9" s="24"/>
      <c r="P9" s="24"/>
      <c r="Q9" s="24"/>
      <c r="R9" s="24"/>
      <c r="S9" s="24"/>
      <c r="T9" s="24"/>
      <c r="U9" s="24"/>
      <c r="V9" s="24"/>
      <c r="W9" s="24"/>
      <c r="X9" s="24"/>
      <c r="Y9" s="24"/>
      <c r="Z9" s="24"/>
      <c r="AA9" s="24"/>
    </row>
    <row r="10">
      <c r="A10" s="33" t="str">
        <f>IFERROR(__xludf.DUMMYFUNCTION("""COMPUTED_VALUE"""),"Login")</f>
        <v>Login</v>
      </c>
      <c r="B10" s="33" t="str">
        <f>IFERROR(__xludf.DUMMYFUNCTION("""COMPUTED_VALUE"""),"Forget Password")</f>
        <v>Forget Password</v>
      </c>
      <c r="C10" s="33" t="str">
        <f>IFERROR(__xludf.DUMMYFUNCTION("TEXTJOIN("", "", TRUE, 
  FILTER('Main Report'!A19:A108, 
    ('Main Report'!B19:B108=A10) * ('Main Report'!C19:C108=B10)
  )
)
"),"BR-021")</f>
        <v>BR-021</v>
      </c>
      <c r="D10" s="55">
        <f>IFERROR(__xludf.DUMMYFUNCTION("COUNTA(UNIQUE(TRANSPOSE(SPLIT(C10, "", ""))))
"),1.0)</f>
        <v>1</v>
      </c>
      <c r="E10" s="33" t="str">
        <f>IF(D10="", "", TEXT((D10 / 'Main Report'!$E$7), "0.00%"))
</f>
        <v>2.50%</v>
      </c>
      <c r="F10" s="57"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1
Medium: 0
Low: 0")</f>
        <v>High: 1
Medium: 0
Low: 0</v>
      </c>
      <c r="G10" s="24"/>
      <c r="H10" s="24"/>
      <c r="I10" s="24"/>
      <c r="J10" s="24"/>
      <c r="K10" s="24"/>
      <c r="L10" s="24"/>
      <c r="M10" s="24"/>
      <c r="N10" s="24"/>
      <c r="O10" s="24"/>
      <c r="P10" s="24"/>
      <c r="Q10" s="24"/>
      <c r="R10" s="24"/>
      <c r="S10" s="24"/>
      <c r="T10" s="24"/>
      <c r="U10" s="24"/>
      <c r="V10" s="24"/>
      <c r="W10" s="24"/>
      <c r="X10" s="24"/>
      <c r="Y10" s="24"/>
      <c r="Z10" s="24"/>
      <c r="AA10" s="24"/>
    </row>
    <row r="11">
      <c r="A11" s="33" t="str">
        <f>IFERROR(__xludf.DUMMYFUNCTION("""COMPUTED_VALUE"""),"Onboarding")</f>
        <v>Onboarding</v>
      </c>
      <c r="B11" s="33" t="str">
        <f>IFERROR(__xludf.DUMMYFUNCTION("""COMPUTED_VALUE"""),"Onboarding")</f>
        <v>Onboarding</v>
      </c>
      <c r="C11" s="33" t="str">
        <f>IFERROR(__xludf.DUMMYFUNCTION("TEXTJOIN("", "", TRUE, 
  FILTER('Main Report'!A20:A109, 
    ('Main Report'!B20:B109=A11) * ('Main Report'!C20:C109=B11)
  )
)
"),"BR-022")</f>
        <v>BR-022</v>
      </c>
      <c r="D11" s="55">
        <f>IFERROR(__xludf.DUMMYFUNCTION("COUNTA(UNIQUE(TRANSPOSE(SPLIT(C11, "", ""))))
"),1.0)</f>
        <v>1</v>
      </c>
      <c r="E11" s="33" t="str">
        <f>IF(D11="", "", TEXT((D11 / 'Main Report'!$E$7), "0.00%"))
</f>
        <v>2.50%</v>
      </c>
      <c r="F11" s="57"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1
Medium: 0
Low: 0")</f>
        <v>High: 1
Medium: 0
Low: 0</v>
      </c>
      <c r="G11" s="24"/>
      <c r="H11" s="24"/>
      <c r="I11" s="24"/>
      <c r="J11" s="24"/>
      <c r="K11" s="24"/>
      <c r="L11" s="24"/>
      <c r="M11" s="24"/>
      <c r="N11" s="24"/>
      <c r="O11" s="24"/>
      <c r="P11" s="24"/>
      <c r="Q11" s="24"/>
      <c r="R11" s="24"/>
      <c r="S11" s="24"/>
      <c r="T11" s="24"/>
      <c r="U11" s="24"/>
      <c r="V11" s="24"/>
      <c r="W11" s="24"/>
      <c r="X11" s="24"/>
      <c r="Y11" s="24"/>
      <c r="Z11" s="24"/>
      <c r="AA11" s="24"/>
    </row>
    <row r="12">
      <c r="A12" s="33" t="str">
        <f>IFERROR(__xludf.DUMMYFUNCTION("""COMPUTED_VALUE"""),"Settings")</f>
        <v>Settings</v>
      </c>
      <c r="B12" s="33" t="str">
        <f>IFERROR(__xludf.DUMMYFUNCTION("""COMPUTED_VALUE"""),"Help and Support")</f>
        <v>Help and Support</v>
      </c>
      <c r="C12" s="33" t="str">
        <f>IFERROR(__xludf.DUMMYFUNCTION("TEXTJOIN("", "", TRUE, 
  FILTER('Main Report'!A21:A110, 
    ('Main Report'!B21:B110=A12) * ('Main Report'!C21:C110=B12)
  )
)
"),"BR-023, BR-024, BR-025")</f>
        <v>BR-023, BR-024, BR-025</v>
      </c>
      <c r="D12" s="55">
        <f>IFERROR(__xludf.DUMMYFUNCTION("COUNTA(UNIQUE(TRANSPOSE(SPLIT(C12, "", ""))))
"),3.0)</f>
        <v>3</v>
      </c>
      <c r="E12" s="33" t="str">
        <f>IF(D12="", "", TEXT((D12 / 'Main Report'!$E$7), "0.00%"))
</f>
        <v>7.50%</v>
      </c>
      <c r="F12" s="57"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3
Medium: 0
Low: 0")</f>
        <v>High: 3
Medium: 0
Low: 0</v>
      </c>
      <c r="G12" s="24"/>
      <c r="H12" s="24"/>
      <c r="I12" s="24"/>
      <c r="J12" s="24"/>
      <c r="K12" s="24"/>
      <c r="L12" s="24"/>
      <c r="M12" s="24"/>
      <c r="N12" s="24"/>
      <c r="O12" s="24"/>
      <c r="P12" s="24"/>
      <c r="Q12" s="24"/>
      <c r="R12" s="24"/>
      <c r="S12" s="24"/>
      <c r="T12" s="24"/>
      <c r="U12" s="24"/>
      <c r="V12" s="24"/>
      <c r="W12" s="24"/>
      <c r="X12" s="24"/>
      <c r="Y12" s="24"/>
      <c r="Z12" s="24"/>
      <c r="AA12" s="24"/>
    </row>
    <row r="13">
      <c r="A13" s="33" t="str">
        <f>IFERROR(__xludf.DUMMYFUNCTION("""COMPUTED_VALUE"""),"Settings")</f>
        <v>Settings</v>
      </c>
      <c r="B13" s="33" t="str">
        <f>IFERROR(__xludf.DUMMYFUNCTION("""COMPUTED_VALUE"""),"Profile Information")</f>
        <v>Profile Information</v>
      </c>
      <c r="C13" s="33" t="str">
        <f>IFERROR(__xludf.DUMMYFUNCTION("TEXTJOIN("", "", TRUE, 
  FILTER('Main Report'!A22:A111, 
    ('Main Report'!B22:B111=A13) * ('Main Report'!C22:C111=B13)
  )
)
"),"BR-026, BR-027, BR-028")</f>
        <v>BR-026, BR-027, BR-028</v>
      </c>
      <c r="D13" s="55">
        <f>IFERROR(__xludf.DUMMYFUNCTION("COUNTA(UNIQUE(TRANSPOSE(SPLIT(C13, "", ""))))
"),3.0)</f>
        <v>3</v>
      </c>
      <c r="E13" s="33" t="str">
        <f>IF(D13="", "", TEXT((D13 / 'Main Report'!$E$7), "0.00%"))
</f>
        <v>7.50%</v>
      </c>
      <c r="F13" s="57"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2
Medium: 1
Low: 0")</f>
        <v>High: 2
Medium: 1
Low: 0</v>
      </c>
      <c r="G13" s="24"/>
      <c r="H13" s="24"/>
      <c r="I13" s="24"/>
      <c r="J13" s="24"/>
      <c r="K13" s="24"/>
      <c r="L13" s="24"/>
      <c r="M13" s="24"/>
      <c r="N13" s="24"/>
      <c r="O13" s="24"/>
      <c r="P13" s="24"/>
      <c r="Q13" s="24"/>
      <c r="R13" s="24"/>
      <c r="S13" s="24"/>
      <c r="T13" s="24"/>
      <c r="U13" s="24"/>
      <c r="V13" s="24"/>
      <c r="W13" s="24"/>
      <c r="X13" s="24"/>
      <c r="Y13" s="24"/>
      <c r="Z13" s="24"/>
      <c r="AA13" s="24"/>
    </row>
    <row r="14">
      <c r="A14" s="33" t="str">
        <f>IFERROR(__xludf.DUMMYFUNCTION("""COMPUTED_VALUE"""),"Signup")</f>
        <v>Signup</v>
      </c>
      <c r="B14" s="33" t="str">
        <f>IFERROR(__xludf.DUMMYFUNCTION("""COMPUTED_VALUE"""),"OTP")</f>
        <v>OTP</v>
      </c>
      <c r="C14" s="33" t="str">
        <f>IFERROR(__xludf.DUMMYFUNCTION("TEXTJOIN("", "", TRUE, 
  FILTER('Main Report'!A23:A112, 
    ('Main Report'!B23:B112=A14) * ('Main Report'!C23:C112=B14)
  )
)
"),"BR-029")</f>
        <v>BR-029</v>
      </c>
      <c r="D14" s="55">
        <f>IFERROR(__xludf.DUMMYFUNCTION("COUNTA(UNIQUE(TRANSPOSE(SPLIT(C14, "", ""))))
"),1.0)</f>
        <v>1</v>
      </c>
      <c r="E14" s="33" t="str">
        <f>IF(D14="", "", TEXT((D14 / 'Main Report'!$E$7), "0.00%"))
</f>
        <v>2.50%</v>
      </c>
      <c r="F14" s="57"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1
Medium: 0
Low: 0")</f>
        <v>High: 1
Medium: 0
Low: 0</v>
      </c>
      <c r="G14" s="24"/>
      <c r="H14" s="24"/>
      <c r="I14" s="24"/>
      <c r="J14" s="24"/>
      <c r="K14" s="24"/>
      <c r="L14" s="24"/>
      <c r="M14" s="24"/>
      <c r="N14" s="24"/>
      <c r="O14" s="24"/>
      <c r="P14" s="24"/>
      <c r="Q14" s="24"/>
      <c r="R14" s="24"/>
      <c r="S14" s="24"/>
      <c r="T14" s="24"/>
      <c r="U14" s="24"/>
      <c r="V14" s="24"/>
      <c r="W14" s="24"/>
      <c r="X14" s="24"/>
      <c r="Y14" s="24"/>
      <c r="Z14" s="24"/>
      <c r="AA14" s="24"/>
    </row>
    <row r="15">
      <c r="A15" s="33" t="str">
        <f>IFERROR(__xludf.DUMMYFUNCTION("""COMPUTED_VALUE"""),"Signup")</f>
        <v>Signup</v>
      </c>
      <c r="B15" s="33" t="str">
        <f>IFERROR(__xludf.DUMMYFUNCTION("""COMPUTED_VALUE"""),"Signup")</f>
        <v>Signup</v>
      </c>
      <c r="C15" s="33" t="str">
        <f>IFERROR(__xludf.DUMMYFUNCTION("TEXTJOIN("", "", TRUE, 
  FILTER('Main Report'!A24:A113, 
    ('Main Report'!B24:B113=A15) * ('Main Report'!C24:C113=B15)
  )
)
"),"BR-030, BR-031")</f>
        <v>BR-030, BR-031</v>
      </c>
      <c r="D15" s="55">
        <f>IFERROR(__xludf.DUMMYFUNCTION("COUNTA(UNIQUE(TRANSPOSE(SPLIT(C15, "", ""))))
"),2.0)</f>
        <v>2</v>
      </c>
      <c r="E15" s="33" t="str">
        <f>IF(D15="", "", TEXT((D15 / 'Main Report'!$E$7), "0.00%"))
</f>
        <v>5.00%</v>
      </c>
      <c r="F15" s="57"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1
Medium: 0
Low: 1")</f>
        <v>High: 1
Medium: 0
Low: 1</v>
      </c>
      <c r="G15" s="24"/>
      <c r="H15" s="24"/>
      <c r="I15" s="24"/>
      <c r="J15" s="24"/>
      <c r="K15" s="24"/>
      <c r="L15" s="24"/>
      <c r="M15" s="24"/>
      <c r="N15" s="24"/>
      <c r="O15" s="24"/>
      <c r="P15" s="24"/>
      <c r="Q15" s="24"/>
      <c r="R15" s="24"/>
      <c r="S15" s="24"/>
      <c r="T15" s="24"/>
      <c r="U15" s="24"/>
      <c r="V15" s="24"/>
      <c r="W15" s="24"/>
      <c r="X15" s="24"/>
      <c r="Y15" s="24"/>
      <c r="Z15" s="24"/>
      <c r="AA15" s="24"/>
    </row>
    <row r="16">
      <c r="A16" s="33" t="str">
        <f>IFERROR(__xludf.DUMMYFUNCTION("""COMPUTED_VALUE"""),"Splash Screen")</f>
        <v>Splash Screen</v>
      </c>
      <c r="B16" s="33" t="str">
        <f>IFERROR(__xludf.DUMMYFUNCTION("""COMPUTED_VALUE"""),"Splash Screen")</f>
        <v>Splash Screen</v>
      </c>
      <c r="C16" s="33" t="str">
        <f>IFERROR(__xludf.DUMMYFUNCTION("TEXTJOIN("", "", TRUE, 
  FILTER('Main Report'!A25:A114, 
    ('Main Report'!B25:B114=A16) * ('Main Report'!C25:C114=B16)
  )
)
"),"BR-032, BR-033")</f>
        <v>BR-032, BR-033</v>
      </c>
      <c r="D16" s="55">
        <f>IFERROR(__xludf.DUMMYFUNCTION("COUNTA(UNIQUE(TRANSPOSE(SPLIT(C16, "", ""))))
"),2.0)</f>
        <v>2</v>
      </c>
      <c r="E16" s="33" t="str">
        <f>IF(D16="", "", TEXT((D16 / 'Main Report'!$E$7), "0.00%"))
</f>
        <v>5.00%</v>
      </c>
      <c r="F16" s="57"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"),"High: 0
Medium: 2
Low: 0")</f>
        <v>High: 0
Medium: 2
Low: 0</v>
      </c>
      <c r="G16" s="24"/>
      <c r="H16" s="24"/>
      <c r="I16" s="24"/>
      <c r="J16" s="24"/>
      <c r="K16" s="24"/>
      <c r="L16" s="24"/>
      <c r="M16" s="24"/>
      <c r="N16" s="24"/>
      <c r="O16" s="24"/>
      <c r="P16" s="24"/>
      <c r="Q16" s="24"/>
      <c r="R16" s="24"/>
      <c r="S16" s="24"/>
      <c r="T16" s="24"/>
      <c r="U16" s="24"/>
      <c r="V16" s="24"/>
      <c r="W16" s="24"/>
      <c r="X16" s="24"/>
      <c r="Y16" s="24"/>
      <c r="Z16" s="24"/>
      <c r="AA16" s="24"/>
    </row>
    <row r="17">
      <c r="A17" s="33" t="str">
        <f>IFERROR(__xludf.DUMMYFUNCTION("""COMPUTED_VALUE"""),"Subscription")</f>
        <v>Subscription</v>
      </c>
      <c r="B17" s="33" t="str">
        <f>IFERROR(__xludf.DUMMYFUNCTION("""COMPUTED_VALUE"""),"Subscription")</f>
        <v>Subscription</v>
      </c>
      <c r="C17" s="33" t="str">
        <f>IFERROR(__xludf.DUMMYFUNCTION("TEXTJOIN("", "", TRUE, 
  FILTER('Main Report'!A26:A115, 
    ('Main Report'!B26:B115=A17) * ('Main Report'!C26:C115=B17)
  )
)
"),"BR-034, BR-035, BR-036, BR-037, BR-038, BR-039, BR-040")</f>
        <v>BR-034, BR-035, BR-036, BR-037, BR-038, BR-039, BR-040</v>
      </c>
      <c r="D17" s="33"/>
      <c r="E17" s="33" t="str">
        <f>IF(D17="", "", TEXT((D17 / 'Main Report'!$E$7), "0.00%"))
</f>
        <v/>
      </c>
      <c r="F17" s="57"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"),"High: 6
Medium: 1
Low: 0")</f>
        <v>High: 6
Medium: 1
Low: 0</v>
      </c>
      <c r="G17" s="24"/>
      <c r="H17" s="24"/>
      <c r="I17" s="24"/>
      <c r="J17" s="24"/>
      <c r="K17" s="24"/>
      <c r="L17" s="24"/>
      <c r="M17" s="24"/>
      <c r="N17" s="24"/>
      <c r="O17" s="24"/>
      <c r="P17" s="24"/>
      <c r="Q17" s="24"/>
      <c r="R17" s="24"/>
      <c r="S17" s="24"/>
      <c r="T17" s="24"/>
      <c r="U17" s="24"/>
      <c r="V17" s="24"/>
      <c r="W17" s="24"/>
      <c r="X17" s="24"/>
      <c r="Y17" s="24"/>
      <c r="Z17" s="24"/>
      <c r="AA17" s="24"/>
    </row>
    <row r="18">
      <c r="A18" s="33"/>
      <c r="B18" s="33"/>
      <c r="C18" s="33" t="str">
        <f>IFERROR(__xludf.DUMMYFUNCTION("TEXTJOIN("", "", TRUE, 
  FILTER('Main Report'!A27:A116, 
    ('Main Report'!B27:B116=A18) * ('Main Report'!C27:C116=B18)
  )
)
"),"")</f>
        <v/>
      </c>
      <c r="D18" s="33"/>
      <c r="E18" s="33" t="str">
        <f>IF(D18="", "", TEXT((D18 / 'Main Report'!$E$7), "0.00%"))
</f>
        <v/>
      </c>
      <c r="F18" s="57"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24"/>
      <c r="H18" s="24"/>
      <c r="I18" s="24"/>
      <c r="J18" s="24"/>
      <c r="K18" s="24"/>
      <c r="L18" s="24"/>
      <c r="M18" s="24"/>
      <c r="N18" s="24"/>
      <c r="O18" s="24"/>
      <c r="P18" s="24"/>
      <c r="Q18" s="24"/>
      <c r="R18" s="24"/>
      <c r="S18" s="24"/>
      <c r="T18" s="24"/>
      <c r="U18" s="24"/>
      <c r="V18" s="24"/>
      <c r="W18" s="24"/>
      <c r="X18" s="24"/>
      <c r="Y18" s="24"/>
      <c r="Z18" s="24"/>
      <c r="AA18" s="24"/>
    </row>
    <row r="19">
      <c r="A19" s="33"/>
      <c r="B19" s="33"/>
      <c r="C19" s="33" t="str">
        <f>IFERROR(__xludf.DUMMYFUNCTION("TEXTJOIN("", "", TRUE, 
  FILTER('Main Report'!A28:A117, 
    ('Main Report'!B28:B117=A19) * ('Main Report'!C28:C117=B19)
  )
)
"),"")</f>
        <v/>
      </c>
      <c r="D19" s="33"/>
      <c r="E19" s="33" t="str">
        <f>IF(D19="", "", TEXT((D19 / 'Main Report'!$E$7), "0.00%"))
</f>
        <v/>
      </c>
      <c r="F19" s="57"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24"/>
      <c r="H19" s="24"/>
      <c r="I19" s="24"/>
      <c r="J19" s="24"/>
      <c r="K19" s="24"/>
      <c r="L19" s="24"/>
      <c r="M19" s="24"/>
      <c r="N19" s="24"/>
      <c r="O19" s="24"/>
      <c r="P19" s="24"/>
      <c r="Q19" s="24"/>
      <c r="R19" s="24"/>
      <c r="S19" s="24"/>
      <c r="T19" s="24"/>
      <c r="U19" s="24"/>
      <c r="V19" s="24"/>
      <c r="W19" s="24"/>
      <c r="X19" s="24"/>
      <c r="Y19" s="24"/>
      <c r="Z19" s="24"/>
      <c r="AA19" s="24"/>
    </row>
    <row r="20">
      <c r="A20" s="55"/>
      <c r="B20" s="55"/>
      <c r="C20" s="33" t="str">
        <f>IFERROR(__xludf.DUMMYFUNCTION("TEXTJOIN("", "", TRUE, 
  FILTER('Main Report'!A29:A118, 
    ('Main Report'!B29:B118=A20) * ('Main Report'!C29:C118=B20)
  )
)
"),"")</f>
        <v/>
      </c>
      <c r="D20" s="33"/>
      <c r="E20" s="33" t="str">
        <f>IF(D20="", "", TEXT((D20 / 'Main Report'!$E$7), "0.00%"))
</f>
        <v/>
      </c>
      <c r="F20" s="57"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24"/>
      <c r="H20" s="24"/>
      <c r="I20" s="24"/>
      <c r="J20" s="24"/>
      <c r="K20" s="24"/>
      <c r="L20" s="24"/>
      <c r="M20" s="24"/>
      <c r="N20" s="24"/>
      <c r="O20" s="24"/>
      <c r="P20" s="24"/>
      <c r="Q20" s="24"/>
      <c r="R20" s="24"/>
      <c r="S20" s="24"/>
      <c r="T20" s="24"/>
      <c r="U20" s="24"/>
      <c r="V20" s="24"/>
      <c r="W20" s="24"/>
      <c r="X20" s="24"/>
      <c r="Y20" s="24"/>
      <c r="Z20" s="24"/>
      <c r="AA20" s="24"/>
    </row>
    <row r="21">
      <c r="A21" s="33"/>
      <c r="B21" s="33"/>
      <c r="C21" s="33" t="str">
        <f>IFERROR(__xludf.DUMMYFUNCTION("TEXTJOIN("", "", TRUE, 
  FILTER('Main Report'!A30:A119, 
    ('Main Report'!B30:B119=A21) * ('Main Report'!C30:C119=B21)
  )
)
"),"")</f>
        <v/>
      </c>
      <c r="D21" s="33"/>
      <c r="E21" s="33" t="str">
        <f>IF(D21="", "", TEXT((D21 / 'Main Report'!$E$7), "0.00%"))
</f>
        <v/>
      </c>
      <c r="F21" s="57"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24"/>
      <c r="H21" s="24"/>
      <c r="I21" s="24"/>
      <c r="J21" s="24"/>
      <c r="K21" s="24"/>
      <c r="L21" s="24"/>
      <c r="M21" s="24"/>
      <c r="N21" s="24"/>
      <c r="O21" s="24"/>
      <c r="P21" s="24"/>
      <c r="Q21" s="24"/>
      <c r="R21" s="24"/>
      <c r="S21" s="24"/>
      <c r="T21" s="24"/>
      <c r="U21" s="24"/>
      <c r="V21" s="24"/>
      <c r="W21" s="24"/>
      <c r="X21" s="24"/>
      <c r="Y21" s="24"/>
      <c r="Z21" s="24"/>
      <c r="AA21" s="24"/>
    </row>
    <row r="22">
      <c r="A22" s="33"/>
      <c r="B22" s="33"/>
      <c r="C22" s="33"/>
      <c r="D22" s="33"/>
      <c r="E22" s="33"/>
      <c r="F22" s="33"/>
      <c r="G22" s="24"/>
      <c r="H22" s="24"/>
      <c r="I22" s="24"/>
      <c r="J22" s="24"/>
      <c r="K22" s="24"/>
      <c r="L22" s="24"/>
      <c r="M22" s="24"/>
      <c r="N22" s="24"/>
      <c r="O22" s="24"/>
      <c r="P22" s="24"/>
      <c r="Q22" s="24"/>
      <c r="R22" s="24"/>
      <c r="S22" s="24"/>
      <c r="T22" s="24"/>
      <c r="U22" s="24"/>
      <c r="V22" s="24"/>
      <c r="W22" s="24"/>
      <c r="X22" s="24"/>
      <c r="Y22" s="24"/>
      <c r="Z22" s="24"/>
      <c r="AA22" s="24"/>
    </row>
    <row r="23">
      <c r="A23" s="33"/>
      <c r="B23" s="33"/>
      <c r="C23" s="33"/>
      <c r="D23" s="33"/>
      <c r="E23" s="33"/>
      <c r="F23" s="33"/>
      <c r="G23" s="24"/>
      <c r="H23" s="24"/>
      <c r="I23" s="24"/>
      <c r="J23" s="24"/>
      <c r="K23" s="24"/>
      <c r="L23" s="24"/>
      <c r="M23" s="24"/>
      <c r="N23" s="24"/>
      <c r="O23" s="24"/>
      <c r="P23" s="24"/>
      <c r="Q23" s="24"/>
      <c r="R23" s="24"/>
      <c r="S23" s="24"/>
      <c r="T23" s="24"/>
      <c r="U23" s="24"/>
      <c r="V23" s="24"/>
      <c r="W23" s="24"/>
      <c r="X23" s="24"/>
      <c r="Y23" s="24"/>
      <c r="Z23" s="24"/>
      <c r="AA23" s="24"/>
    </row>
    <row r="24">
      <c r="A24" s="33"/>
      <c r="B24" s="33"/>
      <c r="C24" s="33"/>
      <c r="D24" s="33"/>
      <c r="E24" s="33"/>
      <c r="F24" s="33"/>
      <c r="G24" s="24"/>
      <c r="H24" s="24"/>
      <c r="I24" s="24"/>
      <c r="J24" s="24"/>
      <c r="K24" s="24"/>
      <c r="L24" s="24"/>
      <c r="M24" s="24"/>
      <c r="N24" s="24"/>
      <c r="O24" s="24"/>
      <c r="P24" s="24"/>
      <c r="Q24" s="24"/>
      <c r="R24" s="24"/>
      <c r="S24" s="24"/>
      <c r="T24" s="24"/>
      <c r="U24" s="24"/>
      <c r="V24" s="24"/>
      <c r="W24" s="24"/>
      <c r="X24" s="24"/>
      <c r="Y24" s="24"/>
      <c r="Z24" s="24"/>
      <c r="AA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4" width="15.25"/>
    <col customWidth="1" min="15" max="16" width="17.25"/>
    <col customWidth="1" min="17" max="17" width="15.25"/>
  </cols>
  <sheetData>
    <row r="1">
      <c r="A1" s="3"/>
      <c r="B1" s="3"/>
      <c r="C1" s="3"/>
      <c r="D1" s="3"/>
      <c r="E1" s="3"/>
      <c r="F1" s="3"/>
      <c r="G1" s="3"/>
      <c r="H1" s="3"/>
      <c r="I1" s="3"/>
      <c r="J1" s="3"/>
      <c r="K1" s="3"/>
      <c r="L1" s="3"/>
      <c r="M1" s="3"/>
      <c r="N1" s="3"/>
      <c r="Q1" s="3"/>
    </row>
    <row r="2">
      <c r="A2" s="1" t="s">
        <v>0</v>
      </c>
      <c r="B2" s="58" t="s">
        <v>1</v>
      </c>
      <c r="C2" s="3"/>
      <c r="D2" s="39" t="s">
        <v>22</v>
      </c>
      <c r="E2" s="39" t="s">
        <v>293</v>
      </c>
      <c r="F2" s="3"/>
      <c r="G2" s="3"/>
      <c r="H2" s="59"/>
      <c r="I2" s="59"/>
      <c r="J2" s="59"/>
      <c r="K2" s="59"/>
      <c r="L2" s="59"/>
      <c r="M2" s="59"/>
      <c r="N2" s="3"/>
      <c r="Q2" s="3"/>
    </row>
    <row r="3">
      <c r="A3" s="1" t="s">
        <v>2</v>
      </c>
      <c r="B3" s="60"/>
      <c r="C3" s="3"/>
      <c r="D3" s="61" t="s">
        <v>54</v>
      </c>
      <c r="E3" s="62">
        <f>COUNTIF(Tahsin!K14:K897, "High") + COUNTIF(Fahad!K8:K1004, "High")</f>
        <v>26</v>
      </c>
      <c r="F3" s="3"/>
      <c r="G3" s="3"/>
      <c r="H3" s="3"/>
      <c r="I3" s="3"/>
      <c r="J3" s="3"/>
      <c r="K3" s="3"/>
      <c r="L3" s="3"/>
      <c r="M3" s="3"/>
      <c r="N3" s="3"/>
      <c r="Q3" s="3"/>
    </row>
    <row r="4">
      <c r="A4" s="1" t="s">
        <v>294</v>
      </c>
      <c r="B4" s="63"/>
      <c r="C4" s="3"/>
      <c r="D4" s="64" t="s">
        <v>37</v>
      </c>
      <c r="E4" s="62">
        <f>COUNTIF(Tahsin!K14:K898, "Medium") + COUNTIF(Fahad!K8:K1005, "Medium")</f>
        <v>12</v>
      </c>
      <c r="F4" s="3"/>
      <c r="G4" s="3"/>
      <c r="H4" s="3"/>
      <c r="I4" s="3"/>
      <c r="J4" s="3"/>
      <c r="K4" s="3"/>
      <c r="L4" s="3"/>
      <c r="M4" s="3"/>
      <c r="N4" s="3"/>
      <c r="Q4" s="3"/>
    </row>
    <row r="5">
      <c r="A5" s="1" t="s">
        <v>4</v>
      </c>
      <c r="B5" s="21"/>
      <c r="C5" s="3"/>
      <c r="D5" s="65" t="s">
        <v>89</v>
      </c>
      <c r="E5" s="62">
        <f>COUNTIF(Fahad!K8:K1006, "Low") + COUNTIF(Tahsin!K14:K901, "Low")</f>
        <v>2</v>
      </c>
      <c r="F5" s="3"/>
      <c r="G5" s="3"/>
      <c r="H5" s="3"/>
      <c r="I5" s="3"/>
      <c r="J5" s="3"/>
      <c r="K5" s="3"/>
      <c r="L5" s="3"/>
      <c r="M5" s="3"/>
      <c r="N5" s="3"/>
      <c r="Q5" s="3"/>
    </row>
    <row r="6">
      <c r="A6" s="1" t="s">
        <v>6</v>
      </c>
      <c r="B6" s="66"/>
      <c r="C6" s="3"/>
      <c r="D6" s="67"/>
      <c r="E6" s="67"/>
      <c r="F6" s="3"/>
      <c r="G6" s="3"/>
      <c r="H6" s="3"/>
      <c r="I6" s="3"/>
      <c r="J6" s="3"/>
      <c r="K6" s="3"/>
      <c r="L6" s="3"/>
      <c r="M6" s="3"/>
      <c r="N6" s="3"/>
      <c r="Q6" s="3"/>
    </row>
    <row r="7">
      <c r="A7" s="1" t="s">
        <v>295</v>
      </c>
      <c r="B7" s="66"/>
      <c r="C7" s="3"/>
      <c r="D7" s="68" t="s">
        <v>296</v>
      </c>
      <c r="E7" s="69">
        <f>SUM(E3:E5)</f>
        <v>40</v>
      </c>
      <c r="F7" s="3"/>
      <c r="G7" s="3"/>
      <c r="H7" s="3"/>
      <c r="I7" s="3"/>
      <c r="J7" s="3"/>
      <c r="K7" s="3"/>
      <c r="L7" s="3"/>
      <c r="M7" s="3"/>
      <c r="N7" s="70" t="s">
        <v>10</v>
      </c>
      <c r="O7" s="71" t="s">
        <v>11</v>
      </c>
      <c r="Q7" s="3"/>
    </row>
    <row r="8">
      <c r="A8" s="3"/>
      <c r="B8" s="3"/>
      <c r="C8" s="3"/>
      <c r="D8" s="68" t="s">
        <v>297</v>
      </c>
      <c r="E8" s="69">
        <f>COUNTIF(N11:N2387, "Solved")</f>
        <v>29</v>
      </c>
      <c r="F8" s="3"/>
      <c r="G8" s="3"/>
      <c r="H8" s="3"/>
      <c r="I8" s="3"/>
      <c r="J8" s="3"/>
      <c r="K8" s="3"/>
      <c r="L8" s="3"/>
      <c r="M8" s="3"/>
      <c r="Q8" s="3"/>
    </row>
    <row r="9">
      <c r="A9" s="3"/>
      <c r="B9" s="3"/>
      <c r="C9" s="3"/>
      <c r="D9" s="3"/>
      <c r="E9" s="3"/>
      <c r="F9" s="3"/>
      <c r="G9" s="3"/>
      <c r="H9" s="3"/>
      <c r="I9" s="3"/>
      <c r="J9" s="3"/>
      <c r="K9" s="3"/>
      <c r="L9" s="3"/>
      <c r="M9" s="3"/>
      <c r="Q9" s="3"/>
    </row>
    <row r="10">
      <c r="A10" s="72" t="s">
        <v>298</v>
      </c>
      <c r="B10" s="72" t="s">
        <v>13</v>
      </c>
      <c r="C10" s="72" t="s">
        <v>14</v>
      </c>
      <c r="D10" s="72" t="s">
        <v>15</v>
      </c>
      <c r="E10" s="72" t="s">
        <v>16</v>
      </c>
      <c r="F10" s="72" t="s">
        <v>17</v>
      </c>
      <c r="G10" s="72" t="s">
        <v>18</v>
      </c>
      <c r="H10" s="72" t="s">
        <v>19</v>
      </c>
      <c r="I10" s="72" t="s">
        <v>20</v>
      </c>
      <c r="J10" s="72" t="s">
        <v>21</v>
      </c>
      <c r="K10" s="72" t="s">
        <v>22</v>
      </c>
      <c r="L10" s="72" t="s">
        <v>23</v>
      </c>
      <c r="M10" s="72" t="s">
        <v>24</v>
      </c>
      <c r="N10" s="73" t="s">
        <v>25</v>
      </c>
      <c r="O10" s="73" t="s">
        <v>26</v>
      </c>
      <c r="P10" s="73" t="s">
        <v>27</v>
      </c>
      <c r="Q10" s="73" t="s">
        <v>302</v>
      </c>
      <c r="R10" s="74"/>
      <c r="S10" s="74"/>
      <c r="T10" s="74"/>
      <c r="U10" s="74"/>
      <c r="V10" s="74"/>
      <c r="W10" s="74"/>
      <c r="X10" s="74"/>
      <c r="Y10" s="74"/>
      <c r="Z10" s="74"/>
      <c r="AA10" s="74"/>
    </row>
    <row r="11">
      <c r="A11" s="75" t="str">
        <f t="array" ref="A11:A100">IF((LEN(B11:B100)+LEN(C11:C100))&gt;0, "BR-" &amp; TEXT(ROW(B11:B100)-ROW(B11)+1,"000"), "")
</f>
        <v>BR-001</v>
      </c>
      <c r="B11" s="76" t="str">
        <f>IFERROR(__xludf.DUMMYFUNCTION("QUERY(
  {
    ARRAYFORMULA({
      TRIM(Fahad!B8:B2383), 
      Fahad!C8:P2383, 
      IF(LEN(Fahad!B8:B2383), ""Fahad"", """")
    });
    ARRAYFORMULA({
      TRIM(Tahsin!B15:B2383), 
      Tahsin!C15:P2383, 
      IF(LEN(Tahsin!B15:B2383), ""Tahsin"","&amp;" """")
    })
  },
  ""SELECT * WHERE Col1 IS NOT NULL ORDER BY Col1 ASC, Col2 ASC"",
  0
)"),"Basic Info")</f>
        <v>Basic Info</v>
      </c>
      <c r="C11" s="76" t="str">
        <f>IFERROR(__xludf.DUMMYFUNCTION("""COMPUTED_VALUE"""),"Basic Info")</f>
        <v>Basic Info</v>
      </c>
      <c r="D11" s="76" t="str">
        <f>IFERROR(__xludf.DUMMYFUNCTION("""COMPUTED_VALUE"""),"The required mark on basic information should be displayed correctly.")</f>
        <v>The required mark on basic information should be displayed correctly.</v>
      </c>
      <c r="E11" s="76" t="str">
        <f>IFERROR(__xludf.DUMMYFUNCTION("""COMPUTED_VALUE"""),"User need to able to access website using browser")</f>
        <v>User need to able to access website using browser</v>
      </c>
      <c r="F11" s="76" t="str">
        <f>IFERROR(__xludf.DUMMYFUNCTION("""COMPUTED_VALUE"""),"1. Open website of ParentBridge
2. Goto Login Page
3. Login using valid credentials")</f>
        <v>1. Open website of ParentBridge
2. Goto Login Page
3. Login using valid credentials</v>
      </c>
      <c r="G11" s="76" t="str">
        <f>IFERROR(__xludf.DUMMYFUNCTION("""COMPUTED_VALUE"""),"USER CREDENTIAL")</f>
        <v>USER CREDENTIAL</v>
      </c>
      <c r="H11" s="76" t="str">
        <f>IFERROR(__xludf.DUMMYFUNCTION("""COMPUTED_VALUE"""),"A required mark should be placed in the input field.")</f>
        <v>A required mark should be placed in the input field.</v>
      </c>
      <c r="I11" s="76" t="str">
        <f>IFERROR(__xludf.DUMMYFUNCTION("""COMPUTED_VALUE"""),"Required field are not mentioned.")</f>
        <v>Required field are not mentioned.</v>
      </c>
      <c r="J11" s="76" t="str">
        <f>IFERROR(__xludf.DUMMYFUNCTION("""COMPUTED_VALUE"""),"Fail")</f>
        <v>Fail</v>
      </c>
      <c r="K11" s="76" t="str">
        <f>IFERROR(__xludf.DUMMYFUNCTION("""COMPUTED_VALUE"""),"Medium")</f>
        <v>Medium</v>
      </c>
      <c r="L11" s="77" t="str">
        <f>IFERROR(__xludf.DUMMYFUNCTION("""COMPUTED_VALUE"""),"007.png")</f>
        <v>007.png</v>
      </c>
      <c r="M11" s="76"/>
      <c r="N11" s="78" t="str">
        <f>IFERROR(__xludf.DUMMYFUNCTION("""COMPUTED_VALUE"""),"Solved")</f>
        <v>Solved</v>
      </c>
      <c r="O11" s="78" t="str">
        <f>IFERROR(__xludf.DUMMYFUNCTION("""COMPUTED_VALUE"""),"Front-End")</f>
        <v>Front-End</v>
      </c>
      <c r="P11" s="78"/>
      <c r="Q11" s="78" t="str">
        <f>IFERROR(__xludf.DUMMYFUNCTION("""COMPUTED_VALUE"""),"Fahad")</f>
        <v>Fahad</v>
      </c>
      <c r="R11" s="22"/>
      <c r="S11" s="22"/>
      <c r="T11" s="22"/>
      <c r="U11" s="22"/>
      <c r="V11" s="22"/>
      <c r="W11" s="22"/>
      <c r="X11" s="22"/>
      <c r="Y11" s="22"/>
      <c r="Z11" s="22"/>
      <c r="AA11" s="22"/>
    </row>
    <row r="12">
      <c r="A12" s="52" t="s">
        <v>303</v>
      </c>
      <c r="B12" s="79" t="str">
        <f>IFERROR(__xludf.DUMMYFUNCTION("""COMPUTED_VALUE"""),"Basic Info")</f>
        <v>Basic Info</v>
      </c>
      <c r="C12" s="79" t="str">
        <f>IFERROR(__xludf.DUMMYFUNCTION("""COMPUTED_VALUE"""),"Basic Info")</f>
        <v>Basic Info</v>
      </c>
      <c r="D12" s="79" t="str">
        <f>IFERROR(__xludf.DUMMYFUNCTION("""COMPUTED_VALUE"""),"Character limit hasn’t been implemented.")</f>
        <v>Character limit hasn’t been implemented.</v>
      </c>
      <c r="E12" s="79" t="str">
        <f>IFERROR(__xludf.DUMMYFUNCTION("""COMPUTED_VALUE"""),"User need to able to access website using browser")</f>
        <v>User need to able to access website using browser</v>
      </c>
      <c r="F12" s="79" t="str">
        <f>IFERROR(__xludf.DUMMYFUNCTION("""COMPUTED_VALUE"""),"1. Open website of ParentBridge
2. Goto Login Page
3. Login using valid credentials")</f>
        <v>1. Open website of ParentBridge
2. Goto Login Page
3. Login using valid credentials</v>
      </c>
      <c r="G12" s="79" t="str">
        <f>IFERROR(__xludf.DUMMYFUNCTION("""COMPUTED_VALUE"""),"USER CREDENTIAL")</f>
        <v>USER CREDENTIAL</v>
      </c>
      <c r="H12" s="79" t="str">
        <f>IFERROR(__xludf.DUMMYFUNCTION("""COMPUTED_VALUE"""),"The input field should allow users to enter only a limited number of characters.")</f>
        <v>The input field should allow users to enter only a limited number of characters.</v>
      </c>
      <c r="I12" s="79" t="str">
        <f>IFERROR(__xludf.DUMMYFUNCTION("""COMPUTED_VALUE"""),"Can enter an unlimited number of characters in the input field.")</f>
        <v>Can enter an unlimited number of characters in the input field.</v>
      </c>
      <c r="J12" s="79" t="str">
        <f>IFERROR(__xludf.DUMMYFUNCTION("""COMPUTED_VALUE"""),"Fail")</f>
        <v>Fail</v>
      </c>
      <c r="K12" s="79" t="str">
        <f>IFERROR(__xludf.DUMMYFUNCTION("""COMPUTED_VALUE"""),"Low")</f>
        <v>Low</v>
      </c>
      <c r="L12" s="80" t="str">
        <f>IFERROR(__xludf.DUMMYFUNCTION("""COMPUTED_VALUE"""),"008.png")</f>
        <v>008.png</v>
      </c>
      <c r="M12" s="79"/>
      <c r="N12" s="79" t="str">
        <f>IFERROR(__xludf.DUMMYFUNCTION("""COMPUTED_VALUE"""),"Solved")</f>
        <v>Solved</v>
      </c>
      <c r="O12" s="79" t="str">
        <f>IFERROR(__xludf.DUMMYFUNCTION("""COMPUTED_VALUE"""),"Front-End")</f>
        <v>Front-End</v>
      </c>
      <c r="P12" s="79"/>
      <c r="Q12" s="79" t="str">
        <f>IFERROR(__xludf.DUMMYFUNCTION("""COMPUTED_VALUE"""),"Fahad")</f>
        <v>Fahad</v>
      </c>
      <c r="R12" s="22"/>
      <c r="S12" s="22"/>
      <c r="T12" s="22"/>
      <c r="U12" s="22"/>
      <c r="V12" s="22"/>
      <c r="W12" s="22"/>
      <c r="X12" s="22"/>
      <c r="Y12" s="22"/>
      <c r="Z12" s="22"/>
      <c r="AA12" s="22"/>
    </row>
    <row r="13">
      <c r="A13" s="52" t="s">
        <v>304</v>
      </c>
      <c r="B13" s="79" t="str">
        <f>IFERROR(__xludf.DUMMYFUNCTION("""COMPUTED_VALUE"""),"Basic Info")</f>
        <v>Basic Info</v>
      </c>
      <c r="C13" s="79" t="str">
        <f>IFERROR(__xludf.DUMMYFUNCTION("""COMPUTED_VALUE"""),"Basic Info")</f>
        <v>Basic Info</v>
      </c>
      <c r="D13" s="79" t="str">
        <f>IFERROR(__xludf.DUMMYFUNCTION("""COMPUTED_VALUE"""),"Data validation problem in the basic information.")</f>
        <v>Data validation problem in the basic information.</v>
      </c>
      <c r="E13" s="79" t="str">
        <f>IFERROR(__xludf.DUMMYFUNCTION("""COMPUTED_VALUE"""),"User need to able to access website using browser")</f>
        <v>User need to able to access website using browser</v>
      </c>
      <c r="F13" s="79" t="str">
        <f>IFERROR(__xludf.DUMMYFUNCTION("""COMPUTED_VALUE"""),"1. Open website of ParentBridge
2. Goto Login Page
3. Login using valid credentials")</f>
        <v>1. Open website of ParentBridge
2. Goto Login Page
3. Login using valid credentials</v>
      </c>
      <c r="G13" s="79" t="str">
        <f>IFERROR(__xludf.DUMMYFUNCTION("""COMPUTED_VALUE"""),"USER CREDENTIAL")</f>
        <v>USER CREDENTIAL</v>
      </c>
      <c r="H13" s="79" t="str">
        <f>IFERROR(__xludf.DUMMYFUNCTION("""COMPUTED_VALUE"""),"Character field should only accept letters, while the number field should only accept numeric values.")</f>
        <v>Character field should only accept letters, while the number field should only accept numeric values.</v>
      </c>
      <c r="I13" s="79" t="str">
        <f>IFERROR(__xludf.DUMMYFUNCTION("""COMPUTED_VALUE"""),"Data input validation hasn’t been implemented.")</f>
        <v>Data input validation hasn’t been implemented.</v>
      </c>
      <c r="J13" s="79" t="str">
        <f>IFERROR(__xludf.DUMMYFUNCTION("""COMPUTED_VALUE"""),"Fail")</f>
        <v>Fail</v>
      </c>
      <c r="K13" s="79" t="str">
        <f>IFERROR(__xludf.DUMMYFUNCTION("""COMPUTED_VALUE"""),"High")</f>
        <v>High</v>
      </c>
      <c r="L13" s="80" t="str">
        <f>IFERROR(__xludf.DUMMYFUNCTION("""COMPUTED_VALUE"""),"009.png")</f>
        <v>009.png</v>
      </c>
      <c r="M13" s="79"/>
      <c r="N13" s="79" t="str">
        <f>IFERROR(__xludf.DUMMYFUNCTION("""COMPUTED_VALUE"""),"Solved")</f>
        <v>Solved</v>
      </c>
      <c r="O13" s="79" t="str">
        <f>IFERROR(__xludf.DUMMYFUNCTION("""COMPUTED_VALUE"""),"Front-End")</f>
        <v>Front-End</v>
      </c>
      <c r="P13" s="79"/>
      <c r="Q13" s="79" t="str">
        <f>IFERROR(__xludf.DUMMYFUNCTION("""COMPUTED_VALUE"""),"Fahad")</f>
        <v>Fahad</v>
      </c>
      <c r="R13" s="22"/>
      <c r="S13" s="22"/>
      <c r="T13" s="22"/>
      <c r="U13" s="22"/>
      <c r="V13" s="22"/>
      <c r="W13" s="22"/>
      <c r="X13" s="22"/>
      <c r="Y13" s="22"/>
      <c r="Z13" s="22"/>
      <c r="AA13" s="22"/>
    </row>
    <row r="14">
      <c r="A14" s="52" t="s">
        <v>305</v>
      </c>
      <c r="B14" s="79" t="str">
        <f>IFERROR(__xludf.DUMMYFUNCTION("""COMPUTED_VALUE"""),"Home")</f>
        <v>Home</v>
      </c>
      <c r="C14" s="79" t="str">
        <f>IFERROR(__xludf.DUMMYFUNCTION("""COMPUTED_VALUE"""),"Calendar")</f>
        <v>Calendar</v>
      </c>
      <c r="D14" s="79" t="str">
        <f>IFERROR(__xludf.DUMMYFUNCTION("""COMPUTED_VALUE"""),"Children are given default names whenever a different name is entered.")</f>
        <v>Children are given default names whenever a different name is entered.</v>
      </c>
      <c r="E14" s="79" t="str">
        <f>IFERROR(__xludf.DUMMYFUNCTION("""COMPUTED_VALUE"""),"User need to able to access website using browser")</f>
        <v>User need to able to access website using browser</v>
      </c>
      <c r="F14" s="79" t="str">
        <f>IFERROR(__xludf.DUMMYFUNCTION("""COMPUTED_VALUE"""),"1. Open website of ParentBridge
2. Login using valid credential
3. goto Home
4. Click on calender")</f>
        <v>1. Open website of ParentBridge
2. Login using valid credential
3. goto Home
4. Click on calender</v>
      </c>
      <c r="G14" s="79" t="str">
        <f>IFERROR(__xludf.DUMMYFUNCTION("""COMPUTED_VALUE"""),"USER CREDENTIAL")</f>
        <v>USER CREDENTIAL</v>
      </c>
      <c r="H14" s="79" t="str">
        <f>IFERROR(__xludf.DUMMYFUNCTION("""COMPUTED_VALUE"""),"Should display the child's name that is entered.")</f>
        <v>Should display the child's name that is entered.</v>
      </c>
      <c r="I14" s="79" t="str">
        <f>IFERROR(__xludf.DUMMYFUNCTION("""COMPUTED_VALUE"""),"Default child names are showing up even when they haven’t been entered.")</f>
        <v>Default child names are showing up even when they haven’t been entered.</v>
      </c>
      <c r="J14" s="79" t="str">
        <f>IFERROR(__xludf.DUMMYFUNCTION("""COMPUTED_VALUE"""),"Fail")</f>
        <v>Fail</v>
      </c>
      <c r="K14" s="79" t="str">
        <f>IFERROR(__xludf.DUMMYFUNCTION("""COMPUTED_VALUE"""),"Medium")</f>
        <v>Medium</v>
      </c>
      <c r="L14" s="80" t="str">
        <f>IFERROR(__xludf.DUMMYFUNCTION("""COMPUTED_VALUE"""),"018.png")</f>
        <v>018.png</v>
      </c>
      <c r="M14" s="79"/>
      <c r="N14" s="79" t="str">
        <f>IFERROR(__xludf.DUMMYFUNCTION("""COMPUTED_VALUE"""),"Solved")</f>
        <v>Solved</v>
      </c>
      <c r="O14" s="79" t="str">
        <f>IFERROR(__xludf.DUMMYFUNCTION("""COMPUTED_VALUE"""),"Front-End, Back-End")</f>
        <v>Front-End, Back-End</v>
      </c>
      <c r="P14" s="79"/>
      <c r="Q14" s="79" t="str">
        <f>IFERROR(__xludf.DUMMYFUNCTION("""COMPUTED_VALUE"""),"Fahad")</f>
        <v>Fahad</v>
      </c>
      <c r="R14" s="22"/>
      <c r="S14" s="22"/>
      <c r="T14" s="22"/>
      <c r="U14" s="22"/>
      <c r="V14" s="22"/>
      <c r="W14" s="22"/>
      <c r="X14" s="22"/>
      <c r="Y14" s="22"/>
      <c r="Z14" s="22"/>
      <c r="AA14" s="22"/>
    </row>
    <row r="15">
      <c r="A15" s="52" t="s">
        <v>306</v>
      </c>
      <c r="B15" s="79" t="str">
        <f>IFERROR(__xludf.DUMMYFUNCTION("""COMPUTED_VALUE"""),"Home")</f>
        <v>Home</v>
      </c>
      <c r="C15" s="79" t="str">
        <f>IFERROR(__xludf.DUMMYFUNCTION("""COMPUTED_VALUE"""),"Calendar")</f>
        <v>Calendar</v>
      </c>
      <c r="D15" s="79" t="str">
        <f>IFERROR(__xludf.DUMMYFUNCTION("""COMPUTED_VALUE"""),"Can set an event in the past.")</f>
        <v>Can set an event in the past.</v>
      </c>
      <c r="E15" s="79" t="str">
        <f>IFERROR(__xludf.DUMMYFUNCTION("""COMPUTED_VALUE"""),"User need to able to access website using browser")</f>
        <v>User need to able to access website using browser</v>
      </c>
      <c r="F15" s="79" t="str">
        <f>IFERROR(__xludf.DUMMYFUNCTION("""COMPUTED_VALUE"""),"1. Open website of ParentBridge
2. Login using valid credential
3. goto Home
4. Click on calender")</f>
        <v>1. Open website of ParentBridge
2. Login using valid credential
3. goto Home
4. Click on calender</v>
      </c>
      <c r="G15" s="79" t="str">
        <f>IFERROR(__xludf.DUMMYFUNCTION("""COMPUTED_VALUE"""),"USER CREDENTIAL")</f>
        <v>USER CREDENTIAL</v>
      </c>
      <c r="H15" s="79" t="str">
        <f>IFERROR(__xludf.DUMMYFUNCTION("""COMPUTED_VALUE"""),"Users shouldn’t be able to mark past events on the calendar to avoid any misunderstanding issues.")</f>
        <v>Users shouldn’t be able to mark past events on the calendar to avoid any misunderstanding issues.</v>
      </c>
      <c r="I15" s="79" t="str">
        <f>IFERROR(__xludf.DUMMYFUNCTION("""COMPUTED_VALUE"""),"User is able to set mark on past event")</f>
        <v>User is able to set mark on past event</v>
      </c>
      <c r="J15" s="79" t="str">
        <f>IFERROR(__xludf.DUMMYFUNCTION("""COMPUTED_VALUE"""),"Fail")</f>
        <v>Fail</v>
      </c>
      <c r="K15" s="79" t="str">
        <f>IFERROR(__xludf.DUMMYFUNCTION("""COMPUTED_VALUE"""),"Medium")</f>
        <v>Medium</v>
      </c>
      <c r="L15" s="80" t="str">
        <f>IFERROR(__xludf.DUMMYFUNCTION("""COMPUTED_VALUE"""),"019.png")</f>
        <v>019.png</v>
      </c>
      <c r="M15" s="79" t="str">
        <f>IFERROR(__xludf.DUMMYFUNCTION("""COMPUTED_VALUE"""),"Need to discuss this matter with client to avoid miss-understanding between co-parent ")</f>
        <v>Need to discuss this matter with client to avoid miss-understanding between co-parent </v>
      </c>
      <c r="N15" s="79" t="str">
        <f>IFERROR(__xludf.DUMMYFUNCTION("""COMPUTED_VALUE"""),"Unsolved")</f>
        <v>Unsolved</v>
      </c>
      <c r="O15" s="79" t="str">
        <f>IFERROR(__xludf.DUMMYFUNCTION("""COMPUTED_VALUE"""),"Back-End")</f>
        <v>Back-End</v>
      </c>
      <c r="P15" s="79" t="str">
        <f>IFERROR(__xludf.DUMMYFUNCTION("""COMPUTED_VALUE"""),"If backend will fix this problem then in my frontend, it wont show the past event.")</f>
        <v>If backend will fix this problem then in my frontend, it wont show the past event.</v>
      </c>
      <c r="Q15" s="79" t="str">
        <f>IFERROR(__xludf.DUMMYFUNCTION("""COMPUTED_VALUE"""),"Fahad")</f>
        <v>Fahad</v>
      </c>
      <c r="R15" s="22"/>
      <c r="S15" s="22"/>
      <c r="T15" s="22"/>
      <c r="U15" s="22"/>
      <c r="V15" s="22"/>
      <c r="W15" s="22"/>
      <c r="X15" s="22"/>
      <c r="Y15" s="22"/>
      <c r="Z15" s="22"/>
      <c r="AA15" s="22"/>
    </row>
    <row r="16">
      <c r="A16" s="52" t="s">
        <v>307</v>
      </c>
      <c r="B16" s="79" t="str">
        <f>IFERROR(__xludf.DUMMYFUNCTION("""COMPUTED_VALUE"""),"Home")</f>
        <v>Home</v>
      </c>
      <c r="C16" s="79" t="str">
        <f>IFERROR(__xludf.DUMMYFUNCTION("""COMPUTED_VALUE"""),"Calendar")</f>
        <v>Calendar</v>
      </c>
      <c r="D16" s="79" t="str">
        <f>IFERROR(__xludf.DUMMYFUNCTION("""COMPUTED_VALUE"""),"Calendar navigation arrow missing in the frontend")</f>
        <v>Calendar navigation arrow missing in the frontend</v>
      </c>
      <c r="E16" s="79" t="str">
        <f>IFERROR(__xludf.DUMMYFUNCTION("""COMPUTED_VALUE"""),"User need to able to access website using browser")</f>
        <v>User need to able to access website using browser</v>
      </c>
      <c r="F16" s="79" t="str">
        <f>IFERROR(__xludf.DUMMYFUNCTION("""COMPUTED_VALUE"""),"1. Open website of ParentBridge
2. Login using valid credential
3. goto Home
4. Click on calender")</f>
        <v>1. Open website of ParentBridge
2. Login using valid credential
3. goto Home
4. Click on calender</v>
      </c>
      <c r="G16" s="79" t="str">
        <f>IFERROR(__xludf.DUMMYFUNCTION("""COMPUTED_VALUE"""),"USER CREDENTIAL")</f>
        <v>USER CREDENTIAL</v>
      </c>
      <c r="H16" s="79" t="str">
        <f>IFERROR(__xludf.DUMMYFUNCTION("""COMPUTED_VALUE"""),"The calendar navigation arrow should be positioned to allow viewing of past events.")</f>
        <v>The calendar navigation arrow should be positioned to allow viewing of past events.</v>
      </c>
      <c r="I16" s="79" t="str">
        <f>IFERROR(__xludf.DUMMYFUNCTION("""COMPUTED_VALUE"""),"Missing navigation arrow in calendar")</f>
        <v>Missing navigation arrow in calendar</v>
      </c>
      <c r="J16" s="79" t="str">
        <f>IFERROR(__xludf.DUMMYFUNCTION("""COMPUTED_VALUE"""),"Fail")</f>
        <v>Fail</v>
      </c>
      <c r="K16" s="79" t="str">
        <f>IFERROR(__xludf.DUMMYFUNCTION("""COMPUTED_VALUE"""),"Medium")</f>
        <v>Medium</v>
      </c>
      <c r="L16" s="80" t="str">
        <f>IFERROR(__xludf.DUMMYFUNCTION("""COMPUTED_VALUE"""),"020.png")</f>
        <v>020.png</v>
      </c>
      <c r="M16" s="79"/>
      <c r="N16" s="79" t="str">
        <f>IFERROR(__xludf.DUMMYFUNCTION("""COMPUTED_VALUE"""),"Solved")</f>
        <v>Solved</v>
      </c>
      <c r="O16" s="79" t="str">
        <f>IFERROR(__xludf.DUMMYFUNCTION("""COMPUTED_VALUE"""),"Front-End")</f>
        <v>Front-End</v>
      </c>
      <c r="P16" s="79"/>
      <c r="Q16" s="79" t="str">
        <f>IFERROR(__xludf.DUMMYFUNCTION("""COMPUTED_VALUE"""),"Fahad")</f>
        <v>Fahad</v>
      </c>
      <c r="R16" s="22"/>
      <c r="S16" s="22"/>
      <c r="T16" s="22"/>
      <c r="U16" s="22"/>
      <c r="V16" s="22"/>
      <c r="W16" s="22"/>
      <c r="X16" s="22"/>
      <c r="Y16" s="22"/>
      <c r="Z16" s="22"/>
      <c r="AA16" s="22"/>
    </row>
    <row r="17">
      <c r="A17" s="52" t="s">
        <v>308</v>
      </c>
      <c r="B17" s="79" t="str">
        <f>IFERROR(__xludf.DUMMYFUNCTION("""COMPUTED_VALUE"""),"Home")</f>
        <v>Home</v>
      </c>
      <c r="C17" s="79" t="str">
        <f>IFERROR(__xludf.DUMMYFUNCTION("""COMPUTED_VALUE"""),"Calendar")</f>
        <v>Calendar</v>
      </c>
      <c r="D17" s="79" t="str">
        <f>IFERROR(__xludf.DUMMYFUNCTION("""COMPUTED_VALUE"""),"Date wise event view failed")</f>
        <v>Date wise event view failed</v>
      </c>
      <c r="E17" s="79" t="str">
        <f>IFERROR(__xludf.DUMMYFUNCTION("""COMPUTED_VALUE"""),"User need to able to access website using browser")</f>
        <v>User need to able to access website using browser</v>
      </c>
      <c r="F17" s="79" t="str">
        <f>IFERROR(__xludf.DUMMYFUNCTION("""COMPUTED_VALUE"""),"1. Open website of ParentBridge
2. Login using valid credential
3. goto Home
4. Click on calender")</f>
        <v>1. Open website of ParentBridge
2. Login using valid credential
3. goto Home
4. Click on calender</v>
      </c>
      <c r="G17" s="79" t="str">
        <f>IFERROR(__xludf.DUMMYFUNCTION("""COMPUTED_VALUE"""),"USER CREDENTIAL")</f>
        <v>USER CREDENTIAL</v>
      </c>
      <c r="H17" s="79" t="str">
        <f>IFERROR(__xludf.DUMMYFUNCTION("""COMPUTED_VALUE"""),"Event number under the date should be implemented according to the Figma requirements.")</f>
        <v>Event number under the date should be implemented according to the Figma requirements.</v>
      </c>
      <c r="I17" s="79" t="str">
        <f>IFERROR(__xludf.DUMMYFUNCTION("""COMPUTED_VALUE"""),"Event number under the date is missing on the frontend.")</f>
        <v>Event number under the date is missing on the frontend.</v>
      </c>
      <c r="J17" s="79" t="str">
        <f>IFERROR(__xludf.DUMMYFUNCTION("""COMPUTED_VALUE"""),"Fail")</f>
        <v>Fail</v>
      </c>
      <c r="K17" s="79" t="str">
        <f>IFERROR(__xludf.DUMMYFUNCTION("""COMPUTED_VALUE"""),"High")</f>
        <v>High</v>
      </c>
      <c r="L17" s="80" t="str">
        <f>IFERROR(__xludf.DUMMYFUNCTION("""COMPUTED_VALUE"""),"021.png")</f>
        <v>021.png</v>
      </c>
      <c r="M17" s="79"/>
      <c r="N17" s="79" t="str">
        <f>IFERROR(__xludf.DUMMYFUNCTION("""COMPUTED_VALUE"""),"Solved")</f>
        <v>Solved</v>
      </c>
      <c r="O17" s="79" t="str">
        <f>IFERROR(__xludf.DUMMYFUNCTION("""COMPUTED_VALUE"""),"Front-End")</f>
        <v>Front-End</v>
      </c>
      <c r="P17" s="79"/>
      <c r="Q17" s="79" t="str">
        <f>IFERROR(__xludf.DUMMYFUNCTION("""COMPUTED_VALUE"""),"Fahad")</f>
        <v>Fahad</v>
      </c>
      <c r="R17" s="22"/>
      <c r="S17" s="22"/>
      <c r="T17" s="22"/>
      <c r="U17" s="22"/>
      <c r="V17" s="22"/>
      <c r="W17" s="22"/>
      <c r="X17" s="22"/>
      <c r="Y17" s="22"/>
      <c r="Z17" s="22"/>
      <c r="AA17" s="22"/>
    </row>
    <row r="18">
      <c r="A18" s="52" t="s">
        <v>309</v>
      </c>
      <c r="B18" s="79" t="str">
        <f>IFERROR(__xludf.DUMMYFUNCTION("""COMPUTED_VALUE"""),"Home")</f>
        <v>Home</v>
      </c>
      <c r="C18" s="79" t="str">
        <f>IFERROR(__xludf.DUMMYFUNCTION("""COMPUTED_VALUE"""),"Calendar")</f>
        <v>Calendar</v>
      </c>
      <c r="D18" s="79" t="str">
        <f>IFERROR(__xludf.DUMMYFUNCTION("""COMPUTED_VALUE"""),"Failed to add holiday planner to calendar.")</f>
        <v>Failed to add holiday planner to calendar.</v>
      </c>
      <c r="E18" s="79" t="str">
        <f>IFERROR(__xludf.DUMMYFUNCTION("""COMPUTED_VALUE"""),"User need to able to access website using browser")</f>
        <v>User need to able to access website using browser</v>
      </c>
      <c r="F18" s="79" t="str">
        <f>IFERROR(__xludf.DUMMYFUNCTION("""COMPUTED_VALUE"""),"1. Open website of ParentBridge
2. Login using valid credential
3. goto Home
4. Click on calender")</f>
        <v>1. Open website of ParentBridge
2. Login using valid credential
3. goto Home
4. Click on calender</v>
      </c>
      <c r="G18" s="79" t="str">
        <f>IFERROR(__xludf.DUMMYFUNCTION("""COMPUTED_VALUE"""),"USER CREDENTIAL")</f>
        <v>USER CREDENTIAL</v>
      </c>
      <c r="H18" s="79" t="str">
        <f>IFERROR(__xludf.DUMMYFUNCTION("""COMPUTED_VALUE"""),"Users should be able to add a holiday planner to their calendar.")</f>
        <v>Users should be able to add a holiday planner to their calendar.</v>
      </c>
      <c r="I18" s="79" t="str">
        <f>IFERROR(__xludf.DUMMYFUNCTION("""COMPUTED_VALUE"""),"Couldn’t add the holiday planner to the calendar section.")</f>
        <v>Couldn’t add the holiday planner to the calendar section.</v>
      </c>
      <c r="J18" s="79" t="str">
        <f>IFERROR(__xludf.DUMMYFUNCTION("""COMPUTED_VALUE"""),"Fail")</f>
        <v>Fail</v>
      </c>
      <c r="K18" s="79" t="str">
        <f>IFERROR(__xludf.DUMMYFUNCTION("""COMPUTED_VALUE"""),"High")</f>
        <v>High</v>
      </c>
      <c r="L18" s="80" t="str">
        <f>IFERROR(__xludf.DUMMYFUNCTION("""COMPUTED_VALUE"""),"022.png")</f>
        <v>022.png</v>
      </c>
      <c r="M18" s="79"/>
      <c r="N18" s="79" t="str">
        <f>IFERROR(__xludf.DUMMYFUNCTION("""COMPUTED_VALUE"""),"Solved")</f>
        <v>Solved</v>
      </c>
      <c r="O18" s="79" t="str">
        <f>IFERROR(__xludf.DUMMYFUNCTION("""COMPUTED_VALUE"""),"Front-End")</f>
        <v>Front-End</v>
      </c>
      <c r="P18" s="79"/>
      <c r="Q18" s="79" t="str">
        <f>IFERROR(__xludf.DUMMYFUNCTION("""COMPUTED_VALUE"""),"Fahad")</f>
        <v>Fahad</v>
      </c>
      <c r="R18" s="22"/>
      <c r="S18" s="22"/>
      <c r="T18" s="22"/>
      <c r="U18" s="22"/>
      <c r="V18" s="22"/>
      <c r="W18" s="22"/>
      <c r="X18" s="22"/>
      <c r="Y18" s="22"/>
      <c r="Z18" s="22"/>
      <c r="AA18" s="22"/>
    </row>
    <row r="19">
      <c r="A19" s="52" t="s">
        <v>310</v>
      </c>
      <c r="B19" s="79" t="str">
        <f>IFERROR(__xludf.DUMMYFUNCTION("""COMPUTED_VALUE"""),"Home")</f>
        <v>Home</v>
      </c>
      <c r="C19" s="79" t="str">
        <f>IFERROR(__xludf.DUMMYFUNCTION("""COMPUTED_VALUE"""),"Calendar")</f>
        <v>Calendar</v>
      </c>
      <c r="D19" s="79" t="str">
        <f>IFERROR(__xludf.DUMMYFUNCTION("""COMPUTED_VALUE"""),"All-day event toggle button is missing from the frontend.")</f>
        <v>All-day event toggle button is missing from the frontend.</v>
      </c>
      <c r="E19" s="79" t="str">
        <f>IFERROR(__xludf.DUMMYFUNCTION("""COMPUTED_VALUE"""),"User need to able to access website using browser")</f>
        <v>User need to able to access website using browser</v>
      </c>
      <c r="F19" s="79" t="str">
        <f>IFERROR(__xludf.DUMMYFUNCTION("""COMPUTED_VALUE"""),"1. Open website of ParentBridge
2. Login using valid credential
3. goto Home
4. Click on calender
5. Click on add event ")</f>
        <v>1. Open website of ParentBridge
2. Login using valid credential
3. goto Home
4. Click on calender
5. Click on add event </v>
      </c>
      <c r="G19" s="79" t="str">
        <f>IFERROR(__xludf.DUMMYFUNCTION("""COMPUTED_VALUE"""),"USER CREDENTIAL")</f>
        <v>USER CREDENTIAL</v>
      </c>
      <c r="H19" s="79" t="str">
        <f>IFERROR(__xludf.DUMMYFUNCTION("""COMPUTED_VALUE"""),"Feature should be available as shown in Figma.")</f>
        <v>Feature should be available as shown in Figma.</v>
      </c>
      <c r="I19" s="79" t="str">
        <f>IFERROR(__xludf.DUMMYFUNCTION("""COMPUTED_VALUE"""),"All-day event button is missing in the frontend")</f>
        <v>All-day event button is missing in the frontend</v>
      </c>
      <c r="J19" s="79" t="str">
        <f>IFERROR(__xludf.DUMMYFUNCTION("""COMPUTED_VALUE"""),"Fail")</f>
        <v>Fail</v>
      </c>
      <c r="K19" s="79" t="str">
        <f>IFERROR(__xludf.DUMMYFUNCTION("""COMPUTED_VALUE"""),"High")</f>
        <v>High</v>
      </c>
      <c r="L19" s="80" t="str">
        <f>IFERROR(__xludf.DUMMYFUNCTION("""COMPUTED_VALUE"""),"024.png")</f>
        <v>024.png</v>
      </c>
      <c r="M19" s="79"/>
      <c r="N19" s="79" t="str">
        <f>IFERROR(__xludf.DUMMYFUNCTION("""COMPUTED_VALUE"""),"Solved")</f>
        <v>Solved</v>
      </c>
      <c r="O19" s="79" t="str">
        <f>IFERROR(__xludf.DUMMYFUNCTION("""COMPUTED_VALUE"""),"Front-End")</f>
        <v>Front-End</v>
      </c>
      <c r="P19" s="79"/>
      <c r="Q19" s="79" t="str">
        <f>IFERROR(__xludf.DUMMYFUNCTION("""COMPUTED_VALUE"""),"Fahad")</f>
        <v>Fahad</v>
      </c>
      <c r="R19" s="22"/>
      <c r="S19" s="22"/>
      <c r="T19" s="22"/>
      <c r="U19" s="22"/>
      <c r="V19" s="22"/>
      <c r="W19" s="22"/>
      <c r="X19" s="22"/>
      <c r="Y19" s="22"/>
      <c r="Z19" s="22"/>
      <c r="AA19" s="22"/>
    </row>
    <row r="20">
      <c r="A20" s="52" t="s">
        <v>311</v>
      </c>
      <c r="B20" s="79" t="str">
        <f>IFERROR(__xludf.DUMMYFUNCTION("""COMPUTED_VALUE"""),"Home")</f>
        <v>Home</v>
      </c>
      <c r="C20" s="79" t="str">
        <f>IFERROR(__xludf.DUMMYFUNCTION("""COMPUTED_VALUE"""),"Calls")</f>
        <v>Calls</v>
      </c>
      <c r="D20" s="79" t="str">
        <f>IFERROR(__xludf.DUMMYFUNCTION("""COMPUTED_VALUE"""),"Unable to connect with co-parent")</f>
        <v>Unable to connect with co-parent</v>
      </c>
      <c r="E20" s="79" t="str">
        <f>IFERROR(__xludf.DUMMYFUNCTION("""COMPUTED_VALUE"""),"User need to able to access website using browser")</f>
        <v>User need to able to access website using browser</v>
      </c>
      <c r="F20" s="79" t="str">
        <f>IFERROR(__xludf.DUMMYFUNCTION("""COMPUTED_VALUE"""),"1. Open website of ParentBridge
2. Login using valid credential
3. goto Home
4. goto up comming events section")</f>
        <v>1. Open website of ParentBridge
2. Login using valid credential
3. goto Home
4. goto up comming events section</v>
      </c>
      <c r="G20" s="79" t="str">
        <f>IFERROR(__xludf.DUMMYFUNCTION("""COMPUTED_VALUE"""),"USER CREDENTIAL")</f>
        <v>USER CREDENTIAL</v>
      </c>
      <c r="H20" s="79" t="str">
        <f>IFERROR(__xludf.DUMMYFUNCTION("""COMPUTED_VALUE"""),"Users should have the option to add co-parents right after creating an account or choose to add them later.")</f>
        <v>Users should have the option to add co-parents right after creating an account or choose to add them later.</v>
      </c>
      <c r="I20" s="79" t="str">
        <f>IFERROR(__xludf.DUMMYFUNCTION("""COMPUTED_VALUE"""),"Couldn’t add a co-parent after setting up the account.")</f>
        <v>Couldn’t add a co-parent after setting up the account.</v>
      </c>
      <c r="J20" s="79" t="str">
        <f>IFERROR(__xludf.DUMMYFUNCTION("""COMPUTED_VALUE"""),"Fail")</f>
        <v>Fail</v>
      </c>
      <c r="K20" s="79" t="str">
        <f>IFERROR(__xludf.DUMMYFUNCTION("""COMPUTED_VALUE"""),"High")</f>
        <v>High</v>
      </c>
      <c r="L20" s="80" t="str">
        <f>IFERROR(__xludf.DUMMYFUNCTION("""COMPUTED_VALUE"""),"017.png")</f>
        <v>017.png</v>
      </c>
      <c r="M20" s="79"/>
      <c r="N20" s="79" t="str">
        <f>IFERROR(__xludf.DUMMYFUNCTION("""COMPUTED_VALUE"""),"Solved")</f>
        <v>Solved</v>
      </c>
      <c r="O20" s="79" t="str">
        <f>IFERROR(__xludf.DUMMYFUNCTION("""COMPUTED_VALUE"""),"Front-End, Back-End")</f>
        <v>Front-End, Back-End</v>
      </c>
      <c r="P20" s="79"/>
      <c r="Q20" s="79" t="str">
        <f>IFERROR(__xludf.DUMMYFUNCTION("""COMPUTED_VALUE"""),"Fahad")</f>
        <v>Fahad</v>
      </c>
      <c r="R20" s="22"/>
      <c r="S20" s="22"/>
      <c r="T20" s="22"/>
      <c r="U20" s="22"/>
      <c r="V20" s="22"/>
      <c r="W20" s="22"/>
      <c r="X20" s="22"/>
      <c r="Y20" s="22"/>
      <c r="Z20" s="22"/>
      <c r="AA20" s="22"/>
    </row>
    <row r="21">
      <c r="A21" s="52" t="s">
        <v>312</v>
      </c>
      <c r="B21" s="79" t="str">
        <f>IFERROR(__xludf.DUMMYFUNCTION("""COMPUTED_VALUE"""),"Home")</f>
        <v>Home</v>
      </c>
      <c r="C21" s="79" t="str">
        <f>IFERROR(__xludf.DUMMYFUNCTION("""COMPUTED_VALUE"""),"Chat")</f>
        <v>Chat</v>
      </c>
      <c r="D21" s="79" t="str">
        <f>IFERROR(__xludf.DUMMYFUNCTION("""COMPUTED_VALUE"""),"A non-functional button has been noticed.")</f>
        <v>A non-functional button has been noticed.</v>
      </c>
      <c r="E21" s="79" t="str">
        <f>IFERROR(__xludf.DUMMYFUNCTION("""COMPUTED_VALUE"""),"User need to able to access website using browser")</f>
        <v>User need to able to access website using browser</v>
      </c>
      <c r="F21" s="79" t="str">
        <f>IFERROR(__xludf.DUMMYFUNCTION("""COMPUTED_VALUE"""),"1. Open website of ParentBridge
2. Login using valid credential
3. goto chat")</f>
        <v>1. Open website of ParentBridge
2. Login using valid credential
3. goto chat</v>
      </c>
      <c r="G21" s="79" t="str">
        <f>IFERROR(__xludf.DUMMYFUNCTION("""COMPUTED_VALUE"""),"USER CREDENTIAL")</f>
        <v>USER CREDENTIAL</v>
      </c>
      <c r="H21" s="79" t="str">
        <f>IFERROR(__xludf.DUMMYFUNCTION("""COMPUTED_VALUE"""),"The settings button and options should be accessible in the chat section.")</f>
        <v>The settings button and options should be accessible in the chat section.</v>
      </c>
      <c r="I21" s="79" t="str">
        <f>IFERROR(__xludf.DUMMYFUNCTION("""COMPUTED_VALUE"""),"Chat options are missing in the frontend.")</f>
        <v>Chat options are missing in the frontend.</v>
      </c>
      <c r="J21" s="79" t="str">
        <f>IFERROR(__xludf.DUMMYFUNCTION("""COMPUTED_VALUE"""),"Fail")</f>
        <v>Fail</v>
      </c>
      <c r="K21" s="79" t="str">
        <f>IFERROR(__xludf.DUMMYFUNCTION("""COMPUTED_VALUE"""),"Medium")</f>
        <v>Medium</v>
      </c>
      <c r="L21" s="80" t="str">
        <f>IFERROR(__xludf.DUMMYFUNCTION("""COMPUTED_VALUE"""),"014.png")</f>
        <v>014.png</v>
      </c>
      <c r="M21" s="79"/>
      <c r="N21" s="79" t="str">
        <f>IFERROR(__xludf.DUMMYFUNCTION("""COMPUTED_VALUE"""),"Solved")</f>
        <v>Solved</v>
      </c>
      <c r="O21" s="79" t="str">
        <f>IFERROR(__xludf.DUMMYFUNCTION("""COMPUTED_VALUE"""),"Front-End")</f>
        <v>Front-End</v>
      </c>
      <c r="P21" s="79"/>
      <c r="Q21" s="79" t="str">
        <f>IFERROR(__xludf.DUMMYFUNCTION("""COMPUTED_VALUE"""),"Fahad")</f>
        <v>Fahad</v>
      </c>
      <c r="R21" s="22"/>
      <c r="S21" s="22"/>
      <c r="T21" s="22"/>
      <c r="U21" s="22"/>
      <c r="V21" s="22"/>
      <c r="W21" s="22"/>
      <c r="X21" s="22"/>
      <c r="Y21" s="22"/>
      <c r="Z21" s="22"/>
      <c r="AA21" s="22"/>
    </row>
    <row r="22">
      <c r="A22" s="52" t="s">
        <v>313</v>
      </c>
      <c r="B22" s="79" t="str">
        <f>IFERROR(__xludf.DUMMYFUNCTION("""COMPUTED_VALUE"""),"Home")</f>
        <v>Home</v>
      </c>
      <c r="C22" s="79" t="str">
        <f>IFERROR(__xludf.DUMMYFUNCTION("""COMPUTED_VALUE"""),"Documents")</f>
        <v>Documents</v>
      </c>
      <c r="D22" s="79" t="str">
        <f>IFERROR(__xludf.DUMMYFUNCTION("""COMPUTED_VALUE"""),"Can't upload document on the frontend.")</f>
        <v>Can't upload document on the frontend.</v>
      </c>
      <c r="E22" s="79" t="str">
        <f>IFERROR(__xludf.DUMMYFUNCTION("""COMPUTED_VALUE"""),"User need to able to access website using browser")</f>
        <v>User need to able to access website using browser</v>
      </c>
      <c r="F22" s="79" t="str">
        <f>IFERROR(__xludf.DUMMYFUNCTION("""COMPUTED_VALUE"""),"1. Open website of ParentBridge
2. Login using valid credential
3. goto Home
4. Click on calender")</f>
        <v>1. Open website of ParentBridge
2. Login using valid credential
3. goto Home
4. Click on calender</v>
      </c>
      <c r="G22" s="79" t="str">
        <f>IFERROR(__xludf.DUMMYFUNCTION("""COMPUTED_VALUE"""),"USER CREDENTIAL")</f>
        <v>USER CREDENTIAL</v>
      </c>
      <c r="H22" s="79" t="str">
        <f>IFERROR(__xludf.DUMMYFUNCTION("""COMPUTED_VALUE"""),"User should be able to upload a document without any issues.")</f>
        <v>User should be able to upload a document without any issues.</v>
      </c>
      <c r="I22" s="79" t="str">
        <f>IFERROR(__xludf.DUMMYFUNCTION("""COMPUTED_VALUE"""),"Unable to upload document.")</f>
        <v>Unable to upload document.</v>
      </c>
      <c r="J22" s="79" t="str">
        <f>IFERROR(__xludf.DUMMYFUNCTION("""COMPUTED_VALUE"""),"Fail")</f>
        <v>Fail</v>
      </c>
      <c r="K22" s="79" t="str">
        <f>IFERROR(__xludf.DUMMYFUNCTION("""COMPUTED_VALUE"""),"High")</f>
        <v>High</v>
      </c>
      <c r="L22" s="80" t="str">
        <f>IFERROR(__xludf.DUMMYFUNCTION("""COMPUTED_VALUE"""),"023.png")</f>
        <v>023.png</v>
      </c>
      <c r="M22" s="79"/>
      <c r="N22" s="79" t="str">
        <f>IFERROR(__xludf.DUMMYFUNCTION("""COMPUTED_VALUE"""),"Solved")</f>
        <v>Solved</v>
      </c>
      <c r="O22" s="79" t="str">
        <f>IFERROR(__xludf.DUMMYFUNCTION("""COMPUTED_VALUE"""),"Front-End")</f>
        <v>Front-End</v>
      </c>
      <c r="P22" s="79" t="str">
        <f>IFERROR(__xludf.DUMMYFUNCTION("""COMPUTED_VALUE"""),"The images and the pdf is not showing in the website because backend is using local base url")</f>
        <v>The images and the pdf is not showing in the website because backend is using local base url</v>
      </c>
      <c r="Q22" s="79" t="str">
        <f>IFERROR(__xludf.DUMMYFUNCTION("""COMPUTED_VALUE"""),"Fahad")</f>
        <v>Fahad</v>
      </c>
      <c r="R22" s="22"/>
      <c r="S22" s="22"/>
      <c r="T22" s="22"/>
      <c r="U22" s="22"/>
      <c r="V22" s="22"/>
      <c r="W22" s="22"/>
      <c r="X22" s="22"/>
      <c r="Y22" s="22"/>
      <c r="Z22" s="22"/>
      <c r="AA22" s="22"/>
    </row>
    <row r="23">
      <c r="A23" s="52" t="s">
        <v>314</v>
      </c>
      <c r="B23" s="79" t="str">
        <f>IFERROR(__xludf.DUMMYFUNCTION("""COMPUTED_VALUE"""),"Home")</f>
        <v>Home</v>
      </c>
      <c r="C23" s="79" t="str">
        <f>IFERROR(__xludf.DUMMYFUNCTION("""COMPUTED_VALUE"""),"Expense")</f>
        <v>Expense</v>
      </c>
      <c r="D23" s="79" t="str">
        <f>IFERROR(__xludf.DUMMYFUNCTION("""COMPUTED_VALUE"""),"Placeholder text color blends with the background, making it hard to read.")</f>
        <v>Placeholder text color blends with the background, making it hard to read.</v>
      </c>
      <c r="E23" s="79" t="str">
        <f>IFERROR(__xludf.DUMMYFUNCTION("""COMPUTED_VALUE"""),"User need to able to access website using browser")</f>
        <v>User need to able to access website using browser</v>
      </c>
      <c r="F23" s="79" t="str">
        <f>IFERROR(__xludf.DUMMYFUNCTION("""COMPUTED_VALUE"""),"1. Open website of ParentBridge
2. Login using valid credentials
3. click on expense")</f>
        <v>1. Open website of ParentBridge
2. Login using valid credentials
3. click on expense</v>
      </c>
      <c r="G23" s="79" t="str">
        <f>IFERROR(__xludf.DUMMYFUNCTION("""COMPUTED_VALUE"""),"USER CREDENTIAL")</f>
        <v>USER CREDENTIAL</v>
      </c>
      <c r="H23" s="79" t="str">
        <f>IFERROR(__xludf.DUMMYFUNCTION("""COMPUTED_VALUE"""),"Placeholder text should be in the opposite color of the background for better visibility and user understanding.")</f>
        <v>Placeholder text should be in the opposite color of the background for better visibility and user understanding.</v>
      </c>
      <c r="I23" s="79" t="str">
        <f>IFERROR(__xludf.DUMMYFUNCTION("""COMPUTED_VALUE"""),"Background color and the placeholder text color are the same, making it difficult to read the text.")</f>
        <v>Background color and the placeholder text color are the same, making it difficult to read the text.</v>
      </c>
      <c r="J23" s="79" t="str">
        <f>IFERROR(__xludf.DUMMYFUNCTION("""COMPUTED_VALUE"""),"Fail")</f>
        <v>Fail</v>
      </c>
      <c r="K23" s="79" t="str">
        <f>IFERROR(__xludf.DUMMYFUNCTION("""COMPUTED_VALUE"""),"Medium")</f>
        <v>Medium</v>
      </c>
      <c r="L23" s="80" t="str">
        <f>IFERROR(__xludf.DUMMYFUNCTION("""COMPUTED_VALUE"""),"033.png")</f>
        <v>033.png</v>
      </c>
      <c r="M23" s="79"/>
      <c r="N23" s="79" t="str">
        <f>IFERROR(__xludf.DUMMYFUNCTION("""COMPUTED_VALUE"""),"Solved")</f>
        <v>Solved</v>
      </c>
      <c r="O23" s="79" t="str">
        <f>IFERROR(__xludf.DUMMYFUNCTION("""COMPUTED_VALUE"""),"Front-End")</f>
        <v>Front-End</v>
      </c>
      <c r="P23" s="79"/>
      <c r="Q23" s="79" t="str">
        <f>IFERROR(__xludf.DUMMYFUNCTION("""COMPUTED_VALUE"""),"Fahad")</f>
        <v>Fahad</v>
      </c>
      <c r="R23" s="22"/>
      <c r="S23" s="22"/>
      <c r="T23" s="22"/>
      <c r="U23" s="22"/>
      <c r="V23" s="22"/>
      <c r="W23" s="22"/>
      <c r="X23" s="22"/>
      <c r="Y23" s="22"/>
      <c r="Z23" s="22"/>
      <c r="AA23" s="22"/>
    </row>
    <row r="24">
      <c r="A24" s="52" t="s">
        <v>315</v>
      </c>
      <c r="B24" s="79" t="str">
        <f>IFERROR(__xludf.DUMMYFUNCTION("""COMPUTED_VALUE"""),"Home")</f>
        <v>Home</v>
      </c>
      <c r="C24" s="79" t="str">
        <f>IFERROR(__xludf.DUMMYFUNCTION("""COMPUTED_VALUE"""),"Expense")</f>
        <v>Expense</v>
      </c>
      <c r="D24" s="79" t="str">
        <f>IFERROR(__xludf.DUMMYFUNCTION("""COMPUTED_VALUE"""),"Export feature hasn’t been added yet.")</f>
        <v>Export feature hasn’t been added yet.</v>
      </c>
      <c r="E24" s="79" t="str">
        <f>IFERROR(__xludf.DUMMYFUNCTION("""COMPUTED_VALUE"""),"User need to able to access website using browser")</f>
        <v>User need to able to access website using browser</v>
      </c>
      <c r="F24" s="79" t="str">
        <f>IFERROR(__xludf.DUMMYFUNCTION("""COMPUTED_VALUE"""),"1. Open website of ParentBridge
2. Login using valid credentials
3. click on expense")</f>
        <v>1. Open website of ParentBridge
2. Login using valid credentials
3. click on expense</v>
      </c>
      <c r="G24" s="79" t="str">
        <f>IFERROR(__xludf.DUMMYFUNCTION("""COMPUTED_VALUE"""),"USER CREDENTIAL")</f>
        <v>USER CREDENTIAL</v>
      </c>
      <c r="H24" s="79" t="str">
        <f>IFERROR(__xludf.DUMMYFUNCTION("""COMPUTED_VALUE"""),"Export feature should be implemented according to the Figma design.")</f>
        <v>Export feature should be implemented according to the Figma design.</v>
      </c>
      <c r="I24" s="79" t="str">
        <f>IFERROR(__xludf.DUMMYFUNCTION("""COMPUTED_VALUE"""),"Export feature is missing on the web.")</f>
        <v>Export feature is missing on the web.</v>
      </c>
      <c r="J24" s="79" t="str">
        <f>IFERROR(__xludf.DUMMYFUNCTION("""COMPUTED_VALUE"""),"Fail")</f>
        <v>Fail</v>
      </c>
      <c r="K24" s="79" t="str">
        <f>IFERROR(__xludf.DUMMYFUNCTION("""COMPUTED_VALUE"""),"High")</f>
        <v>High</v>
      </c>
      <c r="L24" s="80" t="str">
        <f>IFERROR(__xludf.DUMMYFUNCTION("""COMPUTED_VALUE"""),"034.png")</f>
        <v>034.png</v>
      </c>
      <c r="M24" s="79"/>
      <c r="N24" s="79" t="str">
        <f>IFERROR(__xludf.DUMMYFUNCTION("""COMPUTED_VALUE"""),"Unsolved")</f>
        <v>Unsolved</v>
      </c>
      <c r="O24" s="79" t="str">
        <f>IFERROR(__xludf.DUMMYFUNCTION("""COMPUTED_VALUE"""),"Back-End")</f>
        <v>Back-End</v>
      </c>
      <c r="P24" s="79" t="str">
        <f>IFERROR(__xludf.DUMMYFUNCTION("""COMPUTED_VALUE"""),"Export feature is not implmeneted in backend")</f>
        <v>Export feature is not implmeneted in backend</v>
      </c>
      <c r="Q24" s="79" t="str">
        <f>IFERROR(__xludf.DUMMYFUNCTION("""COMPUTED_VALUE"""),"Fahad")</f>
        <v>Fahad</v>
      </c>
      <c r="R24" s="22"/>
      <c r="S24" s="22"/>
      <c r="T24" s="22"/>
      <c r="U24" s="22"/>
      <c r="V24" s="22"/>
      <c r="W24" s="22"/>
      <c r="X24" s="22"/>
      <c r="Y24" s="22"/>
      <c r="Z24" s="22"/>
      <c r="AA24" s="22"/>
    </row>
    <row r="25">
      <c r="A25" s="52" t="s">
        <v>316</v>
      </c>
      <c r="B25" s="79" t="str">
        <f>IFERROR(__xludf.DUMMYFUNCTION("""COMPUTED_VALUE"""),"Home")</f>
        <v>Home</v>
      </c>
      <c r="C25" s="79" t="str">
        <f>IFERROR(__xludf.DUMMYFUNCTION("""COMPUTED_VALUE"""),"Expense")</f>
        <v>Expense</v>
      </c>
      <c r="D25" s="79" t="str">
        <f>IFERROR(__xludf.DUMMYFUNCTION("""COMPUTED_VALUE"""),"Parent and co-parent expenses are not displayed correctly.")</f>
        <v>Parent and co-parent expenses are not displayed correctly.</v>
      </c>
      <c r="E25" s="79" t="str">
        <f>IFERROR(__xludf.DUMMYFUNCTION("""COMPUTED_VALUE"""),"User need to able to access website using browser")</f>
        <v>User need to able to access website using browser</v>
      </c>
      <c r="F25" s="79" t="str">
        <f>IFERROR(__xludf.DUMMYFUNCTION("""COMPUTED_VALUE"""),"1. Open website of ParentBridge
2. Login using valid credentials
3. click on expense")</f>
        <v>1. Open website of ParentBridge
2. Login using valid credentials
3. click on expense</v>
      </c>
      <c r="G25" s="79" t="str">
        <f>IFERROR(__xludf.DUMMYFUNCTION("""COMPUTED_VALUE"""),"USER CREDENTIAL")</f>
        <v>USER CREDENTIAL</v>
      </c>
      <c r="H25" s="79" t="str">
        <f>IFERROR(__xludf.DUMMYFUNCTION("""COMPUTED_VALUE"""),"Expenses should be displayed accurately.")</f>
        <v>Expenses should be displayed accurately.</v>
      </c>
      <c r="I25" s="79" t="str">
        <f>IFERROR(__xludf.DUMMYFUNCTION("""COMPUTED_VALUE"""),"Mismatch has been noticed between the parent and co-parent expense data.")</f>
        <v>Mismatch has been noticed between the parent and co-parent expense data.</v>
      </c>
      <c r="J25" s="79" t="str">
        <f>IFERROR(__xludf.DUMMYFUNCTION("""COMPUTED_VALUE"""),"Fail")</f>
        <v>Fail</v>
      </c>
      <c r="K25" s="79" t="str">
        <f>IFERROR(__xludf.DUMMYFUNCTION("""COMPUTED_VALUE"""),"High")</f>
        <v>High</v>
      </c>
      <c r="L25" s="80" t="str">
        <f>IFERROR(__xludf.DUMMYFUNCTION("""COMPUTED_VALUE"""),"035.png")</f>
        <v>035.png</v>
      </c>
      <c r="M25" s="79"/>
      <c r="N25" s="79" t="str">
        <f>IFERROR(__xludf.DUMMYFUNCTION("""COMPUTED_VALUE"""),"Unsolved")</f>
        <v>Unsolved</v>
      </c>
      <c r="O25" s="79" t="str">
        <f>IFERROR(__xludf.DUMMYFUNCTION("""COMPUTED_VALUE"""),"Back-End")</f>
        <v>Back-End</v>
      </c>
      <c r="P25" s="79" t="str">
        <f>IFERROR(__xludf.DUMMYFUNCTION("""COMPUTED_VALUE"""),"Backend is not giving the data")</f>
        <v>Backend is not giving the data</v>
      </c>
      <c r="Q25" s="79" t="str">
        <f>IFERROR(__xludf.DUMMYFUNCTION("""COMPUTED_VALUE"""),"Fahad")</f>
        <v>Fahad</v>
      </c>
      <c r="R25" s="22"/>
      <c r="S25" s="22"/>
      <c r="T25" s="22"/>
      <c r="U25" s="22"/>
      <c r="V25" s="22"/>
      <c r="W25" s="22"/>
      <c r="X25" s="22"/>
      <c r="Y25" s="22"/>
      <c r="Z25" s="22"/>
      <c r="AA25" s="22"/>
    </row>
    <row r="26">
      <c r="A26" s="52" t="s">
        <v>317</v>
      </c>
      <c r="B26" s="79" t="str">
        <f>IFERROR(__xludf.DUMMYFUNCTION("""COMPUTED_VALUE"""),"Home")</f>
        <v>Home</v>
      </c>
      <c r="C26" s="79" t="str">
        <f>IFERROR(__xludf.DUMMYFUNCTION("""COMPUTED_VALUE"""),"Expense")</f>
        <v>Expense</v>
      </c>
      <c r="D26" s="79" t="str">
        <f>IFERROR(__xludf.DUMMYFUNCTION("""COMPUTED_VALUE"""),"Display issue with the total expense calculation has been noticed.")</f>
        <v>Display issue with the total expense calculation has been noticed.</v>
      </c>
      <c r="E26" s="79" t="str">
        <f>IFERROR(__xludf.DUMMYFUNCTION("""COMPUTED_VALUE"""),"User need to able to access website using browser")</f>
        <v>User need to able to access website using browser</v>
      </c>
      <c r="F26" s="79" t="str">
        <f>IFERROR(__xludf.DUMMYFUNCTION("""COMPUTED_VALUE"""),"1. Open website of ParentBridge
2. Login using valid credentials
3. click on expense")</f>
        <v>1. Open website of ParentBridge
2. Login using valid credentials
3. click on expense</v>
      </c>
      <c r="G26" s="79" t="str">
        <f>IFERROR(__xludf.DUMMYFUNCTION("""COMPUTED_VALUE"""),"USER CREDENTIAL")</f>
        <v>USER CREDENTIAL</v>
      </c>
      <c r="H26" s="79" t="str">
        <f>IFERROR(__xludf.DUMMYFUNCTION("""COMPUTED_VALUE"""),"Calculated amount should be accurately displayed.")</f>
        <v>Calculated amount should be accurately displayed.</v>
      </c>
      <c r="I26" s="79" t="str">
        <f>IFERROR(__xludf.DUMMYFUNCTION("""COMPUTED_VALUE"""),"Miscalculation has been spotted in the expense tab.")</f>
        <v>Miscalculation has been spotted in the expense tab.</v>
      </c>
      <c r="J26" s="79" t="str">
        <f>IFERROR(__xludf.DUMMYFUNCTION("""COMPUTED_VALUE"""),"Fail")</f>
        <v>Fail</v>
      </c>
      <c r="K26" s="79" t="str">
        <f>IFERROR(__xludf.DUMMYFUNCTION("""COMPUTED_VALUE"""),"High")</f>
        <v>High</v>
      </c>
      <c r="L26" s="80" t="str">
        <f>IFERROR(__xludf.DUMMYFUNCTION("""COMPUTED_VALUE"""),"036.png")</f>
        <v>036.png</v>
      </c>
      <c r="M26" s="79"/>
      <c r="N26" s="79" t="str">
        <f>IFERROR(__xludf.DUMMYFUNCTION("""COMPUTED_VALUE"""),"Unsolved")</f>
        <v>Unsolved</v>
      </c>
      <c r="O26" s="79" t="str">
        <f>IFERROR(__xludf.DUMMYFUNCTION("""COMPUTED_VALUE"""),"Back-End")</f>
        <v>Back-End</v>
      </c>
      <c r="P26" s="79" t="str">
        <f>IFERROR(__xludf.DUMMYFUNCTION("""COMPUTED_VALUE"""),"Backend needs to be fixed.")</f>
        <v>Backend needs to be fixed.</v>
      </c>
      <c r="Q26" s="79" t="str">
        <f>IFERROR(__xludf.DUMMYFUNCTION("""COMPUTED_VALUE"""),"Fahad")</f>
        <v>Fahad</v>
      </c>
      <c r="R26" s="22"/>
      <c r="S26" s="22"/>
      <c r="T26" s="22"/>
      <c r="U26" s="22"/>
      <c r="V26" s="22"/>
      <c r="W26" s="22"/>
      <c r="X26" s="22"/>
      <c r="Y26" s="22"/>
      <c r="Z26" s="22"/>
      <c r="AA26" s="22"/>
    </row>
    <row r="27">
      <c r="A27" s="52" t="s">
        <v>318</v>
      </c>
      <c r="B27" s="79" t="str">
        <f>IFERROR(__xludf.DUMMYFUNCTION("""COMPUTED_VALUE"""),"Home")</f>
        <v>Home</v>
      </c>
      <c r="C27" s="79" t="str">
        <f>IFERROR(__xludf.DUMMYFUNCTION("""COMPUTED_VALUE"""),"Home")</f>
        <v>Home</v>
      </c>
      <c r="D27" s="79" t="str">
        <f>IFERROR(__xludf.DUMMYFUNCTION("""COMPUTED_VALUE"""),"Quick access settings button isn’t working.")</f>
        <v>Quick access settings button isn’t working.</v>
      </c>
      <c r="E27" s="79" t="str">
        <f>IFERROR(__xludf.DUMMYFUNCTION("""COMPUTED_VALUE"""),"User need to able to access website using browser")</f>
        <v>User need to able to access website using browser</v>
      </c>
      <c r="F27" s="79" t="str">
        <f>IFERROR(__xludf.DUMMYFUNCTION("""COMPUTED_VALUE"""),"1. Open website of ParentBridge
2. Login using valid credential
3. goto Home
4. goto quick access section")</f>
        <v>1. Open website of ParentBridge
2. Login using valid credential
3. goto Home
4. goto quick access section</v>
      </c>
      <c r="G27" s="79" t="str">
        <f>IFERROR(__xludf.DUMMYFUNCTION("""COMPUTED_VALUE"""),"USER CREDENTIAL")</f>
        <v>USER CREDENTIAL</v>
      </c>
      <c r="H27" s="79" t="str">
        <f>IFERROR(__xludf.DUMMYFUNCTION("""COMPUTED_VALUE"""),"User should be able to set quick access manually")</f>
        <v>User should be able to set quick access manually</v>
      </c>
      <c r="I27" s="79" t="str">
        <f>IFERROR(__xludf.DUMMYFUNCTION("""COMPUTED_VALUE"""),"Quick access setup failed on the user’s side.")</f>
        <v>Quick access setup failed on the user’s side.</v>
      </c>
      <c r="J27" s="79" t="str">
        <f>IFERROR(__xludf.DUMMYFUNCTION("""COMPUTED_VALUE"""),"Fail")</f>
        <v>Fail</v>
      </c>
      <c r="K27" s="79" t="str">
        <f>IFERROR(__xludf.DUMMYFUNCTION("""COMPUTED_VALUE"""),"Medium")</f>
        <v>Medium</v>
      </c>
      <c r="L27" s="80" t="str">
        <f>IFERROR(__xludf.DUMMYFUNCTION("""COMPUTED_VALUE"""),"015.png")</f>
        <v>015.png</v>
      </c>
      <c r="M27" s="79"/>
      <c r="N27" s="79" t="str">
        <f>IFERROR(__xludf.DUMMYFUNCTION("""COMPUTED_VALUE"""),"Solved")</f>
        <v>Solved</v>
      </c>
      <c r="O27" s="79" t="str">
        <f>IFERROR(__xludf.DUMMYFUNCTION("""COMPUTED_VALUE"""),"Front-End")</f>
        <v>Front-End</v>
      </c>
      <c r="P27" s="79"/>
      <c r="Q27" s="79" t="str">
        <f>IFERROR(__xludf.DUMMYFUNCTION("""COMPUTED_VALUE"""),"Fahad")</f>
        <v>Fahad</v>
      </c>
      <c r="R27" s="22"/>
      <c r="S27" s="22"/>
      <c r="T27" s="22"/>
      <c r="U27" s="22"/>
      <c r="V27" s="22"/>
      <c r="W27" s="22"/>
      <c r="X27" s="22"/>
      <c r="Y27" s="22"/>
      <c r="Z27" s="22"/>
      <c r="AA27" s="22"/>
    </row>
    <row r="28">
      <c r="A28" s="52" t="s">
        <v>319</v>
      </c>
      <c r="B28" s="79" t="str">
        <f>IFERROR(__xludf.DUMMYFUNCTION("""COMPUTED_VALUE"""),"Home")</f>
        <v>Home</v>
      </c>
      <c r="C28" s="79" t="str">
        <f>IFERROR(__xludf.DUMMYFUNCTION("""COMPUTED_VALUE"""),"Home")</f>
        <v>Home</v>
      </c>
      <c r="D28" s="79" t="str">
        <f>IFERROR(__xludf.DUMMYFUNCTION("""COMPUTED_VALUE"""),"Failed to redirect user to calender ")</f>
        <v>Failed to redirect user to calender </v>
      </c>
      <c r="E28" s="79" t="str">
        <f>IFERROR(__xludf.DUMMYFUNCTION("""COMPUTED_VALUE"""),"User need to able to access website using browser")</f>
        <v>User need to able to access website using browser</v>
      </c>
      <c r="F28" s="79" t="str">
        <f>IFERROR(__xludf.DUMMYFUNCTION("""COMPUTED_VALUE"""),"1. Open website of ParentBridge
2. Login using valid credential
3. goto Home
4. goto up comming events section")</f>
        <v>1. Open website of ParentBridge
2. Login using valid credential
3. goto Home
4. goto up comming events section</v>
      </c>
      <c r="G28" s="79" t="str">
        <f>IFERROR(__xludf.DUMMYFUNCTION("""COMPUTED_VALUE"""),"USER CREDENTIAL")</f>
        <v>USER CREDENTIAL</v>
      </c>
      <c r="H28" s="79" t="str">
        <f>IFERROR(__xludf.DUMMYFUNCTION("""COMPUTED_VALUE"""),"User should be redirected to the desired page when clicking the quick access links")</f>
        <v>User should be redirected to the desired page when clicking the quick access links</v>
      </c>
      <c r="I28" s="79" t="str">
        <f>IFERROR(__xludf.DUMMYFUNCTION("""COMPUTED_VALUE"""),"Could not redirect the user to the intended location.")</f>
        <v>Could not redirect the user to the intended location.</v>
      </c>
      <c r="J28" s="79" t="str">
        <f>IFERROR(__xludf.DUMMYFUNCTION("""COMPUTED_VALUE"""),"Fail")</f>
        <v>Fail</v>
      </c>
      <c r="K28" s="79" t="str">
        <f>IFERROR(__xludf.DUMMYFUNCTION("""COMPUTED_VALUE"""),"High")</f>
        <v>High</v>
      </c>
      <c r="L28" s="80" t="str">
        <f>IFERROR(__xludf.DUMMYFUNCTION("""COMPUTED_VALUE"""),"016.png")</f>
        <v>016.png</v>
      </c>
      <c r="M28" s="79"/>
      <c r="N28" s="79" t="str">
        <f>IFERROR(__xludf.DUMMYFUNCTION("""COMPUTED_VALUE"""),"Solved")</f>
        <v>Solved</v>
      </c>
      <c r="O28" s="79" t="str">
        <f>IFERROR(__xludf.DUMMYFUNCTION("""COMPUTED_VALUE"""),"Front-End")</f>
        <v>Front-End</v>
      </c>
      <c r="P28" s="79"/>
      <c r="Q28" s="79" t="str">
        <f>IFERROR(__xludf.DUMMYFUNCTION("""COMPUTED_VALUE"""),"Fahad")</f>
        <v>Fahad</v>
      </c>
      <c r="R28" s="22"/>
      <c r="S28" s="22"/>
      <c r="T28" s="22"/>
      <c r="U28" s="22"/>
      <c r="V28" s="22"/>
      <c r="W28" s="22"/>
      <c r="X28" s="22"/>
      <c r="Y28" s="22"/>
      <c r="Z28" s="22"/>
      <c r="AA28" s="22"/>
    </row>
    <row r="29">
      <c r="A29" s="52" t="s">
        <v>320</v>
      </c>
      <c r="B29" s="79" t="str">
        <f>IFERROR(__xludf.DUMMYFUNCTION("""COMPUTED_VALUE"""),"Home")</f>
        <v>Home</v>
      </c>
      <c r="C29" s="79" t="str">
        <f>IFERROR(__xludf.DUMMYFUNCTION("""COMPUTED_VALUE"""),"Home")</f>
        <v>Home</v>
      </c>
      <c r="D29" s="79" t="str">
        <f>IFERROR(__xludf.DUMMYFUNCTION("""COMPUTED_VALUE"""),"Responsiveness didn’t work.")</f>
        <v>Responsiveness didn’t work.</v>
      </c>
      <c r="E29" s="79" t="str">
        <f>IFERROR(__xludf.DUMMYFUNCTION("""COMPUTED_VALUE"""),"User need to able to access website using browser")</f>
        <v>User need to able to access website using browser</v>
      </c>
      <c r="F29" s="79" t="str">
        <f>IFERROR(__xludf.DUMMYFUNCTION("""COMPUTED_VALUE"""),"1. Open website of ParentBridge
2. Login using valid credentials")</f>
        <v>1. Open website of ParentBridge
2. Login using valid credentials</v>
      </c>
      <c r="G29" s="79" t="str">
        <f>IFERROR(__xludf.DUMMYFUNCTION("""COMPUTED_VALUE"""),"USER CREDENTIAL")</f>
        <v>USER CREDENTIAL</v>
      </c>
      <c r="H29" s="79" t="str">
        <f>IFERROR(__xludf.DUMMYFUNCTION("""COMPUTED_VALUE"""),"Web app should be responsive and adapt seamlessly to any device.")</f>
        <v>Web app should be responsive and adapt seamlessly to any device.</v>
      </c>
      <c r="I29" s="79" t="str">
        <f>IFERROR(__xludf.DUMMYFUNCTION("""COMPUTED_VALUE"""),"Sidebar failed to display responsive mode.")</f>
        <v>Sidebar failed to display responsive mode.</v>
      </c>
      <c r="J29" s="79" t="str">
        <f>IFERROR(__xludf.DUMMYFUNCTION("""COMPUTED_VALUE"""),"Fail")</f>
        <v>Fail</v>
      </c>
      <c r="K29" s="79" t="str">
        <f>IFERROR(__xludf.DUMMYFUNCTION("""COMPUTED_VALUE"""),"High")</f>
        <v>High</v>
      </c>
      <c r="L29" s="80" t="str">
        <f>IFERROR(__xludf.DUMMYFUNCTION("""COMPUTED_VALUE"""),"031.png")</f>
        <v>031.png</v>
      </c>
      <c r="M29" s="79"/>
      <c r="N29" s="79" t="str">
        <f>IFERROR(__xludf.DUMMYFUNCTION("""COMPUTED_VALUE"""),"Solved")</f>
        <v>Solved</v>
      </c>
      <c r="O29" s="79" t="str">
        <f>IFERROR(__xludf.DUMMYFUNCTION("""COMPUTED_VALUE"""),"Front-End")</f>
        <v>Front-End</v>
      </c>
      <c r="P29" s="79"/>
      <c r="Q29" s="79" t="str">
        <f>IFERROR(__xludf.DUMMYFUNCTION("""COMPUTED_VALUE"""),"Fahad")</f>
        <v>Fahad</v>
      </c>
      <c r="R29" s="22"/>
      <c r="S29" s="22"/>
      <c r="T29" s="22"/>
      <c r="U29" s="22"/>
      <c r="V29" s="22"/>
      <c r="W29" s="22"/>
      <c r="X29" s="22"/>
      <c r="Y29" s="22"/>
      <c r="Z29" s="22"/>
      <c r="AA29" s="22"/>
    </row>
    <row r="30">
      <c r="A30" s="52" t="s">
        <v>321</v>
      </c>
      <c r="B30" s="79" t="str">
        <f>IFERROR(__xludf.DUMMYFUNCTION("""COMPUTED_VALUE"""),"Home")</f>
        <v>Home</v>
      </c>
      <c r="C30" s="79" t="str">
        <f>IFERROR(__xludf.DUMMYFUNCTION("""COMPUTED_VALUE"""),"Settings")</f>
        <v>Settings</v>
      </c>
      <c r="D30" s="79" t="str">
        <f>IFERROR(__xludf.DUMMYFUNCTION("""COMPUTED_VALUE"""),"Logout button should be positioned in the left section.")</f>
        <v>Logout button should be positioned in the left section.</v>
      </c>
      <c r="E30" s="79" t="str">
        <f>IFERROR(__xludf.DUMMYFUNCTION("""COMPUTED_VALUE"""),"User need to able to access website using browser")</f>
        <v>User need to able to access website using browser</v>
      </c>
      <c r="F30" s="79" t="str">
        <f>IFERROR(__xludf.DUMMYFUNCTION("""COMPUTED_VALUE"""),"1. Open website of ParentBridge
2. Login using valid credentials
3. click on settings")</f>
        <v>1. Open website of ParentBridge
2. Login using valid credentials
3. click on settings</v>
      </c>
      <c r="G30" s="79" t="str">
        <f>IFERROR(__xludf.DUMMYFUNCTION("""COMPUTED_VALUE"""),"USER CREDENTIAL")</f>
        <v>USER CREDENTIAL</v>
      </c>
      <c r="H30" s="79" t="str">
        <f>IFERROR(__xludf.DUMMYFUNCTION("""COMPUTED_VALUE"""),"Logout button should be placed below the sidebar for convenient access.")</f>
        <v>Logout button should be placed below the sidebar for convenient access.</v>
      </c>
      <c r="I30" s="79" t="str">
        <f>IFERROR(__xludf.DUMMYFUNCTION("""COMPUTED_VALUE"""),"Logout button is under setting tab")</f>
        <v>Logout button is under setting tab</v>
      </c>
      <c r="J30" s="79" t="str">
        <f>IFERROR(__xludf.DUMMYFUNCTION("""COMPUTED_VALUE"""),"Fail")</f>
        <v>Fail</v>
      </c>
      <c r="K30" s="79" t="str">
        <f>IFERROR(__xludf.DUMMYFUNCTION("""COMPUTED_VALUE"""),"Medium")</f>
        <v>Medium</v>
      </c>
      <c r="L30" s="80" t="str">
        <f>IFERROR(__xludf.DUMMYFUNCTION("""COMPUTED_VALUE"""),"030.png")</f>
        <v>030.png</v>
      </c>
      <c r="M30" s="79"/>
      <c r="N30" s="79" t="str">
        <f>IFERROR(__xludf.DUMMYFUNCTION("""COMPUTED_VALUE"""),"Solved")</f>
        <v>Solved</v>
      </c>
      <c r="O30" s="79" t="str">
        <f>IFERROR(__xludf.DUMMYFUNCTION("""COMPUTED_VALUE"""),"Front-End")</f>
        <v>Front-End</v>
      </c>
      <c r="P30" s="79"/>
      <c r="Q30" s="79" t="str">
        <f>IFERROR(__xludf.DUMMYFUNCTION("""COMPUTED_VALUE"""),"Fahad")</f>
        <v>Fahad</v>
      </c>
      <c r="R30" s="22"/>
      <c r="S30" s="22"/>
      <c r="T30" s="22"/>
      <c r="U30" s="22"/>
      <c r="V30" s="22"/>
      <c r="W30" s="22"/>
      <c r="X30" s="22"/>
      <c r="Y30" s="22"/>
      <c r="Z30" s="22"/>
      <c r="AA30" s="22"/>
    </row>
    <row r="31">
      <c r="A31" s="52" t="s">
        <v>322</v>
      </c>
      <c r="B31" s="79" t="str">
        <f>IFERROR(__xludf.DUMMYFUNCTION("""COMPUTED_VALUE"""),"Login")</f>
        <v>Login</v>
      </c>
      <c r="C31" s="79" t="str">
        <f>IFERROR(__xludf.DUMMYFUNCTION("""COMPUTED_VALUE"""),"Forget Password")</f>
        <v>Forget Password</v>
      </c>
      <c r="D31" s="79" t="str">
        <f>IFERROR(__xludf.DUMMYFUNCTION("""COMPUTED_VALUE"""),"The forgot password section failed to display the correct error message.")</f>
        <v>The forgot password section failed to display the correct error message.</v>
      </c>
      <c r="E31" s="79" t="str">
        <f>IFERROR(__xludf.DUMMYFUNCTION("""COMPUTED_VALUE"""),"User need to able to access website using browser")</f>
        <v>User need to able to access website using browser</v>
      </c>
      <c r="F31" s="79" t="str">
        <f>IFERROR(__xludf.DUMMYFUNCTION("""COMPUTED_VALUE"""),"1. Open website of ParentBridge
2. Goto Login Page
3. Click on Forget Password")</f>
        <v>1. Open website of ParentBridge
2. Goto Login Page
3. Click on Forget Password</v>
      </c>
      <c r="G31" s="79" t="str">
        <f>IFERROR(__xludf.DUMMYFUNCTION("""COMPUTED_VALUE"""),"N/A")</f>
        <v>N/A</v>
      </c>
      <c r="H31" s="79" t="str">
        <f>IFERROR(__xludf.DUMMYFUNCTION("""COMPUTED_VALUE"""),"The error should clearly display the exact problem.")</f>
        <v>The error should clearly display the exact problem.</v>
      </c>
      <c r="I31" s="79" t="str">
        <f>IFERROR(__xludf.DUMMYFUNCTION("""COMPUTED_VALUE"""),"The user was not found in the database, and the system returned a 400 error code, which doesn’t seem accurate from the user’s side.")</f>
        <v>The user was not found in the database, and the system returned a 400 error code, which doesn’t seem accurate from the user’s side.</v>
      </c>
      <c r="J31" s="79" t="str">
        <f>IFERROR(__xludf.DUMMYFUNCTION("""COMPUTED_VALUE"""),"Fail")</f>
        <v>Fail</v>
      </c>
      <c r="K31" s="79" t="str">
        <f>IFERROR(__xludf.DUMMYFUNCTION("""COMPUTED_VALUE"""),"High")</f>
        <v>High</v>
      </c>
      <c r="L31" s="80" t="str">
        <f>IFERROR(__xludf.DUMMYFUNCTION("""COMPUTED_VALUE"""),"003.png")</f>
        <v>003.png</v>
      </c>
      <c r="M31" s="79"/>
      <c r="N31" s="79" t="str">
        <f>IFERROR(__xludf.DUMMYFUNCTION("""COMPUTED_VALUE"""),"Solved")</f>
        <v>Solved</v>
      </c>
      <c r="O31" s="79" t="str">
        <f>IFERROR(__xludf.DUMMYFUNCTION("""COMPUTED_VALUE"""),"Front-End")</f>
        <v>Front-End</v>
      </c>
      <c r="P31" s="79"/>
      <c r="Q31" s="79" t="str">
        <f>IFERROR(__xludf.DUMMYFUNCTION("""COMPUTED_VALUE"""),"Fahad")</f>
        <v>Fahad</v>
      </c>
      <c r="R31" s="22"/>
      <c r="S31" s="22"/>
      <c r="T31" s="22"/>
      <c r="U31" s="22"/>
      <c r="V31" s="22"/>
      <c r="W31" s="22"/>
      <c r="X31" s="22"/>
      <c r="Y31" s="22"/>
      <c r="Z31" s="22"/>
      <c r="AA31" s="22"/>
    </row>
    <row r="32">
      <c r="A32" s="52" t="s">
        <v>323</v>
      </c>
      <c r="B32" s="79" t="str">
        <f>IFERROR(__xludf.DUMMYFUNCTION("""COMPUTED_VALUE"""),"Onboarding")</f>
        <v>Onboarding</v>
      </c>
      <c r="C32" s="79" t="str">
        <f>IFERROR(__xludf.DUMMYFUNCTION("""COMPUTED_VALUE"""),"Onboarding")</f>
        <v>Onboarding</v>
      </c>
      <c r="D32" s="79" t="str">
        <f>IFERROR(__xludf.DUMMYFUNCTION("""COMPUTED_VALUE"""),"Secure route has not been implemented yet.")</f>
        <v>Secure route has not been implemented yet.</v>
      </c>
      <c r="E32" s="79" t="str">
        <f>IFERROR(__xludf.DUMMYFUNCTION("""COMPUTED_VALUE"""),"User need to able to access website using browser")</f>
        <v>User need to able to access website using browser</v>
      </c>
      <c r="F32" s="79" t="str">
        <f>IFERROR(__xludf.DUMMYFUNCTION("""COMPUTED_VALUE"""),"1. Open website of ParentBridge
2. Goto Login Page
3. Goto /accout-setup route ")</f>
        <v>1. Open website of ParentBridge
2. Goto Login Page
3. Goto /accout-setup route </v>
      </c>
      <c r="G32" s="79" t="str">
        <f>IFERROR(__xludf.DUMMYFUNCTION("""COMPUTED_VALUE"""),"USER CREDENTIAL")</f>
        <v>USER CREDENTIAL</v>
      </c>
      <c r="H32" s="79" t="str">
        <f>IFERROR(__xludf.DUMMYFUNCTION("""COMPUTED_VALUE"""),"Users should not be allowed to change the route manually.")</f>
        <v>Users should not be allowed to change the route manually.</v>
      </c>
      <c r="I32" s="79" t="str">
        <f>IFERROR(__xludf.DUMMYFUNCTION("""COMPUTED_VALUE"""),"User can manually change the route, which could raise security concerns.")</f>
        <v>User can manually change the route, which could raise security concerns.</v>
      </c>
      <c r="J32" s="79" t="str">
        <f>IFERROR(__xludf.DUMMYFUNCTION("""COMPUTED_VALUE"""),"Fail")</f>
        <v>Fail</v>
      </c>
      <c r="K32" s="79" t="str">
        <f>IFERROR(__xludf.DUMMYFUNCTION("""COMPUTED_VALUE"""),"High")</f>
        <v>High</v>
      </c>
      <c r="L32" s="80" t="str">
        <f>IFERROR(__xludf.DUMMYFUNCTION("""COMPUTED_VALUE"""),"006.mp4")</f>
        <v>006.mp4</v>
      </c>
      <c r="M32" s="79"/>
      <c r="N32" s="79" t="str">
        <f>IFERROR(__xludf.DUMMYFUNCTION("""COMPUTED_VALUE"""),"Solved")</f>
        <v>Solved</v>
      </c>
      <c r="O32" s="79" t="str">
        <f>IFERROR(__xludf.DUMMYFUNCTION("""COMPUTED_VALUE"""),"Front-End")</f>
        <v>Front-End</v>
      </c>
      <c r="P32" s="79"/>
      <c r="Q32" s="79" t="str">
        <f>IFERROR(__xludf.DUMMYFUNCTION("""COMPUTED_VALUE"""),"Fahad")</f>
        <v>Fahad</v>
      </c>
      <c r="R32" s="22"/>
      <c r="S32" s="22"/>
      <c r="T32" s="22"/>
      <c r="U32" s="22"/>
      <c r="V32" s="22"/>
      <c r="W32" s="22"/>
      <c r="X32" s="22"/>
      <c r="Y32" s="22"/>
      <c r="Z32" s="22"/>
      <c r="AA32" s="22"/>
    </row>
    <row r="33">
      <c r="A33" s="52" t="s">
        <v>324</v>
      </c>
      <c r="B33" s="79" t="str">
        <f>IFERROR(__xludf.DUMMYFUNCTION("""COMPUTED_VALUE"""),"Settings")</f>
        <v>Settings</v>
      </c>
      <c r="C33" s="79" t="str">
        <f>IFERROR(__xludf.DUMMYFUNCTION("""COMPUTED_VALUE"""),"Help and Support")</f>
        <v>Help and Support</v>
      </c>
      <c r="D33" s="79" t="str">
        <f>IFERROR(__xludf.DUMMYFUNCTION("""COMPUTED_VALUE"""),"Call support is not integrated yet.")</f>
        <v>Call support is not integrated yet.</v>
      </c>
      <c r="E33" s="79" t="str">
        <f>IFERROR(__xludf.DUMMYFUNCTION("""COMPUTED_VALUE"""),"User need to able to access website using browser")</f>
        <v>User need to able to access website using browser</v>
      </c>
      <c r="F33" s="79" t="str">
        <f>IFERROR(__xludf.DUMMYFUNCTION("""COMPUTED_VALUE"""),"1. Open website of ParentBridge
2. Login using valid credentials
3. click on settings
4. click on Help and Support")</f>
        <v>1. Open website of ParentBridge
2. Login using valid credentials
3. click on settings
4. click on Help and Support</v>
      </c>
      <c r="G33" s="79" t="str">
        <f>IFERROR(__xludf.DUMMYFUNCTION("""COMPUTED_VALUE"""),"USER CREDENTIAL")</f>
        <v>USER CREDENTIAL</v>
      </c>
      <c r="H33" s="79" t="str">
        <f>IFERROR(__xludf.DUMMYFUNCTION("""COMPUTED_VALUE"""),"Call support button should be implemented flawlessly.")</f>
        <v>Call support button should be implemented flawlessly.</v>
      </c>
      <c r="I33" s="79" t="str">
        <f>IFERROR(__xludf.DUMMYFUNCTION("""COMPUTED_VALUE"""),"Call support feature hasn’t been set up yet.")</f>
        <v>Call support feature hasn’t been set up yet.</v>
      </c>
      <c r="J33" s="79" t="str">
        <f>IFERROR(__xludf.DUMMYFUNCTION("""COMPUTED_VALUE"""),"Fail")</f>
        <v>Fail</v>
      </c>
      <c r="K33" s="79" t="str">
        <f>IFERROR(__xludf.DUMMYFUNCTION("""COMPUTED_VALUE"""),"High")</f>
        <v>High</v>
      </c>
      <c r="L33" s="80" t="str">
        <f>IFERROR(__xludf.DUMMYFUNCTION("""COMPUTED_VALUE"""),"038.png")</f>
        <v>038.png</v>
      </c>
      <c r="M33" s="79"/>
      <c r="N33" s="79" t="str">
        <f>IFERROR(__xludf.DUMMYFUNCTION("""COMPUTED_VALUE"""),"Unsolved")</f>
        <v>Unsolved</v>
      </c>
      <c r="O33" s="79"/>
      <c r="P33" s="79" t="str">
        <f>IFERROR(__xludf.DUMMYFUNCTION("""COMPUTED_VALUE"""),"I need the support phone number")</f>
        <v>I need the support phone number</v>
      </c>
      <c r="Q33" s="79" t="str">
        <f>IFERROR(__xludf.DUMMYFUNCTION("""COMPUTED_VALUE"""),"Fahad")</f>
        <v>Fahad</v>
      </c>
      <c r="R33" s="22"/>
      <c r="S33" s="22"/>
      <c r="T33" s="22"/>
      <c r="U33" s="22"/>
      <c r="V33" s="22"/>
      <c r="W33" s="22"/>
      <c r="X33" s="22"/>
      <c r="Y33" s="22"/>
      <c r="Z33" s="22"/>
      <c r="AA33" s="22"/>
    </row>
    <row r="34">
      <c r="A34" s="52" t="s">
        <v>325</v>
      </c>
      <c r="B34" s="79" t="str">
        <f>IFERROR(__xludf.DUMMYFUNCTION("""COMPUTED_VALUE"""),"Settings")</f>
        <v>Settings</v>
      </c>
      <c r="C34" s="79" t="str">
        <f>IFERROR(__xludf.DUMMYFUNCTION("""COMPUTED_VALUE"""),"Help and Support")</f>
        <v>Help and Support</v>
      </c>
      <c r="D34" s="79" t="str">
        <f>IFERROR(__xludf.DUMMYFUNCTION("""COMPUTED_VALUE"""),"Email support hasn’t been set up yet.")</f>
        <v>Email support hasn’t been set up yet.</v>
      </c>
      <c r="E34" s="79" t="str">
        <f>IFERROR(__xludf.DUMMYFUNCTION("""COMPUTED_VALUE"""),"User need to able to access website using browser")</f>
        <v>User need to able to access website using browser</v>
      </c>
      <c r="F34" s="79" t="str">
        <f>IFERROR(__xludf.DUMMYFUNCTION("""COMPUTED_VALUE"""),"1. Open website of ParentBridge
2. Login using valid credentials
3. click on settings
4. click on Help and Support")</f>
        <v>1. Open website of ParentBridge
2. Login using valid credentials
3. click on settings
4. click on Help and Support</v>
      </c>
      <c r="G34" s="79" t="str">
        <f>IFERROR(__xludf.DUMMYFUNCTION("""COMPUTED_VALUE"""),"USER CREDENTIAL")</f>
        <v>USER CREDENTIAL</v>
      </c>
      <c r="H34" s="79" t="str">
        <f>IFERROR(__xludf.DUMMYFUNCTION("""COMPUTED_VALUE"""),"Email support should be implemented precisely.")</f>
        <v>Email support should be implemented precisely.</v>
      </c>
      <c r="I34" s="79" t="str">
        <f>IFERROR(__xludf.DUMMYFUNCTION("""COMPUTED_VALUE"""),"Feature hasn't been implemented yet.")</f>
        <v>Feature hasn't been implemented yet.</v>
      </c>
      <c r="J34" s="79" t="str">
        <f>IFERROR(__xludf.DUMMYFUNCTION("""COMPUTED_VALUE"""),"Fail")</f>
        <v>Fail</v>
      </c>
      <c r="K34" s="79" t="str">
        <f>IFERROR(__xludf.DUMMYFUNCTION("""COMPUTED_VALUE"""),"High")</f>
        <v>High</v>
      </c>
      <c r="L34" s="80" t="str">
        <f>IFERROR(__xludf.DUMMYFUNCTION("""COMPUTED_VALUE"""),"039.png")</f>
        <v>039.png</v>
      </c>
      <c r="M34" s="79"/>
      <c r="N34" s="79" t="str">
        <f>IFERROR(__xludf.DUMMYFUNCTION("""COMPUTED_VALUE"""),"Unsolved")</f>
        <v>Unsolved</v>
      </c>
      <c r="O34" s="79"/>
      <c r="P34" s="79" t="str">
        <f>IFERROR(__xludf.DUMMYFUNCTION("""COMPUTED_VALUE"""),"I need teh support email address")</f>
        <v>I need teh support email address</v>
      </c>
      <c r="Q34" s="79" t="str">
        <f>IFERROR(__xludf.DUMMYFUNCTION("""COMPUTED_VALUE"""),"Fahad")</f>
        <v>Fahad</v>
      </c>
      <c r="R34" s="22"/>
      <c r="S34" s="22"/>
      <c r="T34" s="22"/>
      <c r="U34" s="22"/>
      <c r="V34" s="22"/>
      <c r="W34" s="22"/>
      <c r="X34" s="22"/>
      <c r="Y34" s="22"/>
      <c r="Z34" s="22"/>
      <c r="AA34" s="22"/>
    </row>
    <row r="35">
      <c r="A35" s="52" t="s">
        <v>326</v>
      </c>
      <c r="B35" s="79" t="str">
        <f>IFERROR(__xludf.DUMMYFUNCTION("""COMPUTED_VALUE"""),"Settings")</f>
        <v>Settings</v>
      </c>
      <c r="C35" s="79" t="str">
        <f>IFERROR(__xludf.DUMMYFUNCTION("""COMPUTED_VALUE"""),"Help and Support")</f>
        <v>Help and Support</v>
      </c>
      <c r="D35" s="79" t="str">
        <f>IFERROR(__xludf.DUMMYFUNCTION("""COMPUTED_VALUE"""),"Live chat support hasn’t been set up yet.")</f>
        <v>Live chat support hasn’t been set up yet.</v>
      </c>
      <c r="E35" s="79" t="str">
        <f>IFERROR(__xludf.DUMMYFUNCTION("""COMPUTED_VALUE"""),"User need to able to access website using browser")</f>
        <v>User need to able to access website using browser</v>
      </c>
      <c r="F35" s="79" t="str">
        <f>IFERROR(__xludf.DUMMYFUNCTION("""COMPUTED_VALUE"""),"1. Open website of ParentBridge
2. Login using valid credentials
3. click on settings
4. click on Help and Support")</f>
        <v>1. Open website of ParentBridge
2. Login using valid credentials
3. click on settings
4. click on Help and Support</v>
      </c>
      <c r="G35" s="79" t="str">
        <f>IFERROR(__xludf.DUMMYFUNCTION("""COMPUTED_VALUE"""),"USER CREDENTIAL")</f>
        <v>USER CREDENTIAL</v>
      </c>
      <c r="H35" s="79" t="str">
        <f>IFERROR(__xludf.DUMMYFUNCTION("""COMPUTED_VALUE"""),"Live chat support should be implemented precisely.")</f>
        <v>Live chat support should be implemented precisely.</v>
      </c>
      <c r="I35" s="79" t="str">
        <f>IFERROR(__xludf.DUMMYFUNCTION("""COMPUTED_VALUE"""),"Feature hasn't been implemented yet.")</f>
        <v>Feature hasn't been implemented yet.</v>
      </c>
      <c r="J35" s="79" t="str">
        <f>IFERROR(__xludf.DUMMYFUNCTION("""COMPUTED_VALUE"""),"Fail")</f>
        <v>Fail</v>
      </c>
      <c r="K35" s="79" t="str">
        <f>IFERROR(__xludf.DUMMYFUNCTION("""COMPUTED_VALUE"""),"High")</f>
        <v>High</v>
      </c>
      <c r="L35" s="80" t="str">
        <f>IFERROR(__xludf.DUMMYFUNCTION("""COMPUTED_VALUE"""),"040.png")</f>
        <v>040.png</v>
      </c>
      <c r="M35" s="79"/>
      <c r="N35" s="79" t="str">
        <f>IFERROR(__xludf.DUMMYFUNCTION("""COMPUTED_VALUE"""),"Solved")</f>
        <v>Solved</v>
      </c>
      <c r="O35" s="79"/>
      <c r="P35" s="79" t="str">
        <f>IFERROR(__xludf.DUMMYFUNCTION("""COMPUTED_VALUE"""),"Its not in figma so I removed it")</f>
        <v>Its not in figma so I removed it</v>
      </c>
      <c r="Q35" s="79" t="str">
        <f>IFERROR(__xludf.DUMMYFUNCTION("""COMPUTED_VALUE"""),"Fahad")</f>
        <v>Fahad</v>
      </c>
      <c r="R35" s="22"/>
      <c r="S35" s="22"/>
      <c r="T35" s="22"/>
      <c r="U35" s="22"/>
      <c r="V35" s="22"/>
      <c r="W35" s="22"/>
      <c r="X35" s="22"/>
      <c r="Y35" s="22"/>
      <c r="Z35" s="22"/>
      <c r="AA35" s="22"/>
    </row>
    <row r="36">
      <c r="A36" s="52" t="s">
        <v>327</v>
      </c>
      <c r="B36" s="79" t="str">
        <f>IFERROR(__xludf.DUMMYFUNCTION("""COMPUTED_VALUE"""),"Settings")</f>
        <v>Settings</v>
      </c>
      <c r="C36" s="79" t="str">
        <f>IFERROR(__xludf.DUMMYFUNCTION("""COMPUTED_VALUE"""),"Profile Information")</f>
        <v>Profile Information</v>
      </c>
      <c r="D36" s="79" t="str">
        <f>IFERROR(__xludf.DUMMYFUNCTION("""COMPUTED_VALUE"""),"Email field missing in profile information tab")</f>
        <v>Email field missing in profile information tab</v>
      </c>
      <c r="E36" s="79" t="str">
        <f>IFERROR(__xludf.DUMMYFUNCTION("""COMPUTED_VALUE"""),"User need to able to access website using browser")</f>
        <v>User need to able to access website using browser</v>
      </c>
      <c r="F36" s="79" t="str">
        <f>IFERROR(__xludf.DUMMYFUNCTION("""COMPUTED_VALUE"""),"1. Open website of ParentBridge
2. Login using valid credentials
3. click on settings
4. click on profile information")</f>
        <v>1. Open website of ParentBridge
2. Login using valid credentials
3. click on settings
4. click on profile information</v>
      </c>
      <c r="G36" s="79" t="str">
        <f>IFERROR(__xludf.DUMMYFUNCTION("""COMPUTED_VALUE"""),"USER CREDENTIAL")</f>
        <v>USER CREDENTIAL</v>
      </c>
      <c r="H36" s="79" t="str">
        <f>IFERROR(__xludf.DUMMYFUNCTION("""COMPUTED_VALUE"""),"Email field should be visible in the profile information.")</f>
        <v>Email field should be visible in the profile information.</v>
      </c>
      <c r="I36" s="79" t="str">
        <f>IFERROR(__xludf.DUMMYFUNCTION("""COMPUTED_VALUE"""),"Email name field is missing in the profile information section.")</f>
        <v>Email name field is missing in the profile information section.</v>
      </c>
      <c r="J36" s="79" t="str">
        <f>IFERROR(__xludf.DUMMYFUNCTION("""COMPUTED_VALUE"""),"Fail")</f>
        <v>Fail</v>
      </c>
      <c r="K36" s="79" t="str">
        <f>IFERROR(__xludf.DUMMYFUNCTION("""COMPUTED_VALUE"""),"Medium")</f>
        <v>Medium</v>
      </c>
      <c r="L36" s="80" t="str">
        <f>IFERROR(__xludf.DUMMYFUNCTION("""COMPUTED_VALUE"""),"029.png")</f>
        <v>029.png</v>
      </c>
      <c r="M36" s="79"/>
      <c r="N36" s="79" t="str">
        <f>IFERROR(__xludf.DUMMYFUNCTION("""COMPUTED_VALUE"""),"Unsolved")</f>
        <v>Unsolved</v>
      </c>
      <c r="O36" s="79" t="str">
        <f>IFERROR(__xludf.DUMMYFUNCTION("""COMPUTED_VALUE"""),"Back-End")</f>
        <v>Back-End</v>
      </c>
      <c r="P36" s="79" t="str">
        <f>IFERROR(__xludf.DUMMYFUNCTION("""COMPUTED_VALUE"""),"Email is not coming in profile api")</f>
        <v>Email is not coming in profile api</v>
      </c>
      <c r="Q36" s="79" t="str">
        <f>IFERROR(__xludf.DUMMYFUNCTION("""COMPUTED_VALUE"""),"Fahad")</f>
        <v>Fahad</v>
      </c>
      <c r="R36" s="22"/>
      <c r="S36" s="22"/>
      <c r="T36" s="22"/>
      <c r="U36" s="22"/>
      <c r="V36" s="22"/>
      <c r="W36" s="22"/>
      <c r="X36" s="22"/>
      <c r="Y36" s="22"/>
      <c r="Z36" s="22"/>
      <c r="AA36" s="22"/>
    </row>
    <row r="37">
      <c r="A37" s="52" t="s">
        <v>328</v>
      </c>
      <c r="B37" s="79" t="str">
        <f>IFERROR(__xludf.DUMMYFUNCTION("""COMPUTED_VALUE"""),"Settings")</f>
        <v>Settings</v>
      </c>
      <c r="C37" s="79" t="str">
        <f>IFERROR(__xludf.DUMMYFUNCTION("""COMPUTED_VALUE"""),"Profile Information")</f>
        <v>Profile Information</v>
      </c>
      <c r="D37" s="79" t="str">
        <f>IFERROR(__xludf.DUMMYFUNCTION("""COMPUTED_VALUE"""),"Co-parent's contact number is not showing up in the user’s co-parent information section.")</f>
        <v>Co-parent's contact number is not showing up in the user’s co-parent information section.</v>
      </c>
      <c r="E37" s="79" t="str">
        <f>IFERROR(__xludf.DUMMYFUNCTION("""COMPUTED_VALUE"""),"User need to able to access website using browser")</f>
        <v>User need to able to access website using browser</v>
      </c>
      <c r="F37" s="79" t="str">
        <f>IFERROR(__xludf.DUMMYFUNCTION("""COMPUTED_VALUE"""),"1. Open website of ParentBridge
2. Login using valid credentials
3. click on settings
4. click on co-parent information")</f>
        <v>1. Open website of ParentBridge
2. Login using valid credentials
3. click on settings
4. click on co-parent information</v>
      </c>
      <c r="G37" s="79" t="str">
        <f>IFERROR(__xludf.DUMMYFUNCTION("""COMPUTED_VALUE"""),"USER CREDENTIAL")</f>
        <v>USER CREDENTIAL</v>
      </c>
      <c r="H37" s="79" t="str">
        <f>IFERROR(__xludf.DUMMYFUNCTION("""COMPUTED_VALUE"""),"Contact should be displayed in both parents' profiles")</f>
        <v>Contact should be displayed in both parents' profiles</v>
      </c>
      <c r="I37" s="79" t="str">
        <f>IFERROR(__xludf.DUMMYFUNCTION("""COMPUTED_VALUE"""),"Co-parent’s profile is missing a contact number.")</f>
        <v>Co-parent’s profile is missing a contact number.</v>
      </c>
      <c r="J37" s="79" t="str">
        <f>IFERROR(__xludf.DUMMYFUNCTION("""COMPUTED_VALUE"""),"Fail")</f>
        <v>Fail</v>
      </c>
      <c r="K37" s="79" t="str">
        <f>IFERROR(__xludf.DUMMYFUNCTION("""COMPUTED_VALUE"""),"High")</f>
        <v>High</v>
      </c>
      <c r="L37" s="80" t="str">
        <f>IFERROR(__xludf.DUMMYFUNCTION("""COMPUTED_VALUE"""),"032.png")</f>
        <v>032.png</v>
      </c>
      <c r="M37" s="79"/>
      <c r="N37" s="79" t="str">
        <f>IFERROR(__xludf.DUMMYFUNCTION("""COMPUTED_VALUE"""),"Unsolved")</f>
        <v>Unsolved</v>
      </c>
      <c r="O37" s="79" t="str">
        <f>IFERROR(__xludf.DUMMYFUNCTION("""COMPUTED_VALUE"""),"Back-End")</f>
        <v>Back-End</v>
      </c>
      <c r="P37" s="79" t="str">
        <f>IFERROR(__xludf.DUMMYFUNCTION("""COMPUTED_VALUE"""),"Backend, please check this issue because I am showing all the fields properly")</f>
        <v>Backend, please check this issue because I am showing all the fields properly</v>
      </c>
      <c r="Q37" s="79" t="str">
        <f>IFERROR(__xludf.DUMMYFUNCTION("""COMPUTED_VALUE"""),"Fahad")</f>
        <v>Fahad</v>
      </c>
      <c r="R37" s="22"/>
      <c r="S37" s="22"/>
      <c r="T37" s="22"/>
      <c r="U37" s="22"/>
      <c r="V37" s="22"/>
      <c r="W37" s="22"/>
      <c r="X37" s="22"/>
      <c r="Y37" s="22"/>
      <c r="Z37" s="22"/>
      <c r="AA37" s="22"/>
    </row>
    <row r="38">
      <c r="A38" s="52" t="s">
        <v>329</v>
      </c>
      <c r="B38" s="79" t="str">
        <f>IFERROR(__xludf.DUMMYFUNCTION("""COMPUTED_VALUE"""),"Settings")</f>
        <v>Settings</v>
      </c>
      <c r="C38" s="79" t="str">
        <f>IFERROR(__xludf.DUMMYFUNCTION("""COMPUTED_VALUE"""),"Profile Information")</f>
        <v>Profile Information</v>
      </c>
      <c r="D38" s="79" t="str">
        <f>IFERROR(__xludf.DUMMYFUNCTION("""COMPUTED_VALUE"""),"Name, state, and phone are typically required to create an account, but you can still set one up without them.")</f>
        <v>Name, state, and phone are typically required to create an account, but you can still set one up without them.</v>
      </c>
      <c r="E38" s="79" t="str">
        <f>IFERROR(__xludf.DUMMYFUNCTION("""COMPUTED_VALUE"""),"User need to able to access website using browser")</f>
        <v>User need to able to access website using browser</v>
      </c>
      <c r="F38" s="79" t="str">
        <f>IFERROR(__xludf.DUMMYFUNCTION("""COMPUTED_VALUE"""),"1. Open website of ParentBridge
2. Login using valid credentials
3. click on settings
4. click on co-parent information")</f>
        <v>1. Open website of ParentBridge
2. Login using valid credentials
3. click on settings
4. click on co-parent information</v>
      </c>
      <c r="G38" s="79" t="str">
        <f>IFERROR(__xludf.DUMMYFUNCTION("""COMPUTED_VALUE"""),"USER CREDENTIAL")</f>
        <v>USER CREDENTIAL</v>
      </c>
      <c r="H38" s="79" t="str">
        <f>IFERROR(__xludf.DUMMYFUNCTION("""COMPUTED_VALUE"""),"Profile setup page should include the required field.")</f>
        <v>Profile setup page should include the required field.</v>
      </c>
      <c r="I38" s="79" t="str">
        <f>IFERROR(__xludf.DUMMYFUNCTION("""COMPUTED_VALUE"""),"Required fields are not being captured during profile setup.")</f>
        <v>Required fields are not being captured during profile setup.</v>
      </c>
      <c r="J38" s="79" t="str">
        <f>IFERROR(__xludf.DUMMYFUNCTION("""COMPUTED_VALUE"""),"Fail")</f>
        <v>Fail</v>
      </c>
      <c r="K38" s="79" t="str">
        <f>IFERROR(__xludf.DUMMYFUNCTION("""COMPUTED_VALUE"""),"High")</f>
        <v>High</v>
      </c>
      <c r="L38" s="80" t="str">
        <f>IFERROR(__xludf.DUMMYFUNCTION("""COMPUTED_VALUE"""),"037.png")</f>
        <v>037.png</v>
      </c>
      <c r="M38" s="79"/>
      <c r="N38" s="79" t="str">
        <f>IFERROR(__xludf.DUMMYFUNCTION("""COMPUTED_VALUE"""),"Unsolved")</f>
        <v>Unsolved</v>
      </c>
      <c r="O38" s="79"/>
      <c r="P38" s="79" t="str">
        <f>IFERROR(__xludf.DUMMYFUNCTION("""COMPUTED_VALUE"""),"User cant create account without account setup")</f>
        <v>User cant create account without account setup</v>
      </c>
      <c r="Q38" s="79" t="str">
        <f>IFERROR(__xludf.DUMMYFUNCTION("""COMPUTED_VALUE"""),"Fahad")</f>
        <v>Fahad</v>
      </c>
      <c r="R38" s="22"/>
      <c r="S38" s="22"/>
      <c r="T38" s="22"/>
      <c r="U38" s="22"/>
      <c r="V38" s="22"/>
      <c r="W38" s="22"/>
      <c r="X38" s="22"/>
      <c r="Y38" s="22"/>
      <c r="Z38" s="22"/>
      <c r="AA38" s="22"/>
    </row>
    <row r="39">
      <c r="A39" s="52" t="s">
        <v>330</v>
      </c>
      <c r="B39" s="79" t="str">
        <f>IFERROR(__xludf.DUMMYFUNCTION("""COMPUTED_VALUE"""),"Signup")</f>
        <v>Signup</v>
      </c>
      <c r="C39" s="79" t="str">
        <f>IFERROR(__xludf.DUMMYFUNCTION("""COMPUTED_VALUE"""),"OTP")</f>
        <v>OTP</v>
      </c>
      <c r="D39" s="79" t="str">
        <f>IFERROR(__xludf.DUMMYFUNCTION("""COMPUTED_VALUE"""),"Able to signup with expired OTP")</f>
        <v>Able to signup with expired OTP</v>
      </c>
      <c r="E39" s="79" t="str">
        <f>IFERROR(__xludf.DUMMYFUNCTION("""COMPUTED_VALUE"""),"User need to able to access website using browser")</f>
        <v>User need to able to access website using browser</v>
      </c>
      <c r="F39" s="79" t="str">
        <f>IFERROR(__xludf.DUMMYFUNCTION("""COMPUTED_VALUE"""),"1. Open website of ParentBridge
2. Goto Login Page
3. Click on SignUp
4. Enter expired OTP and click on verify")</f>
        <v>1. Open website of ParentBridge
2. Goto Login Page
3. Click on SignUp
4. Enter expired OTP and click on verify</v>
      </c>
      <c r="G39" s="79" t="str">
        <f>IFERROR(__xludf.DUMMYFUNCTION("""COMPUTED_VALUE"""),"USER CREDENTIAL")</f>
        <v>USER CREDENTIAL</v>
      </c>
      <c r="H39" s="79" t="str">
        <f>IFERROR(__xludf.DUMMYFUNCTION("""COMPUTED_VALUE"""),"User shouldn’t be able to verify their login credentials using an expired OTP.")</f>
        <v>User shouldn’t be able to verify their login credentials using an expired OTP.</v>
      </c>
      <c r="I39" s="79" t="str">
        <f>IFERROR(__xludf.DUMMYFUNCTION("""COMPUTED_VALUE"""),"Users can verify their profile using an expired OTP.")</f>
        <v>Users can verify their profile using an expired OTP.</v>
      </c>
      <c r="J39" s="79" t="str">
        <f>IFERROR(__xludf.DUMMYFUNCTION("""COMPUTED_VALUE"""),"Fail")</f>
        <v>Fail</v>
      </c>
      <c r="K39" s="79" t="str">
        <f>IFERROR(__xludf.DUMMYFUNCTION("""COMPUTED_VALUE"""),"High")</f>
        <v>High</v>
      </c>
      <c r="L39" s="80" t="str">
        <f>IFERROR(__xludf.DUMMYFUNCTION("""COMPUTED_VALUE"""),"005.mp4")</f>
        <v>005.mp4</v>
      </c>
      <c r="M39" s="79"/>
      <c r="N39" s="79" t="str">
        <f>IFERROR(__xludf.DUMMYFUNCTION("""COMPUTED_VALUE"""),"Solved")</f>
        <v>Solved</v>
      </c>
      <c r="O39" s="79" t="str">
        <f>IFERROR(__xludf.DUMMYFUNCTION("""COMPUTED_VALUE"""),"Front-End")</f>
        <v>Front-End</v>
      </c>
      <c r="P39" s="79"/>
      <c r="Q39" s="79" t="str">
        <f>IFERROR(__xludf.DUMMYFUNCTION("""COMPUTED_VALUE"""),"Fahad")</f>
        <v>Fahad</v>
      </c>
      <c r="R39" s="22"/>
      <c r="S39" s="22"/>
      <c r="T39" s="22"/>
      <c r="U39" s="22"/>
      <c r="V39" s="22"/>
      <c r="W39" s="22"/>
      <c r="X39" s="22"/>
      <c r="Y39" s="22"/>
      <c r="Z39" s="22"/>
      <c r="AA39" s="22"/>
    </row>
    <row r="40">
      <c r="A40" s="52" t="s">
        <v>331</v>
      </c>
      <c r="B40" s="79" t="str">
        <f>IFERROR(__xludf.DUMMYFUNCTION("""COMPUTED_VALUE"""),"Signup")</f>
        <v>Signup</v>
      </c>
      <c r="C40" s="79" t="str">
        <f>IFERROR(__xludf.DUMMYFUNCTION("""COMPUTED_VALUE"""),"Signup")</f>
        <v>Signup</v>
      </c>
      <c r="D40" s="79" t="str">
        <f>IFERROR(__xludf.DUMMYFUNCTION("""COMPUTED_VALUE"""),"Failed to signup using google signin")</f>
        <v>Failed to signup using google signin</v>
      </c>
      <c r="E40" s="79" t="str">
        <f>IFERROR(__xludf.DUMMYFUNCTION("""COMPUTED_VALUE"""),"User need to able to access website using browser")</f>
        <v>User need to able to access website using browser</v>
      </c>
      <c r="F40" s="79" t="str">
        <f>IFERROR(__xludf.DUMMYFUNCTION("""COMPUTED_VALUE"""),"1. Open website of ParentBridge
2. Goto Login Page
3. Click on SignUp")</f>
        <v>1. Open website of ParentBridge
2. Goto Login Page
3. Click on SignUp</v>
      </c>
      <c r="G40" s="79" t="str">
        <f>IFERROR(__xludf.DUMMYFUNCTION("""COMPUTED_VALUE"""),"N/A")</f>
        <v>N/A</v>
      </c>
      <c r="H40" s="79" t="str">
        <f>IFERROR(__xludf.DUMMYFUNCTION("""COMPUTED_VALUE"""),"User should be able to signup through google signup")</f>
        <v>User should be able to signup through google signup</v>
      </c>
      <c r="I40" s="79" t="str">
        <f>IFERROR(__xludf.DUMMYFUNCTION("""COMPUTED_VALUE"""),"Unable to sign up using Google.")</f>
        <v>Unable to sign up using Google.</v>
      </c>
      <c r="J40" s="79" t="str">
        <f>IFERROR(__xludf.DUMMYFUNCTION("""COMPUTED_VALUE"""),"Fail")</f>
        <v>Fail</v>
      </c>
      <c r="K40" s="79" t="str">
        <f>IFERROR(__xludf.DUMMYFUNCTION("""COMPUTED_VALUE"""),"High")</f>
        <v>High</v>
      </c>
      <c r="L40" s="80" t="str">
        <f>IFERROR(__xludf.DUMMYFUNCTION("""COMPUTED_VALUE"""),"004.png")</f>
        <v>004.png</v>
      </c>
      <c r="M40" s="79"/>
      <c r="N40" s="79" t="str">
        <f>IFERROR(__xludf.DUMMYFUNCTION("""COMPUTED_VALUE"""),"Solved")</f>
        <v>Solved</v>
      </c>
      <c r="O40" s="79" t="str">
        <f>IFERROR(__xludf.DUMMYFUNCTION("""COMPUTED_VALUE"""),"Front-End")</f>
        <v>Front-End</v>
      </c>
      <c r="P40" s="79"/>
      <c r="Q40" s="79" t="str">
        <f>IFERROR(__xludf.DUMMYFUNCTION("""COMPUTED_VALUE"""),"Fahad")</f>
        <v>Fahad</v>
      </c>
      <c r="R40" s="22"/>
      <c r="S40" s="22"/>
      <c r="T40" s="22"/>
      <c r="U40" s="22"/>
      <c r="V40" s="22"/>
      <c r="W40" s="22"/>
      <c r="X40" s="22"/>
      <c r="Y40" s="22"/>
      <c r="Z40" s="22"/>
      <c r="AA40" s="22"/>
    </row>
    <row r="41">
      <c r="A41" s="52" t="s">
        <v>332</v>
      </c>
      <c r="B41" s="79" t="str">
        <f>IFERROR(__xludf.DUMMYFUNCTION("""COMPUTED_VALUE"""),"Signup")</f>
        <v>Signup</v>
      </c>
      <c r="C41" s="79" t="str">
        <f>IFERROR(__xludf.DUMMYFUNCTION("""COMPUTED_VALUE"""),"Signup")</f>
        <v>Signup</v>
      </c>
      <c r="D41" s="79" t="str">
        <f>IFERROR(__xludf.DUMMYFUNCTION("""COMPUTED_VALUE"""),"Dull color theme of the signup button makes users think it’s not clickable.")</f>
        <v>Dull color theme of the signup button makes users think it’s not clickable.</v>
      </c>
      <c r="E41" s="79" t="str">
        <f>IFERROR(__xludf.DUMMYFUNCTION("""COMPUTED_VALUE"""),"User need to able to access website using browser")</f>
        <v>User need to able to access website using browser</v>
      </c>
      <c r="F41" s="79" t="str">
        <f>IFERROR(__xludf.DUMMYFUNCTION("""COMPUTED_VALUE"""),"1. Open website of ParentBridge
2. Goto Login Page
3. Click on SignUp")</f>
        <v>1. Open website of ParentBridge
2. Goto Login Page
3. Click on SignUp</v>
      </c>
      <c r="G41" s="79" t="str">
        <f>IFERROR(__xludf.DUMMYFUNCTION("""COMPUTED_VALUE"""),"N/A")</f>
        <v>N/A</v>
      </c>
      <c r="H41" s="79" t="str">
        <f>IFERROR(__xludf.DUMMYFUNCTION("""COMPUTED_VALUE"""),"Button color should be bright from the user's perspective.")</f>
        <v>Button color should be bright from the user's perspective.</v>
      </c>
      <c r="I41" s="79" t="str">
        <f>IFERROR(__xludf.DUMMYFUNCTION("""COMPUTED_VALUE"""),"Signup button uses a dull color.")</f>
        <v>Signup button uses a dull color.</v>
      </c>
      <c r="J41" s="79" t="str">
        <f>IFERROR(__xludf.DUMMYFUNCTION("""COMPUTED_VALUE"""),"Fail")</f>
        <v>Fail</v>
      </c>
      <c r="K41" s="79" t="str">
        <f>IFERROR(__xludf.DUMMYFUNCTION("""COMPUTED_VALUE"""),"Low")</f>
        <v>Low</v>
      </c>
      <c r="L41" s="80" t="str">
        <f>IFERROR(__xludf.DUMMYFUNCTION("""COMPUTED_VALUE"""),"025.png")</f>
        <v>025.png</v>
      </c>
      <c r="M41" s="79"/>
      <c r="N41" s="79" t="str">
        <f>IFERROR(__xludf.DUMMYFUNCTION("""COMPUTED_VALUE"""),"Solved")</f>
        <v>Solved</v>
      </c>
      <c r="O41" s="79" t="str">
        <f>IFERROR(__xludf.DUMMYFUNCTION("""COMPUTED_VALUE"""),"Back-End")</f>
        <v>Back-End</v>
      </c>
      <c r="P41" s="79" t="str">
        <f>IFERROR(__xludf.DUMMYFUNCTION("""COMPUTED_VALUE"""),"It is handled by backend")</f>
        <v>It is handled by backend</v>
      </c>
      <c r="Q41" s="79" t="str">
        <f>IFERROR(__xludf.DUMMYFUNCTION("""COMPUTED_VALUE"""),"Fahad")</f>
        <v>Fahad</v>
      </c>
      <c r="R41" s="22"/>
      <c r="S41" s="22"/>
      <c r="T41" s="22"/>
      <c r="U41" s="22"/>
      <c r="V41" s="22"/>
      <c r="W41" s="22"/>
      <c r="X41" s="22"/>
      <c r="Y41" s="22"/>
      <c r="Z41" s="22"/>
      <c r="AA41" s="22"/>
    </row>
    <row r="42">
      <c r="A42" s="52" t="s">
        <v>333</v>
      </c>
      <c r="B42" s="79" t="str">
        <f>IFERROR(__xludf.DUMMYFUNCTION("""COMPUTED_VALUE"""),"Splash Screen")</f>
        <v>Splash Screen</v>
      </c>
      <c r="C42" s="79" t="str">
        <f>IFERROR(__xludf.DUMMYFUNCTION("""COMPUTED_VALUE"""),"Splash Screen")</f>
        <v>Splash Screen</v>
      </c>
      <c r="D42" s="79" t="str">
        <f>IFERROR(__xludf.DUMMYFUNCTION("""COMPUTED_VALUE"""),"""Next Button"" is not implemented")</f>
        <v>"Next Button" is not implemented</v>
      </c>
      <c r="E42" s="79" t="str">
        <f>IFERROR(__xludf.DUMMYFUNCTION("""COMPUTED_VALUE"""),"User need to able to access website using browser")</f>
        <v>User need to able to access website using browser</v>
      </c>
      <c r="F42" s="79" t="str">
        <f>IFERROR(__xludf.DUMMYFUNCTION("""COMPUTED_VALUE"""),"1. Open website of ParentBridge")</f>
        <v>1. Open website of ParentBridge</v>
      </c>
      <c r="G42" s="79" t="str">
        <f>IFERROR(__xludf.DUMMYFUNCTION("""COMPUTED_VALUE"""),"N/A")</f>
        <v>N/A</v>
      </c>
      <c r="H42" s="79" t="str">
        <f>IFERROR(__xludf.DUMMYFUNCTION("""COMPUTED_VALUE"""),"User should be able to change pages by sliding right to left or click button")</f>
        <v>User should be able to change pages by sliding right to left or click button</v>
      </c>
      <c r="I42" s="79" t="str">
        <f>IFERROR(__xludf.DUMMYFUNCTION("""COMPUTED_VALUE"""),"Unable to change page screen")</f>
        <v>Unable to change page screen</v>
      </c>
      <c r="J42" s="79" t="str">
        <f>IFERROR(__xludf.DUMMYFUNCTION("""COMPUTED_VALUE"""),"Fail")</f>
        <v>Fail</v>
      </c>
      <c r="K42" s="79" t="str">
        <f>IFERROR(__xludf.DUMMYFUNCTION("""COMPUTED_VALUE"""),"Medium")</f>
        <v>Medium</v>
      </c>
      <c r="L42" s="80" t="str">
        <f>IFERROR(__xludf.DUMMYFUNCTION("""COMPUTED_VALUE"""),"001.png")</f>
        <v>001.png</v>
      </c>
      <c r="M42" s="79"/>
      <c r="N42" s="79" t="str">
        <f>IFERROR(__xludf.DUMMYFUNCTION("""COMPUTED_VALUE"""),"Solved")</f>
        <v>Solved</v>
      </c>
      <c r="O42" s="79" t="str">
        <f>IFERROR(__xludf.DUMMYFUNCTION("""COMPUTED_VALUE"""),"Front-End")</f>
        <v>Front-End</v>
      </c>
      <c r="P42" s="79" t="str">
        <f>IFERROR(__xludf.DUMMYFUNCTION("""COMPUTED_VALUE"""),"Splash screen is removed")</f>
        <v>Splash screen is removed</v>
      </c>
      <c r="Q42" s="79" t="str">
        <f>IFERROR(__xludf.DUMMYFUNCTION("""COMPUTED_VALUE"""),"Fahad")</f>
        <v>Fahad</v>
      </c>
      <c r="R42" s="22"/>
      <c r="S42" s="22"/>
      <c r="T42" s="22"/>
      <c r="U42" s="22"/>
      <c r="V42" s="22"/>
      <c r="W42" s="22"/>
      <c r="X42" s="22"/>
      <c r="Y42" s="22"/>
      <c r="Z42" s="22"/>
      <c r="AA42" s="22"/>
    </row>
    <row r="43">
      <c r="A43" s="52" t="s">
        <v>334</v>
      </c>
      <c r="B43" s="79" t="str">
        <f>IFERROR(__xludf.DUMMYFUNCTION("""COMPUTED_VALUE"""),"Splash Screen")</f>
        <v>Splash Screen</v>
      </c>
      <c r="C43" s="79" t="str">
        <f>IFERROR(__xludf.DUMMYFUNCTION("""COMPUTED_VALUE"""),"Splash Screen")</f>
        <v>Splash Screen</v>
      </c>
      <c r="D43" s="79" t="str">
        <f>IFERROR(__xludf.DUMMYFUNCTION("""COMPUTED_VALUE"""),"A blank space has been spotted on the splash screen.")</f>
        <v>A blank space has been spotted on the splash screen.</v>
      </c>
      <c r="E43" s="79" t="str">
        <f>IFERROR(__xludf.DUMMYFUNCTION("""COMPUTED_VALUE"""),"User need to able to access website using browser")</f>
        <v>User need to able to access website using browser</v>
      </c>
      <c r="F43" s="79" t="str">
        <f>IFERROR(__xludf.DUMMYFUNCTION("""COMPUTED_VALUE"""),"1. Open website of ParentBridge")</f>
        <v>1. Open website of ParentBridge</v>
      </c>
      <c r="G43" s="79" t="str">
        <f>IFERROR(__xludf.DUMMYFUNCTION("""COMPUTED_VALUE"""),"N/A")</f>
        <v>N/A</v>
      </c>
      <c r="H43" s="79" t="str">
        <f>IFERROR(__xludf.DUMMYFUNCTION("""COMPUTED_VALUE"""),"The screen should be filled with the necessary information.")</f>
        <v>The screen should be filled with the necessary information.</v>
      </c>
      <c r="I43" s="79" t="str">
        <f>IFERROR(__xludf.DUMMYFUNCTION("""COMPUTED_VALUE"""),"A blank space has been noticed on the splash screen.")</f>
        <v>A blank space has been noticed on the splash screen.</v>
      </c>
      <c r="J43" s="79" t="str">
        <f>IFERROR(__xludf.DUMMYFUNCTION("""COMPUTED_VALUE"""),"Fail")</f>
        <v>Fail</v>
      </c>
      <c r="K43" s="79" t="str">
        <f>IFERROR(__xludf.DUMMYFUNCTION("""COMPUTED_VALUE"""),"Medium")</f>
        <v>Medium</v>
      </c>
      <c r="L43" s="80" t="str">
        <f>IFERROR(__xludf.DUMMYFUNCTION("""COMPUTED_VALUE"""),"002.png")</f>
        <v>002.png</v>
      </c>
      <c r="M43" s="79"/>
      <c r="N43" s="79" t="str">
        <f>IFERROR(__xludf.DUMMYFUNCTION("""COMPUTED_VALUE"""),"Solved")</f>
        <v>Solved</v>
      </c>
      <c r="O43" s="79" t="str">
        <f>IFERROR(__xludf.DUMMYFUNCTION("""COMPUTED_VALUE"""),"Front-End")</f>
        <v>Front-End</v>
      </c>
      <c r="P43" s="79" t="str">
        <f>IFERROR(__xludf.DUMMYFUNCTION("""COMPUTED_VALUE"""),"Splash screen is removed")</f>
        <v>Splash screen is removed</v>
      </c>
      <c r="Q43" s="79" t="str">
        <f>IFERROR(__xludf.DUMMYFUNCTION("""COMPUTED_VALUE"""),"Fahad")</f>
        <v>Fahad</v>
      </c>
      <c r="R43" s="22"/>
      <c r="S43" s="22"/>
      <c r="T43" s="22"/>
      <c r="U43" s="22"/>
      <c r="V43" s="22"/>
      <c r="W43" s="22"/>
      <c r="X43" s="22"/>
      <c r="Y43" s="22"/>
      <c r="Z43" s="22"/>
      <c r="AA43" s="22"/>
    </row>
    <row r="44">
      <c r="A44" s="52" t="s">
        <v>335</v>
      </c>
      <c r="B44" s="79" t="str">
        <f>IFERROR(__xludf.DUMMYFUNCTION("""COMPUTED_VALUE"""),"Subscription")</f>
        <v>Subscription</v>
      </c>
      <c r="C44" s="79" t="str">
        <f>IFERROR(__xludf.DUMMYFUNCTION("""COMPUTED_VALUE"""),"Subscription")</f>
        <v>Subscription</v>
      </c>
      <c r="D44" s="79" t="str">
        <f>IFERROR(__xludf.DUMMYFUNCTION("""COMPUTED_VALUE"""),"Calculation error has been noticed in ParentBridge Pro plan")</f>
        <v>Calculation error has been noticed in ParentBridge Pro plan</v>
      </c>
      <c r="E44" s="79" t="str">
        <f>IFERROR(__xludf.DUMMYFUNCTION("""COMPUTED_VALUE"""),"User need to able to access website using browser")</f>
        <v>User need to able to access website using browser</v>
      </c>
      <c r="F44" s="79" t="str">
        <f>IFERROR(__xludf.DUMMYFUNCTION("""COMPUTED_VALUE"""),"1. Open website of ParentBridge
2. Goto Login Page
3. Login using valid credentials
4. Fill up Basic information")</f>
        <v>1. Open website of ParentBridge
2. Goto Login Page
3. Login using valid credentials
4. Fill up Basic information</v>
      </c>
      <c r="G44" s="79" t="str">
        <f>IFERROR(__xludf.DUMMYFUNCTION("""COMPUTED_VALUE"""),"USER CREDENTIAL")</f>
        <v>USER CREDENTIAL</v>
      </c>
      <c r="H44" s="79" t="str">
        <f>IFERROR(__xludf.DUMMYFUNCTION("""COMPUTED_VALUE"""),"The price plan calculation needs to be accurate on the frontend.")</f>
        <v>The price plan calculation needs to be accurate on the frontend.</v>
      </c>
      <c r="I44" s="79" t="str">
        <f>IFERROR(__xludf.DUMMYFUNCTION("""COMPUTED_VALUE"""),"Miscalculation in the monthly and yearly plan has been noticed.")</f>
        <v>Miscalculation in the monthly and yearly plan has been noticed.</v>
      </c>
      <c r="J44" s="79" t="str">
        <f>IFERROR(__xludf.DUMMYFUNCTION("""COMPUTED_VALUE"""),"Fail")</f>
        <v>Fail</v>
      </c>
      <c r="K44" s="79" t="str">
        <f>IFERROR(__xludf.DUMMYFUNCTION("""COMPUTED_VALUE"""),"High")</f>
        <v>High</v>
      </c>
      <c r="L44" s="80" t="str">
        <f>IFERROR(__xludf.DUMMYFUNCTION("""COMPUTED_VALUE"""),"010.png")</f>
        <v>010.png</v>
      </c>
      <c r="M44" s="79" t="str">
        <f>IFERROR(__xludf.DUMMYFUNCTION("""COMPUTED_VALUE"""),"Add discount rate ")</f>
        <v>Add discount rate </v>
      </c>
      <c r="N44" s="79" t="str">
        <f>IFERROR(__xludf.DUMMYFUNCTION("""COMPUTED_VALUE"""),"Unsolved")</f>
        <v>Unsolved</v>
      </c>
      <c r="O44" s="79" t="str">
        <f>IFERROR(__xludf.DUMMYFUNCTION("""COMPUTED_VALUE"""),"Front-End")</f>
        <v>Front-End</v>
      </c>
      <c r="P44" s="79" t="str">
        <f>IFERROR(__xludf.DUMMYFUNCTION("""COMPUTED_VALUE"""),"The whole pricing is controlled from the backend only.")</f>
        <v>The whole pricing is controlled from the backend only.</v>
      </c>
      <c r="Q44" s="79" t="str">
        <f>IFERROR(__xludf.DUMMYFUNCTION("""COMPUTED_VALUE"""),"Fahad")</f>
        <v>Fahad</v>
      </c>
      <c r="R44" s="22"/>
      <c r="S44" s="22"/>
      <c r="T44" s="22"/>
      <c r="U44" s="22"/>
      <c r="V44" s="22"/>
      <c r="W44" s="22"/>
      <c r="X44" s="22"/>
      <c r="Y44" s="22"/>
      <c r="Z44" s="22"/>
      <c r="AA44" s="22"/>
    </row>
    <row r="45">
      <c r="A45" s="52" t="s">
        <v>336</v>
      </c>
      <c r="B45" s="79" t="str">
        <f>IFERROR(__xludf.DUMMYFUNCTION("""COMPUTED_VALUE"""),"Subscription")</f>
        <v>Subscription</v>
      </c>
      <c r="C45" s="79" t="str">
        <f>IFERROR(__xludf.DUMMYFUNCTION("""COMPUTED_VALUE"""),"Subscription")</f>
        <v>Subscription</v>
      </c>
      <c r="D45" s="79" t="str">
        <f>IFERROR(__xludf.DUMMYFUNCTION("""COMPUTED_VALUE"""),"Calculation error has been noticed in ParentBridge Pro Plus plan")</f>
        <v>Calculation error has been noticed in ParentBridge Pro Plus plan</v>
      </c>
      <c r="E45" s="79" t="str">
        <f>IFERROR(__xludf.DUMMYFUNCTION("""COMPUTED_VALUE"""),"User need to able to access website using browser")</f>
        <v>User need to able to access website using browser</v>
      </c>
      <c r="F45" s="79" t="str">
        <f>IFERROR(__xludf.DUMMYFUNCTION("""COMPUTED_VALUE"""),"1. Open website of ParentBridge
2. Goto Login Page
3. Login using valid credentials
4. Fill up Basic information")</f>
        <v>1. Open website of ParentBridge
2. Goto Login Page
3. Login using valid credentials
4. Fill up Basic information</v>
      </c>
      <c r="G45" s="79" t="str">
        <f>IFERROR(__xludf.DUMMYFUNCTION("""COMPUTED_VALUE"""),"USER CREDENTIAL")</f>
        <v>USER CREDENTIAL</v>
      </c>
      <c r="H45" s="79" t="str">
        <f>IFERROR(__xludf.DUMMYFUNCTION("""COMPUTED_VALUE"""),"The price plan calculation needs to be accurate on the frontend.")</f>
        <v>The price plan calculation needs to be accurate on the frontend.</v>
      </c>
      <c r="I45" s="79" t="str">
        <f>IFERROR(__xludf.DUMMYFUNCTION("""COMPUTED_VALUE"""),"Miscalculation in the monthly and yearly plan has been noticed.")</f>
        <v>Miscalculation in the monthly and yearly plan has been noticed.</v>
      </c>
      <c r="J45" s="79" t="str">
        <f>IFERROR(__xludf.DUMMYFUNCTION("""COMPUTED_VALUE"""),"Fail")</f>
        <v>Fail</v>
      </c>
      <c r="K45" s="79" t="str">
        <f>IFERROR(__xludf.DUMMYFUNCTION("""COMPUTED_VALUE"""),"High")</f>
        <v>High</v>
      </c>
      <c r="L45" s="80" t="str">
        <f>IFERROR(__xludf.DUMMYFUNCTION("""COMPUTED_VALUE"""),"011.png")</f>
        <v>011.png</v>
      </c>
      <c r="M45" s="79" t="str">
        <f>IFERROR(__xludf.DUMMYFUNCTION("""COMPUTED_VALUE"""),"Add discount rate ")</f>
        <v>Add discount rate </v>
      </c>
      <c r="N45" s="79" t="str">
        <f>IFERROR(__xludf.DUMMYFUNCTION("""COMPUTED_VALUE"""),"Unsolved")</f>
        <v>Unsolved</v>
      </c>
      <c r="O45" s="79" t="str">
        <f>IFERROR(__xludf.DUMMYFUNCTION("""COMPUTED_VALUE"""),"Front-End")</f>
        <v>Front-End</v>
      </c>
      <c r="P45" s="79" t="str">
        <f>IFERROR(__xludf.DUMMYFUNCTION("""COMPUTED_VALUE"""),"The whole pricing is controlled from the backend only.")</f>
        <v>The whole pricing is controlled from the backend only.</v>
      </c>
      <c r="Q45" s="79" t="str">
        <f>IFERROR(__xludf.DUMMYFUNCTION("""COMPUTED_VALUE"""),"Fahad")</f>
        <v>Fahad</v>
      </c>
      <c r="R45" s="22"/>
      <c r="S45" s="22"/>
      <c r="T45" s="22"/>
      <c r="U45" s="22"/>
      <c r="V45" s="22"/>
      <c r="W45" s="22"/>
      <c r="X45" s="22"/>
      <c r="Y45" s="22"/>
      <c r="Z45" s="22"/>
      <c r="AA45" s="22"/>
    </row>
    <row r="46">
      <c r="A46" s="52" t="s">
        <v>337</v>
      </c>
      <c r="B46" s="79" t="str">
        <f>IFERROR(__xludf.DUMMYFUNCTION("""COMPUTED_VALUE"""),"Subscription")</f>
        <v>Subscription</v>
      </c>
      <c r="C46" s="79" t="str">
        <f>IFERROR(__xludf.DUMMYFUNCTION("""COMPUTED_VALUE"""),"Subscription")</f>
        <v>Subscription</v>
      </c>
      <c r="D46" s="79" t="str">
        <f>IFERROR(__xludf.DUMMYFUNCTION("""COMPUTED_VALUE"""),"Can't buy the plan")</f>
        <v>Can't buy the plan</v>
      </c>
      <c r="E46" s="79" t="str">
        <f>IFERROR(__xludf.DUMMYFUNCTION("""COMPUTED_VALUE"""),"User need to able to access website using browser")</f>
        <v>User need to able to access website using browser</v>
      </c>
      <c r="F46" s="79" t="str">
        <f>IFERROR(__xludf.DUMMYFUNCTION("""COMPUTED_VALUE"""),"1. Open website of ParentBridge
2. Goto Login Page
3. Login using valid credentials
4. Fill up Basic information
5. Click next and goto subscription page")</f>
        <v>1. Open website of ParentBridge
2. Goto Login Page
3. Login using valid credentials
4. Fill up Basic information
5. Click next and goto subscription page</v>
      </c>
      <c r="G46" s="79" t="str">
        <f>IFERROR(__xludf.DUMMYFUNCTION("""COMPUTED_VALUE"""),"USER CREDENTIAL")</f>
        <v>USER CREDENTIAL</v>
      </c>
      <c r="H46" s="79" t="str">
        <f>IFERROR(__xludf.DUMMYFUNCTION("""COMPUTED_VALUE"""),"Users should not encounter errors when purchasing a plan.")</f>
        <v>Users should not encounter errors when purchasing a plan.</v>
      </c>
      <c r="I46" s="79" t="str">
        <f>IFERROR(__xludf.DUMMYFUNCTION("""COMPUTED_VALUE"""),"Unable to complete plan purchase")</f>
        <v>Unable to complete plan purchase</v>
      </c>
      <c r="J46" s="79" t="str">
        <f>IFERROR(__xludf.DUMMYFUNCTION("""COMPUTED_VALUE"""),"Fail")</f>
        <v>Fail</v>
      </c>
      <c r="K46" s="79" t="str">
        <f>IFERROR(__xludf.DUMMYFUNCTION("""COMPUTED_VALUE"""),"High")</f>
        <v>High</v>
      </c>
      <c r="L46" s="80" t="str">
        <f>IFERROR(__xludf.DUMMYFUNCTION("""COMPUTED_VALUE"""),"012.png")</f>
        <v>012.png</v>
      </c>
      <c r="M46" s="79" t="str">
        <f>IFERROR(__xludf.DUMMYFUNCTION("""COMPUTED_VALUE"""),"Add discount rate ")</f>
        <v>Add discount rate </v>
      </c>
      <c r="N46" s="79" t="str">
        <f>IFERROR(__xludf.DUMMYFUNCTION("""COMPUTED_VALUE"""),"Solved")</f>
        <v>Solved</v>
      </c>
      <c r="O46" s="79" t="str">
        <f>IFERROR(__xludf.DUMMYFUNCTION("""COMPUTED_VALUE"""),"Front-End")</f>
        <v>Front-End</v>
      </c>
      <c r="P46" s="79"/>
      <c r="Q46" s="79" t="str">
        <f>IFERROR(__xludf.DUMMYFUNCTION("""COMPUTED_VALUE"""),"Fahad")</f>
        <v>Fahad</v>
      </c>
      <c r="R46" s="22"/>
      <c r="S46" s="22"/>
      <c r="T46" s="22"/>
      <c r="U46" s="22"/>
      <c r="V46" s="22"/>
      <c r="W46" s="22"/>
      <c r="X46" s="22"/>
      <c r="Y46" s="22"/>
      <c r="Z46" s="22"/>
      <c r="AA46" s="22"/>
    </row>
    <row r="47">
      <c r="A47" s="52" t="s">
        <v>338</v>
      </c>
      <c r="B47" s="79" t="str">
        <f>IFERROR(__xludf.DUMMYFUNCTION("""COMPUTED_VALUE"""),"Subscription")</f>
        <v>Subscription</v>
      </c>
      <c r="C47" s="79" t="str">
        <f>IFERROR(__xludf.DUMMYFUNCTION("""COMPUTED_VALUE"""),"Subscription")</f>
        <v>Subscription</v>
      </c>
      <c r="D47" s="79" t="str">
        <f>IFERROR(__xludf.DUMMYFUNCTION("""COMPUTED_VALUE"""),"Checkout page redirect to localhost url")</f>
        <v>Checkout page redirect to localhost url</v>
      </c>
      <c r="E47" s="79" t="str">
        <f>IFERROR(__xludf.DUMMYFUNCTION("""COMPUTED_VALUE"""),"User need to able to access website using browser")</f>
        <v>User need to able to access website using browser</v>
      </c>
      <c r="F47" s="79" t="str">
        <f>IFERROR(__xludf.DUMMYFUNCTION("""COMPUTED_VALUE"""),"1. Open website of ParentBridge
2. Goto Login Page
3. Login using valid credentials
4. Fill up Basic information
5. Click next and goto subscription page")</f>
        <v>1. Open website of ParentBridge
2. Goto Login Page
3. Login using valid credentials
4. Fill up Basic information
5. Click next and goto subscription page</v>
      </c>
      <c r="G47" s="79" t="str">
        <f>IFERROR(__xludf.DUMMYFUNCTION("""COMPUTED_VALUE"""),"USER CREDENTIAL")</f>
        <v>USER CREDENTIAL</v>
      </c>
      <c r="H47" s="79" t="str">
        <f>IFERROR(__xludf.DUMMYFUNCTION("""COMPUTED_VALUE"""),"After purchasing a plan, the user should be redirected to either the home page or the payment success page.")</f>
        <v>After purchasing a plan, the user should be redirected to either the home page or the payment success page.</v>
      </c>
      <c r="I47" s="79" t="str">
        <f>IFERROR(__xludf.DUMMYFUNCTION("""COMPUTED_VALUE"""),"After purchasing a plan, the user wasn’t redirected to the home page or the payment success page.")</f>
        <v>After purchasing a plan, the user wasn’t redirected to the home page or the payment success page.</v>
      </c>
      <c r="J47" s="79" t="str">
        <f>IFERROR(__xludf.DUMMYFUNCTION("""COMPUTED_VALUE"""),"Fail")</f>
        <v>Fail</v>
      </c>
      <c r="K47" s="79" t="str">
        <f>IFERROR(__xludf.DUMMYFUNCTION("""COMPUTED_VALUE"""),"High")</f>
        <v>High</v>
      </c>
      <c r="L47" s="80" t="str">
        <f>IFERROR(__xludf.DUMMYFUNCTION("""COMPUTED_VALUE"""),"013.png")</f>
        <v>013.png</v>
      </c>
      <c r="M47" s="79"/>
      <c r="N47" s="79" t="str">
        <f>IFERROR(__xludf.DUMMYFUNCTION("""COMPUTED_VALUE"""),"Solved")</f>
        <v>Solved</v>
      </c>
      <c r="O47" s="79"/>
      <c r="P47" s="79"/>
      <c r="Q47" s="79" t="str">
        <f>IFERROR(__xludf.DUMMYFUNCTION("""COMPUTED_VALUE"""),"Fahad")</f>
        <v>Fahad</v>
      </c>
      <c r="R47" s="22"/>
      <c r="S47" s="22"/>
      <c r="T47" s="22"/>
      <c r="U47" s="22"/>
      <c r="V47" s="22"/>
      <c r="W47" s="22"/>
      <c r="X47" s="22"/>
      <c r="Y47" s="22"/>
      <c r="Z47" s="22"/>
      <c r="AA47" s="22"/>
    </row>
    <row r="48">
      <c r="A48" s="52" t="s">
        <v>339</v>
      </c>
      <c r="B48" s="79" t="str">
        <f>IFERROR(__xludf.DUMMYFUNCTION("""COMPUTED_VALUE"""),"Subscription")</f>
        <v>Subscription</v>
      </c>
      <c r="C48" s="79" t="str">
        <f>IFERROR(__xludf.DUMMYFUNCTION("""COMPUTED_VALUE"""),"Subscription")</f>
        <v>Subscription</v>
      </c>
      <c r="D48" s="79" t="str">
        <f>IFERROR(__xludf.DUMMYFUNCTION("""COMPUTED_VALUE"""),"Yearly subscription failed on both plans.")</f>
        <v>Yearly subscription failed on both plans.</v>
      </c>
      <c r="E48" s="79" t="str">
        <f>IFERROR(__xludf.DUMMYFUNCTION("""COMPUTED_VALUE"""),"User need to able to access website using browser")</f>
        <v>User need to able to access website using browser</v>
      </c>
      <c r="F48" s="79" t="str">
        <f>IFERROR(__xludf.DUMMYFUNCTION("""COMPUTED_VALUE"""),"1. Open website of ParentBridge
2. Goto Login Page
3. Login using valid credentials
4. Fill up Basic information
5. Click next and goto subscription page")</f>
        <v>1. Open website of ParentBridge
2. Goto Login Page
3. Login using valid credentials
4. Fill up Basic information
5. Click next and goto subscription page</v>
      </c>
      <c r="G48" s="79" t="str">
        <f>IFERROR(__xludf.DUMMYFUNCTION("""COMPUTED_VALUE"""),"USER CREDENTIAL")</f>
        <v>USER CREDENTIAL</v>
      </c>
      <c r="H48" s="79" t="str">
        <f>IFERROR(__xludf.DUMMYFUNCTION("""COMPUTED_VALUE"""),"Users should be to purchase a monthly or yearly plan on both subscriptions without any issues.")</f>
        <v>Users should be to purchase a monthly or yearly plan on both subscriptions without any issues.</v>
      </c>
      <c r="I48" s="79" t="str">
        <f>IFERROR(__xludf.DUMMYFUNCTION("""COMPUTED_VALUE"""),"Unable to complete the purchase of the yearly subscription for either.")</f>
        <v>Unable to complete the purchase of the yearly subscription for either.</v>
      </c>
      <c r="J48" s="79" t="str">
        <f>IFERROR(__xludf.DUMMYFUNCTION("""COMPUTED_VALUE"""),"Fail")</f>
        <v>Fail</v>
      </c>
      <c r="K48" s="79" t="str">
        <f>IFERROR(__xludf.DUMMYFUNCTION("""COMPUTED_VALUE"""),"High")</f>
        <v>High</v>
      </c>
      <c r="L48" s="80" t="str">
        <f>IFERROR(__xludf.DUMMYFUNCTION("""COMPUTED_VALUE"""),"026.png")</f>
        <v>026.png</v>
      </c>
      <c r="M48" s="79"/>
      <c r="N48" s="79" t="str">
        <f>IFERROR(__xludf.DUMMYFUNCTION("""COMPUTED_VALUE"""),"Solved")</f>
        <v>Solved</v>
      </c>
      <c r="O48" s="79" t="str">
        <f>IFERROR(__xludf.DUMMYFUNCTION("""COMPUTED_VALUE"""),"Back-End")</f>
        <v>Back-End</v>
      </c>
      <c r="P48" s="79" t="str">
        <f>IFERROR(__xludf.DUMMYFUNCTION("""COMPUTED_VALUE"""),"It is handled by backend")</f>
        <v>It is handled by backend</v>
      </c>
      <c r="Q48" s="79" t="str">
        <f>IFERROR(__xludf.DUMMYFUNCTION("""COMPUTED_VALUE"""),"Fahad")</f>
        <v>Fahad</v>
      </c>
      <c r="R48" s="22"/>
      <c r="S48" s="22"/>
      <c r="T48" s="22"/>
      <c r="U48" s="22"/>
      <c r="V48" s="22"/>
      <c r="W48" s="22"/>
      <c r="X48" s="22"/>
      <c r="Y48" s="22"/>
      <c r="Z48" s="22"/>
      <c r="AA48" s="22"/>
    </row>
    <row r="49">
      <c r="A49" s="52" t="s">
        <v>340</v>
      </c>
      <c r="B49" s="79" t="str">
        <f>IFERROR(__xludf.DUMMYFUNCTION("""COMPUTED_VALUE"""),"Subscription")</f>
        <v>Subscription</v>
      </c>
      <c r="C49" s="79" t="str">
        <f>IFERROR(__xludf.DUMMYFUNCTION("""COMPUTED_VALUE"""),"Subscription")</f>
        <v>Subscription</v>
      </c>
      <c r="D49" s="79" t="str">
        <f>IFERROR(__xludf.DUMMYFUNCTION("""COMPUTED_VALUE"""),"After purchasing a plan, it should redirect to the home or dashboard page.")</f>
        <v>After purchasing a plan, it should redirect to the home or dashboard page.</v>
      </c>
      <c r="E49" s="79" t="str">
        <f>IFERROR(__xludf.DUMMYFUNCTION("""COMPUTED_VALUE"""),"User need to able to access website using browser")</f>
        <v>User need to able to access website using browser</v>
      </c>
      <c r="F49" s="79" t="str">
        <f>IFERROR(__xludf.DUMMYFUNCTION("""COMPUTED_VALUE"""),"1. Open website of ParentBridge
2. Goto Login Page
3. Login using valid credentials
4. Fill up Basic information
5. Click next and goto subscription page")</f>
        <v>1. Open website of ParentBridge
2. Goto Login Page
3. Login using valid credentials
4. Fill up Basic information
5. Click next and goto subscription page</v>
      </c>
      <c r="G49" s="79" t="str">
        <f>IFERROR(__xludf.DUMMYFUNCTION("""COMPUTED_VALUE"""),"USER CREDENTIAL")</f>
        <v>USER CREDENTIAL</v>
      </c>
      <c r="H49" s="79" t="str">
        <f>IFERROR(__xludf.DUMMYFUNCTION("""COMPUTED_VALUE"""),"After a successful purchase, the user should be redirected to the home or dashboard page.")</f>
        <v>After a successful purchase, the user should be redirected to the home or dashboard page.</v>
      </c>
      <c r="I49" s="79" t="str">
        <f>IFERROR(__xludf.DUMMYFUNCTION("""COMPUTED_VALUE"""),"Redirecting to the subscription page doesn’t make sense.")</f>
        <v>Redirecting to the subscription page doesn’t make sense.</v>
      </c>
      <c r="J49" s="79" t="str">
        <f>IFERROR(__xludf.DUMMYFUNCTION("""COMPUTED_VALUE"""),"Fail")</f>
        <v>Fail</v>
      </c>
      <c r="K49" s="79" t="str">
        <f>IFERROR(__xludf.DUMMYFUNCTION("""COMPUTED_VALUE"""),"Medium")</f>
        <v>Medium</v>
      </c>
      <c r="L49" s="80" t="str">
        <f>IFERROR(__xludf.DUMMYFUNCTION("""COMPUTED_VALUE"""),"027.png")</f>
        <v>027.png</v>
      </c>
      <c r="M49" s="79"/>
      <c r="N49" s="79" t="str">
        <f>IFERROR(__xludf.DUMMYFUNCTION("""COMPUTED_VALUE"""),"Solved")</f>
        <v>Solved</v>
      </c>
      <c r="O49" s="79" t="str">
        <f>IFERROR(__xludf.DUMMYFUNCTION("""COMPUTED_VALUE"""),"Front-End")</f>
        <v>Front-End</v>
      </c>
      <c r="P49" s="79"/>
      <c r="Q49" s="79" t="str">
        <f>IFERROR(__xludf.DUMMYFUNCTION("""COMPUTED_VALUE"""),"Fahad")</f>
        <v>Fahad</v>
      </c>
      <c r="R49" s="22"/>
      <c r="S49" s="22"/>
      <c r="T49" s="22"/>
      <c r="U49" s="22"/>
      <c r="V49" s="22"/>
      <c r="W49" s="22"/>
      <c r="X49" s="22"/>
      <c r="Y49" s="22"/>
      <c r="Z49" s="22"/>
      <c r="AA49" s="22"/>
    </row>
    <row r="50">
      <c r="A50" s="52" t="s">
        <v>341</v>
      </c>
      <c r="B50" s="79" t="str">
        <f>IFERROR(__xludf.DUMMYFUNCTION("""COMPUTED_VALUE"""),"Subscription")</f>
        <v>Subscription</v>
      </c>
      <c r="C50" s="79" t="str">
        <f>IFERROR(__xludf.DUMMYFUNCTION("""COMPUTED_VALUE"""),"Subscription")</f>
        <v>Subscription</v>
      </c>
      <c r="D50" s="79" t="str">
        <f>IFERROR(__xludf.DUMMYFUNCTION("""COMPUTED_VALUE"""),"Purchased a yearly plan, but it shows that both the monthly and yearly plans are active.")</f>
        <v>Purchased a yearly plan, but it shows that both the monthly and yearly plans are active.</v>
      </c>
      <c r="E50" s="79" t="str">
        <f>IFERROR(__xludf.DUMMYFUNCTION("""COMPUTED_VALUE"""),"User need to able to access website using browser")</f>
        <v>User need to able to access website using browser</v>
      </c>
      <c r="F50" s="79" t="str">
        <f>IFERROR(__xludf.DUMMYFUNCTION("""COMPUTED_VALUE"""),"1. Open website of ParentBridge
2. Goto Login Page
3. Login using valid credentials
4. Fill up Basic information
5. Click next and goto subscription page")</f>
        <v>1. Open website of ParentBridge
2. Goto Login Page
3. Login using valid credentials
4. Fill up Basic information
5. Click next and goto subscription page</v>
      </c>
      <c r="G50" s="79" t="str">
        <f>IFERROR(__xludf.DUMMYFUNCTION("""COMPUTED_VALUE"""),"USER CREDENTIAL")</f>
        <v>USER CREDENTIAL</v>
      </c>
      <c r="H50" s="79" t="str">
        <f>IFERROR(__xludf.DUMMYFUNCTION("""COMPUTED_VALUE"""),"If the subscription card contains both monthly and yearly data, then when a user purchases a yearly plan, it should not display the current plan as active under the monthly data.")</f>
        <v>If the subscription card contains both monthly and yearly data, then when a user purchases a yearly plan, it should not display the current plan as active under the monthly data.</v>
      </c>
      <c r="I50" s="79" t="str">
        <f>IFERROR(__xludf.DUMMYFUNCTION("""COMPUTED_VALUE"""),"Displays both monthly and yearly plans as active on a single subscription card.")</f>
        <v>Displays both monthly and yearly plans as active on a single subscription card.</v>
      </c>
      <c r="J50" s="79" t="str">
        <f>IFERROR(__xludf.DUMMYFUNCTION("""COMPUTED_VALUE"""),"Fail")</f>
        <v>Fail</v>
      </c>
      <c r="K50" s="79" t="str">
        <f>IFERROR(__xludf.DUMMYFUNCTION("""COMPUTED_VALUE"""),"High")</f>
        <v>High</v>
      </c>
      <c r="L50" s="80" t="str">
        <f>IFERROR(__xludf.DUMMYFUNCTION("""COMPUTED_VALUE"""),"028.png")</f>
        <v>028.png</v>
      </c>
      <c r="M50" s="79"/>
      <c r="N50" s="79" t="str">
        <f>IFERROR(__xludf.DUMMYFUNCTION("""COMPUTED_VALUE"""),"Solved")</f>
        <v>Solved</v>
      </c>
      <c r="O50" s="79" t="str">
        <f>IFERROR(__xludf.DUMMYFUNCTION("""COMPUTED_VALUE"""),"Front-End")</f>
        <v>Front-End</v>
      </c>
      <c r="P50" s="79"/>
      <c r="Q50" s="79" t="str">
        <f>IFERROR(__xludf.DUMMYFUNCTION("""COMPUTED_VALUE"""),"Fahad")</f>
        <v>Fahad</v>
      </c>
      <c r="R50" s="22"/>
      <c r="S50" s="22"/>
      <c r="T50" s="22"/>
      <c r="U50" s="22"/>
      <c r="V50" s="22"/>
      <c r="W50" s="22"/>
      <c r="X50" s="22"/>
      <c r="Y50" s="22"/>
      <c r="Z50" s="22"/>
      <c r="AA50" s="22"/>
    </row>
    <row r="51">
      <c r="A51" s="52" t="s">
        <v>342</v>
      </c>
      <c r="B51" s="79"/>
      <c r="C51" s="79"/>
      <c r="D51" s="79"/>
      <c r="E51" s="79"/>
      <c r="F51" s="79"/>
      <c r="G51" s="79"/>
      <c r="H51" s="79"/>
      <c r="I51" s="79"/>
      <c r="J51" s="79"/>
      <c r="K51" s="79"/>
      <c r="L51" s="79"/>
      <c r="M51" s="79"/>
      <c r="N51" s="79"/>
      <c r="O51" s="79"/>
      <c r="P51" s="79"/>
      <c r="Q51" s="79"/>
      <c r="R51" s="22"/>
      <c r="S51" s="22"/>
      <c r="T51" s="22"/>
      <c r="U51" s="22"/>
      <c r="V51" s="22"/>
      <c r="W51" s="22"/>
      <c r="X51" s="22"/>
      <c r="Y51" s="22"/>
      <c r="Z51" s="22"/>
      <c r="AA51" s="22"/>
    </row>
    <row r="52">
      <c r="A52" s="52" t="s">
        <v>342</v>
      </c>
      <c r="B52" s="79"/>
      <c r="C52" s="79"/>
      <c r="D52" s="79"/>
      <c r="E52" s="79"/>
      <c r="F52" s="79"/>
      <c r="G52" s="79"/>
      <c r="H52" s="79"/>
      <c r="I52" s="79"/>
      <c r="J52" s="79"/>
      <c r="K52" s="79"/>
      <c r="L52" s="79"/>
      <c r="M52" s="79"/>
      <c r="N52" s="79"/>
      <c r="O52" s="79"/>
      <c r="P52" s="79"/>
      <c r="Q52" s="79"/>
      <c r="R52" s="22"/>
      <c r="S52" s="22"/>
      <c r="T52" s="22"/>
      <c r="U52" s="22"/>
      <c r="V52" s="22"/>
      <c r="W52" s="22"/>
      <c r="X52" s="22"/>
      <c r="Y52" s="22"/>
      <c r="Z52" s="22"/>
      <c r="AA52" s="22"/>
    </row>
    <row r="53">
      <c r="A53" s="52" t="s">
        <v>342</v>
      </c>
      <c r="B53" s="79"/>
      <c r="C53" s="79"/>
      <c r="D53" s="79"/>
      <c r="E53" s="79"/>
      <c r="F53" s="79"/>
      <c r="G53" s="79"/>
      <c r="H53" s="79"/>
      <c r="I53" s="79"/>
      <c r="J53" s="79"/>
      <c r="K53" s="79"/>
      <c r="L53" s="79"/>
      <c r="M53" s="79"/>
      <c r="N53" s="79"/>
      <c r="O53" s="79"/>
      <c r="P53" s="79"/>
      <c r="Q53" s="79"/>
      <c r="R53" s="22"/>
      <c r="S53" s="22"/>
      <c r="T53" s="22"/>
      <c r="U53" s="22"/>
      <c r="V53" s="22"/>
      <c r="W53" s="22"/>
      <c r="X53" s="22"/>
      <c r="Y53" s="22"/>
      <c r="Z53" s="22"/>
      <c r="AA53" s="22"/>
    </row>
    <row r="54">
      <c r="A54" s="52" t="s">
        <v>342</v>
      </c>
      <c r="B54" s="79"/>
      <c r="C54" s="79"/>
      <c r="D54" s="79"/>
      <c r="E54" s="79"/>
      <c r="F54" s="79"/>
      <c r="G54" s="79"/>
      <c r="H54" s="79"/>
      <c r="I54" s="79"/>
      <c r="J54" s="79"/>
      <c r="K54" s="79"/>
      <c r="L54" s="79"/>
      <c r="M54" s="79"/>
      <c r="N54" s="79"/>
      <c r="O54" s="79"/>
      <c r="P54" s="79"/>
      <c r="Q54" s="79"/>
      <c r="R54" s="22"/>
      <c r="S54" s="22"/>
      <c r="T54" s="22"/>
      <c r="U54" s="22"/>
      <c r="V54" s="22"/>
      <c r="W54" s="22"/>
      <c r="X54" s="22"/>
      <c r="Y54" s="22"/>
      <c r="Z54" s="22"/>
      <c r="AA54" s="22"/>
    </row>
    <row r="55">
      <c r="A55" s="52" t="s">
        <v>342</v>
      </c>
      <c r="B55" s="79"/>
      <c r="C55" s="79"/>
      <c r="D55" s="79"/>
      <c r="E55" s="79"/>
      <c r="F55" s="79"/>
      <c r="G55" s="79"/>
      <c r="H55" s="79"/>
      <c r="I55" s="79"/>
      <c r="J55" s="79"/>
      <c r="K55" s="79"/>
      <c r="L55" s="79"/>
      <c r="M55" s="79"/>
      <c r="N55" s="79"/>
      <c r="O55" s="79"/>
      <c r="P55" s="79"/>
      <c r="Q55" s="79"/>
      <c r="R55" s="22"/>
      <c r="S55" s="22"/>
      <c r="T55" s="22"/>
      <c r="U55" s="22"/>
      <c r="V55" s="22"/>
      <c r="W55" s="22"/>
      <c r="X55" s="22"/>
      <c r="Y55" s="22"/>
      <c r="Z55" s="22"/>
      <c r="AA55" s="22"/>
    </row>
    <row r="56">
      <c r="A56" s="52" t="s">
        <v>342</v>
      </c>
      <c r="B56" s="79"/>
      <c r="C56" s="79"/>
      <c r="D56" s="79"/>
      <c r="E56" s="79"/>
      <c r="F56" s="79"/>
      <c r="G56" s="79"/>
      <c r="H56" s="79"/>
      <c r="I56" s="79"/>
      <c r="J56" s="79"/>
      <c r="K56" s="79"/>
      <c r="L56" s="79"/>
      <c r="M56" s="79"/>
      <c r="N56" s="79"/>
      <c r="O56" s="79"/>
      <c r="P56" s="79"/>
      <c r="Q56" s="79"/>
      <c r="R56" s="22"/>
      <c r="S56" s="22"/>
      <c r="T56" s="22"/>
      <c r="U56" s="22"/>
      <c r="V56" s="22"/>
      <c r="W56" s="22"/>
      <c r="X56" s="22"/>
      <c r="Y56" s="22"/>
      <c r="Z56" s="22"/>
      <c r="AA56" s="22"/>
    </row>
    <row r="57">
      <c r="A57" s="52" t="s">
        <v>342</v>
      </c>
      <c r="B57" s="79"/>
      <c r="C57" s="79"/>
      <c r="D57" s="79"/>
      <c r="E57" s="79"/>
      <c r="F57" s="79"/>
      <c r="G57" s="79"/>
      <c r="H57" s="79"/>
      <c r="I57" s="79"/>
      <c r="J57" s="79"/>
      <c r="K57" s="79"/>
      <c r="L57" s="79"/>
      <c r="M57" s="79"/>
      <c r="N57" s="79"/>
      <c r="O57" s="79"/>
      <c r="P57" s="79"/>
      <c r="Q57" s="79"/>
      <c r="R57" s="22"/>
      <c r="S57" s="22"/>
      <c r="T57" s="22"/>
      <c r="U57" s="22"/>
      <c r="V57" s="22"/>
      <c r="W57" s="22"/>
      <c r="X57" s="22"/>
      <c r="Y57" s="22"/>
      <c r="Z57" s="22"/>
      <c r="AA57" s="22"/>
    </row>
    <row r="58">
      <c r="A58" s="52" t="s">
        <v>342</v>
      </c>
      <c r="B58" s="79"/>
      <c r="C58" s="79"/>
      <c r="D58" s="79"/>
      <c r="E58" s="79"/>
      <c r="F58" s="79"/>
      <c r="G58" s="79"/>
      <c r="H58" s="79"/>
      <c r="I58" s="79"/>
      <c r="J58" s="79"/>
      <c r="K58" s="79"/>
      <c r="L58" s="79"/>
      <c r="M58" s="79"/>
      <c r="N58" s="79"/>
      <c r="O58" s="79"/>
      <c r="P58" s="79"/>
      <c r="Q58" s="79"/>
      <c r="R58" s="22"/>
      <c r="S58" s="22"/>
      <c r="T58" s="22"/>
      <c r="U58" s="22"/>
      <c r="V58" s="22"/>
      <c r="W58" s="22"/>
      <c r="X58" s="22"/>
      <c r="Y58" s="22"/>
      <c r="Z58" s="22"/>
      <c r="AA58" s="22"/>
    </row>
    <row r="59">
      <c r="A59" s="52" t="s">
        <v>342</v>
      </c>
      <c r="B59" s="79"/>
      <c r="C59" s="79"/>
      <c r="D59" s="79"/>
      <c r="E59" s="79"/>
      <c r="F59" s="79"/>
      <c r="G59" s="79"/>
      <c r="H59" s="79"/>
      <c r="I59" s="79"/>
      <c r="J59" s="79"/>
      <c r="K59" s="79"/>
      <c r="L59" s="79"/>
      <c r="M59" s="79"/>
      <c r="N59" s="79"/>
      <c r="O59" s="79"/>
      <c r="P59" s="79"/>
      <c r="Q59" s="79"/>
      <c r="R59" s="22"/>
      <c r="S59" s="22"/>
      <c r="T59" s="22"/>
      <c r="U59" s="22"/>
      <c r="V59" s="22"/>
      <c r="W59" s="22"/>
      <c r="X59" s="22"/>
      <c r="Y59" s="22"/>
      <c r="Z59" s="22"/>
      <c r="AA59" s="22"/>
    </row>
    <row r="60">
      <c r="A60" s="52" t="s">
        <v>342</v>
      </c>
      <c r="B60" s="79"/>
      <c r="C60" s="79"/>
      <c r="D60" s="79"/>
      <c r="E60" s="79"/>
      <c r="F60" s="79"/>
      <c r="G60" s="79"/>
      <c r="H60" s="79"/>
      <c r="I60" s="79"/>
      <c r="J60" s="79"/>
      <c r="K60" s="79"/>
      <c r="L60" s="79"/>
      <c r="M60" s="79"/>
      <c r="N60" s="79"/>
      <c r="O60" s="79"/>
      <c r="P60" s="79"/>
      <c r="Q60" s="79"/>
      <c r="R60" s="22"/>
      <c r="S60" s="22"/>
      <c r="T60" s="22"/>
      <c r="U60" s="22"/>
      <c r="V60" s="22"/>
      <c r="W60" s="22"/>
      <c r="X60" s="22"/>
      <c r="Y60" s="22"/>
      <c r="Z60" s="22"/>
      <c r="AA60" s="22"/>
    </row>
    <row r="61">
      <c r="A61" s="52" t="s">
        <v>342</v>
      </c>
      <c r="B61" s="79"/>
      <c r="C61" s="79"/>
      <c r="D61" s="79"/>
      <c r="E61" s="79"/>
      <c r="F61" s="79"/>
      <c r="G61" s="79"/>
      <c r="H61" s="79"/>
      <c r="I61" s="79"/>
      <c r="J61" s="79"/>
      <c r="K61" s="79"/>
      <c r="L61" s="79"/>
      <c r="M61" s="79"/>
      <c r="N61" s="79"/>
      <c r="O61" s="79"/>
      <c r="P61" s="79"/>
      <c r="Q61" s="79"/>
      <c r="R61" s="22"/>
      <c r="S61" s="22"/>
      <c r="T61" s="22"/>
      <c r="U61" s="22"/>
      <c r="V61" s="22"/>
      <c r="W61" s="22"/>
      <c r="X61" s="22"/>
      <c r="Y61" s="22"/>
      <c r="Z61" s="22"/>
      <c r="AA61" s="22"/>
    </row>
    <row r="62">
      <c r="A62" s="52" t="s">
        <v>342</v>
      </c>
      <c r="B62" s="79"/>
      <c r="C62" s="79"/>
      <c r="D62" s="79"/>
      <c r="E62" s="79"/>
      <c r="F62" s="79"/>
      <c r="G62" s="79"/>
      <c r="H62" s="79"/>
      <c r="I62" s="79"/>
      <c r="J62" s="79"/>
      <c r="K62" s="79"/>
      <c r="L62" s="79"/>
      <c r="M62" s="79"/>
      <c r="N62" s="79"/>
      <c r="O62" s="79"/>
      <c r="P62" s="79"/>
      <c r="Q62" s="79"/>
      <c r="R62" s="22"/>
      <c r="S62" s="22"/>
      <c r="T62" s="22"/>
      <c r="U62" s="22"/>
      <c r="V62" s="22"/>
      <c r="W62" s="22"/>
      <c r="X62" s="22"/>
      <c r="Y62" s="22"/>
      <c r="Z62" s="22"/>
      <c r="AA62" s="22"/>
    </row>
    <row r="63">
      <c r="A63" s="52" t="s">
        <v>342</v>
      </c>
      <c r="B63" s="79"/>
      <c r="C63" s="79"/>
      <c r="D63" s="79"/>
      <c r="E63" s="79"/>
      <c r="F63" s="79"/>
      <c r="G63" s="79"/>
      <c r="H63" s="79"/>
      <c r="I63" s="79"/>
      <c r="J63" s="79"/>
      <c r="K63" s="79"/>
      <c r="L63" s="79"/>
      <c r="M63" s="79"/>
      <c r="N63" s="79"/>
      <c r="O63" s="79"/>
      <c r="P63" s="79"/>
      <c r="Q63" s="79"/>
      <c r="R63" s="22"/>
      <c r="S63" s="22"/>
      <c r="T63" s="22"/>
      <c r="U63" s="22"/>
      <c r="V63" s="22"/>
      <c r="W63" s="22"/>
      <c r="X63" s="22"/>
      <c r="Y63" s="22"/>
      <c r="Z63" s="22"/>
      <c r="AA63" s="22"/>
    </row>
    <row r="64">
      <c r="A64" s="52" t="s">
        <v>342</v>
      </c>
      <c r="B64" s="79"/>
      <c r="C64" s="79"/>
      <c r="D64" s="79"/>
      <c r="E64" s="79"/>
      <c r="F64" s="79"/>
      <c r="G64" s="79"/>
      <c r="H64" s="79"/>
      <c r="I64" s="79"/>
      <c r="J64" s="79"/>
      <c r="K64" s="79"/>
      <c r="L64" s="79"/>
      <c r="M64" s="79"/>
      <c r="N64" s="79"/>
      <c r="O64" s="79"/>
      <c r="P64" s="79"/>
      <c r="Q64" s="79"/>
      <c r="R64" s="22"/>
      <c r="S64" s="22"/>
      <c r="T64" s="22"/>
      <c r="U64" s="22"/>
      <c r="V64" s="22"/>
      <c r="W64" s="22"/>
      <c r="X64" s="22"/>
      <c r="Y64" s="22"/>
      <c r="Z64" s="22"/>
      <c r="AA64" s="22"/>
    </row>
    <row r="65">
      <c r="A65" s="81" t="s">
        <v>342</v>
      </c>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c r="A66" s="81" t="s">
        <v>342</v>
      </c>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c r="A67" s="81" t="s">
        <v>342</v>
      </c>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c r="A68" s="81" t="s">
        <v>342</v>
      </c>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c r="A69" s="81" t="s">
        <v>342</v>
      </c>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c r="A70" s="81" t="s">
        <v>342</v>
      </c>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c r="A71" s="81" t="s">
        <v>342</v>
      </c>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c r="A72" s="81" t="s">
        <v>342</v>
      </c>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c r="A73" s="81" t="s">
        <v>342</v>
      </c>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c r="A74" s="81" t="s">
        <v>342</v>
      </c>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c r="A75" s="81" t="s">
        <v>342</v>
      </c>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c r="A76" s="81" t="s">
        <v>342</v>
      </c>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c r="A77" s="81" t="s">
        <v>342</v>
      </c>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c r="A78" s="81" t="s">
        <v>342</v>
      </c>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c r="A79" s="81" t="s">
        <v>342</v>
      </c>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c r="A80" s="81" t="s">
        <v>342</v>
      </c>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c r="A81" s="81" t="s">
        <v>342</v>
      </c>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c r="A82" s="81" t="s">
        <v>342</v>
      </c>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c r="A83" s="81" t="s">
        <v>342</v>
      </c>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c r="A84" s="81" t="s">
        <v>342</v>
      </c>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c r="A85" s="81" t="s">
        <v>342</v>
      </c>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c r="A86" s="81" t="s">
        <v>342</v>
      </c>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c r="A87" s="81" t="s">
        <v>342</v>
      </c>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c r="A88" s="81" t="s">
        <v>342</v>
      </c>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c r="A89" s="81" t="s">
        <v>342</v>
      </c>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c r="A90" s="81" t="s">
        <v>342</v>
      </c>
    </row>
    <row r="91">
      <c r="A91" s="81" t="s">
        <v>342</v>
      </c>
    </row>
    <row r="92">
      <c r="A92" s="81" t="s">
        <v>342</v>
      </c>
    </row>
    <row r="93">
      <c r="A93" s="81" t="s">
        <v>342</v>
      </c>
    </row>
    <row r="94">
      <c r="A94" s="81" t="s">
        <v>342</v>
      </c>
    </row>
    <row r="95">
      <c r="A95" s="81" t="s">
        <v>342</v>
      </c>
    </row>
    <row r="96">
      <c r="A96" s="81" t="s">
        <v>342</v>
      </c>
    </row>
    <row r="97">
      <c r="A97" s="81" t="s">
        <v>342</v>
      </c>
    </row>
    <row r="98">
      <c r="A98" s="81" t="s">
        <v>342</v>
      </c>
    </row>
    <row r="99">
      <c r="A99" s="81" t="s">
        <v>342</v>
      </c>
    </row>
    <row r="100">
      <c r="A100" s="82" t="s">
        <v>342</v>
      </c>
    </row>
  </sheetData>
  <mergeCells count="2">
    <mergeCell ref="N7:N9"/>
    <mergeCell ref="O7:O9"/>
  </mergeCells>
  <dataValidations>
    <dataValidation type="list" allowBlank="1" showErrorMessage="1" sqref="K11:K64">
      <formula1>"Low,Medium,High"</formula1>
    </dataValidation>
    <dataValidation type="list" allowBlank="1" showErrorMessage="1" sqref="J11:J64">
      <formula1>"Fail,Pass"</formula1>
    </dataValidation>
    <dataValidation type="list" allowBlank="1" showErrorMessage="1" sqref="N11:N64">
      <formula1>"Solved,Unsolved"</formula1>
    </dataValidation>
    <dataValidation type="list" allowBlank="1" showErrorMessage="1" sqref="O11:O64">
      <formula1>"Front-End,Back-End,AI,UI/UX"</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5"/>
    <hyperlink r:id="rId36" ref="L46"/>
    <hyperlink r:id="rId37" ref="L47"/>
    <hyperlink r:id="rId38" ref="L48"/>
    <hyperlink r:id="rId39" ref="L49"/>
    <hyperlink r:id="rId40" ref="L50"/>
  </hyperlinks>
  <drawing r:id="rId41"/>
</worksheet>
</file>