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Summary Report" sheetId="3" r:id="rId7"/>
    <sheet state="hidden" name="Tahsin" sheetId="4" r:id="rId8"/>
  </sheets>
  <definedNames/>
  <calcPr/>
</workbook>
</file>

<file path=xl/sharedStrings.xml><?xml version="1.0" encoding="utf-8"?>
<sst xmlns="http://schemas.openxmlformats.org/spreadsheetml/2006/main" count="724" uniqueCount="319">
  <si>
    <t xml:space="preserve">Tester : </t>
  </si>
  <si>
    <t>Mohammed Fahad Faisal</t>
  </si>
  <si>
    <t>Severity</t>
  </si>
  <si>
    <t>Issues</t>
  </si>
  <si>
    <t>Project Name:</t>
  </si>
  <si>
    <t>HealthDesk AI Web App(rgar6385) - App_Bloom</t>
  </si>
  <si>
    <t>High</t>
  </si>
  <si>
    <t>Project URL:</t>
  </si>
  <si>
    <t>https://getkyroai.com/</t>
  </si>
  <si>
    <t>Medium</t>
  </si>
  <si>
    <t>Developer:</t>
  </si>
  <si>
    <t>AI Hunter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</si>
  <si>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</si>
  <si>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</si>
  <si>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</si>
  <si>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</si>
  <si>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</si>
  <si>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</si>
  <si>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</si>
  <si>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</si>
  <si>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</si>
  <si>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</si>
  <si>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</si>
  <si>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</si>
  <si>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</si>
  <si>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</si>
  <si>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</si>
  <si>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</si>
  <si>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</si>
  <si>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</si>
  <si>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</si>
  <si>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</si>
  <si>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Stack</t>
  </si>
  <si>
    <t>Solved</t>
  </si>
  <si>
    <t>Working:- But some time take time for response come from Ai:- Reza</t>
  </si>
  <si>
    <t>AI</t>
  </si>
  <si>
    <t>BR-002</t>
  </si>
  <si>
    <t>BR-003</t>
  </si>
  <si>
    <t>Unsolved</t>
  </si>
  <si>
    <t>BR-004</t>
  </si>
  <si>
    <t>BR-005</t>
  </si>
  <si>
    <t>As per as client req</t>
  </si>
  <si>
    <t>BR-006</t>
  </si>
  <si>
    <t>Like is solved</t>
  </si>
  <si>
    <t>Backend</t>
  </si>
  <si>
    <t>BR-007</t>
  </si>
  <si>
    <t>By Reza</t>
  </si>
  <si>
    <t>BR-008</t>
  </si>
  <si>
    <t>by Reza</t>
  </si>
  <si>
    <t>BR-009</t>
  </si>
  <si>
    <t>Skip,Not present in Ui , also user can see the members list while click on Block member.Now if we display the member list another tab then another feature work will be come, like when click on the user create new message room</t>
  </si>
  <si>
    <t>BR-010</t>
  </si>
  <si>
    <t>BR-011</t>
  </si>
  <si>
    <t>by- reza</t>
  </si>
  <si>
    <t>BR-012</t>
  </si>
  <si>
    <t>.......</t>
  </si>
  <si>
    <t>BR-013</t>
  </si>
  <si>
    <t>by reza</t>
  </si>
  <si>
    <t>BR-014</t>
  </si>
  <si>
    <t>This was the Client requirements:- reza</t>
  </si>
  <si>
    <t>BR-015</t>
  </si>
  <si>
    <t>BR-016</t>
  </si>
  <si>
    <t>BR-017</t>
  </si>
  <si>
    <t>BR-018</t>
  </si>
  <si>
    <t>BR-019</t>
  </si>
  <si>
    <t>BR-020</t>
  </si>
  <si>
    <t>BR-021</t>
  </si>
  <si>
    <t>BR-022</t>
  </si>
  <si>
    <t>backend check this</t>
  </si>
  <si>
    <t>BR-023</t>
  </si>
  <si>
    <t>U need give unique user id  bucause no duplication id used in db client giv it manually</t>
  </si>
  <si>
    <t xml:space="preserve">Backend Reply this. </t>
  </si>
  <si>
    <t>BR-024</t>
  </si>
  <si>
    <t>backedn ,fixed the error response format</t>
  </si>
  <si>
    <t>BR-025</t>
  </si>
  <si>
    <t>backend</t>
  </si>
  <si>
    <t>BR-026</t>
  </si>
  <si>
    <t>BR-027</t>
  </si>
  <si>
    <t>BR-028</t>
  </si>
  <si>
    <t>BR-029</t>
  </si>
  <si>
    <t>BR-030</t>
  </si>
  <si>
    <t>BR-031</t>
  </si>
  <si>
    <t>BR-032</t>
  </si>
  <si>
    <t>BR-033</t>
  </si>
  <si>
    <t>BR-034</t>
  </si>
  <si>
    <t>BR-035</t>
  </si>
  <si>
    <t>BR-036</t>
  </si>
  <si>
    <t>BR-037</t>
  </si>
  <si>
    <t>BR-038</t>
  </si>
  <si>
    <t>BR-039</t>
  </si>
  <si>
    <t/>
  </si>
  <si>
    <t>Windows 11 Pro 
Version:24H2 
OS build:26100.4946</t>
  </si>
  <si>
    <t>Environment:</t>
  </si>
  <si>
    <t>Brave 1.81.135 
(Official Build) (64-bit)
Chromium: 139.0.7258.127</t>
  </si>
  <si>
    <t>Test ID</t>
  </si>
  <si>
    <t>BR_001</t>
  </si>
  <si>
    <t>Login</t>
  </si>
  <si>
    <t>Forget Password or password reset action button missing in login page</t>
  </si>
  <si>
    <t>User need to access this web app through browser</t>
  </si>
  <si>
    <r>
      <rPr>
        <rFont val="Times New Roman"/>
        <sz val="12.0"/>
      </rPr>
      <t xml:space="preserve">1. Open </t>
    </r>
    <r>
      <rPr>
        <rFont val="Times New Roman"/>
        <color rgb="FF1155CC"/>
        <sz val="12.0"/>
        <u/>
      </rPr>
      <t>link</t>
    </r>
  </si>
  <si>
    <t>N/A</t>
  </si>
  <si>
    <t>Password reset / Forget Password option should be visible in the login page</t>
  </si>
  <si>
    <t>No password reset option has been implemented, if need to change, need to do it manually</t>
  </si>
  <si>
    <t>Fail</t>
  </si>
  <si>
    <t>https://jam.dev/c/67d6f6db-0260-4396-b48b-59593fc6f09b</t>
  </si>
  <si>
    <t>BR_002</t>
  </si>
  <si>
    <t>Communication</t>
  </si>
  <si>
    <t>Group Chat</t>
  </si>
  <si>
    <t>User name need to be displayed in the group chat for better user experience</t>
  </si>
  <si>
    <t>1. Open link
2. Login with Admin Credentials
3. Click on communication</t>
  </si>
  <si>
    <t>Admin Credentials</t>
  </si>
  <si>
    <t>User name need to be displayed in the group chat for better user engagement</t>
  </si>
  <si>
    <t>The username isn’t shown in the group chat, it’s hard to tell who sent the message.</t>
  </si>
  <si>
    <t>https://jam.dev/c/606bcc70-9c47-4c54-9953-051b4bc39d60</t>
  </si>
  <si>
    <t>BR_003</t>
  </si>
  <si>
    <t>The group image doesn’t update dynamically.</t>
  </si>
  <si>
    <t>The group image should be dynamically updated.</t>
  </si>
  <si>
    <t>Unable to update the group image dynamically.</t>
  </si>
  <si>
    <t>https://jam.dev/c/58e41e2c-fd94-4d47-a548-31011fbbd2df</t>
  </si>
  <si>
    <t>BR_004</t>
  </si>
  <si>
    <t>Group member list is missing in communication</t>
  </si>
  <si>
    <t>In group details, member list should be displayed for better user experience</t>
  </si>
  <si>
    <t>Group member list missing in group details</t>
  </si>
  <si>
    <t>https://jam.dev/c/b50b656c-a6e9-499e-8ec2-25c60607c463</t>
  </si>
  <si>
    <t>BR_005</t>
  </si>
  <si>
    <t>Group action bar remains in each chat/group until it clicked</t>
  </si>
  <si>
    <t>The action bar should appear when the icon is clicked and hide when the user switches to another chat.</t>
  </si>
  <si>
    <t>The action bar stays in place even when the user switches chats.</t>
  </si>
  <si>
    <t>https://jam.dev/c/b9782c46-0840-46e6-80a6-d7dfdb0bf638</t>
  </si>
  <si>
    <t>BR_006</t>
  </si>
  <si>
    <t>Manage Clinic</t>
  </si>
  <si>
    <t>Add Clinic</t>
  </si>
  <si>
    <t>The field required indicator hasn’t been implemented in the frontend.</t>
  </si>
  <si>
    <t>1. Open link
2. Login with Admin Credentials
3. Click on Manage Clinic</t>
  </si>
  <si>
    <t>Adding a required field indicator in the frontend can greatly enhance the user experience.</t>
  </si>
  <si>
    <t xml:space="preserve">Missing required indicator </t>
  </si>
  <si>
    <t>https://jam.dev/c/f25a9504-20f8-43e9-abc1-c3c8a55191aa</t>
  </si>
  <si>
    <t>BR_007</t>
  </si>
  <si>
    <t>Validation required in the input field</t>
  </si>
  <si>
    <t>Validation in input field need to set</t>
  </si>
  <si>
    <t>Failed on validation</t>
  </si>
  <si>
    <t>https://jam.dev/c/60208152-77eb-4099-b4c6-10d8c86b57e8</t>
  </si>
  <si>
    <t>BR_008</t>
  </si>
  <si>
    <t>Limit need to set in input field</t>
  </si>
  <si>
    <t>A limit needs to be set in the input field.</t>
  </si>
  <si>
    <t>No limit set in the input field</t>
  </si>
  <si>
    <t>https://jam.dev/c/7697c7b5-f9ae-4e36-9a1e-ce335096382c</t>
  </si>
  <si>
    <r>
      <rPr>
        <rFont val="Times New Roman"/>
        <color rgb="FF1155CC"/>
        <sz val="12.0"/>
        <u/>
      </rPr>
      <t xml:space="preserve">https://jam.dev/c/605adc04-59a2-4636-a2e7-fc6e12097298
</t>
    </r>
    <r>
      <rPr>
        <rFont val="Times New Roman"/>
        <color rgb="FF000000"/>
        <sz val="12.0"/>
      </rPr>
      <t>Better if the limit set to input fields</t>
    </r>
  </si>
  <si>
    <t>BR_009</t>
  </si>
  <si>
    <t>User Management</t>
  </si>
  <si>
    <t>1. Open link
2. Login with Admin Credentials
3. Click on User Management</t>
  </si>
  <si>
    <t>https://jam.dev/c/c7fed9af-b9d6-47ae-bb3f-3d23feac85a6</t>
  </si>
  <si>
    <t>BR_010</t>
  </si>
  <si>
    <t>https://jam.dev/c/e506b2da-e9bc-4df0-8f96-4a58fc677d23</t>
  </si>
  <si>
    <t>Still take number in name field</t>
  </si>
  <si>
    <t>BR_011</t>
  </si>
  <si>
    <t>AI Training</t>
  </si>
  <si>
    <t>View Docs</t>
  </si>
  <si>
    <t>Failed to train AI by Image</t>
  </si>
  <si>
    <t>1. Open link
2. Login with Admin Credentials
3. Click on AI Training</t>
  </si>
  <si>
    <t>As per as requirement, user should be able to train AI by images, pdf, doc, xls</t>
  </si>
  <si>
    <t>Failed to train AI by image</t>
  </si>
  <si>
    <t>BR_012</t>
  </si>
  <si>
    <t>Settings</t>
  </si>
  <si>
    <t>Profile</t>
  </si>
  <si>
    <t xml:space="preserve">Validation in profile is not set </t>
  </si>
  <si>
    <t>1. Open link
2. Login with Admin Credentials
3. Click on Settings</t>
  </si>
  <si>
    <t>https://jam.dev/c/b1dec3b3-564e-413d-9fc7-6d05307cc235</t>
  </si>
  <si>
    <t>BR_013</t>
  </si>
  <si>
    <t>Clinicwise Chat</t>
  </si>
  <si>
    <t>Chats</t>
  </si>
  <si>
    <t>Chats are not displaying as clinicwise</t>
  </si>
  <si>
    <t>1. Open link
2. Login with Admin Credentials
3. Click on Clinicwise Chat</t>
  </si>
  <si>
    <t>Chats should be displayed as clinicwise</t>
  </si>
  <si>
    <t>Failed to display chat as clinicwise</t>
  </si>
  <si>
    <t>https://jam.dev/c/5b228c92-e271-4c88-9432-71effc8f1d9e</t>
  </si>
  <si>
    <t>BR_014</t>
  </si>
  <si>
    <t>AI Chat</t>
  </si>
  <si>
    <t>Failed to summarize data from Image</t>
  </si>
  <si>
    <t>1. Open link
2. Login with Admin Credentials
3. Click on AI Assistant</t>
  </si>
  <si>
    <t>AI should response properly by image, pdf, docs and xls</t>
  </si>
  <si>
    <t xml:space="preserve">Failed to summarize data by image </t>
  </si>
  <si>
    <t>BR_015</t>
  </si>
  <si>
    <t>Show irrelevant information in the AI's response</t>
  </si>
  <si>
    <t>AI should only response data which are connected on Medical matters</t>
  </si>
  <si>
    <t>AI response shows dev name like (who create you ? I was created by Khairul)
(which company developed you ? Developed by MySoft Heaven BD)</t>
  </si>
  <si>
    <t>https://jam.dev/c/fecf6ef5-fc42-4eda-b3ac-2b10fe8762f4
https://jam.dev/c/4c4c00d9-71bc-4b0a-a7b0-c141749ae460</t>
  </si>
  <si>
    <t>BR_016</t>
  </si>
  <si>
    <t>Failed to update role</t>
  </si>
  <si>
    <t>Should be able to update user role from Admin side</t>
  </si>
  <si>
    <t xml:space="preserve">Failed to update user role </t>
  </si>
  <si>
    <t>https://jam.dev/c/e6e4004c-24ea-47b1-939b-8281c9ed9dab</t>
  </si>
  <si>
    <t>BR_017</t>
  </si>
  <si>
    <t>Dashboard</t>
  </si>
  <si>
    <t>Cache is not remove when user logout</t>
  </si>
  <si>
    <t>1. Open link
2. Login with President Credentials</t>
  </si>
  <si>
    <t>President Credential</t>
  </si>
  <si>
    <t>Cache should remove after user logout</t>
  </si>
  <si>
    <t>Still holds cache memory after user logout</t>
  </si>
  <si>
    <t>https://jam.dev/c/e3d0f827-d799-451f-9e28-baa52b074e88</t>
  </si>
  <si>
    <t>BR_018</t>
  </si>
  <si>
    <t>The dashboard isn’t updating in real time.</t>
  </si>
  <si>
    <t>Dashboard should be updated in real time</t>
  </si>
  <si>
    <t>https://jam.dev/c/e5a1ddc2-6959-414f-84b4-cd44982cf075</t>
  </si>
  <si>
    <t>BR_019</t>
  </si>
  <si>
    <t>Clicking on Manage Clinic redirects to the login page.</t>
  </si>
  <si>
    <t>Click on Manage Clinic should redirect user to Assigned Clinic</t>
  </si>
  <si>
    <t>Redirect to Login page when user click on Manage clinic</t>
  </si>
  <si>
    <t>https://jam.dev/c/508b63f7-8e56-4211-85be-1e4cd5afad9f</t>
  </si>
  <si>
    <t>BR_020</t>
  </si>
  <si>
    <t>Like on response dosen't store but dislike store</t>
  </si>
  <si>
    <t>1. Open link
2. Login with President Credentials
3. Click on Communication
4. Click on AI chat</t>
  </si>
  <si>
    <t>Both Like or Dislike should be store in chat</t>
  </si>
  <si>
    <t>Only dislike store in chat, not like</t>
  </si>
  <si>
    <t>https://jam.dev/c/c6437440-a8f3-4a89-87d5-973a60b7548f</t>
  </si>
  <si>
    <t>BR_021</t>
  </si>
  <si>
    <t>Failed to provide an adequate response from the last training.</t>
  </si>
  <si>
    <t>President Credentials</t>
  </si>
  <si>
    <t>AI should capture the context from previous updates or training files to respond to the user more quickly.</t>
  </si>
  <si>
    <t>Failed to respond to the previous message-based request.</t>
  </si>
  <si>
    <t>https://jam.dev/c/1af5c1a4-5d0f-4fab-b23a-dfd79868b6c4</t>
  </si>
  <si>
    <t>BR_022</t>
  </si>
  <si>
    <t>Validation on phone number failed</t>
  </si>
  <si>
    <t>Phone number should mantain exact country-base format</t>
  </si>
  <si>
    <t>Can set negetive number and random number as phone number</t>
  </si>
  <si>
    <t>https://jam.dev/c/b5fc4c90-6046-4483-90f0-dcf2b1395fb6</t>
  </si>
  <si>
    <t>BR_023</t>
  </si>
  <si>
    <t>Employee ID should auto generate by User Role(Eg: for president : P-XXX , Manager : M-XXX, Doctor : Dr-XXX, Staff : ST-XXX, Jr. Staff : JST-XXX)</t>
  </si>
  <si>
    <t>Employee IDs should be automatically generated from the backend to avoid ID conflicts.</t>
  </si>
  <si>
    <t>Can set manual employee ID which may occure id conflict</t>
  </si>
  <si>
    <t>https://jam.dev/c/da0c0884-ba36-4701-88d0-7af38556509a</t>
  </si>
  <si>
    <t>Manually set user ID</t>
  </si>
  <si>
    <t>BR_024</t>
  </si>
  <si>
    <t>Failed to display the correct error message.</t>
  </si>
  <si>
    <t>Proper error message should be displayed for client satisfaction</t>
  </si>
  <si>
    <t>Failed to display proper error message</t>
  </si>
  <si>
    <t>https://jam.dev/c/c892e3d4-1ccb-4cae-a7e1-627317661fb4</t>
  </si>
  <si>
    <t>BR_025</t>
  </si>
  <si>
    <t>The password change feature for the president's account isn’t working.</t>
  </si>
  <si>
    <t>President should be able to change users password</t>
  </si>
  <si>
    <t>Failed to change user password from president account</t>
  </si>
  <si>
    <t>https://jam.dev/c/103ba024-39e7-4b36-a886-8e31bed1dff5</t>
  </si>
  <si>
    <t>BR_026</t>
  </si>
  <si>
    <t>Only Admin has the permission to see chat history of all users. Rest of the role dosen't have the access</t>
  </si>
  <si>
    <t>Only admin should be able to see the chat history of all users</t>
  </si>
  <si>
    <t>Except for admin view, all user have this module but the access is not granted</t>
  </si>
  <si>
    <t>https://jam.dev/c/8fb65e0c-d93c-4090-a451-00796a965388</t>
  </si>
  <si>
    <t>Need to remove the viewing chat history for all users except Admin</t>
  </si>
  <si>
    <t>BR_027</t>
  </si>
  <si>
    <t>President profile picture is set as manager profile picture in chat</t>
  </si>
  <si>
    <t>1. Open link
2. Login with Manager Credentials
3. Click on Chat</t>
  </si>
  <si>
    <t>Manager Credentials</t>
  </si>
  <si>
    <t>user profile picture should be same in different platforms</t>
  </si>
  <si>
    <t xml:space="preserve">Different profile picture / conflited profile picture has been seen </t>
  </si>
  <si>
    <t>https://jam.dev/c/dc389bb1-f3df-42cd-b66c-ab6beca49611</t>
  </si>
  <si>
    <t>BR_028</t>
  </si>
  <si>
    <t xml:space="preserve">Manager can be able to set them deactive </t>
  </si>
  <si>
    <t>1. Open link
2. Login with Manager Credentials
3. Click on User Management</t>
  </si>
  <si>
    <t>Users should not be able to deactivate their own account.</t>
  </si>
  <si>
    <t>Users can set themselves as inactive.</t>
  </si>
  <si>
    <t>https://jam.dev/c/a3bf0421-427e-4d95-8ca4-7237ee07b890</t>
  </si>
  <si>
    <t>BR_029</t>
  </si>
  <si>
    <t>Need to put validation in Manager profie</t>
  </si>
  <si>
    <t>1. Open link
2. Login with Manager Credentials
3. Click on Settings</t>
  </si>
  <si>
    <t>Validation failed</t>
  </si>
  <si>
    <t>https://jam.dev/c/a30bb76e-d565-4ef1-928f-bf6ec794fb35</t>
  </si>
  <si>
    <t>BR_030</t>
  </si>
  <si>
    <t>User name is not dynamically update in group</t>
  </si>
  <si>
    <t>User name should be dynamically update in every group after it changes</t>
  </si>
  <si>
    <t>Failed to show upated username in groups</t>
  </si>
  <si>
    <t>https://jam.dev/c/aec539c7-5efa-4816-92bc-9904efd640d6</t>
  </si>
  <si>
    <t>BR_031</t>
  </si>
  <si>
    <t>Manager was removed automatically from group chat after updating their username</t>
  </si>
  <si>
    <t>User should remain in group till higher autthority remove them from group</t>
  </si>
  <si>
    <t>User get remove automatically after changing their user name</t>
  </si>
  <si>
    <t>https://jam.dev/c/4e3e5c1c-0465-4cac-9b99-8f8cd9397648</t>
  </si>
  <si>
    <t>BR_032</t>
  </si>
  <si>
    <t>The username does not update dynamically in the profile.</t>
  </si>
  <si>
    <t>https://jam.dev/c/c21c907e-9edd-439f-b0fa-e5f365a369eb</t>
  </si>
  <si>
    <t>need to refresh after update to see the updated profile</t>
  </si>
  <si>
    <t>BR_033</t>
  </si>
  <si>
    <t>Automatically removes manager from group for deactive and reactive</t>
  </si>
  <si>
    <t>https://jam.dev/c/f58fc153-873d-493b-ab77-3229f95067ae</t>
  </si>
  <si>
    <t>BR_034</t>
  </si>
  <si>
    <t>Mobile responsiveness failed in communication</t>
  </si>
  <si>
    <t>The interface should appear clean and seamless to the user.</t>
  </si>
  <si>
    <t>The user interface in the communication section is malfunctioning on mobile devices.</t>
  </si>
  <si>
    <t>https://jam.dev/c/e7836ef5-4134-4470-95cb-079673316d19</t>
  </si>
  <si>
    <t>BR_035</t>
  </si>
  <si>
    <t>The system was unable to respond as expected in different device screen</t>
  </si>
  <si>
    <t>https://jam.dev/c/a5e294ce-6790-45f5-9d44-6b1262c66023</t>
  </si>
  <si>
    <t>BR_036</t>
  </si>
  <si>
    <t>The notification bar ought to be positioned on the right side.</t>
  </si>
  <si>
    <t>https://jam.dev/c/fa09cf59-3308-4993-aca6-ddd17b45f8ba</t>
  </si>
  <si>
    <t>BR_037</t>
  </si>
  <si>
    <t>The user profile picture should be aligned to the right.</t>
  </si>
  <si>
    <t>https://jam.dev/c/32971bba-796d-4d5c-9a87-3a5eb634fc23</t>
  </si>
  <si>
    <t>BR_038</t>
  </si>
  <si>
    <t>The request for the header information was unsuccessful.</t>
  </si>
  <si>
    <t>https://jam.dev/c/4c79164f-e825-4284-bdcc-cac54a9ed931</t>
  </si>
  <si>
    <t>BR_039</t>
  </si>
  <si>
    <t>Automatically set the manager's password when the manager creates a new user.</t>
  </si>
  <si>
    <t>Add a new user with all input fields left empty.</t>
  </si>
  <si>
    <t>The set manager’s password has been set up by default.</t>
  </si>
  <si>
    <t>https://jam.dev/c/d7ae2401-1529-4d00-a91a-ba1c81dd9ee0</t>
  </si>
  <si>
    <t>BR_040</t>
  </si>
  <si>
    <t>BR_041</t>
  </si>
  <si>
    <t>BR_042</t>
  </si>
  <si>
    <t>BR_043</t>
  </si>
  <si>
    <t>BR_044</t>
  </si>
  <si>
    <t>BR_045</t>
  </si>
  <si>
    <t>BR_046</t>
  </si>
  <si>
    <t>BR_047</t>
  </si>
  <si>
    <t>BR_048</t>
  </si>
  <si>
    <t>BR_049</t>
  </si>
  <si>
    <t>BR_050</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</si>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</sst>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u/>
      <color rgb="FF0000FF"/>
    </font>
    <font>
      <b/>
      <sz val="11.0"/>
      <color theme="1"/>
      <name val="Calibri"/>
    </font>
    <font>
      <b/>
      <sz val="15.0"/>
      <color theme="1"/>
      <name val="Calibri"/>
    </font>
    <font>
      <sz val="15.0"/>
      <color theme="1"/>
      <name val="Arial"/>
      <scheme val="minor"/>
    </font>
    <font>
      <color theme="1"/>
      <name val="Arial"/>
      <scheme val="minor"/>
    </font>
    <font>
      <u/>
      <color rgb="FF0000FF"/>
    </font>
    <font>
      <b/>
      <sz val="12.0"/>
      <color theme="1"/>
      <name val="Times New Roman"/>
    </font>
    <font>
      <sz val="12.0"/>
      <color theme="1"/>
      <name val="Times New Roman"/>
    </font>
    <font>
      <color theme="1"/>
      <name val="Times New Roman"/>
    </font>
    <font>
      <sz val="11.0"/>
      <color rgb="FF1E2624"/>
      <name val="Times New Roman"/>
    </font>
    <font>
      <b/>
      <sz val="13.0"/>
      <color theme="1"/>
      <name val="Times New Roman"/>
    </font>
    <font>
      <sz val="13.0"/>
      <color theme="1"/>
      <name val="Times New Roman"/>
    </font>
    <font>
      <u/>
      <sz val="12.0"/>
      <color rgb="FF0000FF"/>
      <name val="Times New Roman"/>
    </font>
    <font>
      <u/>
      <sz val="12.0"/>
      <color rgb="FF0000FF"/>
      <name val="Times New Roman"/>
    </font>
    <font>
      <u/>
      <sz val="12.0"/>
      <color rgb="FF1155CC"/>
      <name val="Times New Roman"/>
    </font>
    <font>
      <u/>
      <sz val="12.0"/>
      <color rgb="FF0000FF"/>
      <name val="Times New Roman"/>
    </font>
    <font>
      <u/>
      <sz val="12.0"/>
      <color rgb="FF0000FF"/>
      <name val="Times New Roman"/>
    </font>
    <font>
      <u/>
      <sz val="12.0"/>
      <color rgb="FF1155CC"/>
      <name val="Times New Roman"/>
    </font>
    <font>
      <u/>
      <color rgb="FF1155CC"/>
      <name val="Arial"/>
    </font>
    <font>
      <b/>
      <sz val="16.0"/>
      <color theme="1"/>
      <name val="Calibri"/>
    </font>
    <font>
      <sz val="12.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0" fillId="0" fontId="11" numFmtId="0" xfId="0" applyAlignment="1" applyFont="1">
      <alignment horizontal="right" shrinkToFit="0" vertical="center" wrapText="1"/>
    </xf>
    <xf borderId="0" fillId="0" fontId="11" numFmtId="0" xfId="0" applyAlignment="1" applyFont="1">
      <alignment horizontal="center"/>
    </xf>
    <xf borderId="0" fillId="0" fontId="11" numFmtId="0" xfId="0" applyFont="1"/>
    <xf borderId="1" fillId="0" fontId="13" numFmtId="0" xfId="0" applyAlignment="1" applyBorder="1" applyFont="1">
      <alignment horizontal="right" shrinkToFit="0" vertical="center" wrapText="1"/>
    </xf>
    <xf borderId="1" fillId="0" fontId="14" numFmtId="0" xfId="0" applyAlignment="1" applyBorder="1" applyFont="1">
      <alignment horizontal="center" readingOrder="0" vertical="center"/>
    </xf>
    <xf borderId="0" fillId="0" fontId="15" numFmtId="0" xfId="0" applyFont="1"/>
    <xf borderId="1" fillId="0" fontId="15" numFmtId="0" xfId="0" applyAlignment="1" applyBorder="1" applyFont="1">
      <alignment horizontal="center" readingOrder="0" vertical="center"/>
    </xf>
    <xf borderId="1" fillId="6" fontId="16" numFmtId="0" xfId="0" applyAlignment="1" applyBorder="1" applyFill="1" applyFont="1">
      <alignment horizontal="center" readingOrder="0" vertical="center"/>
    </xf>
    <xf borderId="1" fillId="0" fontId="13" numFmtId="0" xfId="0" applyAlignment="1" applyBorder="1" applyFont="1">
      <alignment horizontal="right" readingOrder="0" vertical="center"/>
    </xf>
    <xf borderId="2" fillId="7" fontId="17" numFmtId="0" xfId="0" applyAlignment="1" applyBorder="1" applyFill="1" applyFont="1">
      <alignment horizontal="center" shrinkToFit="0" vertical="center" wrapText="1"/>
    </xf>
    <xf borderId="2" fillId="7" fontId="17" numFmtId="0" xfId="0" applyAlignment="1" applyBorder="1" applyFont="1">
      <alignment horizontal="center" readingOrder="0" shrinkToFit="0" vertical="center" wrapText="1"/>
    </xf>
    <xf borderId="0" fillId="0" fontId="18" numFmtId="0" xfId="0" applyAlignment="1" applyFont="1">
      <alignment vertical="center"/>
    </xf>
    <xf borderId="4" fillId="0"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4" fillId="0" fontId="19" numFmtId="0" xfId="0" applyAlignment="1" applyBorder="1" applyFont="1">
      <alignment horizontal="left" readingOrder="0" shrinkToFit="0" vertical="center" wrapText="1"/>
    </xf>
    <xf borderId="5" fillId="0" fontId="20"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0" fillId="0" fontId="14" numFmtId="0" xfId="0" applyAlignment="1" applyFont="1">
      <alignment horizontal="left" shrinkToFit="0" vertical="center" wrapText="1"/>
    </xf>
    <xf borderId="1" fillId="0" fontId="14"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1" fillId="0" fontId="14" numFmtId="0" xfId="0" applyAlignment="1" applyBorder="1" applyFont="1">
      <alignment horizontal="left"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1" fillId="0" fontId="15"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2" fillId="5" fontId="17" numFmtId="0" xfId="0" applyAlignment="1" applyBorder="1" applyFont="1">
      <alignment horizontal="center" shrinkToFit="0" vertical="center" wrapText="1"/>
    </xf>
    <xf borderId="2" fillId="5" fontId="17" numFmtId="0" xfId="0" applyAlignment="1" applyBorder="1" applyFont="1">
      <alignment horizontal="center" readingOrder="0" shrinkToFit="0" vertical="center" wrapText="1"/>
    </xf>
    <xf borderId="2" fillId="5" fontId="1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5"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6" numFmtId="0" xfId="0" applyAlignment="1" applyBorder="1" applyFont="1">
      <alignment horizontal="center" shrinkToFit="0" vertical="center" wrapText="1"/>
    </xf>
    <xf borderId="1" fillId="0" fontId="27"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7" numFmtId="0" xfId="0" applyAlignment="1" applyBorder="1" applyFont="1">
      <alignment horizontal="left" shrinkToFit="0" vertical="center" wrapText="1"/>
    </xf>
    <xf borderId="6" fillId="0" fontId="27"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shrinkToFit="0" vertical="center" wrapText="1"/>
    </xf>
    <xf borderId="0" fillId="0" fontId="27" numFmtId="0" xfId="0" applyAlignment="1" applyFont="1">
      <alignment readingOrder="0" shrinkToFit="0" vertical="center" wrapText="1"/>
    </xf>
    <xf borderId="1" fillId="0" fontId="27"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6" fillId="0" fontId="27" numFmtId="0" xfId="0" applyAlignment="1" applyBorder="1" applyFont="1">
      <alignment readingOrder="0" shrinkToFit="0" vertical="center" wrapText="1"/>
    </xf>
    <xf borderId="0" fillId="0" fontId="27" numFmtId="0" xfId="0" applyAlignment="1" applyFont="1">
      <alignment readingOrder="0" shrinkToFit="0" vertical="center" wrapText="1"/>
    </xf>
    <xf borderId="0" fillId="0" fontId="27"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71925" cy="2066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jam.dev/c/508b63f7-8e56-4211-85be-1e4cd5afad9f" TargetMode="External"/><Relationship Id="rId22" Type="http://schemas.openxmlformats.org/officeDocument/2006/relationships/hyperlink" Target="https://jam.dev/c/f25a9504-20f8-43e9-abc1-c3c8a55191aa" TargetMode="External"/><Relationship Id="rId21" Type="http://schemas.openxmlformats.org/officeDocument/2006/relationships/hyperlink" Target="https://jam.dev/c/67d6f6db-0260-4396-b48b-59593fc6f09b" TargetMode="External"/><Relationship Id="rId24" Type="http://schemas.openxmlformats.org/officeDocument/2006/relationships/hyperlink" Target="https://jam.dev/c/7697c7b5-f9ae-4e36-9a1e-ce335096382c" TargetMode="External"/><Relationship Id="rId23" Type="http://schemas.openxmlformats.org/officeDocument/2006/relationships/hyperlink" Target="https://jam.dev/c/60208152-77eb-4099-b4c6-10d8c86b57e8" TargetMode="External"/><Relationship Id="rId1" Type="http://schemas.openxmlformats.org/officeDocument/2006/relationships/hyperlink" Target="https://getkyroai.com/" TargetMode="External"/><Relationship Id="rId2" Type="http://schemas.openxmlformats.org/officeDocument/2006/relationships/hyperlink" Target="https://jam.dev/c/1af5c1a4-5d0f-4fab-b23a-dfd79868b6c4" TargetMode="External"/><Relationship Id="rId3" Type="http://schemas.openxmlformats.org/officeDocument/2006/relationships/hyperlink" Target="https://jam.dev/c/5b228c92-e271-4c88-9432-71effc8f1d9e" TargetMode="External"/><Relationship Id="rId4" Type="http://schemas.openxmlformats.org/officeDocument/2006/relationships/hyperlink" Target="https://jam.dev/c/c6437440-a8f3-4a89-87d5-973a60b7548f" TargetMode="External"/><Relationship Id="rId9" Type="http://schemas.openxmlformats.org/officeDocument/2006/relationships/hyperlink" Target="https://jam.dev/c/e7836ef5-4134-4470-95cb-079673316d19" TargetMode="External"/><Relationship Id="rId26" Type="http://schemas.openxmlformats.org/officeDocument/2006/relationships/hyperlink" Target="https://jam.dev/c/a30bb76e-d565-4ef1-928f-bf6ec794fb35" TargetMode="External"/><Relationship Id="rId25" Type="http://schemas.openxmlformats.org/officeDocument/2006/relationships/hyperlink" Target="https://jam.dev/c/b1dec3b3-564e-413d-9fc7-6d05307cc235" TargetMode="External"/><Relationship Id="rId28" Type="http://schemas.openxmlformats.org/officeDocument/2006/relationships/hyperlink" Target="https://jam.dev/c/c7fed9af-b9d6-47ae-bb3f-3d23feac85a6" TargetMode="External"/><Relationship Id="rId27" Type="http://schemas.openxmlformats.org/officeDocument/2006/relationships/hyperlink" Target="https://jam.dev/c/c21c907e-9edd-439f-b0fa-e5f365a369eb" TargetMode="External"/><Relationship Id="rId5" Type="http://schemas.openxmlformats.org/officeDocument/2006/relationships/hyperlink" Target="https://jam.dev/c/dc389bb1-f3df-42cd-b66c-ab6beca49611" TargetMode="External"/><Relationship Id="rId6" Type="http://schemas.openxmlformats.org/officeDocument/2006/relationships/hyperlink" Target="https://jam.dev/c/aec539c7-5efa-4816-92bc-9904efd640d6" TargetMode="External"/><Relationship Id="rId29" Type="http://schemas.openxmlformats.org/officeDocument/2006/relationships/hyperlink" Target="https://jam.dev/c/e506b2da-e9bc-4df0-8f96-4a58fc677d23" TargetMode="External"/><Relationship Id="rId7" Type="http://schemas.openxmlformats.org/officeDocument/2006/relationships/hyperlink" Target="https://jam.dev/c/4e3e5c1c-0465-4cac-9b99-8f8cd9397648" TargetMode="External"/><Relationship Id="rId8" Type="http://schemas.openxmlformats.org/officeDocument/2006/relationships/hyperlink" Target="https://jam.dev/c/f58fc153-873d-493b-ab77-3229f95067ae" TargetMode="External"/><Relationship Id="rId31" Type="http://schemas.openxmlformats.org/officeDocument/2006/relationships/hyperlink" Target="https://jam.dev/c/b5fc4c90-6046-4483-90f0-dcf2b1395fb6" TargetMode="External"/><Relationship Id="rId30" Type="http://schemas.openxmlformats.org/officeDocument/2006/relationships/hyperlink" Target="https://jam.dev/c/e6e4004c-24ea-47b1-939b-8281c9ed9dab" TargetMode="External"/><Relationship Id="rId11" Type="http://schemas.openxmlformats.org/officeDocument/2006/relationships/hyperlink" Target="https://jam.dev/c/fa09cf59-3308-4993-aca6-ddd17b45f8ba" TargetMode="External"/><Relationship Id="rId33" Type="http://schemas.openxmlformats.org/officeDocument/2006/relationships/hyperlink" Target="https://jam.dev/c/c892e3d4-1ccb-4cae-a7e1-627317661fb4" TargetMode="External"/><Relationship Id="rId10" Type="http://schemas.openxmlformats.org/officeDocument/2006/relationships/hyperlink" Target="https://jam.dev/c/a5e294ce-6790-45f5-9d44-6b1262c66023" TargetMode="External"/><Relationship Id="rId32" Type="http://schemas.openxmlformats.org/officeDocument/2006/relationships/hyperlink" Target="https://jam.dev/c/da0c0884-ba36-4701-88d0-7af38556509a" TargetMode="External"/><Relationship Id="rId13" Type="http://schemas.openxmlformats.org/officeDocument/2006/relationships/hyperlink" Target="https://jam.dev/c/4c79164f-e825-4284-bdcc-cac54a9ed931" TargetMode="External"/><Relationship Id="rId35" Type="http://schemas.openxmlformats.org/officeDocument/2006/relationships/hyperlink" Target="https://jam.dev/c/8fb65e0c-d93c-4090-a451-00796a965388" TargetMode="External"/><Relationship Id="rId12" Type="http://schemas.openxmlformats.org/officeDocument/2006/relationships/hyperlink" Target="https://jam.dev/c/32971bba-796d-4d5c-9a87-3a5eb634fc23" TargetMode="External"/><Relationship Id="rId34" Type="http://schemas.openxmlformats.org/officeDocument/2006/relationships/hyperlink" Target="https://jam.dev/c/103ba024-39e7-4b36-a886-8e31bed1dff5" TargetMode="External"/><Relationship Id="rId15" Type="http://schemas.openxmlformats.org/officeDocument/2006/relationships/hyperlink" Target="https://jam.dev/c/58e41e2c-fd94-4d47-a548-31011fbbd2df" TargetMode="External"/><Relationship Id="rId37" Type="http://schemas.openxmlformats.org/officeDocument/2006/relationships/hyperlink" Target="https://jam.dev/c/d7ae2401-1529-4d00-a91a-ba1c81dd9ee0" TargetMode="External"/><Relationship Id="rId14" Type="http://schemas.openxmlformats.org/officeDocument/2006/relationships/hyperlink" Target="https://jam.dev/c/606bcc70-9c47-4c54-9953-051b4bc39d60" TargetMode="External"/><Relationship Id="rId36" Type="http://schemas.openxmlformats.org/officeDocument/2006/relationships/hyperlink" Target="https://jam.dev/c/a3bf0421-427e-4d95-8ca4-7237ee07b890" TargetMode="External"/><Relationship Id="rId17" Type="http://schemas.openxmlformats.org/officeDocument/2006/relationships/hyperlink" Target="https://jam.dev/c/b9782c46-0840-46e6-80a6-d7dfdb0bf638" TargetMode="External"/><Relationship Id="rId16" Type="http://schemas.openxmlformats.org/officeDocument/2006/relationships/hyperlink" Target="https://jam.dev/c/b50b656c-a6e9-499e-8ec2-25c60607c463" TargetMode="External"/><Relationship Id="rId38" Type="http://schemas.openxmlformats.org/officeDocument/2006/relationships/drawing" Target="../drawings/drawing1.xml"/><Relationship Id="rId19" Type="http://schemas.openxmlformats.org/officeDocument/2006/relationships/hyperlink" Target="https://jam.dev/c/e5a1ddc2-6959-414f-84b4-cd44982cf075" TargetMode="External"/><Relationship Id="rId18" Type="http://schemas.openxmlformats.org/officeDocument/2006/relationships/hyperlink" Target="https://jam.dev/c/e3d0f827-d799-451f-9e28-baa52b074e8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jam.dev/c/1af5c1a4-5d0f-4fab-b23a-dfd79868b6c4" TargetMode="External"/><Relationship Id="rId22" Type="http://schemas.openxmlformats.org/officeDocument/2006/relationships/hyperlink" Target="https://jam.dev/c/da0c0884-ba36-4701-88d0-7af38556509a" TargetMode="External"/><Relationship Id="rId21" Type="http://schemas.openxmlformats.org/officeDocument/2006/relationships/hyperlink" Target="https://jam.dev/c/b5fc4c90-6046-4483-90f0-dcf2b1395fb6" TargetMode="External"/><Relationship Id="rId24" Type="http://schemas.openxmlformats.org/officeDocument/2006/relationships/hyperlink" Target="https://jam.dev/c/103ba024-39e7-4b36-a886-8e31bed1dff5" TargetMode="External"/><Relationship Id="rId23" Type="http://schemas.openxmlformats.org/officeDocument/2006/relationships/hyperlink" Target="https://jam.dev/c/c892e3d4-1ccb-4cae-a7e1-627317661fb4" TargetMode="External"/><Relationship Id="rId1" Type="http://schemas.openxmlformats.org/officeDocument/2006/relationships/hyperlink" Target="https://getkyroai.com/login" TargetMode="External"/><Relationship Id="rId2" Type="http://schemas.openxmlformats.org/officeDocument/2006/relationships/hyperlink" Target="https://jam.dev/c/67d6f6db-0260-4396-b48b-59593fc6f09b" TargetMode="External"/><Relationship Id="rId3" Type="http://schemas.openxmlformats.org/officeDocument/2006/relationships/hyperlink" Target="https://jam.dev/c/606bcc70-9c47-4c54-9953-051b4bc39d60" TargetMode="External"/><Relationship Id="rId4" Type="http://schemas.openxmlformats.org/officeDocument/2006/relationships/hyperlink" Target="https://jam.dev/c/58e41e2c-fd94-4d47-a548-31011fbbd2df" TargetMode="External"/><Relationship Id="rId9" Type="http://schemas.openxmlformats.org/officeDocument/2006/relationships/hyperlink" Target="https://jam.dev/c/7697c7b5-f9ae-4e36-9a1e-ce335096382c" TargetMode="External"/><Relationship Id="rId26" Type="http://schemas.openxmlformats.org/officeDocument/2006/relationships/hyperlink" Target="https://jam.dev/c/dc389bb1-f3df-42cd-b66c-ab6beca49611" TargetMode="External"/><Relationship Id="rId25" Type="http://schemas.openxmlformats.org/officeDocument/2006/relationships/hyperlink" Target="https://jam.dev/c/8fb65e0c-d93c-4090-a451-00796a965388" TargetMode="External"/><Relationship Id="rId28" Type="http://schemas.openxmlformats.org/officeDocument/2006/relationships/hyperlink" Target="https://jam.dev/c/a30bb76e-d565-4ef1-928f-bf6ec794fb35" TargetMode="External"/><Relationship Id="rId27" Type="http://schemas.openxmlformats.org/officeDocument/2006/relationships/hyperlink" Target="https://jam.dev/c/a3bf0421-427e-4d95-8ca4-7237ee07b890" TargetMode="External"/><Relationship Id="rId5" Type="http://schemas.openxmlformats.org/officeDocument/2006/relationships/hyperlink" Target="https://jam.dev/c/b50b656c-a6e9-499e-8ec2-25c60607c463" TargetMode="External"/><Relationship Id="rId6" Type="http://schemas.openxmlformats.org/officeDocument/2006/relationships/hyperlink" Target="https://jam.dev/c/b9782c46-0840-46e6-80a6-d7dfdb0bf638" TargetMode="External"/><Relationship Id="rId29" Type="http://schemas.openxmlformats.org/officeDocument/2006/relationships/hyperlink" Target="https://jam.dev/c/aec539c7-5efa-4816-92bc-9904efd640d6" TargetMode="External"/><Relationship Id="rId7" Type="http://schemas.openxmlformats.org/officeDocument/2006/relationships/hyperlink" Target="https://jam.dev/c/f25a9504-20f8-43e9-abc1-c3c8a55191aa" TargetMode="External"/><Relationship Id="rId8" Type="http://schemas.openxmlformats.org/officeDocument/2006/relationships/hyperlink" Target="https://jam.dev/c/60208152-77eb-4099-b4c6-10d8c86b57e8" TargetMode="External"/><Relationship Id="rId31" Type="http://schemas.openxmlformats.org/officeDocument/2006/relationships/hyperlink" Target="https://jam.dev/c/c21c907e-9edd-439f-b0fa-e5f365a369eb" TargetMode="External"/><Relationship Id="rId30" Type="http://schemas.openxmlformats.org/officeDocument/2006/relationships/hyperlink" Target="https://jam.dev/c/4e3e5c1c-0465-4cac-9b99-8f8cd9397648" TargetMode="External"/><Relationship Id="rId11" Type="http://schemas.openxmlformats.org/officeDocument/2006/relationships/hyperlink" Target="https://jam.dev/c/c7fed9af-b9d6-47ae-bb3f-3d23feac85a6" TargetMode="External"/><Relationship Id="rId33" Type="http://schemas.openxmlformats.org/officeDocument/2006/relationships/hyperlink" Target="https://jam.dev/c/e7836ef5-4134-4470-95cb-079673316d19" TargetMode="External"/><Relationship Id="rId10" Type="http://schemas.openxmlformats.org/officeDocument/2006/relationships/hyperlink" Target="https://jam.dev/c/605adc04-59a2-4636-a2e7-fc6e12097298" TargetMode="External"/><Relationship Id="rId32" Type="http://schemas.openxmlformats.org/officeDocument/2006/relationships/hyperlink" Target="https://jam.dev/c/f58fc153-873d-493b-ab77-3229f95067ae" TargetMode="External"/><Relationship Id="rId13" Type="http://schemas.openxmlformats.org/officeDocument/2006/relationships/hyperlink" Target="https://jam.dev/c/b1dec3b3-564e-413d-9fc7-6d05307cc235" TargetMode="External"/><Relationship Id="rId35" Type="http://schemas.openxmlformats.org/officeDocument/2006/relationships/hyperlink" Target="https://jam.dev/c/fa09cf59-3308-4993-aca6-ddd17b45f8ba" TargetMode="External"/><Relationship Id="rId12" Type="http://schemas.openxmlformats.org/officeDocument/2006/relationships/hyperlink" Target="https://jam.dev/c/e506b2da-e9bc-4df0-8f96-4a58fc677d23" TargetMode="External"/><Relationship Id="rId34" Type="http://schemas.openxmlformats.org/officeDocument/2006/relationships/hyperlink" Target="https://jam.dev/c/a5e294ce-6790-45f5-9d44-6b1262c66023" TargetMode="External"/><Relationship Id="rId15" Type="http://schemas.openxmlformats.org/officeDocument/2006/relationships/hyperlink" Target="https://jam.dev/c/fecf6ef5-fc42-4eda-b3ac-2b10fe8762f4" TargetMode="External"/><Relationship Id="rId37" Type="http://schemas.openxmlformats.org/officeDocument/2006/relationships/hyperlink" Target="https://jam.dev/c/4c79164f-e825-4284-bdcc-cac54a9ed931" TargetMode="External"/><Relationship Id="rId14" Type="http://schemas.openxmlformats.org/officeDocument/2006/relationships/hyperlink" Target="https://jam.dev/c/5b228c92-e271-4c88-9432-71effc8f1d9e" TargetMode="External"/><Relationship Id="rId36" Type="http://schemas.openxmlformats.org/officeDocument/2006/relationships/hyperlink" Target="https://jam.dev/c/32971bba-796d-4d5c-9a87-3a5eb634fc23" TargetMode="External"/><Relationship Id="rId17" Type="http://schemas.openxmlformats.org/officeDocument/2006/relationships/hyperlink" Target="https://jam.dev/c/e3d0f827-d799-451f-9e28-baa52b074e88" TargetMode="External"/><Relationship Id="rId39" Type="http://schemas.openxmlformats.org/officeDocument/2006/relationships/drawing" Target="../drawings/drawing2.xml"/><Relationship Id="rId16" Type="http://schemas.openxmlformats.org/officeDocument/2006/relationships/hyperlink" Target="https://jam.dev/c/e6e4004c-24ea-47b1-939b-8281c9ed9dab" TargetMode="External"/><Relationship Id="rId38" Type="http://schemas.openxmlformats.org/officeDocument/2006/relationships/hyperlink" Target="https://jam.dev/c/d7ae2401-1529-4d00-a91a-ba1c81dd9ee0" TargetMode="External"/><Relationship Id="rId19" Type="http://schemas.openxmlformats.org/officeDocument/2006/relationships/hyperlink" Target="https://jam.dev/c/c6437440-a8f3-4a89-87d5-973a60b7548f" TargetMode="External"/><Relationship Id="rId18" Type="http://schemas.openxmlformats.org/officeDocument/2006/relationships/hyperlink" Target="https://jam.dev/c/e5a1ddc2-6959-414f-84b4-cd44982cf07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2.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2"/>
    </row>
    <row r="2">
      <c r="A2" s="3" t="s">
        <v>0</v>
      </c>
      <c r="B2" s="4" t="s">
        <v>1</v>
      </c>
      <c r="C2" s="1"/>
      <c r="D2" s="5" t="s">
        <v>2</v>
      </c>
      <c r="E2" s="5" t="s">
        <v>3</v>
      </c>
      <c r="F2" s="1"/>
      <c r="G2" s="1"/>
      <c r="H2" s="6"/>
      <c r="I2" s="6"/>
      <c r="J2" s="6"/>
      <c r="K2" s="6"/>
      <c r="L2" s="6"/>
      <c r="M2" s="6"/>
      <c r="N2" s="1"/>
      <c r="O2" s="2"/>
    </row>
    <row r="3">
      <c r="A3" s="3" t="s">
        <v>4</v>
      </c>
      <c r="B3" s="7" t="s">
        <v>5</v>
      </c>
      <c r="C3" s="1"/>
      <c r="D3" s="8" t="s">
        <v>6</v>
      </c>
      <c r="E3" s="9">
        <f>COUNTIF(Tahsin!K14:K1005, "High") + COUNTIF(Fahad!K8:K1010, "High")</f>
        <v>32</v>
      </c>
      <c r="F3" s="1"/>
      <c r="G3" s="1"/>
      <c r="H3" s="1"/>
      <c r="I3" s="1"/>
      <c r="J3" s="1"/>
      <c r="K3" s="1"/>
      <c r="L3" s="1"/>
      <c r="M3" s="1"/>
      <c r="N3" s="1"/>
      <c r="O3" s="2"/>
    </row>
    <row r="4">
      <c r="A4" s="3" t="s">
        <v>7</v>
      </c>
      <c r="B4" s="10" t="s">
        <v>8</v>
      </c>
      <c r="C4" s="1"/>
      <c r="D4" s="11" t="s">
        <v>9</v>
      </c>
      <c r="E4" s="9">
        <f>COUNTIF(Tahsin!K14:K1006, "Medium") + COUNTIF(Fahad!K8:K1011, "Medium")</f>
        <v>6</v>
      </c>
      <c r="F4" s="1"/>
      <c r="G4" s="1"/>
      <c r="H4" s="1"/>
      <c r="I4" s="1"/>
      <c r="J4" s="1"/>
      <c r="K4" s="1"/>
      <c r="L4" s="1"/>
      <c r="M4" s="1"/>
      <c r="N4" s="1"/>
      <c r="O4" s="2"/>
    </row>
    <row r="5">
      <c r="A5" s="3" t="s">
        <v>10</v>
      </c>
      <c r="B5" s="12" t="s">
        <v>11</v>
      </c>
      <c r="C5" s="1"/>
      <c r="D5" s="13" t="s">
        <v>12</v>
      </c>
      <c r="E5" s="9">
        <f>COUNTIF(Fahad!K8:K1012, "Low") + COUNTIF(Tahsin!K14:K1009, "Low")</f>
        <v>1</v>
      </c>
      <c r="F5" s="1"/>
      <c r="G5" s="1"/>
      <c r="H5" s="1"/>
      <c r="I5" s="1"/>
      <c r="J5" s="1"/>
      <c r="K5" s="1"/>
      <c r="L5" s="1"/>
      <c r="M5" s="1"/>
      <c r="N5" s="1"/>
      <c r="O5" s="2"/>
    </row>
    <row r="6">
      <c r="A6" s="3" t="s">
        <v>13</v>
      </c>
      <c r="B6" s="14"/>
      <c r="C6" s="1"/>
      <c r="D6" s="15"/>
      <c r="E6" s="15"/>
      <c r="F6" s="1"/>
      <c r="G6" s="1"/>
      <c r="H6" s="1"/>
      <c r="I6" s="1"/>
      <c r="J6" s="1"/>
      <c r="K6" s="1"/>
      <c r="L6" s="1"/>
      <c r="M6" s="1"/>
      <c r="N6" s="1"/>
      <c r="O6" s="2"/>
    </row>
    <row r="7">
      <c r="A7" s="3" t="s">
        <v>14</v>
      </c>
      <c r="B7" s="14"/>
      <c r="C7" s="1"/>
      <c r="D7" s="16" t="s">
        <v>15</v>
      </c>
      <c r="E7" s="17">
        <f>SUM(E3:E5)</f>
        <v>39</v>
      </c>
      <c r="F7" s="1"/>
      <c r="G7" s="1"/>
      <c r="H7" s="1"/>
      <c r="I7" s="1"/>
      <c r="J7" s="1"/>
      <c r="K7" s="1"/>
      <c r="L7" s="1"/>
      <c r="M7" s="1"/>
      <c r="N7" s="1"/>
      <c r="O7" s="2"/>
    </row>
    <row r="8">
      <c r="A8" s="1"/>
      <c r="B8" s="1"/>
      <c r="C8" s="1"/>
      <c r="D8" s="16" t="s">
        <v>16</v>
      </c>
      <c r="E8" s="17">
        <f>COUNTIF(O11:O1003, "Solved")</f>
        <v>19</v>
      </c>
      <c r="F8" s="1"/>
      <c r="G8" s="1"/>
      <c r="H8" s="1"/>
      <c r="I8" s="1"/>
      <c r="J8" s="1"/>
      <c r="K8" s="1"/>
      <c r="L8" s="1"/>
      <c r="M8" s="1"/>
      <c r="N8" s="1"/>
      <c r="O8" s="2"/>
    </row>
    <row r="9">
      <c r="A9" s="1"/>
      <c r="B9" s="1"/>
      <c r="C9" s="1"/>
      <c r="D9" s="1"/>
      <c r="E9" s="1"/>
      <c r="F9" s="1"/>
      <c r="G9" s="1"/>
      <c r="H9" s="1"/>
      <c r="I9" s="1"/>
      <c r="J9" s="1"/>
      <c r="K9" s="1"/>
      <c r="L9" s="1"/>
      <c r="M9" s="1"/>
      <c r="N9" s="1"/>
      <c r="O9" s="2"/>
    </row>
    <row r="10">
      <c r="A10" s="18" t="s">
        <v>17</v>
      </c>
      <c r="B10" s="18" t="s">
        <v>18</v>
      </c>
      <c r="C10" s="18" t="s">
        <v>19</v>
      </c>
      <c r="D10" s="18" t="s">
        <v>20</v>
      </c>
      <c r="E10" s="18" t="s">
        <v>21</v>
      </c>
      <c r="F10" s="18" t="s">
        <v>22</v>
      </c>
      <c r="G10" s="18" t="s">
        <v>23</v>
      </c>
      <c r="H10" s="18" t="s">
        <v>24</v>
      </c>
      <c r="I10" s="18" t="s">
        <v>25</v>
      </c>
      <c r="J10" s="18" t="s">
        <v>26</v>
      </c>
      <c r="K10" s="18" t="s">
        <v>2</v>
      </c>
      <c r="L10" s="18" t="s">
        <v>27</v>
      </c>
      <c r="M10" s="18" t="s">
        <v>28</v>
      </c>
      <c r="N10" s="19" t="s">
        <v>29</v>
      </c>
      <c r="O10" s="19" t="s">
        <v>30</v>
      </c>
      <c r="P10" s="19" t="s">
        <v>31</v>
      </c>
      <c r="Q10" s="19" t="s">
        <v>32</v>
      </c>
      <c r="R10" s="20"/>
      <c r="S10" s="20"/>
      <c r="T10" s="20"/>
      <c r="U10" s="20"/>
      <c r="V10" s="20"/>
      <c r="W10" s="20"/>
      <c r="X10" s="20"/>
      <c r="Y10" s="20"/>
      <c r="Z10" s="20"/>
      <c r="AA10" s="20"/>
    </row>
    <row r="11">
      <c r="A11" s="21" t="str">
        <f t="array" ref="A11:A100">IF((LEN(B11:B100)+LEN(C11:C100))&gt;0, "BR-" &amp; TEXT(ROW(B11:B100)-ROW(B11)+1,"000"), "")
</f>
        <v>BR-001</v>
      </c>
      <c r="B11" s="22" t="str">
        <f>IFERROR(__xludf.DUMMYFUNCTION("QUERY(
  {
    ARRAYFORMULA({TRIM(Fahad!B8:B999), Fahad!C8:M999, IF(LEN(Fahad!B8:B999), ""Fahad"", """")});
    ARRAYFORMULA({TRIM(Tahsin!B15:B999), Tahsin!C15:M999, IF(LEN(Tahsin!B15:B999), ""Tahsin"", """")})
  },
  ""SELECT * WHERE Col1 IS NOT NULL ORD"&amp;"ER BY Col1 ASC, Col2 ASC"",
  0
)
"),"AI Chat")</f>
        <v>AI Chat</v>
      </c>
      <c r="C11" s="22" t="str">
        <f>IFERROR(__xludf.DUMMYFUNCTION("""COMPUTED_VALUE"""),"AI Chat")</f>
        <v>AI Chat</v>
      </c>
      <c r="D11" s="22" t="str">
        <f>IFERROR(__xludf.DUMMYFUNCTION("""COMPUTED_VALUE"""),"Failed to summarize data from Image")</f>
        <v>Failed to summarize data from Image</v>
      </c>
      <c r="E11" s="22" t="str">
        <f>IFERROR(__xludf.DUMMYFUNCTION("""COMPUTED_VALUE"""),"User need to access this web app through browser")</f>
        <v>User need to access this web app through browser</v>
      </c>
      <c r="F11" s="22" t="str">
        <f>IFERROR(__xludf.DUMMYFUNCTION("""COMPUTED_VALUE"""),"1. Open link
2. Login with Admin Credentials
3. Click on AI Assistant")</f>
        <v>1. Open link
2. Login with Admin Credentials
3. Click on AI Assistant</v>
      </c>
      <c r="G11" s="22" t="str">
        <f>IFERROR(__xludf.DUMMYFUNCTION("""COMPUTED_VALUE"""),"Admin Credentials")</f>
        <v>Admin Credentials</v>
      </c>
      <c r="H11" s="22" t="str">
        <f>IFERROR(__xludf.DUMMYFUNCTION("""COMPUTED_VALUE"""),"AI should response properly by image, pdf, docs and xls")</f>
        <v>AI should response properly by image, pdf, docs and xls</v>
      </c>
      <c r="I11" s="22" t="str">
        <f>IFERROR(__xludf.DUMMYFUNCTION("""COMPUTED_VALUE"""),"Failed to summarize data by image ")</f>
        <v>Failed to summarize data by image </v>
      </c>
      <c r="J11" s="22" t="str">
        <f>IFERROR(__xludf.DUMMYFUNCTION("""COMPUTED_VALUE"""),"Fail")</f>
        <v>Fail</v>
      </c>
      <c r="K11" s="22" t="str">
        <f>IFERROR(__xludf.DUMMYFUNCTION("""COMPUTED_VALUE"""),"High")</f>
        <v>High</v>
      </c>
      <c r="L11" s="22"/>
      <c r="M11" s="22"/>
      <c r="N11" s="23" t="str">
        <f>IFERROR(__xludf.DUMMYFUNCTION("""COMPUTED_VALUE"""),"Fahad")</f>
        <v>Fahad</v>
      </c>
      <c r="O11" s="23" t="s">
        <v>33</v>
      </c>
      <c r="P11" s="23" t="s">
        <v>34</v>
      </c>
      <c r="Q11" s="24" t="s">
        <v>35</v>
      </c>
      <c r="R11" s="25"/>
      <c r="S11" s="25"/>
      <c r="T11" s="25"/>
      <c r="U11" s="25"/>
      <c r="V11" s="25"/>
      <c r="W11" s="25"/>
      <c r="X11" s="25"/>
      <c r="Y11" s="25"/>
      <c r="Z11" s="25"/>
      <c r="AA11" s="25"/>
    </row>
    <row r="12">
      <c r="A12" s="26" t="s">
        <v>36</v>
      </c>
      <c r="B12" s="27" t="str">
        <f>IFERROR(__xludf.DUMMYFUNCTION("""COMPUTED_VALUE"""),"AI Chat")</f>
        <v>AI Chat</v>
      </c>
      <c r="C12" s="27" t="str">
        <f>IFERROR(__xludf.DUMMYFUNCTION("""COMPUTED_VALUE"""),"AI Chat")</f>
        <v>AI Chat</v>
      </c>
      <c r="D12" s="27" t="str">
        <f>IFERROR(__xludf.DUMMYFUNCTION("""COMPUTED_VALUE"""),"Show irrelevant information in the AI's response")</f>
        <v>Show irrelevant information in the AI's response</v>
      </c>
      <c r="E12" s="27" t="str">
        <f>IFERROR(__xludf.DUMMYFUNCTION("""COMPUTED_VALUE"""),"User need to access this web app through browser")</f>
        <v>User need to access this web app through browser</v>
      </c>
      <c r="F12" s="27" t="str">
        <f>IFERROR(__xludf.DUMMYFUNCTION("""COMPUTED_VALUE"""),"1. Open link
2. Login with Admin Credentials
3. Click on AI Assistant")</f>
        <v>1. Open link
2. Login with Admin Credentials
3. Click on AI Assistant</v>
      </c>
      <c r="G12" s="27" t="str">
        <f>IFERROR(__xludf.DUMMYFUNCTION("""COMPUTED_VALUE"""),"Admin Credentials")</f>
        <v>Admin Credentials</v>
      </c>
      <c r="H12" s="27" t="str">
        <f>IFERROR(__xludf.DUMMYFUNCTION("""COMPUTED_VALUE"""),"AI should only response data which are connected on Medical matters")</f>
        <v>AI should only response data which are connected on Medical matters</v>
      </c>
      <c r="I12" s="27" t="str">
        <f>IFERROR(__xludf.DUMMYFUNCTION("""COMPUTED_VALUE"""),"AI response shows dev name like (who create you ? I was created by Khairul)
(which company developed you ? Developed by MySoft Heaven BD)")</f>
        <v>AI response shows dev name like (who create you ? I was created by Khairul)
(which company developed you ? Developed by MySoft Heaven BD)</v>
      </c>
      <c r="J12" s="27" t="str">
        <f>IFERROR(__xludf.DUMMYFUNCTION("""COMPUTED_VALUE"""),"Fail")</f>
        <v>Fail</v>
      </c>
      <c r="K12" s="27" t="str">
        <f>IFERROR(__xludf.DUMMYFUNCTION("""COMPUTED_VALUE"""),"High")</f>
        <v>High</v>
      </c>
      <c r="L12" s="28" t="str">
        <f>IFERROR(__xludf.DUMMYFUNCTION("""COMPUTED_VALUE"""),"https://jam.dev/c/fecf6ef5-fc42-4eda-b3ac-2b10fe8762f4
https://jam.dev/c/4c4c00d9-71bc-4b0a-a7b0-c141749ae460")</f>
        <v>https://jam.dev/c/fecf6ef5-fc42-4eda-b3ac-2b10fe8762f4
https://jam.dev/c/4c4c00d9-71bc-4b0a-a7b0-c141749ae460</v>
      </c>
      <c r="M12" s="27"/>
      <c r="N12" s="27" t="str">
        <f>IFERROR(__xludf.DUMMYFUNCTION("""COMPUTED_VALUE"""),"Fahad")</f>
        <v>Fahad</v>
      </c>
      <c r="O12" s="26" t="s">
        <v>33</v>
      </c>
      <c r="P12" s="27"/>
      <c r="Q12" s="24" t="s">
        <v>35</v>
      </c>
      <c r="R12" s="25"/>
      <c r="S12" s="25"/>
      <c r="T12" s="25"/>
      <c r="U12" s="25"/>
      <c r="V12" s="25"/>
      <c r="W12" s="25"/>
      <c r="X12" s="25"/>
      <c r="Y12" s="25"/>
      <c r="Z12" s="25"/>
      <c r="AA12" s="25"/>
    </row>
    <row r="13">
      <c r="A13" s="26" t="s">
        <v>37</v>
      </c>
      <c r="B13" s="27" t="str">
        <f>IFERROR(__xludf.DUMMYFUNCTION("""COMPUTED_VALUE"""),"AI Training")</f>
        <v>AI Training</v>
      </c>
      <c r="C13" s="27" t="str">
        <f>IFERROR(__xludf.DUMMYFUNCTION("""COMPUTED_VALUE"""),"AI Training")</f>
        <v>AI Training</v>
      </c>
      <c r="D13" s="27" t="str">
        <f>IFERROR(__xludf.DUMMYFUNCTION("""COMPUTED_VALUE"""),"Failed to provide an adequate response from the last training.")</f>
        <v>Failed to provide an adequate response from the last training.</v>
      </c>
      <c r="E13" s="27" t="str">
        <f>IFERROR(__xludf.DUMMYFUNCTION("""COMPUTED_VALUE"""),"User need to access this web app through browser")</f>
        <v>User need to access this web app through browser</v>
      </c>
      <c r="F13" s="27" t="str">
        <f>IFERROR(__xludf.DUMMYFUNCTION("""COMPUTED_VALUE"""),"1. Open link
2. Login with Admin Credentials
3. Click on AI Training")</f>
        <v>1. Open link
2. Login with Admin Credentials
3. Click on AI Training</v>
      </c>
      <c r="G13" s="27" t="str">
        <f>IFERROR(__xludf.DUMMYFUNCTION("""COMPUTED_VALUE"""),"President Credentials")</f>
        <v>President Credentials</v>
      </c>
      <c r="H13" s="27" t="str">
        <f>IFERROR(__xludf.DUMMYFUNCTION("""COMPUTED_VALUE"""),"AI should capture the context from previous updates or training files to respond to the user more quickly.")</f>
        <v>AI should capture the context from previous updates or training files to respond to the user more quickly.</v>
      </c>
      <c r="I13" s="27" t="str">
        <f>IFERROR(__xludf.DUMMYFUNCTION("""COMPUTED_VALUE"""),"Failed to respond to the previous message-based request.")</f>
        <v>Failed to respond to the previous message-based request.</v>
      </c>
      <c r="J13" s="27" t="str">
        <f>IFERROR(__xludf.DUMMYFUNCTION("""COMPUTED_VALUE"""),"Fail")</f>
        <v>Fail</v>
      </c>
      <c r="K13" s="27" t="str">
        <f>IFERROR(__xludf.DUMMYFUNCTION("""COMPUTED_VALUE"""),"High")</f>
        <v>High</v>
      </c>
      <c r="L13" s="29" t="str">
        <f>IFERROR(__xludf.DUMMYFUNCTION("""COMPUTED_VALUE"""),"https://jam.dev/c/1af5c1a4-5d0f-4fab-b23a-dfd79868b6c4")</f>
        <v>https://jam.dev/c/1af5c1a4-5d0f-4fab-b23a-dfd79868b6c4</v>
      </c>
      <c r="M13" s="27"/>
      <c r="N13" s="27" t="str">
        <f>IFERROR(__xludf.DUMMYFUNCTION("""COMPUTED_VALUE"""),"Fahad")</f>
        <v>Fahad</v>
      </c>
      <c r="O13" s="26" t="s">
        <v>38</v>
      </c>
      <c r="P13" s="27"/>
      <c r="Q13" s="24" t="s">
        <v>35</v>
      </c>
      <c r="R13" s="25"/>
      <c r="S13" s="25"/>
      <c r="T13" s="25"/>
      <c r="U13" s="25"/>
      <c r="V13" s="25"/>
      <c r="W13" s="25"/>
      <c r="X13" s="25"/>
      <c r="Y13" s="25"/>
      <c r="Z13" s="25"/>
      <c r="AA13" s="25"/>
    </row>
    <row r="14">
      <c r="A14" s="26" t="s">
        <v>39</v>
      </c>
      <c r="B14" s="27" t="str">
        <f>IFERROR(__xludf.DUMMYFUNCTION("""COMPUTED_VALUE"""),"AI Training")</f>
        <v>AI Training</v>
      </c>
      <c r="C14" s="27" t="str">
        <f>IFERROR(__xludf.DUMMYFUNCTION("""COMPUTED_VALUE"""),"View Docs")</f>
        <v>View Docs</v>
      </c>
      <c r="D14" s="27" t="str">
        <f>IFERROR(__xludf.DUMMYFUNCTION("""COMPUTED_VALUE"""),"Failed to train AI by Image")</f>
        <v>Failed to train AI by Image</v>
      </c>
      <c r="E14" s="27" t="str">
        <f>IFERROR(__xludf.DUMMYFUNCTION("""COMPUTED_VALUE"""),"User need to access this web app through browser")</f>
        <v>User need to access this web app through browser</v>
      </c>
      <c r="F14" s="27" t="str">
        <f>IFERROR(__xludf.DUMMYFUNCTION("""COMPUTED_VALUE"""),"1. Open link
2. Login with Admin Credentials
3. Click on AI Training")</f>
        <v>1. Open link
2. Login with Admin Credentials
3. Click on AI Training</v>
      </c>
      <c r="G14" s="27" t="str">
        <f>IFERROR(__xludf.DUMMYFUNCTION("""COMPUTED_VALUE"""),"Admin Credentials")</f>
        <v>Admin Credentials</v>
      </c>
      <c r="H14" s="27" t="str">
        <f>IFERROR(__xludf.DUMMYFUNCTION("""COMPUTED_VALUE"""),"As per as requirement, user should be able to train AI by images, pdf, doc, xls")</f>
        <v>As per as requirement, user should be able to train AI by images, pdf, doc, xls</v>
      </c>
      <c r="I14" s="27" t="str">
        <f>IFERROR(__xludf.DUMMYFUNCTION("""COMPUTED_VALUE"""),"Failed to train AI by image")</f>
        <v>Failed to train AI by image</v>
      </c>
      <c r="J14" s="27" t="str">
        <f>IFERROR(__xludf.DUMMYFUNCTION("""COMPUTED_VALUE"""),"Fail")</f>
        <v>Fail</v>
      </c>
      <c r="K14" s="27" t="str">
        <f>IFERROR(__xludf.DUMMYFUNCTION("""COMPUTED_VALUE"""),"High")</f>
        <v>High</v>
      </c>
      <c r="L14" s="27"/>
      <c r="M14" s="27"/>
      <c r="N14" s="27" t="str">
        <f>IFERROR(__xludf.DUMMYFUNCTION("""COMPUTED_VALUE"""),"Fahad")</f>
        <v>Fahad</v>
      </c>
      <c r="O14" s="26" t="s">
        <v>33</v>
      </c>
      <c r="P14" s="27"/>
      <c r="Q14" s="25"/>
      <c r="R14" s="25"/>
      <c r="S14" s="25"/>
      <c r="T14" s="25"/>
      <c r="U14" s="25"/>
      <c r="V14" s="25"/>
      <c r="W14" s="25"/>
      <c r="X14" s="25"/>
      <c r="Y14" s="25"/>
      <c r="Z14" s="25"/>
      <c r="AA14" s="25"/>
    </row>
    <row r="15">
      <c r="A15" s="26" t="s">
        <v>40</v>
      </c>
      <c r="B15" s="27" t="str">
        <f>IFERROR(__xludf.DUMMYFUNCTION("""COMPUTED_VALUE"""),"Clinicwise Chat")</f>
        <v>Clinicwise Chat</v>
      </c>
      <c r="C15" s="27" t="str">
        <f>IFERROR(__xludf.DUMMYFUNCTION("""COMPUTED_VALUE"""),"Chats")</f>
        <v>Chats</v>
      </c>
      <c r="D15" s="27" t="str">
        <f>IFERROR(__xludf.DUMMYFUNCTION("""COMPUTED_VALUE"""),"Chats are not displaying as clinicwise")</f>
        <v>Chats are not displaying as clinicwise</v>
      </c>
      <c r="E15" s="27" t="str">
        <f>IFERROR(__xludf.DUMMYFUNCTION("""COMPUTED_VALUE"""),"User need to access this web app through browser")</f>
        <v>User need to access this web app through browser</v>
      </c>
      <c r="F15" s="27" t="str">
        <f>IFERROR(__xludf.DUMMYFUNCTION("""COMPUTED_VALUE"""),"1. Open link
2. Login with Admin Credentials
3. Click on Clinicwise Chat")</f>
        <v>1. Open link
2. Login with Admin Credentials
3. Click on Clinicwise Chat</v>
      </c>
      <c r="G15" s="27" t="str">
        <f>IFERROR(__xludf.DUMMYFUNCTION("""COMPUTED_VALUE"""),"Admin Credentials")</f>
        <v>Admin Credentials</v>
      </c>
      <c r="H15" s="27" t="str">
        <f>IFERROR(__xludf.DUMMYFUNCTION("""COMPUTED_VALUE"""),"Chats should be displayed as clinicwise")</f>
        <v>Chats should be displayed as clinicwise</v>
      </c>
      <c r="I15" s="27" t="str">
        <f>IFERROR(__xludf.DUMMYFUNCTION("""COMPUTED_VALUE"""),"Failed to display chat as clinicwise")</f>
        <v>Failed to display chat as clinicwise</v>
      </c>
      <c r="J15" s="27" t="str">
        <f>IFERROR(__xludf.DUMMYFUNCTION("""COMPUTED_VALUE"""),"Fail")</f>
        <v>Fail</v>
      </c>
      <c r="K15" s="27" t="str">
        <f>IFERROR(__xludf.DUMMYFUNCTION("""COMPUTED_VALUE"""),"Low")</f>
        <v>Low</v>
      </c>
      <c r="L15" s="29" t="str">
        <f>IFERROR(__xludf.DUMMYFUNCTION("""COMPUTED_VALUE"""),"https://jam.dev/c/5b228c92-e271-4c88-9432-71effc8f1d9e")</f>
        <v>https://jam.dev/c/5b228c92-e271-4c88-9432-71effc8f1d9e</v>
      </c>
      <c r="M15" s="27"/>
      <c r="N15" s="27" t="str">
        <f>IFERROR(__xludf.DUMMYFUNCTION("""COMPUTED_VALUE"""),"Fahad")</f>
        <v>Fahad</v>
      </c>
      <c r="O15" s="26" t="s">
        <v>33</v>
      </c>
      <c r="P15" s="26" t="s">
        <v>41</v>
      </c>
      <c r="Q15" s="25"/>
      <c r="R15" s="25"/>
      <c r="S15" s="25"/>
      <c r="T15" s="25"/>
      <c r="U15" s="25"/>
      <c r="V15" s="25"/>
      <c r="W15" s="25"/>
      <c r="X15" s="25"/>
      <c r="Y15" s="25"/>
      <c r="Z15" s="25"/>
      <c r="AA15" s="25"/>
    </row>
    <row r="16">
      <c r="A16" s="26" t="s">
        <v>42</v>
      </c>
      <c r="B16" s="27" t="str">
        <f>IFERROR(__xludf.DUMMYFUNCTION("""COMPUTED_VALUE"""),"Communication")</f>
        <v>Communication</v>
      </c>
      <c r="C16" s="27" t="str">
        <f>IFERROR(__xludf.DUMMYFUNCTION("""COMPUTED_VALUE"""),"AI Chat")</f>
        <v>AI Chat</v>
      </c>
      <c r="D16" s="27" t="str">
        <f>IFERROR(__xludf.DUMMYFUNCTION("""COMPUTED_VALUE"""),"Like on response dosen't store but dislike store")</f>
        <v>Like on response dosen't store but dislike store</v>
      </c>
      <c r="E16" s="27" t="str">
        <f>IFERROR(__xludf.DUMMYFUNCTION("""COMPUTED_VALUE"""),"User need to access this web app through browser")</f>
        <v>User need to access this web app through browser</v>
      </c>
      <c r="F16" s="27" t="str">
        <f>IFERROR(__xludf.DUMMYFUNCTION("""COMPUTED_VALUE"""),"1. Open link
2. Login with President Credentials
3. Click on Communication
4. Click on AI chat")</f>
        <v>1. Open link
2. Login with President Credentials
3. Click on Communication
4. Click on AI chat</v>
      </c>
      <c r="G16" s="27" t="str">
        <f>IFERROR(__xludf.DUMMYFUNCTION("""COMPUTED_VALUE"""),"President Credential")</f>
        <v>President Credential</v>
      </c>
      <c r="H16" s="27" t="str">
        <f>IFERROR(__xludf.DUMMYFUNCTION("""COMPUTED_VALUE"""),"Both Like or Dislike should be store in chat")</f>
        <v>Both Like or Dislike should be store in chat</v>
      </c>
      <c r="I16" s="27" t="str">
        <f>IFERROR(__xludf.DUMMYFUNCTION("""COMPUTED_VALUE"""),"Only dislike store in chat, not like")</f>
        <v>Only dislike store in chat, not like</v>
      </c>
      <c r="J16" s="27" t="str">
        <f>IFERROR(__xludf.DUMMYFUNCTION("""COMPUTED_VALUE"""),"Fail")</f>
        <v>Fail</v>
      </c>
      <c r="K16" s="27" t="str">
        <f>IFERROR(__xludf.DUMMYFUNCTION("""COMPUTED_VALUE"""),"High")</f>
        <v>High</v>
      </c>
      <c r="L16" s="29" t="str">
        <f>IFERROR(__xludf.DUMMYFUNCTION("""COMPUTED_VALUE"""),"https://jam.dev/c/c6437440-a8f3-4a89-87d5-973a60b7548f")</f>
        <v>https://jam.dev/c/c6437440-a8f3-4a89-87d5-973a60b7548f</v>
      </c>
      <c r="M16" s="27"/>
      <c r="N16" s="27" t="str">
        <f>IFERROR(__xludf.DUMMYFUNCTION("""COMPUTED_VALUE"""),"Fahad")</f>
        <v>Fahad</v>
      </c>
      <c r="O16" s="26" t="s">
        <v>33</v>
      </c>
      <c r="P16" s="26" t="s">
        <v>43</v>
      </c>
      <c r="Q16" s="24" t="s">
        <v>44</v>
      </c>
      <c r="R16" s="25"/>
      <c r="S16" s="25"/>
      <c r="T16" s="25"/>
      <c r="U16" s="25"/>
      <c r="V16" s="25"/>
      <c r="W16" s="25"/>
      <c r="X16" s="25"/>
      <c r="Y16" s="25"/>
      <c r="Z16" s="25"/>
      <c r="AA16" s="25"/>
    </row>
    <row r="17">
      <c r="A17" s="26" t="s">
        <v>45</v>
      </c>
      <c r="B17" s="27" t="str">
        <f>IFERROR(__xludf.DUMMYFUNCTION("""COMPUTED_VALUE"""),"Communication")</f>
        <v>Communication</v>
      </c>
      <c r="C17" s="27" t="str">
        <f>IFERROR(__xludf.DUMMYFUNCTION("""COMPUTED_VALUE"""),"Communication")</f>
        <v>Communication</v>
      </c>
      <c r="D17" s="27" t="str">
        <f>IFERROR(__xludf.DUMMYFUNCTION("""COMPUTED_VALUE"""),"President profile picture is set as manager profile picture in chat")</f>
        <v>President profile picture is set as manager profile picture in chat</v>
      </c>
      <c r="E17" s="27" t="str">
        <f>IFERROR(__xludf.DUMMYFUNCTION("""COMPUTED_VALUE"""),"User need to access this web app through browser")</f>
        <v>User need to access this web app through browser</v>
      </c>
      <c r="F17" s="27" t="str">
        <f>IFERROR(__xludf.DUMMYFUNCTION("""COMPUTED_VALUE"""),"1. Open link
2. Login with Manager Credentials
3. Click on Chat")</f>
        <v>1. Open link
2. Login with Manager Credentials
3. Click on Chat</v>
      </c>
      <c r="G17" s="27" t="str">
        <f>IFERROR(__xludf.DUMMYFUNCTION("""COMPUTED_VALUE"""),"Manager Credentials")</f>
        <v>Manager Credentials</v>
      </c>
      <c r="H17" s="27" t="str">
        <f>IFERROR(__xludf.DUMMYFUNCTION("""COMPUTED_VALUE"""),"user profile picture should be same in different platforms")</f>
        <v>user profile picture should be same in different platforms</v>
      </c>
      <c r="I17" s="27" t="str">
        <f>IFERROR(__xludf.DUMMYFUNCTION("""COMPUTED_VALUE"""),"Different profile picture / conflited profile picture has been seen ")</f>
        <v>Different profile picture / conflited profile picture has been seen </v>
      </c>
      <c r="J17" s="27" t="str">
        <f>IFERROR(__xludf.DUMMYFUNCTION("""COMPUTED_VALUE"""),"Fail")</f>
        <v>Fail</v>
      </c>
      <c r="K17" s="27" t="str">
        <f>IFERROR(__xludf.DUMMYFUNCTION("""COMPUTED_VALUE"""),"Medium")</f>
        <v>Medium</v>
      </c>
      <c r="L17" s="29" t="str">
        <f>IFERROR(__xludf.DUMMYFUNCTION("""COMPUTED_VALUE"""),"https://jam.dev/c/dc389bb1-f3df-42cd-b66c-ab6beca49611")</f>
        <v>https://jam.dev/c/dc389bb1-f3df-42cd-b66c-ab6beca49611</v>
      </c>
      <c r="M17" s="27"/>
      <c r="N17" s="27" t="str">
        <f>IFERROR(__xludf.DUMMYFUNCTION("""COMPUTED_VALUE"""),"Fahad")</f>
        <v>Fahad</v>
      </c>
      <c r="O17" s="26" t="s">
        <v>33</v>
      </c>
      <c r="P17" s="26" t="s">
        <v>46</v>
      </c>
      <c r="Q17" s="25"/>
      <c r="R17" s="25"/>
      <c r="S17" s="25"/>
      <c r="T17" s="25"/>
      <c r="U17" s="25"/>
      <c r="V17" s="25"/>
      <c r="W17" s="25"/>
      <c r="X17" s="25"/>
      <c r="Y17" s="25"/>
      <c r="Z17" s="25"/>
      <c r="AA17" s="25"/>
    </row>
    <row r="18">
      <c r="A18" s="26" t="s">
        <v>47</v>
      </c>
      <c r="B18" s="27" t="str">
        <f>IFERROR(__xludf.DUMMYFUNCTION("""COMPUTED_VALUE"""),"Communication")</f>
        <v>Communication</v>
      </c>
      <c r="C18" s="27" t="str">
        <f>IFERROR(__xludf.DUMMYFUNCTION("""COMPUTED_VALUE"""),"Communication")</f>
        <v>Communication</v>
      </c>
      <c r="D18" s="27" t="str">
        <f>IFERROR(__xludf.DUMMYFUNCTION("""COMPUTED_VALUE"""),"User name is not dynamically update in group")</f>
        <v>User name is not dynamically update in group</v>
      </c>
      <c r="E18" s="27" t="str">
        <f>IFERROR(__xludf.DUMMYFUNCTION("""COMPUTED_VALUE"""),"User need to access this web app through browser")</f>
        <v>User need to access this web app through browser</v>
      </c>
      <c r="F18" s="27" t="str">
        <f>IFERROR(__xludf.DUMMYFUNCTION("""COMPUTED_VALUE"""),"1. Open link
2. Login with Manager Credentials
3. Click on Chat")</f>
        <v>1. Open link
2. Login with Manager Credentials
3. Click on Chat</v>
      </c>
      <c r="G18" s="27" t="str">
        <f>IFERROR(__xludf.DUMMYFUNCTION("""COMPUTED_VALUE"""),"Manager Credentials")</f>
        <v>Manager Credentials</v>
      </c>
      <c r="H18" s="27" t="str">
        <f>IFERROR(__xludf.DUMMYFUNCTION("""COMPUTED_VALUE"""),"User name should be dynamically update in every group after it changes")</f>
        <v>User name should be dynamically update in every group after it changes</v>
      </c>
      <c r="I18" s="27" t="str">
        <f>IFERROR(__xludf.DUMMYFUNCTION("""COMPUTED_VALUE"""),"Failed to show upated username in groups")</f>
        <v>Failed to show upated username in groups</v>
      </c>
      <c r="J18" s="27" t="str">
        <f>IFERROR(__xludf.DUMMYFUNCTION("""COMPUTED_VALUE"""),"Fail")</f>
        <v>Fail</v>
      </c>
      <c r="K18" s="27" t="str">
        <f>IFERROR(__xludf.DUMMYFUNCTION("""COMPUTED_VALUE"""),"High")</f>
        <v>High</v>
      </c>
      <c r="L18" s="29" t="str">
        <f>IFERROR(__xludf.DUMMYFUNCTION("""COMPUTED_VALUE"""),"https://jam.dev/c/aec539c7-5efa-4816-92bc-9904efd640d6")</f>
        <v>https://jam.dev/c/aec539c7-5efa-4816-92bc-9904efd640d6</v>
      </c>
      <c r="M18" s="27"/>
      <c r="N18" s="27" t="str">
        <f>IFERROR(__xludf.DUMMYFUNCTION("""COMPUTED_VALUE"""),"Fahad")</f>
        <v>Fahad</v>
      </c>
      <c r="O18" s="26" t="s">
        <v>33</v>
      </c>
      <c r="P18" s="26" t="s">
        <v>48</v>
      </c>
      <c r="Q18" s="25"/>
      <c r="R18" s="25"/>
      <c r="S18" s="25"/>
      <c r="T18" s="25"/>
      <c r="U18" s="25"/>
      <c r="V18" s="25"/>
      <c r="W18" s="25"/>
      <c r="X18" s="25"/>
      <c r="Y18" s="25"/>
      <c r="Z18" s="25"/>
      <c r="AA18" s="25"/>
    </row>
    <row r="19">
      <c r="A19" s="26" t="s">
        <v>49</v>
      </c>
      <c r="B19" s="27" t="str">
        <f>IFERROR(__xludf.DUMMYFUNCTION("""COMPUTED_VALUE"""),"Communication")</f>
        <v>Communication</v>
      </c>
      <c r="C19" s="27" t="str">
        <f>IFERROR(__xludf.DUMMYFUNCTION("""COMPUTED_VALUE"""),"Communication")</f>
        <v>Communication</v>
      </c>
      <c r="D19" s="27" t="str">
        <f>IFERROR(__xludf.DUMMYFUNCTION("""COMPUTED_VALUE"""),"Manager was removed automatically from group chat after updating their username")</f>
        <v>Manager was removed automatically from group chat after updating their username</v>
      </c>
      <c r="E19" s="27" t="str">
        <f>IFERROR(__xludf.DUMMYFUNCTION("""COMPUTED_VALUE"""),"User need to access this web app through browser")</f>
        <v>User need to access this web app through browser</v>
      </c>
      <c r="F19" s="27" t="str">
        <f>IFERROR(__xludf.DUMMYFUNCTION("""COMPUTED_VALUE"""),"1. Open link
2. Login with Manager Credentials
3. Click on Chat")</f>
        <v>1. Open link
2. Login with Manager Credentials
3. Click on Chat</v>
      </c>
      <c r="G19" s="27" t="str">
        <f>IFERROR(__xludf.DUMMYFUNCTION("""COMPUTED_VALUE"""),"Manager Credentials")</f>
        <v>Manager Credentials</v>
      </c>
      <c r="H19" s="27" t="str">
        <f>IFERROR(__xludf.DUMMYFUNCTION("""COMPUTED_VALUE"""),"User should remain in group till higher autthority remove them from group")</f>
        <v>User should remain in group till higher autthority remove them from group</v>
      </c>
      <c r="I19" s="27" t="str">
        <f>IFERROR(__xludf.DUMMYFUNCTION("""COMPUTED_VALUE"""),"User get remove automatically after changing their user name")</f>
        <v>User get remove automatically after changing their user name</v>
      </c>
      <c r="J19" s="27" t="str">
        <f>IFERROR(__xludf.DUMMYFUNCTION("""COMPUTED_VALUE"""),"Fail")</f>
        <v>Fail</v>
      </c>
      <c r="K19" s="27" t="str">
        <f>IFERROR(__xludf.DUMMYFUNCTION("""COMPUTED_VALUE"""),"High")</f>
        <v>High</v>
      </c>
      <c r="L19" s="29" t="str">
        <f>IFERROR(__xludf.DUMMYFUNCTION("""COMPUTED_VALUE"""),"https://jam.dev/c/4e3e5c1c-0465-4cac-9b99-8f8cd9397648")</f>
        <v>https://jam.dev/c/4e3e5c1c-0465-4cac-9b99-8f8cd9397648</v>
      </c>
      <c r="M19" s="27"/>
      <c r="N19" s="27" t="str">
        <f>IFERROR(__xludf.DUMMYFUNCTION("""COMPUTED_VALUE"""),"Fahad")</f>
        <v>Fahad</v>
      </c>
      <c r="O19" s="27"/>
      <c r="P19" s="26" t="s">
        <v>50</v>
      </c>
      <c r="Q19" s="25"/>
      <c r="R19" s="25"/>
      <c r="S19" s="25"/>
      <c r="T19" s="25"/>
      <c r="U19" s="25"/>
      <c r="V19" s="25"/>
      <c r="W19" s="25"/>
      <c r="X19" s="25"/>
      <c r="Y19" s="25"/>
      <c r="Z19" s="25"/>
      <c r="AA19" s="25"/>
    </row>
    <row r="20">
      <c r="A20" s="26" t="s">
        <v>51</v>
      </c>
      <c r="B20" s="27" t="str">
        <f>IFERROR(__xludf.DUMMYFUNCTION("""COMPUTED_VALUE"""),"Communication")</f>
        <v>Communication</v>
      </c>
      <c r="C20" s="27" t="str">
        <f>IFERROR(__xludf.DUMMYFUNCTION("""COMPUTED_VALUE"""),"Communication")</f>
        <v>Communication</v>
      </c>
      <c r="D20" s="27" t="str">
        <f>IFERROR(__xludf.DUMMYFUNCTION("""COMPUTED_VALUE"""),"Automatically removes manager from group for deactive and reactive")</f>
        <v>Automatically removes manager from group for deactive and reactive</v>
      </c>
      <c r="E20" s="27" t="str">
        <f>IFERROR(__xludf.DUMMYFUNCTION("""COMPUTED_VALUE"""),"User need to access this web app through browser")</f>
        <v>User need to access this web app through browser</v>
      </c>
      <c r="F20" s="27" t="str">
        <f>IFERROR(__xludf.DUMMYFUNCTION("""COMPUTED_VALUE"""),"1. Open link
2. Login with Manager Credentials
3. Click on Chat")</f>
        <v>1. Open link
2. Login with Manager Credentials
3. Click on Chat</v>
      </c>
      <c r="G20" s="27" t="str">
        <f>IFERROR(__xludf.DUMMYFUNCTION("""COMPUTED_VALUE"""),"Manager Credentials")</f>
        <v>Manager Credentials</v>
      </c>
      <c r="H20" s="27" t="str">
        <f>IFERROR(__xludf.DUMMYFUNCTION("""COMPUTED_VALUE"""),"User should remain in group till higher autthority remove them from group")</f>
        <v>User should remain in group till higher autthority remove them from group</v>
      </c>
      <c r="I20" s="27" t="str">
        <f>IFERROR(__xludf.DUMMYFUNCTION("""COMPUTED_VALUE"""),"User get remove automatically after changing their user name")</f>
        <v>User get remove automatically after changing their user name</v>
      </c>
      <c r="J20" s="27" t="str">
        <f>IFERROR(__xludf.DUMMYFUNCTION("""COMPUTED_VALUE"""),"Fail")</f>
        <v>Fail</v>
      </c>
      <c r="K20" s="27" t="str">
        <f>IFERROR(__xludf.DUMMYFUNCTION("""COMPUTED_VALUE"""),"High")</f>
        <v>High</v>
      </c>
      <c r="L20" s="29" t="str">
        <f>IFERROR(__xludf.DUMMYFUNCTION("""COMPUTED_VALUE"""),"https://jam.dev/c/f58fc153-873d-493b-ab77-3229f95067ae")</f>
        <v>https://jam.dev/c/f58fc153-873d-493b-ab77-3229f95067ae</v>
      </c>
      <c r="M20" s="27"/>
      <c r="N20" s="27" t="str">
        <f>IFERROR(__xludf.DUMMYFUNCTION("""COMPUTED_VALUE"""),"Fahad")</f>
        <v>Fahad</v>
      </c>
      <c r="O20" s="26" t="s">
        <v>38</v>
      </c>
      <c r="P20" s="26" t="s">
        <v>48</v>
      </c>
      <c r="Q20" s="25"/>
      <c r="R20" s="25"/>
      <c r="S20" s="25"/>
      <c r="T20" s="25"/>
      <c r="U20" s="25"/>
      <c r="V20" s="25"/>
      <c r="W20" s="25"/>
      <c r="X20" s="25"/>
      <c r="Y20" s="25"/>
      <c r="Z20" s="25"/>
      <c r="AA20" s="25"/>
    </row>
    <row r="21">
      <c r="A21" s="26" t="s">
        <v>52</v>
      </c>
      <c r="B21" s="27" t="str">
        <f>IFERROR(__xludf.DUMMYFUNCTION("""COMPUTED_VALUE"""),"Communication")</f>
        <v>Communication</v>
      </c>
      <c r="C21" s="27" t="str">
        <f>IFERROR(__xludf.DUMMYFUNCTION("""COMPUTED_VALUE"""),"Communication")</f>
        <v>Communication</v>
      </c>
      <c r="D21" s="27" t="str">
        <f>IFERROR(__xludf.DUMMYFUNCTION("""COMPUTED_VALUE"""),"Mobile responsiveness failed in communication")</f>
        <v>Mobile responsiveness failed in communication</v>
      </c>
      <c r="E21" s="27" t="str">
        <f>IFERROR(__xludf.DUMMYFUNCTION("""COMPUTED_VALUE"""),"User need to access this web app through browser")</f>
        <v>User need to access this web app through browser</v>
      </c>
      <c r="F21" s="27" t="str">
        <f>IFERROR(__xludf.DUMMYFUNCTION("""COMPUTED_VALUE"""),"1. Open link
2. Login with Manager Credentials
3. Click on Chat")</f>
        <v>1. Open link
2. Login with Manager Credentials
3. Click on Chat</v>
      </c>
      <c r="G21" s="27" t="str">
        <f>IFERROR(__xludf.DUMMYFUNCTION("""COMPUTED_VALUE"""),"Manager Credentials")</f>
        <v>Manager Credentials</v>
      </c>
      <c r="H21" s="27" t="str">
        <f>IFERROR(__xludf.DUMMYFUNCTION("""COMPUTED_VALUE"""),"The interface should appear clean and seamless to the user.")</f>
        <v>The interface should appear clean and seamless to the user.</v>
      </c>
      <c r="I21" s="27" t="str">
        <f>IFERROR(__xludf.DUMMYFUNCTION("""COMPUTED_VALUE"""),"The user interface in the communication section is malfunctioning on mobile devices.")</f>
        <v>The user interface in the communication section is malfunctioning on mobile devices.</v>
      </c>
      <c r="J21" s="27" t="str">
        <f>IFERROR(__xludf.DUMMYFUNCTION("""COMPUTED_VALUE"""),"Fail")</f>
        <v>Fail</v>
      </c>
      <c r="K21" s="27" t="str">
        <f>IFERROR(__xludf.DUMMYFUNCTION("""COMPUTED_VALUE"""),"High")</f>
        <v>High</v>
      </c>
      <c r="L21" s="29" t="str">
        <f>IFERROR(__xludf.DUMMYFUNCTION("""COMPUTED_VALUE"""),"https://jam.dev/c/e7836ef5-4134-4470-95cb-079673316d19")</f>
        <v>https://jam.dev/c/e7836ef5-4134-4470-95cb-079673316d19</v>
      </c>
      <c r="M21" s="27"/>
      <c r="N21" s="27" t="str">
        <f>IFERROR(__xludf.DUMMYFUNCTION("""COMPUTED_VALUE"""),"Fahad")</f>
        <v>Fahad</v>
      </c>
      <c r="O21" s="26" t="s">
        <v>38</v>
      </c>
      <c r="P21" s="26" t="s">
        <v>53</v>
      </c>
      <c r="Q21" s="24"/>
      <c r="R21" s="25"/>
      <c r="S21" s="25"/>
      <c r="T21" s="25"/>
      <c r="U21" s="25"/>
      <c r="V21" s="25"/>
      <c r="W21" s="25"/>
      <c r="X21" s="25"/>
      <c r="Y21" s="25"/>
      <c r="Z21" s="25"/>
      <c r="AA21" s="25"/>
    </row>
    <row r="22">
      <c r="A22" s="26" t="s">
        <v>54</v>
      </c>
      <c r="B22" s="27" t="str">
        <f>IFERROR(__xludf.DUMMYFUNCTION("""COMPUTED_VALUE"""),"Communication")</f>
        <v>Communication</v>
      </c>
      <c r="C22" s="27" t="str">
        <f>IFERROR(__xludf.DUMMYFUNCTION("""COMPUTED_VALUE"""),"Communication")</f>
        <v>Communication</v>
      </c>
      <c r="D22" s="27" t="str">
        <f>IFERROR(__xludf.DUMMYFUNCTION("""COMPUTED_VALUE"""),"The system was unable to respond as expected in different device screen")</f>
        <v>The system was unable to respond as expected in different device screen</v>
      </c>
      <c r="E22" s="27" t="str">
        <f>IFERROR(__xludf.DUMMYFUNCTION("""COMPUTED_VALUE"""),"User need to access this web app through browser")</f>
        <v>User need to access this web app through browser</v>
      </c>
      <c r="F22" s="27" t="str">
        <f>IFERROR(__xludf.DUMMYFUNCTION("""COMPUTED_VALUE"""),"1. Open link
2. Login with Manager Credentials
3. Click on Chat")</f>
        <v>1. Open link
2. Login with Manager Credentials
3. Click on Chat</v>
      </c>
      <c r="G22" s="27" t="str">
        <f>IFERROR(__xludf.DUMMYFUNCTION("""COMPUTED_VALUE"""),"Manager Credentials")</f>
        <v>Manager Credentials</v>
      </c>
      <c r="H22" s="27" t="str">
        <f>IFERROR(__xludf.DUMMYFUNCTION("""COMPUTED_VALUE"""),"The interface should appear clean and seamless to the user.")</f>
        <v>The interface should appear clean and seamless to the user.</v>
      </c>
      <c r="I22" s="27" t="str">
        <f>IFERROR(__xludf.DUMMYFUNCTION("""COMPUTED_VALUE"""),"The user interface in the communication section is malfunctioning on mobile devices.")</f>
        <v>The user interface in the communication section is malfunctioning on mobile devices.</v>
      </c>
      <c r="J22" s="27" t="str">
        <f>IFERROR(__xludf.DUMMYFUNCTION("""COMPUTED_VALUE"""),"Fail")</f>
        <v>Fail</v>
      </c>
      <c r="K22" s="27" t="str">
        <f>IFERROR(__xludf.DUMMYFUNCTION("""COMPUTED_VALUE"""),"High")</f>
        <v>High</v>
      </c>
      <c r="L22" s="29" t="str">
        <f>IFERROR(__xludf.DUMMYFUNCTION("""COMPUTED_VALUE"""),"https://jam.dev/c/a5e294ce-6790-45f5-9d44-6b1262c66023")</f>
        <v>https://jam.dev/c/a5e294ce-6790-45f5-9d44-6b1262c66023</v>
      </c>
      <c r="M22" s="27"/>
      <c r="N22" s="27" t="str">
        <f>IFERROR(__xludf.DUMMYFUNCTION("""COMPUTED_VALUE"""),"Fahad")</f>
        <v>Fahad</v>
      </c>
      <c r="O22" s="26" t="s">
        <v>33</v>
      </c>
      <c r="P22" s="26"/>
      <c r="Q22" s="24" t="s">
        <v>55</v>
      </c>
      <c r="R22" s="25"/>
      <c r="S22" s="25"/>
      <c r="T22" s="25"/>
      <c r="U22" s="25"/>
      <c r="V22" s="25"/>
      <c r="W22" s="25"/>
      <c r="X22" s="25"/>
      <c r="Y22" s="25"/>
      <c r="Z22" s="25"/>
      <c r="AA22" s="25"/>
    </row>
    <row r="23">
      <c r="A23" s="26" t="s">
        <v>56</v>
      </c>
      <c r="B23" s="27" t="str">
        <f>IFERROR(__xludf.DUMMYFUNCTION("""COMPUTED_VALUE"""),"Communication")</f>
        <v>Communication</v>
      </c>
      <c r="C23" s="27" t="str">
        <f>IFERROR(__xludf.DUMMYFUNCTION("""COMPUTED_VALUE"""),"Communication")</f>
        <v>Communication</v>
      </c>
      <c r="D23" s="27" t="str">
        <f>IFERROR(__xludf.DUMMYFUNCTION("""COMPUTED_VALUE"""),"The notification bar ought to be positioned on the right side.")</f>
        <v>The notification bar ought to be positioned on the right side.</v>
      </c>
      <c r="E23" s="27" t="str">
        <f>IFERROR(__xludf.DUMMYFUNCTION("""COMPUTED_VALUE"""),"User need to access this web app through browser")</f>
        <v>User need to access this web app through browser</v>
      </c>
      <c r="F23" s="27" t="str">
        <f>IFERROR(__xludf.DUMMYFUNCTION("""COMPUTED_VALUE"""),"1. Open link
2. Login with Manager Credentials
3. Click on Chat")</f>
        <v>1. Open link
2. Login with Manager Credentials
3. Click on Chat</v>
      </c>
      <c r="G23" s="27" t="str">
        <f>IFERROR(__xludf.DUMMYFUNCTION("""COMPUTED_VALUE"""),"Manager Credentials")</f>
        <v>Manager Credentials</v>
      </c>
      <c r="H23" s="27" t="str">
        <f>IFERROR(__xludf.DUMMYFUNCTION("""COMPUTED_VALUE"""),"The interface should appear clean and seamless to the user.")</f>
        <v>The interface should appear clean and seamless to the user.</v>
      </c>
      <c r="I23" s="27" t="str">
        <f>IFERROR(__xludf.DUMMYFUNCTION("""COMPUTED_VALUE"""),"The user interface in the communication section is malfunctioning on mobile devices.")</f>
        <v>The user interface in the communication section is malfunctioning on mobile devices.</v>
      </c>
      <c r="J23" s="27" t="str">
        <f>IFERROR(__xludf.DUMMYFUNCTION("""COMPUTED_VALUE"""),"Fail")</f>
        <v>Fail</v>
      </c>
      <c r="K23" s="27" t="str">
        <f>IFERROR(__xludf.DUMMYFUNCTION("""COMPUTED_VALUE"""),"High")</f>
        <v>High</v>
      </c>
      <c r="L23" s="29" t="str">
        <f>IFERROR(__xludf.DUMMYFUNCTION("""COMPUTED_VALUE"""),"https://jam.dev/c/fa09cf59-3308-4993-aca6-ddd17b45f8ba")</f>
        <v>https://jam.dev/c/fa09cf59-3308-4993-aca6-ddd17b45f8ba</v>
      </c>
      <c r="M23" s="27"/>
      <c r="N23" s="27" t="str">
        <f>IFERROR(__xludf.DUMMYFUNCTION("""COMPUTED_VALUE"""),"Fahad")</f>
        <v>Fahad</v>
      </c>
      <c r="O23" s="26" t="s">
        <v>38</v>
      </c>
      <c r="P23" s="26" t="s">
        <v>57</v>
      </c>
      <c r="Q23" s="25"/>
      <c r="R23" s="25"/>
      <c r="S23" s="25"/>
      <c r="T23" s="25"/>
      <c r="U23" s="25"/>
      <c r="V23" s="25"/>
      <c r="W23" s="25"/>
      <c r="X23" s="25"/>
      <c r="Y23" s="25"/>
      <c r="Z23" s="25"/>
      <c r="AA23" s="25"/>
    </row>
    <row r="24">
      <c r="A24" s="26" t="s">
        <v>58</v>
      </c>
      <c r="B24" s="27" t="str">
        <f>IFERROR(__xludf.DUMMYFUNCTION("""COMPUTED_VALUE"""),"Communication")</f>
        <v>Communication</v>
      </c>
      <c r="C24" s="27" t="str">
        <f>IFERROR(__xludf.DUMMYFUNCTION("""COMPUTED_VALUE"""),"Communication")</f>
        <v>Communication</v>
      </c>
      <c r="D24" s="27" t="str">
        <f>IFERROR(__xludf.DUMMYFUNCTION("""COMPUTED_VALUE"""),"The user profile picture should be aligned to the right.")</f>
        <v>The user profile picture should be aligned to the right.</v>
      </c>
      <c r="E24" s="27" t="str">
        <f>IFERROR(__xludf.DUMMYFUNCTION("""COMPUTED_VALUE"""),"User need to access this web app through browser")</f>
        <v>User need to access this web app through browser</v>
      </c>
      <c r="F24" s="27" t="str">
        <f>IFERROR(__xludf.DUMMYFUNCTION("""COMPUTED_VALUE"""),"1. Open link
2. Login with Manager Credentials
3. Click on Chat")</f>
        <v>1. Open link
2. Login with Manager Credentials
3. Click on Chat</v>
      </c>
      <c r="G24" s="27" t="str">
        <f>IFERROR(__xludf.DUMMYFUNCTION("""COMPUTED_VALUE"""),"Manager Credentials")</f>
        <v>Manager Credentials</v>
      </c>
      <c r="H24" s="27" t="str">
        <f>IFERROR(__xludf.DUMMYFUNCTION("""COMPUTED_VALUE"""),"The interface should appear clean and seamless to the user.")</f>
        <v>The interface should appear clean and seamless to the user.</v>
      </c>
      <c r="I24" s="27" t="str">
        <f>IFERROR(__xludf.DUMMYFUNCTION("""COMPUTED_VALUE"""),"The user interface in the communication section is malfunctioning on mobile devices.")</f>
        <v>The user interface in the communication section is malfunctioning on mobile devices.</v>
      </c>
      <c r="J24" s="27" t="str">
        <f>IFERROR(__xludf.DUMMYFUNCTION("""COMPUTED_VALUE"""),"Fail")</f>
        <v>Fail</v>
      </c>
      <c r="K24" s="27" t="str">
        <f>IFERROR(__xludf.DUMMYFUNCTION("""COMPUTED_VALUE"""),"High")</f>
        <v>High</v>
      </c>
      <c r="L24" s="29" t="str">
        <f>IFERROR(__xludf.DUMMYFUNCTION("""COMPUTED_VALUE"""),"https://jam.dev/c/32971bba-796d-4d5c-9a87-3a5eb634fc23")</f>
        <v>https://jam.dev/c/32971bba-796d-4d5c-9a87-3a5eb634fc23</v>
      </c>
      <c r="M24" s="27"/>
      <c r="N24" s="27" t="str">
        <f>IFERROR(__xludf.DUMMYFUNCTION("""COMPUTED_VALUE"""),"Fahad")</f>
        <v>Fahad</v>
      </c>
      <c r="O24" s="26" t="s">
        <v>38</v>
      </c>
      <c r="P24" s="26" t="s">
        <v>59</v>
      </c>
      <c r="Q24" s="24"/>
      <c r="R24" s="25"/>
      <c r="S24" s="25"/>
      <c r="T24" s="25"/>
      <c r="U24" s="25"/>
      <c r="V24" s="25"/>
      <c r="W24" s="25"/>
      <c r="X24" s="25"/>
      <c r="Y24" s="25"/>
      <c r="Z24" s="25"/>
      <c r="AA24" s="25"/>
    </row>
    <row r="25">
      <c r="A25" s="26" t="s">
        <v>60</v>
      </c>
      <c r="B25" s="27" t="str">
        <f>IFERROR(__xludf.DUMMYFUNCTION("""COMPUTED_VALUE"""),"Communication")</f>
        <v>Communication</v>
      </c>
      <c r="C25" s="27" t="str">
        <f>IFERROR(__xludf.DUMMYFUNCTION("""COMPUTED_VALUE"""),"Communication")</f>
        <v>Communication</v>
      </c>
      <c r="D25" s="27" t="str">
        <f>IFERROR(__xludf.DUMMYFUNCTION("""COMPUTED_VALUE"""),"The request for the header information was unsuccessful.")</f>
        <v>The request for the header information was unsuccessful.</v>
      </c>
      <c r="E25" s="27" t="str">
        <f>IFERROR(__xludf.DUMMYFUNCTION("""COMPUTED_VALUE"""),"User need to access this web app through browser")</f>
        <v>User need to access this web app through browser</v>
      </c>
      <c r="F25" s="27" t="str">
        <f>IFERROR(__xludf.DUMMYFUNCTION("""COMPUTED_VALUE"""),"1. Open link
2. Login with Manager Credentials
3. Click on Chat")</f>
        <v>1. Open link
2. Login with Manager Credentials
3. Click on Chat</v>
      </c>
      <c r="G25" s="27" t="str">
        <f>IFERROR(__xludf.DUMMYFUNCTION("""COMPUTED_VALUE"""),"Manager Credentials")</f>
        <v>Manager Credentials</v>
      </c>
      <c r="H25" s="27" t="str">
        <f>IFERROR(__xludf.DUMMYFUNCTION("""COMPUTED_VALUE"""),"The interface should appear clean and seamless to the user.")</f>
        <v>The interface should appear clean and seamless to the user.</v>
      </c>
      <c r="I25" s="27" t="str">
        <f>IFERROR(__xludf.DUMMYFUNCTION("""COMPUTED_VALUE"""),"The user interface in the communication section is malfunctioning on mobile devices.")</f>
        <v>The user interface in the communication section is malfunctioning on mobile devices.</v>
      </c>
      <c r="J25" s="27" t="str">
        <f>IFERROR(__xludf.DUMMYFUNCTION("""COMPUTED_VALUE"""),"Fail")</f>
        <v>Fail</v>
      </c>
      <c r="K25" s="27" t="str">
        <f>IFERROR(__xludf.DUMMYFUNCTION("""COMPUTED_VALUE"""),"High")</f>
        <v>High</v>
      </c>
      <c r="L25" s="29" t="str">
        <f>IFERROR(__xludf.DUMMYFUNCTION("""COMPUTED_VALUE"""),"https://jam.dev/c/4c79164f-e825-4284-bdcc-cac54a9ed931")</f>
        <v>https://jam.dev/c/4c79164f-e825-4284-bdcc-cac54a9ed931</v>
      </c>
      <c r="M25" s="27"/>
      <c r="N25" s="27" t="str">
        <f>IFERROR(__xludf.DUMMYFUNCTION("""COMPUTED_VALUE"""),"Fahad")</f>
        <v>Fahad</v>
      </c>
      <c r="O25" s="26" t="s">
        <v>38</v>
      </c>
      <c r="P25" s="26" t="s">
        <v>48</v>
      </c>
      <c r="Q25" s="25"/>
      <c r="R25" s="25"/>
      <c r="S25" s="25"/>
      <c r="T25" s="25"/>
      <c r="U25" s="25"/>
      <c r="V25" s="25"/>
      <c r="W25" s="25"/>
      <c r="X25" s="25"/>
      <c r="Y25" s="25"/>
      <c r="Z25" s="25"/>
      <c r="AA25" s="25"/>
    </row>
    <row r="26">
      <c r="A26" s="26" t="s">
        <v>61</v>
      </c>
      <c r="B26" s="27" t="str">
        <f>IFERROR(__xludf.DUMMYFUNCTION("""COMPUTED_VALUE"""),"Communication")</f>
        <v>Communication</v>
      </c>
      <c r="C26" s="27" t="str">
        <f>IFERROR(__xludf.DUMMYFUNCTION("""COMPUTED_VALUE"""),"Group Chat")</f>
        <v>Group Chat</v>
      </c>
      <c r="D26" s="27" t="str">
        <f>IFERROR(__xludf.DUMMYFUNCTION("""COMPUTED_VALUE"""),"User name need to be displayed in the group chat for better user experience")</f>
        <v>User name need to be displayed in the group chat for better user experience</v>
      </c>
      <c r="E26" s="27" t="str">
        <f>IFERROR(__xludf.DUMMYFUNCTION("""COMPUTED_VALUE"""),"User need to access this web app through browser")</f>
        <v>User need to access this web app through browser</v>
      </c>
      <c r="F26" s="27" t="str">
        <f>IFERROR(__xludf.DUMMYFUNCTION("""COMPUTED_VALUE"""),"1. Open link
2. Login with Admin Credentials
3. Click on communication")</f>
        <v>1. Open link
2. Login with Admin Credentials
3. Click on communication</v>
      </c>
      <c r="G26" s="27" t="str">
        <f>IFERROR(__xludf.DUMMYFUNCTION("""COMPUTED_VALUE"""),"Admin Credentials")</f>
        <v>Admin Credentials</v>
      </c>
      <c r="H26" s="27" t="str">
        <f>IFERROR(__xludf.DUMMYFUNCTION("""COMPUTED_VALUE"""),"User name need to be displayed in the group chat for better user engagement")</f>
        <v>User name need to be displayed in the group chat for better user engagement</v>
      </c>
      <c r="I26" s="27" t="str">
        <f>IFERROR(__xludf.DUMMYFUNCTION("""COMPUTED_VALUE"""),"The username isn’t shown in the group chat, it’s hard to tell who sent the message.")</f>
        <v>The username isn’t shown in the group chat, it’s hard to tell who sent the message.</v>
      </c>
      <c r="J26" s="27" t="str">
        <f>IFERROR(__xludf.DUMMYFUNCTION("""COMPUTED_VALUE"""),"Fail")</f>
        <v>Fail</v>
      </c>
      <c r="K26" s="27" t="str">
        <f>IFERROR(__xludf.DUMMYFUNCTION("""COMPUTED_VALUE"""),"High")</f>
        <v>High</v>
      </c>
      <c r="L26" s="29" t="str">
        <f>IFERROR(__xludf.DUMMYFUNCTION("""COMPUTED_VALUE"""),"https://jam.dev/c/606bcc70-9c47-4c54-9953-051b4bc39d60")</f>
        <v>https://jam.dev/c/606bcc70-9c47-4c54-9953-051b4bc39d60</v>
      </c>
      <c r="M26" s="27"/>
      <c r="N26" s="27" t="str">
        <f>IFERROR(__xludf.DUMMYFUNCTION("""COMPUTED_VALUE"""),"Fahad")</f>
        <v>Fahad</v>
      </c>
      <c r="O26" s="26" t="s">
        <v>38</v>
      </c>
      <c r="P26" s="26" t="s">
        <v>48</v>
      </c>
      <c r="Q26" s="25"/>
      <c r="R26" s="25"/>
      <c r="S26" s="25"/>
      <c r="T26" s="25"/>
      <c r="U26" s="25"/>
      <c r="V26" s="25"/>
      <c r="W26" s="25"/>
      <c r="X26" s="25"/>
      <c r="Y26" s="25"/>
      <c r="Z26" s="25"/>
      <c r="AA26" s="25"/>
    </row>
    <row r="27">
      <c r="A27" s="26" t="s">
        <v>62</v>
      </c>
      <c r="B27" s="27" t="str">
        <f>IFERROR(__xludf.DUMMYFUNCTION("""COMPUTED_VALUE"""),"Communication")</f>
        <v>Communication</v>
      </c>
      <c r="C27" s="27" t="str">
        <f>IFERROR(__xludf.DUMMYFUNCTION("""COMPUTED_VALUE"""),"Group Chat")</f>
        <v>Group Chat</v>
      </c>
      <c r="D27" s="27" t="str">
        <f>IFERROR(__xludf.DUMMYFUNCTION("""COMPUTED_VALUE"""),"The group image doesn’t update dynamically.")</f>
        <v>The group image doesn’t update dynamically.</v>
      </c>
      <c r="E27" s="27" t="str">
        <f>IFERROR(__xludf.DUMMYFUNCTION("""COMPUTED_VALUE"""),"User need to access this web app through browser")</f>
        <v>User need to access this web app through browser</v>
      </c>
      <c r="F27" s="27" t="str">
        <f>IFERROR(__xludf.DUMMYFUNCTION("""COMPUTED_VALUE"""),"1. Open link
2. Login with Admin Credentials
3. Click on communication")</f>
        <v>1. Open link
2. Login with Admin Credentials
3. Click on communication</v>
      </c>
      <c r="G27" s="27" t="str">
        <f>IFERROR(__xludf.DUMMYFUNCTION("""COMPUTED_VALUE"""),"Admin Credentials")</f>
        <v>Admin Credentials</v>
      </c>
      <c r="H27" s="27" t="str">
        <f>IFERROR(__xludf.DUMMYFUNCTION("""COMPUTED_VALUE"""),"The group image should be dynamically updated.")</f>
        <v>The group image should be dynamically updated.</v>
      </c>
      <c r="I27" s="27" t="str">
        <f>IFERROR(__xludf.DUMMYFUNCTION("""COMPUTED_VALUE"""),"Unable to update the group image dynamically.")</f>
        <v>Unable to update the group image dynamically.</v>
      </c>
      <c r="J27" s="27" t="str">
        <f>IFERROR(__xludf.DUMMYFUNCTION("""COMPUTED_VALUE"""),"Fail")</f>
        <v>Fail</v>
      </c>
      <c r="K27" s="27" t="str">
        <f>IFERROR(__xludf.DUMMYFUNCTION("""COMPUTED_VALUE"""),"Medium")</f>
        <v>Medium</v>
      </c>
      <c r="L27" s="29" t="str">
        <f>IFERROR(__xludf.DUMMYFUNCTION("""COMPUTED_VALUE"""),"https://jam.dev/c/58e41e2c-fd94-4d47-a548-31011fbbd2df")</f>
        <v>https://jam.dev/c/58e41e2c-fd94-4d47-a548-31011fbbd2df</v>
      </c>
      <c r="M27" s="27"/>
      <c r="N27" s="27" t="str">
        <f>IFERROR(__xludf.DUMMYFUNCTION("""COMPUTED_VALUE"""),"Fahad")</f>
        <v>Fahad</v>
      </c>
      <c r="O27" s="26" t="s">
        <v>33</v>
      </c>
      <c r="P27" s="26" t="s">
        <v>57</v>
      </c>
      <c r="Q27" s="24"/>
      <c r="R27" s="25"/>
      <c r="S27" s="25"/>
      <c r="T27" s="25"/>
      <c r="U27" s="25"/>
      <c r="V27" s="25"/>
      <c r="W27" s="25"/>
      <c r="X27" s="25"/>
      <c r="Y27" s="25"/>
      <c r="Z27" s="25"/>
      <c r="AA27" s="25"/>
    </row>
    <row r="28">
      <c r="A28" s="26" t="s">
        <v>63</v>
      </c>
      <c r="B28" s="27" t="str">
        <f>IFERROR(__xludf.DUMMYFUNCTION("""COMPUTED_VALUE"""),"Communication")</f>
        <v>Communication</v>
      </c>
      <c r="C28" s="27" t="str">
        <f>IFERROR(__xludf.DUMMYFUNCTION("""COMPUTED_VALUE"""),"Group Chat")</f>
        <v>Group Chat</v>
      </c>
      <c r="D28" s="27" t="str">
        <f>IFERROR(__xludf.DUMMYFUNCTION("""COMPUTED_VALUE"""),"Group member list is missing in communication")</f>
        <v>Group member list is missing in communication</v>
      </c>
      <c r="E28" s="27" t="str">
        <f>IFERROR(__xludf.DUMMYFUNCTION("""COMPUTED_VALUE"""),"User need to access this web app through browser")</f>
        <v>User need to access this web app through browser</v>
      </c>
      <c r="F28" s="27" t="str">
        <f>IFERROR(__xludf.DUMMYFUNCTION("""COMPUTED_VALUE"""),"1. Open link
2. Login with Admin Credentials
3. Click on communication")</f>
        <v>1. Open link
2. Login with Admin Credentials
3. Click on communication</v>
      </c>
      <c r="G28" s="27" t="str">
        <f>IFERROR(__xludf.DUMMYFUNCTION("""COMPUTED_VALUE"""),"Admin Credentials")</f>
        <v>Admin Credentials</v>
      </c>
      <c r="H28" s="27" t="str">
        <f>IFERROR(__xludf.DUMMYFUNCTION("""COMPUTED_VALUE"""),"In group details, member list should be displayed for better user experience")</f>
        <v>In group details, member list should be displayed for better user experience</v>
      </c>
      <c r="I28" s="27" t="str">
        <f>IFERROR(__xludf.DUMMYFUNCTION("""COMPUTED_VALUE"""),"Group member list missing in group details")</f>
        <v>Group member list missing in group details</v>
      </c>
      <c r="J28" s="27" t="str">
        <f>IFERROR(__xludf.DUMMYFUNCTION("""COMPUTED_VALUE"""),"Fail")</f>
        <v>Fail</v>
      </c>
      <c r="K28" s="27" t="str">
        <f>IFERROR(__xludf.DUMMYFUNCTION("""COMPUTED_VALUE"""),"High")</f>
        <v>High</v>
      </c>
      <c r="L28" s="29" t="str">
        <f>IFERROR(__xludf.DUMMYFUNCTION("""COMPUTED_VALUE"""),"https://jam.dev/c/b50b656c-a6e9-499e-8ec2-25c60607c463")</f>
        <v>https://jam.dev/c/b50b656c-a6e9-499e-8ec2-25c60607c463</v>
      </c>
      <c r="M28" s="27"/>
      <c r="N28" s="27" t="str">
        <f>IFERROR(__xludf.DUMMYFUNCTION("""COMPUTED_VALUE"""),"Fahad")</f>
        <v>Fahad</v>
      </c>
      <c r="O28" s="26" t="s">
        <v>38</v>
      </c>
      <c r="P28" s="26" t="s">
        <v>57</v>
      </c>
      <c r="Q28" s="24"/>
      <c r="R28" s="25"/>
      <c r="S28" s="25"/>
      <c r="T28" s="25"/>
      <c r="U28" s="25"/>
      <c r="V28" s="25"/>
      <c r="W28" s="25"/>
      <c r="X28" s="25"/>
      <c r="Y28" s="25"/>
      <c r="Z28" s="25"/>
      <c r="AA28" s="25"/>
    </row>
    <row r="29">
      <c r="A29" s="26" t="s">
        <v>64</v>
      </c>
      <c r="B29" s="27" t="str">
        <f>IFERROR(__xludf.DUMMYFUNCTION("""COMPUTED_VALUE"""),"Communication")</f>
        <v>Communication</v>
      </c>
      <c r="C29" s="27" t="str">
        <f>IFERROR(__xludf.DUMMYFUNCTION("""COMPUTED_VALUE"""),"Group Chat")</f>
        <v>Group Chat</v>
      </c>
      <c r="D29" s="27" t="str">
        <f>IFERROR(__xludf.DUMMYFUNCTION("""COMPUTED_VALUE"""),"Group action bar remains in each chat/group until it clicked")</f>
        <v>Group action bar remains in each chat/group until it clicked</v>
      </c>
      <c r="E29" s="27" t="str">
        <f>IFERROR(__xludf.DUMMYFUNCTION("""COMPUTED_VALUE"""),"User need to access this web app through browser")</f>
        <v>User need to access this web app through browser</v>
      </c>
      <c r="F29" s="27" t="str">
        <f>IFERROR(__xludf.DUMMYFUNCTION("""COMPUTED_VALUE"""),"1. Open link
2. Login with Admin Credentials
3. Click on communication")</f>
        <v>1. Open link
2. Login with Admin Credentials
3. Click on communication</v>
      </c>
      <c r="G29" s="27" t="str">
        <f>IFERROR(__xludf.DUMMYFUNCTION("""COMPUTED_VALUE"""),"Admin Credentials")</f>
        <v>Admin Credentials</v>
      </c>
      <c r="H29" s="27" t="str">
        <f>IFERROR(__xludf.DUMMYFUNCTION("""COMPUTED_VALUE"""),"The action bar should appear when the icon is clicked and hide when the user switches to another chat.")</f>
        <v>The action bar should appear when the icon is clicked and hide when the user switches to another chat.</v>
      </c>
      <c r="I29" s="27" t="str">
        <f>IFERROR(__xludf.DUMMYFUNCTION("""COMPUTED_VALUE"""),"The action bar stays in place even when the user switches chats.")</f>
        <v>The action bar stays in place even when the user switches chats.</v>
      </c>
      <c r="J29" s="27" t="str">
        <f>IFERROR(__xludf.DUMMYFUNCTION("""COMPUTED_VALUE"""),"Fail")</f>
        <v>Fail</v>
      </c>
      <c r="K29" s="27" t="str">
        <f>IFERROR(__xludf.DUMMYFUNCTION("""COMPUTED_VALUE"""),"Medium")</f>
        <v>Medium</v>
      </c>
      <c r="L29" s="29" t="str">
        <f>IFERROR(__xludf.DUMMYFUNCTION("""COMPUTED_VALUE"""),"https://jam.dev/c/b9782c46-0840-46e6-80a6-d7dfdb0bf638")</f>
        <v>https://jam.dev/c/b9782c46-0840-46e6-80a6-d7dfdb0bf638</v>
      </c>
      <c r="M29" s="27"/>
      <c r="N29" s="27" t="str">
        <f>IFERROR(__xludf.DUMMYFUNCTION("""COMPUTED_VALUE"""),"Fahad")</f>
        <v>Fahad</v>
      </c>
      <c r="O29" s="26" t="s">
        <v>33</v>
      </c>
      <c r="P29" s="26" t="s">
        <v>57</v>
      </c>
      <c r="Q29" s="25"/>
      <c r="R29" s="25"/>
      <c r="S29" s="25"/>
      <c r="T29" s="25"/>
      <c r="U29" s="25"/>
      <c r="V29" s="25"/>
      <c r="W29" s="25"/>
      <c r="X29" s="25"/>
      <c r="Y29" s="25"/>
      <c r="Z29" s="25"/>
      <c r="AA29" s="25"/>
    </row>
    <row r="30">
      <c r="A30" s="26" t="s">
        <v>65</v>
      </c>
      <c r="B30" s="27" t="str">
        <f>IFERROR(__xludf.DUMMYFUNCTION("""COMPUTED_VALUE"""),"Dashboard")</f>
        <v>Dashboard</v>
      </c>
      <c r="C30" s="27" t="str">
        <f>IFERROR(__xludf.DUMMYFUNCTION("""COMPUTED_VALUE"""),"Dashboard")</f>
        <v>Dashboard</v>
      </c>
      <c r="D30" s="27" t="str">
        <f>IFERROR(__xludf.DUMMYFUNCTION("""COMPUTED_VALUE"""),"Cache is not remove when user logout")</f>
        <v>Cache is not remove when user logout</v>
      </c>
      <c r="E30" s="27" t="str">
        <f>IFERROR(__xludf.DUMMYFUNCTION("""COMPUTED_VALUE"""),"User need to access this web app through browser")</f>
        <v>User need to access this web app through browser</v>
      </c>
      <c r="F30" s="27" t="str">
        <f>IFERROR(__xludf.DUMMYFUNCTION("""COMPUTED_VALUE"""),"1. Open link
2. Login with President Credentials")</f>
        <v>1. Open link
2. Login with President Credentials</v>
      </c>
      <c r="G30" s="27" t="str">
        <f>IFERROR(__xludf.DUMMYFUNCTION("""COMPUTED_VALUE"""),"President Credential")</f>
        <v>President Credential</v>
      </c>
      <c r="H30" s="27" t="str">
        <f>IFERROR(__xludf.DUMMYFUNCTION("""COMPUTED_VALUE"""),"Cache should remove after user logout")</f>
        <v>Cache should remove after user logout</v>
      </c>
      <c r="I30" s="27" t="str">
        <f>IFERROR(__xludf.DUMMYFUNCTION("""COMPUTED_VALUE"""),"Still holds cache memory after user logout")</f>
        <v>Still holds cache memory after user logout</v>
      </c>
      <c r="J30" s="27" t="str">
        <f>IFERROR(__xludf.DUMMYFUNCTION("""COMPUTED_VALUE"""),"Fail")</f>
        <v>Fail</v>
      </c>
      <c r="K30" s="27" t="str">
        <f>IFERROR(__xludf.DUMMYFUNCTION("""COMPUTED_VALUE"""),"High")</f>
        <v>High</v>
      </c>
      <c r="L30" s="29" t="str">
        <f>IFERROR(__xludf.DUMMYFUNCTION("""COMPUTED_VALUE"""),"https://jam.dev/c/e3d0f827-d799-451f-9e28-baa52b074e88")</f>
        <v>https://jam.dev/c/e3d0f827-d799-451f-9e28-baa52b074e88</v>
      </c>
      <c r="M30" s="27"/>
      <c r="N30" s="27" t="str">
        <f>IFERROR(__xludf.DUMMYFUNCTION("""COMPUTED_VALUE"""),"Fahad")</f>
        <v>Fahad</v>
      </c>
      <c r="O30" s="26" t="s">
        <v>33</v>
      </c>
      <c r="P30" s="27"/>
      <c r="Q30" s="24"/>
      <c r="R30" s="25"/>
      <c r="S30" s="25"/>
      <c r="T30" s="25"/>
      <c r="U30" s="25"/>
      <c r="V30" s="25"/>
      <c r="W30" s="25"/>
      <c r="X30" s="25"/>
      <c r="Y30" s="25"/>
      <c r="Z30" s="25"/>
      <c r="AA30" s="25"/>
    </row>
    <row r="31">
      <c r="A31" s="26" t="s">
        <v>66</v>
      </c>
      <c r="B31" s="27" t="str">
        <f>IFERROR(__xludf.DUMMYFUNCTION("""COMPUTED_VALUE"""),"Dashboard")</f>
        <v>Dashboard</v>
      </c>
      <c r="C31" s="27" t="str">
        <f>IFERROR(__xludf.DUMMYFUNCTION("""COMPUTED_VALUE"""),"Dashboard")</f>
        <v>Dashboard</v>
      </c>
      <c r="D31" s="27" t="str">
        <f>IFERROR(__xludf.DUMMYFUNCTION("""COMPUTED_VALUE"""),"The dashboard isn’t updating in real time.")</f>
        <v>The dashboard isn’t updating in real time.</v>
      </c>
      <c r="E31" s="27" t="str">
        <f>IFERROR(__xludf.DUMMYFUNCTION("""COMPUTED_VALUE"""),"User need to access this web app through browser")</f>
        <v>User need to access this web app through browser</v>
      </c>
      <c r="F31" s="27" t="str">
        <f>IFERROR(__xludf.DUMMYFUNCTION("""COMPUTED_VALUE"""),"1. Open link
2. Login with President Credentials")</f>
        <v>1. Open link
2. Login with President Credentials</v>
      </c>
      <c r="G31" s="27" t="str">
        <f>IFERROR(__xludf.DUMMYFUNCTION("""COMPUTED_VALUE"""),"President Credential")</f>
        <v>President Credential</v>
      </c>
      <c r="H31" s="27" t="str">
        <f>IFERROR(__xludf.DUMMYFUNCTION("""COMPUTED_VALUE"""),"Dashboard should be updated in real time")</f>
        <v>Dashboard should be updated in real time</v>
      </c>
      <c r="I31" s="27" t="str">
        <f>IFERROR(__xludf.DUMMYFUNCTION("""COMPUTED_VALUE"""),"The dashboard isn’t updating in real time.")</f>
        <v>The dashboard isn’t updating in real time.</v>
      </c>
      <c r="J31" s="27" t="str">
        <f>IFERROR(__xludf.DUMMYFUNCTION("""COMPUTED_VALUE"""),"Fail")</f>
        <v>Fail</v>
      </c>
      <c r="K31" s="27" t="str">
        <f>IFERROR(__xludf.DUMMYFUNCTION("""COMPUTED_VALUE"""),"High")</f>
        <v>High</v>
      </c>
      <c r="L31" s="29" t="str">
        <f>IFERROR(__xludf.DUMMYFUNCTION("""COMPUTED_VALUE"""),"https://jam.dev/c/e5a1ddc2-6959-414f-84b4-cd44982cf075")</f>
        <v>https://jam.dev/c/e5a1ddc2-6959-414f-84b4-cd44982cf075</v>
      </c>
      <c r="M31" s="27"/>
      <c r="N31" s="27" t="str">
        <f>IFERROR(__xludf.DUMMYFUNCTION("""COMPUTED_VALUE"""),"Fahad")</f>
        <v>Fahad</v>
      </c>
      <c r="O31" s="26" t="s">
        <v>33</v>
      </c>
      <c r="P31" s="26"/>
      <c r="Q31" s="24" t="s">
        <v>44</v>
      </c>
      <c r="R31" s="25"/>
      <c r="S31" s="25"/>
      <c r="T31" s="25"/>
      <c r="U31" s="25"/>
      <c r="V31" s="25"/>
      <c r="W31" s="25"/>
      <c r="X31" s="25"/>
      <c r="Y31" s="25"/>
      <c r="Z31" s="25"/>
      <c r="AA31" s="25"/>
    </row>
    <row r="32">
      <c r="A32" s="26" t="s">
        <v>67</v>
      </c>
      <c r="B32" s="27" t="str">
        <f>IFERROR(__xludf.DUMMYFUNCTION("""COMPUTED_VALUE"""),"Dashboard")</f>
        <v>Dashboard</v>
      </c>
      <c r="C32" s="27" t="str">
        <f>IFERROR(__xludf.DUMMYFUNCTION("""COMPUTED_VALUE"""),"Dashboard")</f>
        <v>Dashboard</v>
      </c>
      <c r="D32" s="27" t="str">
        <f>IFERROR(__xludf.DUMMYFUNCTION("""COMPUTED_VALUE"""),"Clicking on Manage Clinic redirects to the login page.")</f>
        <v>Clicking on Manage Clinic redirects to the login page.</v>
      </c>
      <c r="E32" s="27" t="str">
        <f>IFERROR(__xludf.DUMMYFUNCTION("""COMPUTED_VALUE"""),"User need to access this web app through browser")</f>
        <v>User need to access this web app through browser</v>
      </c>
      <c r="F32" s="27" t="str">
        <f>IFERROR(__xludf.DUMMYFUNCTION("""COMPUTED_VALUE"""),"1. Open link
2. Login with President Credentials")</f>
        <v>1. Open link
2. Login with President Credentials</v>
      </c>
      <c r="G32" s="27" t="str">
        <f>IFERROR(__xludf.DUMMYFUNCTION("""COMPUTED_VALUE"""),"President Credential")</f>
        <v>President Credential</v>
      </c>
      <c r="H32" s="27" t="str">
        <f>IFERROR(__xludf.DUMMYFUNCTION("""COMPUTED_VALUE"""),"Click on Manage Clinic should redirect user to Assigned Clinic")</f>
        <v>Click on Manage Clinic should redirect user to Assigned Clinic</v>
      </c>
      <c r="I32" s="27" t="str">
        <f>IFERROR(__xludf.DUMMYFUNCTION("""COMPUTED_VALUE"""),"Redirect to Login page when user click on Manage clinic")</f>
        <v>Redirect to Login page when user click on Manage clinic</v>
      </c>
      <c r="J32" s="27" t="str">
        <f>IFERROR(__xludf.DUMMYFUNCTION("""COMPUTED_VALUE"""),"Fail")</f>
        <v>Fail</v>
      </c>
      <c r="K32" s="27" t="str">
        <f>IFERROR(__xludf.DUMMYFUNCTION("""COMPUTED_VALUE"""),"High")</f>
        <v>High</v>
      </c>
      <c r="L32" s="29" t="str">
        <f>IFERROR(__xludf.DUMMYFUNCTION("""COMPUTED_VALUE"""),"https://jam.dev/c/508b63f7-8e56-4211-85be-1e4cd5afad9f")</f>
        <v>https://jam.dev/c/508b63f7-8e56-4211-85be-1e4cd5afad9f</v>
      </c>
      <c r="M32" s="27"/>
      <c r="N32" s="27" t="str">
        <f>IFERROR(__xludf.DUMMYFUNCTION("""COMPUTED_VALUE"""),"Fahad")</f>
        <v>Fahad</v>
      </c>
      <c r="O32" s="26" t="s">
        <v>38</v>
      </c>
      <c r="P32" s="26"/>
      <c r="Q32" s="24" t="s">
        <v>68</v>
      </c>
      <c r="R32" s="25"/>
      <c r="S32" s="25"/>
      <c r="T32" s="25"/>
      <c r="U32" s="25"/>
      <c r="V32" s="25"/>
      <c r="W32" s="25"/>
      <c r="X32" s="25"/>
      <c r="Y32" s="25"/>
      <c r="Z32" s="25"/>
      <c r="AA32" s="25"/>
    </row>
    <row r="33">
      <c r="A33" s="26" t="s">
        <v>69</v>
      </c>
      <c r="B33" s="27" t="str">
        <f>IFERROR(__xludf.DUMMYFUNCTION("""COMPUTED_VALUE"""),"Login")</f>
        <v>Login</v>
      </c>
      <c r="C33" s="27" t="str">
        <f>IFERROR(__xludf.DUMMYFUNCTION("""COMPUTED_VALUE"""),"Login")</f>
        <v>Login</v>
      </c>
      <c r="D33" s="27" t="str">
        <f>IFERROR(__xludf.DUMMYFUNCTION("""COMPUTED_VALUE"""),"Forget Password or password reset action button missing in login page")</f>
        <v>Forget Password or password reset action button missing in login page</v>
      </c>
      <c r="E33" s="27" t="str">
        <f>IFERROR(__xludf.DUMMYFUNCTION("""COMPUTED_VALUE"""),"User need to access this web app through browser")</f>
        <v>User need to access this web app through browser</v>
      </c>
      <c r="F33" s="27" t="str">
        <f>IFERROR(__xludf.DUMMYFUNCTION("""COMPUTED_VALUE"""),"1. Open link")</f>
        <v>1. Open link</v>
      </c>
      <c r="G33" s="27" t="str">
        <f>IFERROR(__xludf.DUMMYFUNCTION("""COMPUTED_VALUE"""),"N/A")</f>
        <v>N/A</v>
      </c>
      <c r="H33" s="27" t="str">
        <f>IFERROR(__xludf.DUMMYFUNCTION("""COMPUTED_VALUE"""),"Password reset / Forget Password option should be visible in the login page")</f>
        <v>Password reset / Forget Password option should be visible in the login page</v>
      </c>
      <c r="I33" s="27" t="str">
        <f>IFERROR(__xludf.DUMMYFUNCTION("""COMPUTED_VALUE"""),"No password reset option has been implemented, if need to change, need to do it manually")</f>
        <v>No password reset option has been implemented, if need to change, need to do it manually</v>
      </c>
      <c r="J33" s="27" t="str">
        <f>IFERROR(__xludf.DUMMYFUNCTION("""COMPUTED_VALUE"""),"Fail")</f>
        <v>Fail</v>
      </c>
      <c r="K33" s="27" t="str">
        <f>IFERROR(__xludf.DUMMYFUNCTION("""COMPUTED_VALUE"""),"High")</f>
        <v>High</v>
      </c>
      <c r="L33" s="29" t="str">
        <f>IFERROR(__xludf.DUMMYFUNCTION("""COMPUTED_VALUE"""),"https://jam.dev/c/67d6f6db-0260-4396-b48b-59593fc6f09b")</f>
        <v>https://jam.dev/c/67d6f6db-0260-4396-b48b-59593fc6f09b</v>
      </c>
      <c r="M33" s="27"/>
      <c r="N33" s="27" t="str">
        <f>IFERROR(__xludf.DUMMYFUNCTION("""COMPUTED_VALUE"""),"Fahad")</f>
        <v>Fahad</v>
      </c>
      <c r="O33" s="27"/>
      <c r="P33" s="26" t="s">
        <v>70</v>
      </c>
      <c r="Q33" s="24" t="s">
        <v>71</v>
      </c>
      <c r="R33" s="25"/>
      <c r="S33" s="30"/>
      <c r="T33" s="25"/>
      <c r="U33" s="25"/>
      <c r="V33" s="25"/>
      <c r="W33" s="25"/>
      <c r="X33" s="25"/>
      <c r="Y33" s="25"/>
      <c r="Z33" s="25"/>
      <c r="AA33" s="25"/>
    </row>
    <row r="34">
      <c r="A34" s="26" t="s">
        <v>72</v>
      </c>
      <c r="B34" s="27" t="str">
        <f>IFERROR(__xludf.DUMMYFUNCTION("""COMPUTED_VALUE"""),"Manage Clinic")</f>
        <v>Manage Clinic</v>
      </c>
      <c r="C34" s="27" t="str">
        <f>IFERROR(__xludf.DUMMYFUNCTION("""COMPUTED_VALUE"""),"Add Clinic")</f>
        <v>Add Clinic</v>
      </c>
      <c r="D34" s="27" t="str">
        <f>IFERROR(__xludf.DUMMYFUNCTION("""COMPUTED_VALUE"""),"The field required indicator hasn’t been implemented in the frontend.")</f>
        <v>The field required indicator hasn’t been implemented in the frontend.</v>
      </c>
      <c r="E34" s="27" t="str">
        <f>IFERROR(__xludf.DUMMYFUNCTION("""COMPUTED_VALUE"""),"User need to access this web app through browser")</f>
        <v>User need to access this web app through browser</v>
      </c>
      <c r="F34" s="27" t="str">
        <f>IFERROR(__xludf.DUMMYFUNCTION("""COMPUTED_VALUE"""),"1. Open link
2. Login with Admin Credentials
3. Click on Manage Clinic")</f>
        <v>1. Open link
2. Login with Admin Credentials
3. Click on Manage Clinic</v>
      </c>
      <c r="G34" s="27" t="str">
        <f>IFERROR(__xludf.DUMMYFUNCTION("""COMPUTED_VALUE"""),"Admin Credentials")</f>
        <v>Admin Credentials</v>
      </c>
      <c r="H34" s="27" t="str">
        <f>IFERROR(__xludf.DUMMYFUNCTION("""COMPUTED_VALUE"""),"Adding a required field indicator in the frontend can greatly enhance the user experience.")</f>
        <v>Adding a required field indicator in the frontend can greatly enhance the user experience.</v>
      </c>
      <c r="I34" s="27" t="str">
        <f>IFERROR(__xludf.DUMMYFUNCTION("""COMPUTED_VALUE"""),"Missing required indicator ")</f>
        <v>Missing required indicator </v>
      </c>
      <c r="J34" s="27" t="str">
        <f>IFERROR(__xludf.DUMMYFUNCTION("""COMPUTED_VALUE"""),"Fail")</f>
        <v>Fail</v>
      </c>
      <c r="K34" s="27" t="str">
        <f>IFERROR(__xludf.DUMMYFUNCTION("""COMPUTED_VALUE"""),"High")</f>
        <v>High</v>
      </c>
      <c r="L34" s="29" t="str">
        <f>IFERROR(__xludf.DUMMYFUNCTION("""COMPUTED_VALUE"""),"https://jam.dev/c/f25a9504-20f8-43e9-abc1-c3c8a55191aa")</f>
        <v>https://jam.dev/c/f25a9504-20f8-43e9-abc1-c3c8a55191aa</v>
      </c>
      <c r="M34" s="27"/>
      <c r="N34" s="27" t="str">
        <f>IFERROR(__xludf.DUMMYFUNCTION("""COMPUTED_VALUE"""),"Fahad")</f>
        <v>Fahad</v>
      </c>
      <c r="O34" s="26" t="s">
        <v>33</v>
      </c>
      <c r="P34" s="27"/>
      <c r="Q34" s="24" t="s">
        <v>73</v>
      </c>
      <c r="R34" s="25"/>
      <c r="S34" s="25"/>
      <c r="T34" s="25"/>
      <c r="U34" s="25"/>
      <c r="V34" s="25"/>
      <c r="W34" s="25"/>
      <c r="X34" s="25"/>
      <c r="Y34" s="25"/>
      <c r="Z34" s="25"/>
      <c r="AA34" s="25"/>
    </row>
    <row r="35">
      <c r="A35" s="26" t="s">
        <v>74</v>
      </c>
      <c r="B35" s="27" t="str">
        <f>IFERROR(__xludf.DUMMYFUNCTION("""COMPUTED_VALUE"""),"Manage Clinic")</f>
        <v>Manage Clinic</v>
      </c>
      <c r="C35" s="27" t="str">
        <f>IFERROR(__xludf.DUMMYFUNCTION("""COMPUTED_VALUE"""),"Add Clinic")</f>
        <v>Add Clinic</v>
      </c>
      <c r="D35" s="27" t="str">
        <f>IFERROR(__xludf.DUMMYFUNCTION("""COMPUTED_VALUE"""),"Validation required in the input field")</f>
        <v>Validation required in the input field</v>
      </c>
      <c r="E35" s="27" t="str">
        <f>IFERROR(__xludf.DUMMYFUNCTION("""COMPUTED_VALUE"""),"User need to access this web app through browser")</f>
        <v>User need to access this web app through browser</v>
      </c>
      <c r="F35" s="27" t="str">
        <f>IFERROR(__xludf.DUMMYFUNCTION("""COMPUTED_VALUE"""),"1. Open link
2. Login with Admin Credentials
3. Click on Manage Clinic")</f>
        <v>1. Open link
2. Login with Admin Credentials
3. Click on Manage Clinic</v>
      </c>
      <c r="G35" s="27" t="str">
        <f>IFERROR(__xludf.DUMMYFUNCTION("""COMPUTED_VALUE"""),"Admin Credentials")</f>
        <v>Admin Credentials</v>
      </c>
      <c r="H35" s="27" t="str">
        <f>IFERROR(__xludf.DUMMYFUNCTION("""COMPUTED_VALUE"""),"Validation in input field need to set")</f>
        <v>Validation in input field need to set</v>
      </c>
      <c r="I35" s="27" t="str">
        <f>IFERROR(__xludf.DUMMYFUNCTION("""COMPUTED_VALUE"""),"Failed on validation")</f>
        <v>Failed on validation</v>
      </c>
      <c r="J35" s="27" t="str">
        <f>IFERROR(__xludf.DUMMYFUNCTION("""COMPUTED_VALUE"""),"Fail")</f>
        <v>Fail</v>
      </c>
      <c r="K35" s="27" t="str">
        <f>IFERROR(__xludf.DUMMYFUNCTION("""COMPUTED_VALUE"""),"High")</f>
        <v>High</v>
      </c>
      <c r="L35" s="29" t="str">
        <f>IFERROR(__xludf.DUMMYFUNCTION("""COMPUTED_VALUE"""),"https://jam.dev/c/60208152-77eb-4099-b4c6-10d8c86b57e8")</f>
        <v>https://jam.dev/c/60208152-77eb-4099-b4c6-10d8c86b57e8</v>
      </c>
      <c r="M35" s="27"/>
      <c r="N35" s="27" t="str">
        <f>IFERROR(__xludf.DUMMYFUNCTION("""COMPUTED_VALUE"""),"Fahad")</f>
        <v>Fahad</v>
      </c>
      <c r="O35" s="26" t="s">
        <v>38</v>
      </c>
      <c r="P35" s="26"/>
      <c r="Q35" s="24" t="s">
        <v>75</v>
      </c>
      <c r="R35" s="25"/>
      <c r="S35" s="25"/>
      <c r="T35" s="25"/>
      <c r="U35" s="25"/>
      <c r="V35" s="25"/>
      <c r="W35" s="25"/>
      <c r="X35" s="25"/>
      <c r="Y35" s="25"/>
      <c r="Z35" s="25"/>
      <c r="AA35" s="25"/>
    </row>
    <row r="36">
      <c r="A36" s="26" t="s">
        <v>76</v>
      </c>
      <c r="B36" s="27" t="str">
        <f>IFERROR(__xludf.DUMMYFUNCTION("""COMPUTED_VALUE"""),"Manage Clinic")</f>
        <v>Manage Clinic</v>
      </c>
      <c r="C36" s="27" t="str">
        <f>IFERROR(__xludf.DUMMYFUNCTION("""COMPUTED_VALUE"""),"Add Clinic")</f>
        <v>Add Clinic</v>
      </c>
      <c r="D36" s="27" t="str">
        <f>IFERROR(__xludf.DUMMYFUNCTION("""COMPUTED_VALUE"""),"Limit need to set in input field")</f>
        <v>Limit need to set in input field</v>
      </c>
      <c r="E36" s="27" t="str">
        <f>IFERROR(__xludf.DUMMYFUNCTION("""COMPUTED_VALUE"""),"User need to access this web app through browser")</f>
        <v>User need to access this web app through browser</v>
      </c>
      <c r="F36" s="27" t="str">
        <f>IFERROR(__xludf.DUMMYFUNCTION("""COMPUTED_VALUE"""),"1. Open link
2. Login with Admin Credentials
3. Click on Manage Clinic")</f>
        <v>1. Open link
2. Login with Admin Credentials
3. Click on Manage Clinic</v>
      </c>
      <c r="G36" s="27" t="str">
        <f>IFERROR(__xludf.DUMMYFUNCTION("""COMPUTED_VALUE"""),"Admin Credentials")</f>
        <v>Admin Credentials</v>
      </c>
      <c r="H36" s="27" t="str">
        <f>IFERROR(__xludf.DUMMYFUNCTION("""COMPUTED_VALUE"""),"A limit needs to be set in the input field.")</f>
        <v>A limit needs to be set in the input field.</v>
      </c>
      <c r="I36" s="27" t="str">
        <f>IFERROR(__xludf.DUMMYFUNCTION("""COMPUTED_VALUE"""),"No limit set in the input field")</f>
        <v>No limit set in the input field</v>
      </c>
      <c r="J36" s="27" t="str">
        <f>IFERROR(__xludf.DUMMYFUNCTION("""COMPUTED_VALUE"""),"Fail")</f>
        <v>Fail</v>
      </c>
      <c r="K36" s="27" t="str">
        <f>IFERROR(__xludf.DUMMYFUNCTION("""COMPUTED_VALUE"""),"Medium")</f>
        <v>Medium</v>
      </c>
      <c r="L36" s="29" t="str">
        <f>IFERROR(__xludf.DUMMYFUNCTION("""COMPUTED_VALUE"""),"https://jam.dev/c/7697c7b5-f9ae-4e36-9a1e-ce335096382c")</f>
        <v>https://jam.dev/c/7697c7b5-f9ae-4e36-9a1e-ce335096382c</v>
      </c>
      <c r="M36" s="27" t="str">
        <f>IFERROR(__xludf.DUMMYFUNCTION("""COMPUTED_VALUE"""),"https://jam.dev/c/605adc04-59a2-4636-a2e7-fc6e12097298
Better if the limit set to input fields")</f>
        <v>https://jam.dev/c/605adc04-59a2-4636-a2e7-fc6e12097298
Better if the limit set to input fields</v>
      </c>
      <c r="N36" s="27" t="str">
        <f>IFERROR(__xludf.DUMMYFUNCTION("""COMPUTED_VALUE"""),"Fahad")</f>
        <v>Fahad</v>
      </c>
      <c r="O36" s="26" t="s">
        <v>33</v>
      </c>
      <c r="P36" s="26" t="s">
        <v>57</v>
      </c>
      <c r="Q36" s="25"/>
      <c r="R36" s="25"/>
      <c r="S36" s="25"/>
      <c r="T36" s="25"/>
      <c r="U36" s="25"/>
      <c r="V36" s="25"/>
      <c r="W36" s="25"/>
      <c r="X36" s="25"/>
      <c r="Y36" s="25"/>
      <c r="Z36" s="25"/>
      <c r="AA36" s="25"/>
    </row>
    <row r="37">
      <c r="A37" s="26" t="s">
        <v>77</v>
      </c>
      <c r="B37" s="27" t="str">
        <f>IFERROR(__xludf.DUMMYFUNCTION("""COMPUTED_VALUE"""),"Settings")</f>
        <v>Settings</v>
      </c>
      <c r="C37" s="27" t="str">
        <f>IFERROR(__xludf.DUMMYFUNCTION("""COMPUTED_VALUE"""),"Profile")</f>
        <v>Profile</v>
      </c>
      <c r="D37" s="27" t="str">
        <f>IFERROR(__xludf.DUMMYFUNCTION("""COMPUTED_VALUE"""),"Validation in profile is not set ")</f>
        <v>Validation in profile is not set </v>
      </c>
      <c r="E37" s="27" t="str">
        <f>IFERROR(__xludf.DUMMYFUNCTION("""COMPUTED_VALUE"""),"User need to access this web app through browser")</f>
        <v>User need to access this web app through browser</v>
      </c>
      <c r="F37" s="27" t="str">
        <f>IFERROR(__xludf.DUMMYFUNCTION("""COMPUTED_VALUE"""),"1. Open link
2. Login with Admin Credentials
3. Click on Settings")</f>
        <v>1. Open link
2. Login with Admin Credentials
3. Click on Settings</v>
      </c>
      <c r="G37" s="27" t="str">
        <f>IFERROR(__xludf.DUMMYFUNCTION("""COMPUTED_VALUE"""),"Admin Credentials")</f>
        <v>Admin Credentials</v>
      </c>
      <c r="H37" s="27" t="str">
        <f>IFERROR(__xludf.DUMMYFUNCTION("""COMPUTED_VALUE"""),"Validation in input field need to set")</f>
        <v>Validation in input field need to set</v>
      </c>
      <c r="I37" s="27" t="str">
        <f>IFERROR(__xludf.DUMMYFUNCTION("""COMPUTED_VALUE"""),"Failed on validation")</f>
        <v>Failed on validation</v>
      </c>
      <c r="J37" s="27" t="str">
        <f>IFERROR(__xludf.DUMMYFUNCTION("""COMPUTED_VALUE"""),"Fail")</f>
        <v>Fail</v>
      </c>
      <c r="K37" s="27" t="str">
        <f>IFERROR(__xludf.DUMMYFUNCTION("""COMPUTED_VALUE"""),"High")</f>
        <v>High</v>
      </c>
      <c r="L37" s="29" t="str">
        <f>IFERROR(__xludf.DUMMYFUNCTION("""COMPUTED_VALUE"""),"https://jam.dev/c/b1dec3b3-564e-413d-9fc7-6d05307cc235")</f>
        <v>https://jam.dev/c/b1dec3b3-564e-413d-9fc7-6d05307cc235</v>
      </c>
      <c r="M37" s="27"/>
      <c r="N37" s="27" t="str">
        <f>IFERROR(__xludf.DUMMYFUNCTION("""COMPUTED_VALUE"""),"Fahad")</f>
        <v>Fahad</v>
      </c>
      <c r="O37" s="26" t="s">
        <v>33</v>
      </c>
      <c r="P37" s="26" t="s">
        <v>57</v>
      </c>
      <c r="Q37" s="25"/>
      <c r="R37" s="25"/>
      <c r="S37" s="25"/>
      <c r="T37" s="25"/>
      <c r="U37" s="25"/>
      <c r="V37" s="25"/>
      <c r="W37" s="25"/>
      <c r="X37" s="25"/>
      <c r="Y37" s="25"/>
      <c r="Z37" s="25"/>
      <c r="AA37" s="25"/>
    </row>
    <row r="38">
      <c r="A38" s="26" t="s">
        <v>78</v>
      </c>
      <c r="B38" s="27" t="str">
        <f>IFERROR(__xludf.DUMMYFUNCTION("""COMPUTED_VALUE"""),"Settings")</f>
        <v>Settings</v>
      </c>
      <c r="C38" s="27" t="str">
        <f>IFERROR(__xludf.DUMMYFUNCTION("""COMPUTED_VALUE"""),"Profile")</f>
        <v>Profile</v>
      </c>
      <c r="D38" s="27" t="str">
        <f>IFERROR(__xludf.DUMMYFUNCTION("""COMPUTED_VALUE"""),"Need to put validation in Manager profie")</f>
        <v>Need to put validation in Manager profie</v>
      </c>
      <c r="E38" s="27" t="str">
        <f>IFERROR(__xludf.DUMMYFUNCTION("""COMPUTED_VALUE"""),"User need to access this web app through browser")</f>
        <v>User need to access this web app through browser</v>
      </c>
      <c r="F38" s="27" t="str">
        <f>IFERROR(__xludf.DUMMYFUNCTION("""COMPUTED_VALUE"""),"1. Open link
2. Login with Manager Credentials
3. Click on Settings")</f>
        <v>1. Open link
2. Login with Manager Credentials
3. Click on Settings</v>
      </c>
      <c r="G38" s="27" t="str">
        <f>IFERROR(__xludf.DUMMYFUNCTION("""COMPUTED_VALUE"""),"Manager Credentials")</f>
        <v>Manager Credentials</v>
      </c>
      <c r="H38" s="27" t="str">
        <f>IFERROR(__xludf.DUMMYFUNCTION("""COMPUTED_VALUE"""),"Need to put validation in Manager profie")</f>
        <v>Need to put validation in Manager profie</v>
      </c>
      <c r="I38" s="27" t="str">
        <f>IFERROR(__xludf.DUMMYFUNCTION("""COMPUTED_VALUE"""),"Validation failed")</f>
        <v>Validation failed</v>
      </c>
      <c r="J38" s="27" t="str">
        <f>IFERROR(__xludf.DUMMYFUNCTION("""COMPUTED_VALUE"""),"Fail")</f>
        <v>Fail</v>
      </c>
      <c r="K38" s="27" t="str">
        <f>IFERROR(__xludf.DUMMYFUNCTION("""COMPUTED_VALUE"""),"High")</f>
        <v>High</v>
      </c>
      <c r="L38" s="29" t="str">
        <f>IFERROR(__xludf.DUMMYFUNCTION("""COMPUTED_VALUE"""),"https://jam.dev/c/a30bb76e-d565-4ef1-928f-bf6ec794fb35")</f>
        <v>https://jam.dev/c/a30bb76e-d565-4ef1-928f-bf6ec794fb35</v>
      </c>
      <c r="M38" s="27"/>
      <c r="N38" s="27" t="str">
        <f>IFERROR(__xludf.DUMMYFUNCTION("""COMPUTED_VALUE"""),"Fahad")</f>
        <v>Fahad</v>
      </c>
      <c r="O38" s="26" t="s">
        <v>38</v>
      </c>
      <c r="P38" s="27"/>
      <c r="Q38" s="25"/>
      <c r="R38" s="25"/>
      <c r="S38" s="25"/>
      <c r="T38" s="25"/>
      <c r="U38" s="25"/>
      <c r="V38" s="25"/>
      <c r="W38" s="25"/>
      <c r="X38" s="25"/>
      <c r="Y38" s="25"/>
      <c r="Z38" s="25"/>
      <c r="AA38" s="25"/>
    </row>
    <row r="39">
      <c r="A39" s="26" t="s">
        <v>79</v>
      </c>
      <c r="B39" s="27" t="str">
        <f>IFERROR(__xludf.DUMMYFUNCTION("""COMPUTED_VALUE"""),"Settings")</f>
        <v>Settings</v>
      </c>
      <c r="C39" s="27" t="str">
        <f>IFERROR(__xludf.DUMMYFUNCTION("""COMPUTED_VALUE"""),"Profile")</f>
        <v>Profile</v>
      </c>
      <c r="D39" s="27" t="str">
        <f>IFERROR(__xludf.DUMMYFUNCTION("""COMPUTED_VALUE"""),"The username does not update dynamically in the profile.")</f>
        <v>The username does not update dynamically in the profile.</v>
      </c>
      <c r="E39" s="27" t="str">
        <f>IFERROR(__xludf.DUMMYFUNCTION("""COMPUTED_VALUE"""),"User need to access this web app through browser")</f>
        <v>User need to access this web app through browser</v>
      </c>
      <c r="F39" s="27" t="str">
        <f>IFERROR(__xludf.DUMMYFUNCTION("""COMPUTED_VALUE"""),"1. Open link
2. Login with Manager Credentials
3. Click on Settings")</f>
        <v>1. Open link
2. Login with Manager Credentials
3. Click on Settings</v>
      </c>
      <c r="G39" s="27" t="str">
        <f>IFERROR(__xludf.DUMMYFUNCTION("""COMPUTED_VALUE"""),"Manager Credentials")</f>
        <v>Manager Credentials</v>
      </c>
      <c r="H39" s="27" t="str">
        <f>IFERROR(__xludf.DUMMYFUNCTION("""COMPUTED_VALUE"""),"User name should be dynamically update in every group after it changes")</f>
        <v>User name should be dynamically update in every group after it changes</v>
      </c>
      <c r="I39" s="27" t="str">
        <f>IFERROR(__xludf.DUMMYFUNCTION("""COMPUTED_VALUE"""),"Failed to show upated username in groups")</f>
        <v>Failed to show upated username in groups</v>
      </c>
      <c r="J39" s="27" t="str">
        <f>IFERROR(__xludf.DUMMYFUNCTION("""COMPUTED_VALUE"""),"Fail")</f>
        <v>Fail</v>
      </c>
      <c r="K39" s="27" t="str">
        <f>IFERROR(__xludf.DUMMYFUNCTION("""COMPUTED_VALUE"""),"High")</f>
        <v>High</v>
      </c>
      <c r="L39" s="29" t="str">
        <f>IFERROR(__xludf.DUMMYFUNCTION("""COMPUTED_VALUE"""),"https://jam.dev/c/c21c907e-9edd-439f-b0fa-e5f365a369eb")</f>
        <v>https://jam.dev/c/c21c907e-9edd-439f-b0fa-e5f365a369eb</v>
      </c>
      <c r="M39" s="27" t="str">
        <f>IFERROR(__xludf.DUMMYFUNCTION("""COMPUTED_VALUE"""),"need to refresh after update to see the updated profile")</f>
        <v>need to refresh after update to see the updated profile</v>
      </c>
      <c r="N39" s="27" t="str">
        <f>IFERROR(__xludf.DUMMYFUNCTION("""COMPUTED_VALUE"""),"Fahad")</f>
        <v>Fahad</v>
      </c>
      <c r="O39" s="26" t="s">
        <v>38</v>
      </c>
      <c r="P39" s="27"/>
      <c r="Q39" s="25"/>
      <c r="R39" s="25"/>
      <c r="S39" s="25"/>
      <c r="T39" s="25"/>
      <c r="U39" s="25"/>
      <c r="V39" s="25"/>
      <c r="W39" s="25"/>
      <c r="X39" s="25"/>
      <c r="Y39" s="25"/>
      <c r="Z39" s="25"/>
      <c r="AA39" s="25"/>
    </row>
    <row r="40">
      <c r="A40" s="26" t="s">
        <v>80</v>
      </c>
      <c r="B40" s="27" t="str">
        <f>IFERROR(__xludf.DUMMYFUNCTION("""COMPUTED_VALUE"""),"User Management")</f>
        <v>User Management</v>
      </c>
      <c r="C40" s="27" t="str">
        <f>IFERROR(__xludf.DUMMYFUNCTION("""COMPUTED_VALUE"""),"User Management")</f>
        <v>User Management</v>
      </c>
      <c r="D40" s="27" t="str">
        <f>IFERROR(__xludf.DUMMYFUNCTION("""COMPUTED_VALUE"""),"The field required indicator hasn’t been implemented in the frontend.")</f>
        <v>The field required indicator hasn’t been implemented in the frontend.</v>
      </c>
      <c r="E40" s="27" t="str">
        <f>IFERROR(__xludf.DUMMYFUNCTION("""COMPUTED_VALUE"""),"User need to access this web app through browser")</f>
        <v>User need to access this web app through browser</v>
      </c>
      <c r="F40" s="27" t="str">
        <f>IFERROR(__xludf.DUMMYFUNCTION("""COMPUTED_VALUE"""),"1. Open link
2. Login with Admin Credentials
3. Click on User Management")</f>
        <v>1. Open link
2. Login with Admin Credentials
3. Click on User Management</v>
      </c>
      <c r="G40" s="27" t="str">
        <f>IFERROR(__xludf.DUMMYFUNCTION("""COMPUTED_VALUE"""),"Admin Credentials")</f>
        <v>Admin Credentials</v>
      </c>
      <c r="H40" s="27" t="str">
        <f>IFERROR(__xludf.DUMMYFUNCTION("""COMPUTED_VALUE"""),"Adding a required field indicator in the frontend can greatly enhance the user experience.")</f>
        <v>Adding a required field indicator in the frontend can greatly enhance the user experience.</v>
      </c>
      <c r="I40" s="27" t="str">
        <f>IFERROR(__xludf.DUMMYFUNCTION("""COMPUTED_VALUE"""),"Missing required indicator ")</f>
        <v>Missing required indicator </v>
      </c>
      <c r="J40" s="27" t="str">
        <f>IFERROR(__xludf.DUMMYFUNCTION("""COMPUTED_VALUE"""),"Fail")</f>
        <v>Fail</v>
      </c>
      <c r="K40" s="27" t="str">
        <f>IFERROR(__xludf.DUMMYFUNCTION("""COMPUTED_VALUE"""),"High")</f>
        <v>High</v>
      </c>
      <c r="L40" s="29" t="str">
        <f>IFERROR(__xludf.DUMMYFUNCTION("""COMPUTED_VALUE"""),"https://jam.dev/c/c7fed9af-b9d6-47ae-bb3f-3d23feac85a6")</f>
        <v>https://jam.dev/c/c7fed9af-b9d6-47ae-bb3f-3d23feac85a6</v>
      </c>
      <c r="M40" s="27"/>
      <c r="N40" s="27" t="str">
        <f>IFERROR(__xludf.DUMMYFUNCTION("""COMPUTED_VALUE"""),"Fahad")</f>
        <v>Fahad</v>
      </c>
      <c r="O40" s="26" t="s">
        <v>38</v>
      </c>
      <c r="P40" s="27"/>
      <c r="Q40" s="25"/>
      <c r="R40" s="25"/>
      <c r="S40" s="25"/>
      <c r="T40" s="25"/>
      <c r="U40" s="25"/>
      <c r="V40" s="25"/>
      <c r="W40" s="25"/>
      <c r="X40" s="25"/>
      <c r="Y40" s="25"/>
      <c r="Z40" s="25"/>
      <c r="AA40" s="25"/>
    </row>
    <row r="41">
      <c r="A41" s="26" t="s">
        <v>81</v>
      </c>
      <c r="B41" s="27" t="str">
        <f>IFERROR(__xludf.DUMMYFUNCTION("""COMPUTED_VALUE"""),"User Management")</f>
        <v>User Management</v>
      </c>
      <c r="C41" s="27" t="str">
        <f>IFERROR(__xludf.DUMMYFUNCTION("""COMPUTED_VALUE"""),"User Management")</f>
        <v>User Management</v>
      </c>
      <c r="D41" s="27" t="str">
        <f>IFERROR(__xludf.DUMMYFUNCTION("""COMPUTED_VALUE"""),"Validation required in the input field")</f>
        <v>Validation required in the input field</v>
      </c>
      <c r="E41" s="27" t="str">
        <f>IFERROR(__xludf.DUMMYFUNCTION("""COMPUTED_VALUE"""),"User need to access this web app through browser")</f>
        <v>User need to access this web app through browser</v>
      </c>
      <c r="F41" s="27" t="str">
        <f>IFERROR(__xludf.DUMMYFUNCTION("""COMPUTED_VALUE"""),"1. Open link
2. Login with Admin Credentials
3. Click on User Management")</f>
        <v>1. Open link
2. Login with Admin Credentials
3. Click on User Management</v>
      </c>
      <c r="G41" s="27" t="str">
        <f>IFERROR(__xludf.DUMMYFUNCTION("""COMPUTED_VALUE"""),"Admin Credentials")</f>
        <v>Admin Credentials</v>
      </c>
      <c r="H41" s="27" t="str">
        <f>IFERROR(__xludf.DUMMYFUNCTION("""COMPUTED_VALUE"""),"Validation in input field need to set")</f>
        <v>Validation in input field need to set</v>
      </c>
      <c r="I41" s="27" t="str">
        <f>IFERROR(__xludf.DUMMYFUNCTION("""COMPUTED_VALUE"""),"Failed on validation")</f>
        <v>Failed on validation</v>
      </c>
      <c r="J41" s="27" t="str">
        <f>IFERROR(__xludf.DUMMYFUNCTION("""COMPUTED_VALUE"""),"Fail")</f>
        <v>Fail</v>
      </c>
      <c r="K41" s="27" t="str">
        <f>IFERROR(__xludf.DUMMYFUNCTION("""COMPUTED_VALUE"""),"High")</f>
        <v>High</v>
      </c>
      <c r="L41" s="29" t="str">
        <f>IFERROR(__xludf.DUMMYFUNCTION("""COMPUTED_VALUE"""),"https://jam.dev/c/e506b2da-e9bc-4df0-8f96-4a58fc677d23")</f>
        <v>https://jam.dev/c/e506b2da-e9bc-4df0-8f96-4a58fc677d23</v>
      </c>
      <c r="M41" s="27" t="str">
        <f>IFERROR(__xludf.DUMMYFUNCTION("""COMPUTED_VALUE"""),"Still take number in name field")</f>
        <v>Still take number in name field</v>
      </c>
      <c r="N41" s="27" t="str">
        <f>IFERROR(__xludf.DUMMYFUNCTION("""COMPUTED_VALUE"""),"Fahad")</f>
        <v>Fahad</v>
      </c>
      <c r="O41" s="26" t="s">
        <v>38</v>
      </c>
      <c r="P41" s="27"/>
      <c r="Q41" s="25"/>
      <c r="R41" s="25"/>
      <c r="S41" s="25"/>
      <c r="T41" s="25"/>
      <c r="U41" s="25"/>
      <c r="V41" s="25"/>
      <c r="W41" s="25"/>
      <c r="X41" s="25"/>
      <c r="Y41" s="25"/>
      <c r="Z41" s="25"/>
      <c r="AA41" s="25"/>
    </row>
    <row r="42">
      <c r="A42" s="26" t="s">
        <v>82</v>
      </c>
      <c r="B42" s="27" t="str">
        <f>IFERROR(__xludf.DUMMYFUNCTION("""COMPUTED_VALUE"""),"User Management")</f>
        <v>User Management</v>
      </c>
      <c r="C42" s="27" t="str">
        <f>IFERROR(__xludf.DUMMYFUNCTION("""COMPUTED_VALUE"""),"User Management")</f>
        <v>User Management</v>
      </c>
      <c r="D42" s="27" t="str">
        <f>IFERROR(__xludf.DUMMYFUNCTION("""COMPUTED_VALUE"""),"Failed to update role")</f>
        <v>Failed to update role</v>
      </c>
      <c r="E42" s="27" t="str">
        <f>IFERROR(__xludf.DUMMYFUNCTION("""COMPUTED_VALUE"""),"User need to access this web app through browser")</f>
        <v>User need to access this web app through browser</v>
      </c>
      <c r="F42" s="27" t="str">
        <f>IFERROR(__xludf.DUMMYFUNCTION("""COMPUTED_VALUE"""),"1. Open link
2. Login with Admin Credentials
3. Click on Manage Clinic")</f>
        <v>1. Open link
2. Login with Admin Credentials
3. Click on Manage Clinic</v>
      </c>
      <c r="G42" s="27" t="str">
        <f>IFERROR(__xludf.DUMMYFUNCTION("""COMPUTED_VALUE"""),"Admin Credentials")</f>
        <v>Admin Credentials</v>
      </c>
      <c r="H42" s="27" t="str">
        <f>IFERROR(__xludf.DUMMYFUNCTION("""COMPUTED_VALUE"""),"Should be able to update user role from Admin side")</f>
        <v>Should be able to update user role from Admin side</v>
      </c>
      <c r="I42" s="27" t="str">
        <f>IFERROR(__xludf.DUMMYFUNCTION("""COMPUTED_VALUE"""),"Failed to update user role ")</f>
        <v>Failed to update user role </v>
      </c>
      <c r="J42" s="27" t="str">
        <f>IFERROR(__xludf.DUMMYFUNCTION("""COMPUTED_VALUE"""),"Fail")</f>
        <v>Fail</v>
      </c>
      <c r="K42" s="27" t="str">
        <f>IFERROR(__xludf.DUMMYFUNCTION("""COMPUTED_VALUE"""),"High")</f>
        <v>High</v>
      </c>
      <c r="L42" s="29" t="str">
        <f>IFERROR(__xludf.DUMMYFUNCTION("""COMPUTED_VALUE"""),"https://jam.dev/c/e6e4004c-24ea-47b1-939b-8281c9ed9dab")</f>
        <v>https://jam.dev/c/e6e4004c-24ea-47b1-939b-8281c9ed9dab</v>
      </c>
      <c r="M42" s="27"/>
      <c r="N42" s="27" t="str">
        <f>IFERROR(__xludf.DUMMYFUNCTION("""COMPUTED_VALUE"""),"Fahad")</f>
        <v>Fahad</v>
      </c>
      <c r="O42" s="26" t="s">
        <v>33</v>
      </c>
      <c r="P42" s="27"/>
      <c r="Q42" s="25"/>
      <c r="R42" s="25"/>
      <c r="S42" s="25"/>
      <c r="T42" s="25"/>
      <c r="U42" s="25"/>
      <c r="V42" s="25"/>
      <c r="W42" s="25"/>
      <c r="X42" s="25"/>
      <c r="Y42" s="25"/>
      <c r="Z42" s="25"/>
      <c r="AA42" s="25"/>
    </row>
    <row r="43">
      <c r="A43" s="26" t="s">
        <v>83</v>
      </c>
      <c r="B43" s="27" t="str">
        <f>IFERROR(__xludf.DUMMYFUNCTION("""COMPUTED_VALUE"""),"User Management")</f>
        <v>User Management</v>
      </c>
      <c r="C43" s="27" t="str">
        <f>IFERROR(__xludf.DUMMYFUNCTION("""COMPUTED_VALUE"""),"User Management")</f>
        <v>User Management</v>
      </c>
      <c r="D43" s="27" t="str">
        <f>IFERROR(__xludf.DUMMYFUNCTION("""COMPUTED_VALUE"""),"Validation on phone number failed")</f>
        <v>Validation on phone number failed</v>
      </c>
      <c r="E43" s="27" t="str">
        <f>IFERROR(__xludf.DUMMYFUNCTION("""COMPUTED_VALUE"""),"User need to access this web app through browser")</f>
        <v>User need to access this web app through browser</v>
      </c>
      <c r="F43" s="27" t="str">
        <f>IFERROR(__xludf.DUMMYFUNCTION("""COMPUTED_VALUE"""),"1. Open link
2. Login with Admin Credentials
3. Click on User Management")</f>
        <v>1. Open link
2. Login with Admin Credentials
3. Click on User Management</v>
      </c>
      <c r="G43" s="27" t="str">
        <f>IFERROR(__xludf.DUMMYFUNCTION("""COMPUTED_VALUE"""),"President Credentials")</f>
        <v>President Credentials</v>
      </c>
      <c r="H43" s="27" t="str">
        <f>IFERROR(__xludf.DUMMYFUNCTION("""COMPUTED_VALUE"""),"Phone number should mantain exact country-base format")</f>
        <v>Phone number should mantain exact country-base format</v>
      </c>
      <c r="I43" s="27" t="str">
        <f>IFERROR(__xludf.DUMMYFUNCTION("""COMPUTED_VALUE"""),"Can set negetive number and random number as phone number")</f>
        <v>Can set negetive number and random number as phone number</v>
      </c>
      <c r="J43" s="27" t="str">
        <f>IFERROR(__xludf.DUMMYFUNCTION("""COMPUTED_VALUE"""),"Fail")</f>
        <v>Fail</v>
      </c>
      <c r="K43" s="27" t="str">
        <f>IFERROR(__xludf.DUMMYFUNCTION("""COMPUTED_VALUE"""),"High")</f>
        <v>High</v>
      </c>
      <c r="L43" s="29" t="str">
        <f>IFERROR(__xludf.DUMMYFUNCTION("""COMPUTED_VALUE"""),"https://jam.dev/c/b5fc4c90-6046-4483-90f0-dcf2b1395fb6")</f>
        <v>https://jam.dev/c/b5fc4c90-6046-4483-90f0-dcf2b1395fb6</v>
      </c>
      <c r="M43" s="27"/>
      <c r="N43" s="27" t="str">
        <f>IFERROR(__xludf.DUMMYFUNCTION("""COMPUTED_VALUE"""),"Fahad")</f>
        <v>Fahad</v>
      </c>
      <c r="O43" s="26" t="s">
        <v>33</v>
      </c>
      <c r="P43" s="27"/>
      <c r="Q43" s="25"/>
      <c r="R43" s="25"/>
      <c r="S43" s="25"/>
      <c r="T43" s="25"/>
      <c r="U43" s="25"/>
      <c r="V43" s="25"/>
      <c r="W43" s="25"/>
      <c r="X43" s="25"/>
      <c r="Y43" s="25"/>
      <c r="Z43" s="25"/>
      <c r="AA43" s="25"/>
    </row>
    <row r="44">
      <c r="A44" s="26" t="s">
        <v>84</v>
      </c>
      <c r="B44" s="27" t="str">
        <f>IFERROR(__xludf.DUMMYFUNCTION("""COMPUTED_VALUE"""),"User Management")</f>
        <v>User Management</v>
      </c>
      <c r="C44" s="27" t="str">
        <f>IFERROR(__xludf.DUMMYFUNCTION("""COMPUTED_VALUE"""),"User Management")</f>
        <v>User Management</v>
      </c>
      <c r="D44" s="27" t="str">
        <f>IFERROR(__xludf.DUMMYFUNCTION("""COMPUTED_VALUE"""),"Employee ID should auto generate by User Role(Eg: for president : P-XXX , Manager : M-XXX, Doctor : Dr-XXX, Staff : ST-XXX, Jr. Staff : JST-XXX)")</f>
        <v>Employee ID should auto generate by User Role(Eg: for president : P-XXX , Manager : M-XXX, Doctor : Dr-XXX, Staff : ST-XXX, Jr. Staff : JST-XXX)</v>
      </c>
      <c r="E44" s="27" t="str">
        <f>IFERROR(__xludf.DUMMYFUNCTION("""COMPUTED_VALUE"""),"User need to access this web app through browser")</f>
        <v>User need to access this web app through browser</v>
      </c>
      <c r="F44" s="27" t="str">
        <f>IFERROR(__xludf.DUMMYFUNCTION("""COMPUTED_VALUE"""),"1. Open link
2. Login with Admin Credentials
3. Click on User Management")</f>
        <v>1. Open link
2. Login with Admin Credentials
3. Click on User Management</v>
      </c>
      <c r="G44" s="27" t="str">
        <f>IFERROR(__xludf.DUMMYFUNCTION("""COMPUTED_VALUE"""),"President Credentials")</f>
        <v>President Credentials</v>
      </c>
      <c r="H44" s="27" t="str">
        <f>IFERROR(__xludf.DUMMYFUNCTION("""COMPUTED_VALUE"""),"Employee IDs should be automatically generated from the backend to avoid ID conflicts.")</f>
        <v>Employee IDs should be automatically generated from the backend to avoid ID conflicts.</v>
      </c>
      <c r="I44" s="27" t="str">
        <f>IFERROR(__xludf.DUMMYFUNCTION("""COMPUTED_VALUE"""),"Can set manual employee ID which may occure id conflict")</f>
        <v>Can set manual employee ID which may occure id conflict</v>
      </c>
      <c r="J44" s="27" t="str">
        <f>IFERROR(__xludf.DUMMYFUNCTION("""COMPUTED_VALUE"""),"Fail")</f>
        <v>Fail</v>
      </c>
      <c r="K44" s="27" t="str">
        <f>IFERROR(__xludf.DUMMYFUNCTION("""COMPUTED_VALUE"""),"High")</f>
        <v>High</v>
      </c>
      <c r="L44" s="29" t="str">
        <f>IFERROR(__xludf.DUMMYFUNCTION("""COMPUTED_VALUE"""),"https://jam.dev/c/da0c0884-ba36-4701-88d0-7af38556509a")</f>
        <v>https://jam.dev/c/da0c0884-ba36-4701-88d0-7af38556509a</v>
      </c>
      <c r="M44" s="27" t="str">
        <f>IFERROR(__xludf.DUMMYFUNCTION("""COMPUTED_VALUE"""),"Manually set user ID")</f>
        <v>Manually set user ID</v>
      </c>
      <c r="N44" s="27" t="str">
        <f>IFERROR(__xludf.DUMMYFUNCTION("""COMPUTED_VALUE"""),"Fahad")</f>
        <v>Fahad</v>
      </c>
      <c r="O44" s="26" t="s">
        <v>38</v>
      </c>
      <c r="P44" s="27"/>
      <c r="Q44" s="25"/>
      <c r="R44" s="25"/>
      <c r="S44" s="25"/>
      <c r="T44" s="25"/>
      <c r="U44" s="25"/>
      <c r="V44" s="25"/>
      <c r="W44" s="25"/>
      <c r="X44" s="25"/>
      <c r="Y44" s="25"/>
      <c r="Z44" s="25"/>
      <c r="AA44" s="25"/>
    </row>
    <row r="45">
      <c r="A45" s="26" t="s">
        <v>85</v>
      </c>
      <c r="B45" s="27" t="str">
        <f>IFERROR(__xludf.DUMMYFUNCTION("""COMPUTED_VALUE"""),"User Management")</f>
        <v>User Management</v>
      </c>
      <c r="C45" s="27" t="str">
        <f>IFERROR(__xludf.DUMMYFUNCTION("""COMPUTED_VALUE"""),"User Management")</f>
        <v>User Management</v>
      </c>
      <c r="D45" s="27" t="str">
        <f>IFERROR(__xludf.DUMMYFUNCTION("""COMPUTED_VALUE"""),"Failed to display the correct error message.")</f>
        <v>Failed to display the correct error message.</v>
      </c>
      <c r="E45" s="27" t="str">
        <f>IFERROR(__xludf.DUMMYFUNCTION("""COMPUTED_VALUE"""),"User need to access this web app through browser")</f>
        <v>User need to access this web app through browser</v>
      </c>
      <c r="F45" s="27" t="str">
        <f>IFERROR(__xludf.DUMMYFUNCTION("""COMPUTED_VALUE"""),"1. Open link
2. Login with Admin Credentials
3. Click on User Management")</f>
        <v>1. Open link
2. Login with Admin Credentials
3. Click on User Management</v>
      </c>
      <c r="G45" s="27" t="str">
        <f>IFERROR(__xludf.DUMMYFUNCTION("""COMPUTED_VALUE"""),"President Credentials")</f>
        <v>President Credentials</v>
      </c>
      <c r="H45" s="27" t="str">
        <f>IFERROR(__xludf.DUMMYFUNCTION("""COMPUTED_VALUE"""),"Proper error message should be displayed for client satisfaction")</f>
        <v>Proper error message should be displayed for client satisfaction</v>
      </c>
      <c r="I45" s="27" t="str">
        <f>IFERROR(__xludf.DUMMYFUNCTION("""COMPUTED_VALUE"""),"Failed to display proper error message")</f>
        <v>Failed to display proper error message</v>
      </c>
      <c r="J45" s="27" t="str">
        <f>IFERROR(__xludf.DUMMYFUNCTION("""COMPUTED_VALUE"""),"Fail")</f>
        <v>Fail</v>
      </c>
      <c r="K45" s="27" t="str">
        <f>IFERROR(__xludf.DUMMYFUNCTION("""COMPUTED_VALUE"""),"Medium")</f>
        <v>Medium</v>
      </c>
      <c r="L45" s="29" t="str">
        <f>IFERROR(__xludf.DUMMYFUNCTION("""COMPUTED_VALUE"""),"https://jam.dev/c/c892e3d4-1ccb-4cae-a7e1-627317661fb4")</f>
        <v>https://jam.dev/c/c892e3d4-1ccb-4cae-a7e1-627317661fb4</v>
      </c>
      <c r="M45" s="27"/>
      <c r="N45" s="27" t="str">
        <f>IFERROR(__xludf.DUMMYFUNCTION("""COMPUTED_VALUE"""),"Fahad")</f>
        <v>Fahad</v>
      </c>
      <c r="O45" s="26" t="s">
        <v>33</v>
      </c>
      <c r="P45" s="27"/>
      <c r="Q45" s="25"/>
      <c r="R45" s="25"/>
      <c r="S45" s="25"/>
      <c r="T45" s="25"/>
      <c r="U45" s="25"/>
      <c r="V45" s="25"/>
      <c r="W45" s="25"/>
      <c r="X45" s="25"/>
      <c r="Y45" s="25"/>
      <c r="Z45" s="25"/>
      <c r="AA45" s="25"/>
    </row>
    <row r="46">
      <c r="A46" s="26" t="s">
        <v>86</v>
      </c>
      <c r="B46" s="27" t="str">
        <f>IFERROR(__xludf.DUMMYFUNCTION("""COMPUTED_VALUE"""),"User Management")</f>
        <v>User Management</v>
      </c>
      <c r="C46" s="27" t="str">
        <f>IFERROR(__xludf.DUMMYFUNCTION("""COMPUTED_VALUE"""),"User Management")</f>
        <v>User Management</v>
      </c>
      <c r="D46" s="27" t="str">
        <f>IFERROR(__xludf.DUMMYFUNCTION("""COMPUTED_VALUE"""),"The password change feature for the president's account isn’t working.")</f>
        <v>The password change feature for the president's account isn’t working.</v>
      </c>
      <c r="E46" s="27" t="str">
        <f>IFERROR(__xludf.DUMMYFUNCTION("""COMPUTED_VALUE"""),"User need to access this web app through browser")</f>
        <v>User need to access this web app through browser</v>
      </c>
      <c r="F46" s="27" t="str">
        <f>IFERROR(__xludf.DUMMYFUNCTION("""COMPUTED_VALUE"""),"1. Open link
2. Login with Admin Credentials
3. Click on User Management")</f>
        <v>1. Open link
2. Login with Admin Credentials
3. Click on User Management</v>
      </c>
      <c r="G46" s="27" t="str">
        <f>IFERROR(__xludf.DUMMYFUNCTION("""COMPUTED_VALUE"""),"President Credentials")</f>
        <v>President Credentials</v>
      </c>
      <c r="H46" s="27" t="str">
        <f>IFERROR(__xludf.DUMMYFUNCTION("""COMPUTED_VALUE"""),"President should be able to change users password")</f>
        <v>President should be able to change users password</v>
      </c>
      <c r="I46" s="27" t="str">
        <f>IFERROR(__xludf.DUMMYFUNCTION("""COMPUTED_VALUE"""),"Failed to change user password from president account")</f>
        <v>Failed to change user password from president account</v>
      </c>
      <c r="J46" s="27" t="str">
        <f>IFERROR(__xludf.DUMMYFUNCTION("""COMPUTED_VALUE"""),"Fail")</f>
        <v>Fail</v>
      </c>
      <c r="K46" s="27" t="str">
        <f>IFERROR(__xludf.DUMMYFUNCTION("""COMPUTED_VALUE"""),"High")</f>
        <v>High</v>
      </c>
      <c r="L46" s="29" t="str">
        <f>IFERROR(__xludf.DUMMYFUNCTION("""COMPUTED_VALUE"""),"https://jam.dev/c/103ba024-39e7-4b36-a886-8e31bed1dff5")</f>
        <v>https://jam.dev/c/103ba024-39e7-4b36-a886-8e31bed1dff5</v>
      </c>
      <c r="M46" s="27"/>
      <c r="N46" s="27" t="str">
        <f>IFERROR(__xludf.DUMMYFUNCTION("""COMPUTED_VALUE"""),"Fahad")</f>
        <v>Fahad</v>
      </c>
      <c r="O46" s="27"/>
      <c r="P46" s="27"/>
      <c r="Q46" s="25"/>
      <c r="R46" s="25"/>
      <c r="S46" s="25"/>
      <c r="T46" s="25"/>
      <c r="U46" s="25"/>
      <c r="V46" s="25"/>
      <c r="W46" s="25"/>
      <c r="X46" s="25"/>
      <c r="Y46" s="25"/>
      <c r="Z46" s="25"/>
      <c r="AA46" s="25"/>
    </row>
    <row r="47">
      <c r="A47" s="26" t="s">
        <v>87</v>
      </c>
      <c r="B47" s="27" t="str">
        <f>IFERROR(__xludf.DUMMYFUNCTION("""COMPUTED_VALUE"""),"User Management")</f>
        <v>User Management</v>
      </c>
      <c r="C47" s="27" t="str">
        <f>IFERROR(__xludf.DUMMYFUNCTION("""COMPUTED_VALUE"""),"User Management")</f>
        <v>User Management</v>
      </c>
      <c r="D47" s="27" t="str">
        <f>IFERROR(__xludf.DUMMYFUNCTION("""COMPUTED_VALUE"""),"Only Admin has the permission to see chat history of all users. Rest of the role dosen't have the access")</f>
        <v>Only Admin has the permission to see chat history of all users. Rest of the role dosen't have the access</v>
      </c>
      <c r="E47" s="27" t="str">
        <f>IFERROR(__xludf.DUMMYFUNCTION("""COMPUTED_VALUE"""),"User need to access this web app through browser")</f>
        <v>User need to access this web app through browser</v>
      </c>
      <c r="F47" s="27" t="str">
        <f>IFERROR(__xludf.DUMMYFUNCTION("""COMPUTED_VALUE"""),"1. Open link
2. Login with Admin Credentials
3. Click on User Management")</f>
        <v>1. Open link
2. Login with Admin Credentials
3. Click on User Management</v>
      </c>
      <c r="G47" s="27" t="str">
        <f>IFERROR(__xludf.DUMMYFUNCTION("""COMPUTED_VALUE"""),"President Credentials")</f>
        <v>President Credentials</v>
      </c>
      <c r="H47" s="27" t="str">
        <f>IFERROR(__xludf.DUMMYFUNCTION("""COMPUTED_VALUE"""),"Only admin should be able to see the chat history of all users")</f>
        <v>Only admin should be able to see the chat history of all users</v>
      </c>
      <c r="I47" s="27" t="str">
        <f>IFERROR(__xludf.DUMMYFUNCTION("""COMPUTED_VALUE"""),"Except for admin view, all user have this module but the access is not granted")</f>
        <v>Except for admin view, all user have this module but the access is not granted</v>
      </c>
      <c r="J47" s="27" t="str">
        <f>IFERROR(__xludf.DUMMYFUNCTION("""COMPUTED_VALUE"""),"Fail")</f>
        <v>Fail</v>
      </c>
      <c r="K47" s="27" t="str">
        <f>IFERROR(__xludf.DUMMYFUNCTION("""COMPUTED_VALUE"""),"Medium")</f>
        <v>Medium</v>
      </c>
      <c r="L47" s="29" t="str">
        <f>IFERROR(__xludf.DUMMYFUNCTION("""COMPUTED_VALUE"""),"https://jam.dev/c/8fb65e0c-d93c-4090-a451-00796a965388")</f>
        <v>https://jam.dev/c/8fb65e0c-d93c-4090-a451-00796a965388</v>
      </c>
      <c r="M47" s="27" t="str">
        <f>IFERROR(__xludf.DUMMYFUNCTION("""COMPUTED_VALUE"""),"Need to remove the viewing chat history for all users except Admin")</f>
        <v>Need to remove the viewing chat history for all users except Admin</v>
      </c>
      <c r="N47" s="27" t="str">
        <f>IFERROR(__xludf.DUMMYFUNCTION("""COMPUTED_VALUE"""),"Fahad")</f>
        <v>Fahad</v>
      </c>
      <c r="O47" s="27"/>
      <c r="P47" s="27"/>
      <c r="Q47" s="25"/>
      <c r="R47" s="25"/>
      <c r="S47" s="25"/>
      <c r="T47" s="25"/>
      <c r="U47" s="25"/>
      <c r="V47" s="25"/>
      <c r="W47" s="25"/>
      <c r="X47" s="25"/>
      <c r="Y47" s="25"/>
      <c r="Z47" s="25"/>
      <c r="AA47" s="25"/>
    </row>
    <row r="48">
      <c r="A48" s="26" t="s">
        <v>88</v>
      </c>
      <c r="B48" s="27" t="str">
        <f>IFERROR(__xludf.DUMMYFUNCTION("""COMPUTED_VALUE"""),"User Management")</f>
        <v>User Management</v>
      </c>
      <c r="C48" s="27" t="str">
        <f>IFERROR(__xludf.DUMMYFUNCTION("""COMPUTED_VALUE"""),"User Management")</f>
        <v>User Management</v>
      </c>
      <c r="D48" s="27" t="str">
        <f>IFERROR(__xludf.DUMMYFUNCTION("""COMPUTED_VALUE"""),"Manager can be able to set them deactive ")</f>
        <v>Manager can be able to set them deactive </v>
      </c>
      <c r="E48" s="27" t="str">
        <f>IFERROR(__xludf.DUMMYFUNCTION("""COMPUTED_VALUE"""),"User need to access this web app through browser")</f>
        <v>User need to access this web app through browser</v>
      </c>
      <c r="F48" s="27" t="str">
        <f>IFERROR(__xludf.DUMMYFUNCTION("""COMPUTED_VALUE"""),"1. Open link
2. Login with Manager Credentials
3. Click on User Management")</f>
        <v>1. Open link
2. Login with Manager Credentials
3. Click on User Management</v>
      </c>
      <c r="G48" s="27" t="str">
        <f>IFERROR(__xludf.DUMMYFUNCTION("""COMPUTED_VALUE"""),"Manager Credentials")</f>
        <v>Manager Credentials</v>
      </c>
      <c r="H48" s="27" t="str">
        <f>IFERROR(__xludf.DUMMYFUNCTION("""COMPUTED_VALUE"""),"Users should not be able to deactivate their own account.")</f>
        <v>Users should not be able to deactivate their own account.</v>
      </c>
      <c r="I48" s="27" t="str">
        <f>IFERROR(__xludf.DUMMYFUNCTION("""COMPUTED_VALUE"""),"Users can set themselves as inactive.")</f>
        <v>Users can set themselves as inactive.</v>
      </c>
      <c r="J48" s="27" t="str">
        <f>IFERROR(__xludf.DUMMYFUNCTION("""COMPUTED_VALUE"""),"Fail")</f>
        <v>Fail</v>
      </c>
      <c r="K48" s="27" t="str">
        <f>IFERROR(__xludf.DUMMYFUNCTION("""COMPUTED_VALUE"""),"High")</f>
        <v>High</v>
      </c>
      <c r="L48" s="29" t="str">
        <f>IFERROR(__xludf.DUMMYFUNCTION("""COMPUTED_VALUE"""),"https://jam.dev/c/a3bf0421-427e-4d95-8ca4-7237ee07b890")</f>
        <v>https://jam.dev/c/a3bf0421-427e-4d95-8ca4-7237ee07b890</v>
      </c>
      <c r="M48" s="27"/>
      <c r="N48" s="27" t="str">
        <f>IFERROR(__xludf.DUMMYFUNCTION("""COMPUTED_VALUE"""),"Fahad")</f>
        <v>Fahad</v>
      </c>
      <c r="O48" s="26" t="s">
        <v>33</v>
      </c>
      <c r="P48" s="27"/>
      <c r="Q48" s="25"/>
      <c r="R48" s="25"/>
      <c r="S48" s="25"/>
      <c r="T48" s="25"/>
      <c r="U48" s="25"/>
      <c r="V48" s="25"/>
      <c r="W48" s="25"/>
      <c r="X48" s="25"/>
      <c r="Y48" s="25"/>
      <c r="Z48" s="25"/>
      <c r="AA48" s="25"/>
    </row>
    <row r="49">
      <c r="A49" s="26" t="s">
        <v>89</v>
      </c>
      <c r="B49" s="27" t="str">
        <f>IFERROR(__xludf.DUMMYFUNCTION("""COMPUTED_VALUE"""),"User Management")</f>
        <v>User Management</v>
      </c>
      <c r="C49" s="27" t="str">
        <f>IFERROR(__xludf.DUMMYFUNCTION("""COMPUTED_VALUE"""),"User Management")</f>
        <v>User Management</v>
      </c>
      <c r="D49" s="27" t="str">
        <f>IFERROR(__xludf.DUMMYFUNCTION("""COMPUTED_VALUE"""),"Automatically set the manager's password when the manager creates a new user.")</f>
        <v>Automatically set the manager's password when the manager creates a new user.</v>
      </c>
      <c r="E49" s="27" t="str">
        <f>IFERROR(__xludf.DUMMYFUNCTION("""COMPUTED_VALUE"""),"User need to access this web app through browser")</f>
        <v>User need to access this web app through browser</v>
      </c>
      <c r="F49" s="27" t="str">
        <f>IFERROR(__xludf.DUMMYFUNCTION("""COMPUTED_VALUE"""),"1. Open link
2. Login with Manager Credentials
3. Click on User Management")</f>
        <v>1. Open link
2. Login with Manager Credentials
3. Click on User Management</v>
      </c>
      <c r="G49" s="27" t="str">
        <f>IFERROR(__xludf.DUMMYFUNCTION("""COMPUTED_VALUE"""),"Manager Credentials")</f>
        <v>Manager Credentials</v>
      </c>
      <c r="H49" s="27" t="str">
        <f>IFERROR(__xludf.DUMMYFUNCTION("""COMPUTED_VALUE"""),"Add a new user with all input fields left empty.")</f>
        <v>Add a new user with all input fields left empty.</v>
      </c>
      <c r="I49" s="27" t="str">
        <f>IFERROR(__xludf.DUMMYFUNCTION("""COMPUTED_VALUE"""),"The set manager’s password has been set up by default.")</f>
        <v>The set manager’s password has been set up by default.</v>
      </c>
      <c r="J49" s="27" t="str">
        <f>IFERROR(__xludf.DUMMYFUNCTION("""COMPUTED_VALUE"""),"Fail")</f>
        <v>Fail</v>
      </c>
      <c r="K49" s="27" t="str">
        <f>IFERROR(__xludf.DUMMYFUNCTION("""COMPUTED_VALUE"""),"High")</f>
        <v>High</v>
      </c>
      <c r="L49" s="29" t="str">
        <f>IFERROR(__xludf.DUMMYFUNCTION("""COMPUTED_VALUE"""),"https://jam.dev/c/d7ae2401-1529-4d00-a91a-ba1c81dd9ee0")</f>
        <v>https://jam.dev/c/d7ae2401-1529-4d00-a91a-ba1c81dd9ee0</v>
      </c>
      <c r="M49" s="27"/>
      <c r="N49" s="27" t="str">
        <f>IFERROR(__xludf.DUMMYFUNCTION("""COMPUTED_VALUE"""),"Fahad")</f>
        <v>Fahad</v>
      </c>
      <c r="O49" s="27"/>
      <c r="P49" s="27"/>
      <c r="Q49" s="25"/>
      <c r="R49" s="25"/>
      <c r="S49" s="25"/>
      <c r="T49" s="25"/>
      <c r="U49" s="25"/>
      <c r="V49" s="25"/>
      <c r="W49" s="25"/>
      <c r="X49" s="25"/>
      <c r="Y49" s="25"/>
      <c r="Z49" s="25"/>
      <c r="AA49" s="25"/>
    </row>
    <row r="50">
      <c r="A50" s="26" t="s">
        <v>90</v>
      </c>
      <c r="B50" s="27"/>
      <c r="C50" s="27"/>
      <c r="D50" s="27"/>
      <c r="E50" s="27"/>
      <c r="F50" s="27"/>
      <c r="G50" s="27"/>
      <c r="H50" s="27"/>
      <c r="I50" s="27"/>
      <c r="J50" s="27"/>
      <c r="K50" s="27"/>
      <c r="L50" s="27"/>
      <c r="M50" s="27"/>
      <c r="N50" s="27"/>
      <c r="O50" s="27"/>
      <c r="P50" s="27"/>
      <c r="Q50" s="25"/>
      <c r="R50" s="25"/>
      <c r="S50" s="25"/>
      <c r="T50" s="25"/>
      <c r="U50" s="25"/>
      <c r="V50" s="25"/>
      <c r="W50" s="25"/>
      <c r="X50" s="25"/>
      <c r="Y50" s="25"/>
      <c r="Z50" s="25"/>
      <c r="AA50" s="25"/>
    </row>
    <row r="51">
      <c r="A51" s="26" t="s">
        <v>90</v>
      </c>
      <c r="B51" s="27"/>
      <c r="C51" s="27"/>
      <c r="D51" s="27"/>
      <c r="E51" s="27"/>
      <c r="F51" s="27"/>
      <c r="G51" s="27"/>
      <c r="H51" s="27"/>
      <c r="I51" s="27"/>
      <c r="J51" s="27"/>
      <c r="K51" s="27"/>
      <c r="L51" s="27"/>
      <c r="M51" s="27"/>
      <c r="N51" s="27"/>
      <c r="O51" s="27"/>
      <c r="P51" s="27"/>
      <c r="Q51" s="25"/>
      <c r="R51" s="25"/>
      <c r="S51" s="25"/>
      <c r="T51" s="25"/>
      <c r="U51" s="25"/>
      <c r="V51" s="25"/>
      <c r="W51" s="25"/>
      <c r="X51" s="25"/>
      <c r="Y51" s="25"/>
      <c r="Z51" s="25"/>
      <c r="AA51" s="25"/>
    </row>
    <row r="52">
      <c r="A52" s="26" t="s">
        <v>90</v>
      </c>
      <c r="B52" s="27"/>
      <c r="C52" s="27"/>
      <c r="D52" s="27"/>
      <c r="E52" s="27"/>
      <c r="F52" s="27"/>
      <c r="G52" s="27"/>
      <c r="H52" s="27"/>
      <c r="I52" s="27"/>
      <c r="J52" s="27"/>
      <c r="K52" s="27"/>
      <c r="L52" s="27"/>
      <c r="M52" s="27"/>
      <c r="N52" s="27"/>
      <c r="O52" s="27"/>
      <c r="P52" s="27"/>
      <c r="Q52" s="25"/>
      <c r="R52" s="25"/>
      <c r="S52" s="25"/>
      <c r="T52" s="25"/>
      <c r="U52" s="25"/>
      <c r="V52" s="25"/>
      <c r="W52" s="25"/>
      <c r="X52" s="25"/>
      <c r="Y52" s="25"/>
      <c r="Z52" s="25"/>
      <c r="AA52" s="25"/>
    </row>
    <row r="53">
      <c r="A53" s="26" t="s">
        <v>90</v>
      </c>
      <c r="B53" s="27"/>
      <c r="C53" s="27"/>
      <c r="D53" s="27"/>
      <c r="E53" s="27"/>
      <c r="F53" s="27"/>
      <c r="G53" s="27"/>
      <c r="H53" s="27"/>
      <c r="I53" s="27"/>
      <c r="J53" s="27"/>
      <c r="K53" s="27"/>
      <c r="L53" s="27"/>
      <c r="M53" s="27"/>
      <c r="N53" s="27"/>
      <c r="O53" s="27"/>
      <c r="P53" s="27"/>
      <c r="Q53" s="25"/>
      <c r="R53" s="25"/>
      <c r="S53" s="25"/>
      <c r="T53" s="25"/>
      <c r="U53" s="25"/>
      <c r="V53" s="25"/>
      <c r="W53" s="25"/>
      <c r="X53" s="25"/>
      <c r="Y53" s="25"/>
      <c r="Z53" s="25"/>
      <c r="AA53" s="25"/>
    </row>
    <row r="54">
      <c r="A54" s="26" t="s">
        <v>90</v>
      </c>
      <c r="B54" s="27"/>
      <c r="C54" s="27"/>
      <c r="D54" s="27"/>
      <c r="E54" s="27"/>
      <c r="F54" s="27"/>
      <c r="G54" s="27"/>
      <c r="H54" s="27"/>
      <c r="I54" s="27"/>
      <c r="J54" s="27"/>
      <c r="K54" s="27"/>
      <c r="L54" s="27"/>
      <c r="M54" s="27"/>
      <c r="N54" s="27"/>
      <c r="O54" s="27"/>
      <c r="P54" s="27"/>
      <c r="Q54" s="25"/>
      <c r="R54" s="25"/>
      <c r="S54" s="25"/>
      <c r="T54" s="25"/>
      <c r="U54" s="25"/>
      <c r="V54" s="25"/>
      <c r="W54" s="25"/>
      <c r="X54" s="25"/>
      <c r="Y54" s="25"/>
      <c r="Z54" s="25"/>
      <c r="AA54" s="25"/>
    </row>
    <row r="55">
      <c r="A55" s="26" t="s">
        <v>90</v>
      </c>
      <c r="B55" s="27"/>
      <c r="C55" s="27"/>
      <c r="D55" s="27"/>
      <c r="E55" s="27"/>
      <c r="F55" s="27"/>
      <c r="G55" s="27"/>
      <c r="H55" s="27"/>
      <c r="I55" s="27"/>
      <c r="J55" s="27"/>
      <c r="K55" s="27"/>
      <c r="L55" s="27"/>
      <c r="M55" s="27"/>
      <c r="N55" s="27"/>
      <c r="O55" s="27"/>
      <c r="P55" s="27"/>
      <c r="Q55" s="25"/>
      <c r="R55" s="25"/>
      <c r="S55" s="25"/>
      <c r="T55" s="25"/>
      <c r="U55" s="25"/>
      <c r="V55" s="25"/>
      <c r="W55" s="25"/>
      <c r="X55" s="25"/>
      <c r="Y55" s="25"/>
      <c r="Z55" s="25"/>
      <c r="AA55" s="25"/>
    </row>
    <row r="56">
      <c r="A56" s="26" t="s">
        <v>90</v>
      </c>
      <c r="B56" s="27"/>
      <c r="C56" s="27"/>
      <c r="D56" s="27"/>
      <c r="E56" s="27"/>
      <c r="F56" s="27"/>
      <c r="G56" s="27"/>
      <c r="H56" s="27"/>
      <c r="I56" s="27"/>
      <c r="J56" s="27"/>
      <c r="K56" s="27"/>
      <c r="L56" s="27"/>
      <c r="M56" s="27"/>
      <c r="N56" s="27"/>
      <c r="O56" s="27"/>
      <c r="P56" s="27"/>
      <c r="Q56" s="25"/>
      <c r="R56" s="25"/>
      <c r="S56" s="25"/>
      <c r="T56" s="25"/>
      <c r="U56" s="25"/>
      <c r="V56" s="25"/>
      <c r="W56" s="25"/>
      <c r="X56" s="25"/>
      <c r="Y56" s="25"/>
      <c r="Z56" s="25"/>
      <c r="AA56" s="25"/>
    </row>
    <row r="57">
      <c r="A57" s="26" t="s">
        <v>90</v>
      </c>
      <c r="B57" s="27"/>
      <c r="C57" s="27"/>
      <c r="D57" s="27"/>
      <c r="E57" s="27"/>
      <c r="F57" s="27"/>
      <c r="G57" s="27"/>
      <c r="H57" s="27"/>
      <c r="I57" s="27"/>
      <c r="J57" s="27"/>
      <c r="K57" s="27"/>
      <c r="L57" s="27"/>
      <c r="M57" s="27"/>
      <c r="N57" s="27"/>
      <c r="O57" s="27"/>
      <c r="P57" s="27"/>
      <c r="Q57" s="25"/>
      <c r="R57" s="25"/>
      <c r="S57" s="25"/>
      <c r="T57" s="25"/>
      <c r="U57" s="25"/>
      <c r="V57" s="25"/>
      <c r="W57" s="25"/>
      <c r="X57" s="25"/>
      <c r="Y57" s="25"/>
      <c r="Z57" s="25"/>
      <c r="AA57" s="25"/>
    </row>
    <row r="58">
      <c r="A58" s="26" t="s">
        <v>90</v>
      </c>
      <c r="B58" s="27"/>
      <c r="C58" s="27"/>
      <c r="D58" s="27"/>
      <c r="E58" s="27"/>
      <c r="F58" s="27"/>
      <c r="G58" s="27"/>
      <c r="H58" s="27"/>
      <c r="I58" s="27"/>
      <c r="J58" s="27"/>
      <c r="K58" s="27"/>
      <c r="L58" s="27"/>
      <c r="M58" s="27"/>
      <c r="N58" s="27"/>
      <c r="O58" s="27"/>
      <c r="P58" s="27"/>
      <c r="Q58" s="25"/>
      <c r="R58" s="25"/>
      <c r="S58" s="25"/>
      <c r="T58" s="25"/>
      <c r="U58" s="25"/>
      <c r="V58" s="25"/>
      <c r="W58" s="25"/>
      <c r="X58" s="25"/>
      <c r="Y58" s="25"/>
      <c r="Z58" s="25"/>
      <c r="AA58" s="25"/>
    </row>
    <row r="59">
      <c r="A59" s="26" t="s">
        <v>90</v>
      </c>
      <c r="B59" s="27"/>
      <c r="C59" s="27"/>
      <c r="D59" s="27"/>
      <c r="E59" s="27"/>
      <c r="F59" s="27"/>
      <c r="G59" s="27"/>
      <c r="H59" s="27"/>
      <c r="I59" s="27"/>
      <c r="J59" s="27"/>
      <c r="K59" s="27"/>
      <c r="L59" s="27"/>
      <c r="M59" s="27"/>
      <c r="N59" s="27"/>
      <c r="O59" s="27"/>
      <c r="P59" s="27"/>
      <c r="Q59" s="25"/>
      <c r="R59" s="25"/>
      <c r="S59" s="25"/>
      <c r="T59" s="25"/>
      <c r="U59" s="25"/>
      <c r="V59" s="25"/>
      <c r="W59" s="25"/>
      <c r="X59" s="25"/>
      <c r="Y59" s="25"/>
      <c r="Z59" s="25"/>
      <c r="AA59" s="25"/>
    </row>
    <row r="60">
      <c r="A60" s="26" t="s">
        <v>90</v>
      </c>
      <c r="B60" s="27"/>
      <c r="C60" s="27"/>
      <c r="D60" s="27"/>
      <c r="E60" s="27"/>
      <c r="F60" s="27"/>
      <c r="G60" s="27"/>
      <c r="H60" s="27"/>
      <c r="I60" s="27"/>
      <c r="J60" s="27"/>
      <c r="K60" s="27"/>
      <c r="L60" s="27"/>
      <c r="M60" s="27"/>
      <c r="N60" s="27"/>
      <c r="O60" s="27"/>
      <c r="P60" s="27"/>
      <c r="Q60" s="25"/>
      <c r="R60" s="25"/>
      <c r="S60" s="25"/>
      <c r="T60" s="25"/>
      <c r="U60" s="25"/>
      <c r="V60" s="25"/>
      <c r="W60" s="25"/>
      <c r="X60" s="25"/>
      <c r="Y60" s="25"/>
      <c r="Z60" s="25"/>
      <c r="AA60" s="25"/>
    </row>
    <row r="61">
      <c r="A61" s="26" t="s">
        <v>90</v>
      </c>
      <c r="B61" s="27"/>
      <c r="C61" s="27"/>
      <c r="D61" s="27"/>
      <c r="E61" s="27"/>
      <c r="F61" s="27"/>
      <c r="G61" s="27"/>
      <c r="H61" s="27"/>
      <c r="I61" s="27"/>
      <c r="J61" s="27"/>
      <c r="K61" s="27"/>
      <c r="L61" s="27"/>
      <c r="M61" s="27"/>
      <c r="N61" s="27"/>
      <c r="O61" s="27"/>
      <c r="P61" s="27"/>
      <c r="Q61" s="25"/>
      <c r="R61" s="25"/>
      <c r="S61" s="25"/>
      <c r="T61" s="25"/>
      <c r="U61" s="25"/>
      <c r="V61" s="25"/>
      <c r="W61" s="25"/>
      <c r="X61" s="25"/>
      <c r="Y61" s="25"/>
      <c r="Z61" s="25"/>
      <c r="AA61" s="25"/>
    </row>
    <row r="62">
      <c r="A62" s="26" t="s">
        <v>90</v>
      </c>
      <c r="B62" s="27"/>
      <c r="C62" s="27"/>
      <c r="D62" s="27"/>
      <c r="E62" s="27"/>
      <c r="F62" s="27"/>
      <c r="G62" s="27"/>
      <c r="H62" s="27"/>
      <c r="I62" s="27"/>
      <c r="J62" s="27"/>
      <c r="K62" s="27"/>
      <c r="L62" s="27"/>
      <c r="M62" s="27"/>
      <c r="N62" s="27"/>
      <c r="O62" s="27"/>
      <c r="P62" s="27"/>
      <c r="Q62" s="25"/>
      <c r="R62" s="25"/>
      <c r="S62" s="25"/>
      <c r="T62" s="25"/>
      <c r="U62" s="25"/>
      <c r="V62" s="25"/>
      <c r="W62" s="25"/>
      <c r="X62" s="25"/>
      <c r="Y62" s="25"/>
      <c r="Z62" s="25"/>
      <c r="AA62" s="25"/>
    </row>
    <row r="63">
      <c r="A63" s="26" t="s">
        <v>90</v>
      </c>
      <c r="B63" s="27"/>
      <c r="C63" s="27"/>
      <c r="D63" s="27"/>
      <c r="E63" s="27"/>
      <c r="F63" s="27"/>
      <c r="G63" s="27"/>
      <c r="H63" s="27"/>
      <c r="I63" s="27"/>
      <c r="J63" s="27"/>
      <c r="K63" s="27"/>
      <c r="L63" s="27"/>
      <c r="M63" s="27"/>
      <c r="N63" s="27"/>
      <c r="O63" s="27"/>
      <c r="P63" s="27"/>
      <c r="Q63" s="25"/>
      <c r="R63" s="25"/>
      <c r="S63" s="25"/>
      <c r="T63" s="25"/>
      <c r="U63" s="25"/>
      <c r="V63" s="25"/>
      <c r="W63" s="25"/>
      <c r="X63" s="25"/>
      <c r="Y63" s="25"/>
      <c r="Z63" s="25"/>
      <c r="AA63" s="25"/>
    </row>
    <row r="64">
      <c r="A64" s="26" t="s">
        <v>90</v>
      </c>
      <c r="B64" s="27"/>
      <c r="C64" s="27"/>
      <c r="D64" s="27"/>
      <c r="E64" s="27"/>
      <c r="F64" s="27"/>
      <c r="G64" s="27"/>
      <c r="H64" s="27"/>
      <c r="I64" s="27"/>
      <c r="J64" s="27"/>
      <c r="K64" s="27"/>
      <c r="L64" s="27"/>
      <c r="M64" s="27"/>
      <c r="N64" s="27"/>
      <c r="O64" s="27"/>
      <c r="P64" s="27"/>
      <c r="Q64" s="25"/>
      <c r="R64" s="25"/>
      <c r="S64" s="25"/>
      <c r="T64" s="25"/>
      <c r="U64" s="25"/>
      <c r="V64" s="25"/>
      <c r="W64" s="25"/>
      <c r="X64" s="25"/>
      <c r="Y64" s="25"/>
      <c r="Z64" s="25"/>
      <c r="AA64" s="25"/>
    </row>
    <row r="65">
      <c r="A65" s="24" t="s">
        <v>90</v>
      </c>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24" t="s">
        <v>90</v>
      </c>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4" t="s">
        <v>90</v>
      </c>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24" t="s">
        <v>90</v>
      </c>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24" t="s">
        <v>90</v>
      </c>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4" t="s">
        <v>90</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24" t="s">
        <v>90</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4" t="s">
        <v>90</v>
      </c>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4" t="s">
        <v>90</v>
      </c>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4" t="s">
        <v>90</v>
      </c>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4" t="s">
        <v>90</v>
      </c>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4" t="s">
        <v>90</v>
      </c>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24" t="s">
        <v>90</v>
      </c>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4" t="s">
        <v>90</v>
      </c>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24" t="s">
        <v>90</v>
      </c>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4" t="s">
        <v>90</v>
      </c>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4" t="s">
        <v>90</v>
      </c>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4" t="s">
        <v>90</v>
      </c>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4" t="s">
        <v>90</v>
      </c>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4" t="s">
        <v>90</v>
      </c>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4" t="s">
        <v>90</v>
      </c>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4" t="s">
        <v>90</v>
      </c>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24" t="s">
        <v>90</v>
      </c>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4" t="s">
        <v>90</v>
      </c>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4" t="s">
        <v>90</v>
      </c>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4" t="s">
        <v>90</v>
      </c>
      <c r="O90" s="31"/>
    </row>
    <row r="91">
      <c r="A91" s="24" t="s">
        <v>90</v>
      </c>
      <c r="O91" s="31"/>
    </row>
    <row r="92">
      <c r="A92" s="24" t="s">
        <v>90</v>
      </c>
      <c r="O92" s="31"/>
    </row>
    <row r="93">
      <c r="A93" s="24" t="s">
        <v>90</v>
      </c>
      <c r="O93" s="31"/>
    </row>
    <row r="94">
      <c r="A94" s="24" t="s">
        <v>90</v>
      </c>
      <c r="O94" s="31"/>
    </row>
    <row r="95">
      <c r="A95" s="24" t="s">
        <v>90</v>
      </c>
      <c r="O95" s="31"/>
    </row>
    <row r="96">
      <c r="A96" s="24" t="s">
        <v>90</v>
      </c>
      <c r="O96" s="31"/>
    </row>
    <row r="97">
      <c r="A97" s="24" t="s">
        <v>90</v>
      </c>
      <c r="O97" s="31"/>
    </row>
    <row r="98">
      <c r="A98" s="24" t="s">
        <v>90</v>
      </c>
      <c r="O98" s="31"/>
    </row>
    <row r="99">
      <c r="A99" s="24" t="s">
        <v>90</v>
      </c>
      <c r="O99" s="31"/>
    </row>
    <row r="100">
      <c r="A100" s="32" t="s">
        <v>90</v>
      </c>
      <c r="O100" s="31"/>
    </row>
    <row r="101">
      <c r="O101" s="31"/>
    </row>
    <row r="102">
      <c r="O102" s="31"/>
    </row>
    <row r="103">
      <c r="O103" s="31"/>
    </row>
    <row r="104">
      <c r="O104" s="31"/>
    </row>
    <row r="105">
      <c r="O105" s="31"/>
    </row>
    <row r="106">
      <c r="O106" s="31"/>
    </row>
    <row r="107">
      <c r="O107" s="31"/>
    </row>
    <row r="108">
      <c r="O108" s="31"/>
    </row>
    <row r="109">
      <c r="O109" s="31"/>
    </row>
    <row r="110">
      <c r="O110" s="31"/>
    </row>
    <row r="111">
      <c r="O111" s="31"/>
    </row>
    <row r="112">
      <c r="O112" s="31"/>
    </row>
    <row r="113">
      <c r="O113" s="31"/>
    </row>
    <row r="114">
      <c r="O114" s="31"/>
    </row>
    <row r="115">
      <c r="O115" s="31"/>
    </row>
    <row r="116">
      <c r="O116" s="31"/>
    </row>
    <row r="117">
      <c r="O117" s="31"/>
    </row>
    <row r="118">
      <c r="O118" s="31"/>
    </row>
    <row r="119">
      <c r="O119" s="31"/>
    </row>
    <row r="120">
      <c r="O120" s="31"/>
    </row>
    <row r="121">
      <c r="O121" s="31"/>
    </row>
    <row r="122">
      <c r="O122" s="31"/>
    </row>
    <row r="123">
      <c r="O123" s="31"/>
    </row>
    <row r="124">
      <c r="O124" s="31"/>
    </row>
    <row r="125">
      <c r="O125" s="31"/>
    </row>
    <row r="126">
      <c r="O126" s="31"/>
    </row>
    <row r="127">
      <c r="O127" s="31"/>
    </row>
    <row r="128">
      <c r="O128" s="31"/>
    </row>
    <row r="129">
      <c r="O129" s="31"/>
    </row>
    <row r="130">
      <c r="O130" s="31"/>
    </row>
    <row r="131">
      <c r="O131" s="31"/>
    </row>
    <row r="132">
      <c r="O132" s="31"/>
    </row>
    <row r="133">
      <c r="O133" s="31"/>
    </row>
    <row r="134">
      <c r="O134" s="31"/>
    </row>
    <row r="135">
      <c r="O135" s="31"/>
    </row>
    <row r="136">
      <c r="O136" s="31"/>
    </row>
    <row r="137">
      <c r="O137" s="31"/>
    </row>
    <row r="138">
      <c r="O138" s="31"/>
    </row>
    <row r="139">
      <c r="O139" s="31"/>
    </row>
    <row r="140">
      <c r="O140" s="31"/>
    </row>
    <row r="141">
      <c r="O141" s="31"/>
    </row>
    <row r="142">
      <c r="O142" s="31"/>
    </row>
    <row r="143">
      <c r="O143" s="31"/>
    </row>
    <row r="144">
      <c r="O144" s="31"/>
    </row>
    <row r="145">
      <c r="O145" s="31"/>
    </row>
    <row r="146">
      <c r="O146" s="31"/>
    </row>
    <row r="147">
      <c r="O147" s="31"/>
    </row>
    <row r="148">
      <c r="O148" s="31"/>
    </row>
    <row r="149">
      <c r="O149" s="31"/>
    </row>
    <row r="150">
      <c r="O150" s="31"/>
    </row>
    <row r="151">
      <c r="O151" s="31"/>
    </row>
    <row r="152">
      <c r="O152" s="31"/>
    </row>
    <row r="153">
      <c r="O153" s="31"/>
    </row>
    <row r="154">
      <c r="O154" s="31"/>
    </row>
    <row r="155">
      <c r="O155" s="31"/>
    </row>
    <row r="156">
      <c r="O156" s="31"/>
    </row>
    <row r="157">
      <c r="O157" s="31"/>
    </row>
    <row r="158">
      <c r="O158" s="31"/>
    </row>
    <row r="159">
      <c r="O159" s="31"/>
    </row>
    <row r="160">
      <c r="O160" s="31"/>
    </row>
    <row r="161">
      <c r="O161" s="31"/>
    </row>
    <row r="162">
      <c r="O162" s="31"/>
    </row>
    <row r="163">
      <c r="O163" s="31"/>
    </row>
    <row r="164">
      <c r="O164" s="31"/>
    </row>
    <row r="165">
      <c r="O165" s="31"/>
    </row>
    <row r="166">
      <c r="O166" s="31"/>
    </row>
    <row r="167">
      <c r="O167" s="31"/>
    </row>
    <row r="168">
      <c r="O168" s="31"/>
    </row>
    <row r="169">
      <c r="O169" s="31"/>
    </row>
    <row r="170">
      <c r="O170" s="31"/>
    </row>
    <row r="171">
      <c r="O171" s="31"/>
    </row>
    <row r="172">
      <c r="O172" s="31"/>
    </row>
    <row r="173">
      <c r="O173" s="31"/>
    </row>
    <row r="174">
      <c r="O174" s="31"/>
    </row>
    <row r="175">
      <c r="O175" s="31"/>
    </row>
    <row r="176">
      <c r="O176" s="31"/>
    </row>
    <row r="177">
      <c r="O177" s="31"/>
    </row>
    <row r="178">
      <c r="O178" s="31"/>
    </row>
    <row r="179">
      <c r="O179" s="31"/>
    </row>
    <row r="180">
      <c r="O180" s="31"/>
    </row>
    <row r="181">
      <c r="O181" s="31"/>
    </row>
    <row r="182">
      <c r="O182" s="31"/>
    </row>
    <row r="183">
      <c r="O183" s="31"/>
    </row>
    <row r="184">
      <c r="O184" s="31"/>
    </row>
    <row r="185">
      <c r="O185" s="31"/>
    </row>
    <row r="186">
      <c r="O186" s="31"/>
    </row>
    <row r="187">
      <c r="O187" s="31"/>
    </row>
    <row r="188">
      <c r="O188" s="31"/>
    </row>
    <row r="189">
      <c r="O189" s="31"/>
    </row>
    <row r="190">
      <c r="O190" s="31"/>
    </row>
    <row r="191">
      <c r="O191" s="31"/>
    </row>
    <row r="192">
      <c r="O192" s="31"/>
    </row>
    <row r="193">
      <c r="O193" s="31"/>
    </row>
    <row r="194">
      <c r="O194" s="31"/>
    </row>
    <row r="195">
      <c r="O195" s="31"/>
    </row>
    <row r="196">
      <c r="O196" s="31"/>
    </row>
    <row r="197">
      <c r="O197" s="31"/>
    </row>
    <row r="198">
      <c r="O198" s="31"/>
    </row>
    <row r="199">
      <c r="O199" s="31"/>
    </row>
    <row r="200">
      <c r="O200" s="31"/>
    </row>
    <row r="201">
      <c r="O201" s="31"/>
    </row>
    <row r="202">
      <c r="O202" s="31"/>
    </row>
    <row r="203">
      <c r="O203" s="31"/>
    </row>
    <row r="204">
      <c r="O204" s="31"/>
    </row>
    <row r="205">
      <c r="O205" s="31"/>
    </row>
    <row r="206">
      <c r="O206" s="31"/>
    </row>
    <row r="207">
      <c r="O207" s="31"/>
    </row>
    <row r="208">
      <c r="O208" s="31"/>
    </row>
    <row r="209">
      <c r="O209" s="31"/>
    </row>
    <row r="210">
      <c r="O210" s="31"/>
    </row>
    <row r="211">
      <c r="O211" s="31"/>
    </row>
    <row r="212">
      <c r="O212" s="31"/>
    </row>
    <row r="213">
      <c r="O213" s="31"/>
    </row>
    <row r="214">
      <c r="O214" s="31"/>
    </row>
    <row r="215">
      <c r="O215" s="31"/>
    </row>
    <row r="216">
      <c r="O216" s="31"/>
    </row>
    <row r="217">
      <c r="O217" s="31"/>
    </row>
    <row r="218">
      <c r="O218" s="31"/>
    </row>
    <row r="219">
      <c r="O219" s="31"/>
    </row>
    <row r="220">
      <c r="O220" s="31"/>
    </row>
    <row r="221">
      <c r="O221" s="31"/>
    </row>
    <row r="222">
      <c r="O222" s="31"/>
    </row>
    <row r="223">
      <c r="O223" s="31"/>
    </row>
    <row r="224">
      <c r="O224" s="31"/>
    </row>
    <row r="225">
      <c r="O225" s="31"/>
    </row>
    <row r="226">
      <c r="O226" s="31"/>
    </row>
    <row r="227">
      <c r="O227" s="31"/>
    </row>
    <row r="228">
      <c r="O228" s="31"/>
    </row>
    <row r="229">
      <c r="O229" s="31"/>
    </row>
    <row r="230">
      <c r="O230" s="31"/>
    </row>
    <row r="231">
      <c r="O231" s="31"/>
    </row>
    <row r="232">
      <c r="O232" s="31"/>
    </row>
    <row r="233">
      <c r="O233" s="31"/>
    </row>
    <row r="234">
      <c r="O234" s="31"/>
    </row>
    <row r="235">
      <c r="O235" s="31"/>
    </row>
    <row r="236">
      <c r="O236" s="31"/>
    </row>
    <row r="237">
      <c r="O237" s="31"/>
    </row>
    <row r="238">
      <c r="O238" s="31"/>
    </row>
    <row r="239">
      <c r="O239" s="31"/>
    </row>
    <row r="240">
      <c r="O240" s="31"/>
    </row>
    <row r="241">
      <c r="O241" s="31"/>
    </row>
    <row r="242">
      <c r="O242" s="31"/>
    </row>
    <row r="243">
      <c r="O243" s="31"/>
    </row>
    <row r="244">
      <c r="O244" s="31"/>
    </row>
    <row r="245">
      <c r="O245" s="31"/>
    </row>
    <row r="246">
      <c r="O246" s="31"/>
    </row>
    <row r="247">
      <c r="O247" s="31"/>
    </row>
    <row r="248">
      <c r="O248" s="31"/>
    </row>
    <row r="249">
      <c r="O249" s="31"/>
    </row>
    <row r="250">
      <c r="O250" s="31"/>
    </row>
    <row r="251">
      <c r="O251" s="31"/>
    </row>
    <row r="252">
      <c r="O252" s="31"/>
    </row>
    <row r="253">
      <c r="O253" s="31"/>
    </row>
    <row r="254">
      <c r="O254" s="31"/>
    </row>
    <row r="255">
      <c r="O255" s="31"/>
    </row>
    <row r="256">
      <c r="O256" s="31"/>
    </row>
    <row r="257">
      <c r="O257" s="31"/>
    </row>
    <row r="258">
      <c r="O258" s="31"/>
    </row>
    <row r="259">
      <c r="O259" s="31"/>
    </row>
    <row r="260">
      <c r="O260" s="31"/>
    </row>
    <row r="261">
      <c r="O261" s="31"/>
    </row>
    <row r="262">
      <c r="O262" s="31"/>
    </row>
    <row r="263">
      <c r="O263" s="31"/>
    </row>
    <row r="264">
      <c r="O264" s="31"/>
    </row>
    <row r="265">
      <c r="O265" s="31"/>
    </row>
    <row r="266">
      <c r="O266" s="31"/>
    </row>
    <row r="267">
      <c r="O267" s="31"/>
    </row>
    <row r="268">
      <c r="O268" s="31"/>
    </row>
    <row r="269">
      <c r="O269" s="31"/>
    </row>
    <row r="270">
      <c r="O270" s="31"/>
    </row>
    <row r="271">
      <c r="O271" s="31"/>
    </row>
    <row r="272">
      <c r="O272" s="31"/>
    </row>
    <row r="273">
      <c r="O273" s="31"/>
    </row>
    <row r="274">
      <c r="O274" s="31"/>
    </row>
    <row r="275">
      <c r="O275" s="31"/>
    </row>
    <row r="276">
      <c r="O276" s="31"/>
    </row>
    <row r="277">
      <c r="O277" s="31"/>
    </row>
    <row r="278">
      <c r="O278" s="31"/>
    </row>
    <row r="279">
      <c r="O279" s="31"/>
    </row>
    <row r="280">
      <c r="O280" s="31"/>
    </row>
    <row r="281">
      <c r="O281" s="31"/>
    </row>
    <row r="282">
      <c r="O282" s="31"/>
    </row>
    <row r="283">
      <c r="O283" s="31"/>
    </row>
    <row r="284">
      <c r="O284" s="31"/>
    </row>
    <row r="285">
      <c r="O285" s="31"/>
    </row>
    <row r="286">
      <c r="O286" s="31"/>
    </row>
    <row r="287">
      <c r="O287" s="31"/>
    </row>
    <row r="288">
      <c r="O288" s="31"/>
    </row>
    <row r="289">
      <c r="O289" s="31"/>
    </row>
    <row r="290">
      <c r="O290" s="31"/>
    </row>
    <row r="291">
      <c r="O291" s="31"/>
    </row>
    <row r="292">
      <c r="O292" s="31"/>
    </row>
    <row r="293">
      <c r="O293" s="31"/>
    </row>
    <row r="294">
      <c r="O294" s="31"/>
    </row>
    <row r="295">
      <c r="O295" s="31"/>
    </row>
    <row r="296">
      <c r="O296" s="31"/>
    </row>
    <row r="297">
      <c r="O297" s="31"/>
    </row>
    <row r="298">
      <c r="O298" s="31"/>
    </row>
    <row r="299">
      <c r="O299" s="31"/>
    </row>
    <row r="300">
      <c r="O300" s="31"/>
    </row>
    <row r="301">
      <c r="O301" s="31"/>
    </row>
    <row r="302">
      <c r="O302" s="31"/>
    </row>
    <row r="303">
      <c r="O303" s="31"/>
    </row>
    <row r="304">
      <c r="O304" s="31"/>
    </row>
    <row r="305">
      <c r="O305" s="31"/>
    </row>
    <row r="306">
      <c r="O306" s="31"/>
    </row>
    <row r="307">
      <c r="O307" s="31"/>
    </row>
    <row r="308">
      <c r="O308" s="31"/>
    </row>
    <row r="309">
      <c r="O309" s="31"/>
    </row>
    <row r="310">
      <c r="O310" s="31"/>
    </row>
    <row r="311">
      <c r="O311" s="31"/>
    </row>
    <row r="312">
      <c r="O312" s="31"/>
    </row>
    <row r="313">
      <c r="O313" s="31"/>
    </row>
    <row r="314">
      <c r="O314" s="31"/>
    </row>
    <row r="315">
      <c r="O315" s="31"/>
    </row>
    <row r="316">
      <c r="O316" s="31"/>
    </row>
    <row r="317">
      <c r="O317" s="31"/>
    </row>
    <row r="318">
      <c r="O318" s="31"/>
    </row>
    <row r="319">
      <c r="O319" s="31"/>
    </row>
    <row r="320">
      <c r="O320" s="31"/>
    </row>
    <row r="321">
      <c r="O321" s="31"/>
    </row>
    <row r="322">
      <c r="O322" s="31"/>
    </row>
    <row r="323">
      <c r="O323" s="31"/>
    </row>
    <row r="324">
      <c r="O324" s="31"/>
    </row>
    <row r="325">
      <c r="O325" s="31"/>
    </row>
    <row r="326">
      <c r="O326" s="31"/>
    </row>
    <row r="327">
      <c r="O327" s="31"/>
    </row>
    <row r="328">
      <c r="O328" s="31"/>
    </row>
    <row r="329">
      <c r="O329" s="31"/>
    </row>
    <row r="330">
      <c r="O330" s="31"/>
    </row>
    <row r="331">
      <c r="O331" s="31"/>
    </row>
    <row r="332">
      <c r="O332" s="31"/>
    </row>
    <row r="333">
      <c r="O333" s="31"/>
    </row>
    <row r="334">
      <c r="O334" s="31"/>
    </row>
    <row r="335">
      <c r="O335" s="31"/>
    </row>
    <row r="336">
      <c r="O336" s="31"/>
    </row>
    <row r="337">
      <c r="O337" s="31"/>
    </row>
    <row r="338">
      <c r="O338" s="31"/>
    </row>
    <row r="339">
      <c r="O339" s="31"/>
    </row>
    <row r="340">
      <c r="O340" s="31"/>
    </row>
    <row r="341">
      <c r="O341" s="31"/>
    </row>
    <row r="342">
      <c r="O342" s="31"/>
    </row>
    <row r="343">
      <c r="O343" s="31"/>
    </row>
    <row r="344">
      <c r="O344" s="31"/>
    </row>
    <row r="345">
      <c r="O345" s="31"/>
    </row>
    <row r="346">
      <c r="O346" s="31"/>
    </row>
    <row r="347">
      <c r="O347" s="31"/>
    </row>
    <row r="348">
      <c r="O348" s="31"/>
    </row>
    <row r="349">
      <c r="O349" s="31"/>
    </row>
    <row r="350">
      <c r="O350" s="31"/>
    </row>
    <row r="351">
      <c r="O351" s="31"/>
    </row>
    <row r="352">
      <c r="O352" s="31"/>
    </row>
    <row r="353">
      <c r="O353" s="31"/>
    </row>
    <row r="354">
      <c r="O354" s="31"/>
    </row>
    <row r="355">
      <c r="O355" s="31"/>
    </row>
    <row r="356">
      <c r="O356" s="31"/>
    </row>
    <row r="357">
      <c r="O357" s="31"/>
    </row>
    <row r="358">
      <c r="O358" s="31"/>
    </row>
    <row r="359">
      <c r="O359" s="31"/>
    </row>
    <row r="360">
      <c r="O360" s="31"/>
    </row>
    <row r="361">
      <c r="O361" s="31"/>
    </row>
    <row r="362">
      <c r="O362" s="31"/>
    </row>
    <row r="363">
      <c r="O363" s="31"/>
    </row>
    <row r="364">
      <c r="O364" s="31"/>
    </row>
    <row r="365">
      <c r="O365" s="31"/>
    </row>
    <row r="366">
      <c r="O366" s="31"/>
    </row>
    <row r="367">
      <c r="O367" s="31"/>
    </row>
    <row r="368">
      <c r="O368" s="31"/>
    </row>
    <row r="369">
      <c r="O369" s="31"/>
    </row>
    <row r="370">
      <c r="O370" s="31"/>
    </row>
    <row r="371">
      <c r="O371" s="31"/>
    </row>
    <row r="372">
      <c r="O372" s="31"/>
    </row>
    <row r="373">
      <c r="O373" s="31"/>
    </row>
    <row r="374">
      <c r="O374" s="31"/>
    </row>
    <row r="375">
      <c r="O375" s="31"/>
    </row>
    <row r="376">
      <c r="O376" s="31"/>
    </row>
    <row r="377">
      <c r="O377" s="31"/>
    </row>
    <row r="378">
      <c r="O378" s="31"/>
    </row>
    <row r="379">
      <c r="O379" s="31"/>
    </row>
    <row r="380">
      <c r="O380" s="31"/>
    </row>
    <row r="381">
      <c r="O381" s="31"/>
    </row>
    <row r="382">
      <c r="O382" s="31"/>
    </row>
    <row r="383">
      <c r="O383" s="31"/>
    </row>
    <row r="384">
      <c r="O384" s="31"/>
    </row>
    <row r="385">
      <c r="O385" s="31"/>
    </row>
    <row r="386">
      <c r="O386" s="31"/>
    </row>
    <row r="387">
      <c r="O387" s="31"/>
    </row>
    <row r="388">
      <c r="O388" s="31"/>
    </row>
    <row r="389">
      <c r="O389" s="31"/>
    </row>
    <row r="390">
      <c r="O390" s="31"/>
    </row>
    <row r="391">
      <c r="O391" s="31"/>
    </row>
    <row r="392">
      <c r="O392" s="31"/>
    </row>
    <row r="393">
      <c r="O393" s="31"/>
    </row>
    <row r="394">
      <c r="O394" s="31"/>
    </row>
    <row r="395">
      <c r="O395" s="31"/>
    </row>
    <row r="396">
      <c r="O396" s="31"/>
    </row>
    <row r="397">
      <c r="O397" s="31"/>
    </row>
    <row r="398">
      <c r="O398" s="31"/>
    </row>
    <row r="399">
      <c r="O399" s="31"/>
    </row>
    <row r="400">
      <c r="O400" s="31"/>
    </row>
    <row r="401">
      <c r="O401" s="31"/>
    </row>
    <row r="402">
      <c r="O402" s="31"/>
    </row>
    <row r="403">
      <c r="O403" s="31"/>
    </row>
    <row r="404">
      <c r="O404" s="31"/>
    </row>
    <row r="405">
      <c r="O405" s="31"/>
    </row>
    <row r="406">
      <c r="O406" s="31"/>
    </row>
    <row r="407">
      <c r="O407" s="31"/>
    </row>
    <row r="408">
      <c r="O408" s="31"/>
    </row>
    <row r="409">
      <c r="O409" s="31"/>
    </row>
    <row r="410">
      <c r="O410" s="31"/>
    </row>
    <row r="411">
      <c r="O411" s="31"/>
    </row>
    <row r="412">
      <c r="O412" s="31"/>
    </row>
    <row r="413">
      <c r="O413" s="31"/>
    </row>
    <row r="414">
      <c r="O414" s="31"/>
    </row>
    <row r="415">
      <c r="O415" s="31"/>
    </row>
    <row r="416">
      <c r="O416" s="31"/>
    </row>
    <row r="417">
      <c r="O417" s="31"/>
    </row>
    <row r="418">
      <c r="O418" s="31"/>
    </row>
    <row r="419">
      <c r="O419" s="31"/>
    </row>
    <row r="420">
      <c r="O420" s="31"/>
    </row>
    <row r="421">
      <c r="O421" s="31"/>
    </row>
    <row r="422">
      <c r="O422" s="31"/>
    </row>
    <row r="423">
      <c r="O423" s="31"/>
    </row>
    <row r="424">
      <c r="O424" s="31"/>
    </row>
    <row r="425">
      <c r="O425" s="31"/>
    </row>
    <row r="426">
      <c r="O426" s="31"/>
    </row>
    <row r="427">
      <c r="O427" s="31"/>
    </row>
    <row r="428">
      <c r="O428" s="31"/>
    </row>
    <row r="429">
      <c r="O429" s="31"/>
    </row>
    <row r="430">
      <c r="O430" s="31"/>
    </row>
    <row r="431">
      <c r="O431" s="31"/>
    </row>
    <row r="432">
      <c r="O432" s="31"/>
    </row>
    <row r="433">
      <c r="O433" s="31"/>
    </row>
    <row r="434">
      <c r="O434" s="31"/>
    </row>
    <row r="435">
      <c r="O435" s="31"/>
    </row>
    <row r="436">
      <c r="O436" s="31"/>
    </row>
    <row r="437">
      <c r="O437" s="31"/>
    </row>
    <row r="438">
      <c r="O438" s="31"/>
    </row>
    <row r="439">
      <c r="O439" s="31"/>
    </row>
    <row r="440">
      <c r="O440" s="31"/>
    </row>
    <row r="441">
      <c r="O441" s="31"/>
    </row>
    <row r="442">
      <c r="O442" s="31"/>
    </row>
    <row r="443">
      <c r="O443" s="31"/>
    </row>
    <row r="444">
      <c r="O444" s="31"/>
    </row>
    <row r="445">
      <c r="O445" s="31"/>
    </row>
    <row r="446">
      <c r="O446" s="31"/>
    </row>
    <row r="447">
      <c r="O447" s="31"/>
    </row>
    <row r="448">
      <c r="O448" s="31"/>
    </row>
    <row r="449">
      <c r="O449" s="31"/>
    </row>
    <row r="450">
      <c r="O450" s="31"/>
    </row>
    <row r="451">
      <c r="O451" s="31"/>
    </row>
    <row r="452">
      <c r="O452" s="31"/>
    </row>
    <row r="453">
      <c r="O453" s="31"/>
    </row>
    <row r="454">
      <c r="O454" s="31"/>
    </row>
    <row r="455">
      <c r="O455" s="31"/>
    </row>
    <row r="456">
      <c r="O456" s="31"/>
    </row>
    <row r="457">
      <c r="O457" s="31"/>
    </row>
    <row r="458">
      <c r="O458" s="31"/>
    </row>
    <row r="459">
      <c r="O459" s="31"/>
    </row>
    <row r="460">
      <c r="O460" s="31"/>
    </row>
    <row r="461">
      <c r="O461" s="31"/>
    </row>
    <row r="462">
      <c r="O462" s="31"/>
    </row>
    <row r="463">
      <c r="O463" s="31"/>
    </row>
    <row r="464">
      <c r="O464" s="31"/>
    </row>
    <row r="465">
      <c r="O465" s="31"/>
    </row>
    <row r="466">
      <c r="O466" s="31"/>
    </row>
    <row r="467">
      <c r="O467" s="31"/>
    </row>
    <row r="468">
      <c r="O468" s="31"/>
    </row>
    <row r="469">
      <c r="O469" s="31"/>
    </row>
    <row r="470">
      <c r="O470" s="31"/>
    </row>
    <row r="471">
      <c r="O471" s="31"/>
    </row>
    <row r="472">
      <c r="O472" s="31"/>
    </row>
    <row r="473">
      <c r="O473" s="31"/>
    </row>
    <row r="474">
      <c r="O474" s="31"/>
    </row>
    <row r="475">
      <c r="O475" s="31"/>
    </row>
    <row r="476">
      <c r="O476" s="31"/>
    </row>
    <row r="477">
      <c r="O477" s="31"/>
    </row>
    <row r="478">
      <c r="O478" s="31"/>
    </row>
    <row r="479">
      <c r="O479" s="31"/>
    </row>
    <row r="480">
      <c r="O480" s="31"/>
    </row>
    <row r="481">
      <c r="O481" s="31"/>
    </row>
    <row r="482">
      <c r="O482" s="31"/>
    </row>
    <row r="483">
      <c r="O483" s="31"/>
    </row>
    <row r="484">
      <c r="O484" s="31"/>
    </row>
    <row r="485">
      <c r="O485" s="31"/>
    </row>
    <row r="486">
      <c r="O486" s="31"/>
    </row>
    <row r="487">
      <c r="O487" s="31"/>
    </row>
    <row r="488">
      <c r="O488" s="31"/>
    </row>
    <row r="489">
      <c r="O489" s="31"/>
    </row>
    <row r="490">
      <c r="O490" s="31"/>
    </row>
    <row r="491">
      <c r="O491" s="31"/>
    </row>
    <row r="492">
      <c r="O492" s="31"/>
    </row>
    <row r="493">
      <c r="O493" s="31"/>
    </row>
    <row r="494">
      <c r="O494" s="31"/>
    </row>
    <row r="495">
      <c r="O495" s="31"/>
    </row>
    <row r="496">
      <c r="O496" s="31"/>
    </row>
    <row r="497">
      <c r="O497" s="31"/>
    </row>
    <row r="498">
      <c r="O498" s="31"/>
    </row>
    <row r="499">
      <c r="O499" s="31"/>
    </row>
    <row r="500">
      <c r="O500" s="31"/>
    </row>
    <row r="501">
      <c r="O501" s="31"/>
    </row>
    <row r="502">
      <c r="O502" s="31"/>
    </row>
    <row r="503">
      <c r="O503" s="31"/>
    </row>
    <row r="504">
      <c r="O504" s="31"/>
    </row>
    <row r="505">
      <c r="O505" s="31"/>
    </row>
    <row r="506">
      <c r="O506" s="31"/>
    </row>
    <row r="507">
      <c r="O507" s="31"/>
    </row>
    <row r="508">
      <c r="O508" s="31"/>
    </row>
    <row r="509">
      <c r="O509" s="31"/>
    </row>
    <row r="510">
      <c r="O510" s="31"/>
    </row>
    <row r="511">
      <c r="O511" s="31"/>
    </row>
    <row r="512">
      <c r="O512" s="31"/>
    </row>
    <row r="513">
      <c r="O513" s="31"/>
    </row>
    <row r="514">
      <c r="O514" s="31"/>
    </row>
    <row r="515">
      <c r="O515" s="31"/>
    </row>
    <row r="516">
      <c r="O516" s="31"/>
    </row>
    <row r="517">
      <c r="O517" s="31"/>
    </row>
    <row r="518">
      <c r="O518" s="31"/>
    </row>
    <row r="519">
      <c r="O519" s="31"/>
    </row>
    <row r="520">
      <c r="O520" s="31"/>
    </row>
    <row r="521">
      <c r="O521" s="31"/>
    </row>
    <row r="522">
      <c r="O522" s="31"/>
    </row>
    <row r="523">
      <c r="O523" s="31"/>
    </row>
    <row r="524">
      <c r="O524" s="31"/>
    </row>
    <row r="525">
      <c r="O525" s="31"/>
    </row>
    <row r="526">
      <c r="O526" s="31"/>
    </row>
    <row r="527">
      <c r="O527" s="31"/>
    </row>
    <row r="528">
      <c r="O528" s="31"/>
    </row>
    <row r="529">
      <c r="O529" s="31"/>
    </row>
    <row r="530">
      <c r="O530" s="31"/>
    </row>
    <row r="531">
      <c r="O531" s="31"/>
    </row>
    <row r="532">
      <c r="O532" s="31"/>
    </row>
    <row r="533">
      <c r="O533" s="31"/>
    </row>
    <row r="534">
      <c r="O534" s="31"/>
    </row>
    <row r="535">
      <c r="O535" s="31"/>
    </row>
    <row r="536">
      <c r="O536" s="31"/>
    </row>
    <row r="537">
      <c r="O537" s="31"/>
    </row>
    <row r="538">
      <c r="O538" s="31"/>
    </row>
    <row r="539">
      <c r="O539" s="31"/>
    </row>
    <row r="540">
      <c r="O540" s="31"/>
    </row>
    <row r="541">
      <c r="O541" s="31"/>
    </row>
    <row r="542">
      <c r="O542" s="31"/>
    </row>
    <row r="543">
      <c r="O543" s="31"/>
    </row>
    <row r="544">
      <c r="O544" s="31"/>
    </row>
    <row r="545">
      <c r="O545" s="31"/>
    </row>
    <row r="546">
      <c r="O546" s="31"/>
    </row>
    <row r="547">
      <c r="O547" s="31"/>
    </row>
    <row r="548">
      <c r="O548" s="31"/>
    </row>
    <row r="549">
      <c r="O549" s="31"/>
    </row>
    <row r="550">
      <c r="O550" s="31"/>
    </row>
    <row r="551">
      <c r="O551" s="31"/>
    </row>
    <row r="552">
      <c r="O552" s="31"/>
    </row>
    <row r="553">
      <c r="O553" s="31"/>
    </row>
    <row r="554">
      <c r="O554" s="31"/>
    </row>
    <row r="555">
      <c r="O555" s="31"/>
    </row>
    <row r="556">
      <c r="O556" s="31"/>
    </row>
    <row r="557">
      <c r="O557" s="31"/>
    </row>
    <row r="558">
      <c r="O558" s="31"/>
    </row>
    <row r="559">
      <c r="O559" s="31"/>
    </row>
    <row r="560">
      <c r="O560" s="31"/>
    </row>
    <row r="561">
      <c r="O561" s="31"/>
    </row>
    <row r="562">
      <c r="O562" s="31"/>
    </row>
    <row r="563">
      <c r="O563" s="31"/>
    </row>
    <row r="564">
      <c r="O564" s="31"/>
    </row>
    <row r="565">
      <c r="O565" s="31"/>
    </row>
    <row r="566">
      <c r="O566" s="31"/>
    </row>
    <row r="567">
      <c r="O567" s="31"/>
    </row>
    <row r="568">
      <c r="O568" s="31"/>
    </row>
    <row r="569">
      <c r="O569" s="31"/>
    </row>
    <row r="570">
      <c r="O570" s="31"/>
    </row>
    <row r="571">
      <c r="O571" s="31"/>
    </row>
    <row r="572">
      <c r="O572" s="31"/>
    </row>
    <row r="573">
      <c r="O573" s="31"/>
    </row>
    <row r="574">
      <c r="O574" s="31"/>
    </row>
    <row r="575">
      <c r="O575" s="31"/>
    </row>
    <row r="576">
      <c r="O576" s="31"/>
    </row>
    <row r="577">
      <c r="O577" s="31"/>
    </row>
    <row r="578">
      <c r="O578" s="31"/>
    </row>
    <row r="579">
      <c r="O579" s="31"/>
    </row>
    <row r="580">
      <c r="O580" s="31"/>
    </row>
    <row r="581">
      <c r="O581" s="31"/>
    </row>
    <row r="582">
      <c r="O582" s="31"/>
    </row>
    <row r="583">
      <c r="O583" s="31"/>
    </row>
    <row r="584">
      <c r="O584" s="31"/>
    </row>
    <row r="585">
      <c r="O585" s="31"/>
    </row>
    <row r="586">
      <c r="O586" s="31"/>
    </row>
    <row r="587">
      <c r="O587" s="31"/>
    </row>
    <row r="588">
      <c r="O588" s="31"/>
    </row>
    <row r="589">
      <c r="O589" s="31"/>
    </row>
    <row r="590">
      <c r="O590" s="31"/>
    </row>
    <row r="591">
      <c r="O591" s="31"/>
    </row>
    <row r="592">
      <c r="O592" s="31"/>
    </row>
    <row r="593">
      <c r="O593" s="31"/>
    </row>
    <row r="594">
      <c r="O594" s="31"/>
    </row>
    <row r="595">
      <c r="O595" s="31"/>
    </row>
    <row r="596">
      <c r="O596" s="31"/>
    </row>
    <row r="597">
      <c r="O597" s="31"/>
    </row>
    <row r="598">
      <c r="O598" s="31"/>
    </row>
    <row r="599">
      <c r="O599" s="31"/>
    </row>
    <row r="600">
      <c r="O600" s="31"/>
    </row>
    <row r="601">
      <c r="O601" s="31"/>
    </row>
    <row r="602">
      <c r="O602" s="31"/>
    </row>
    <row r="603">
      <c r="O603" s="31"/>
    </row>
    <row r="604">
      <c r="O604" s="31"/>
    </row>
    <row r="605">
      <c r="O605" s="31"/>
    </row>
    <row r="606">
      <c r="O606" s="31"/>
    </row>
    <row r="607">
      <c r="O607" s="31"/>
    </row>
    <row r="608">
      <c r="O608" s="31"/>
    </row>
    <row r="609">
      <c r="O609" s="31"/>
    </row>
    <row r="610">
      <c r="O610" s="31"/>
    </row>
    <row r="611">
      <c r="O611" s="31"/>
    </row>
    <row r="612">
      <c r="O612" s="31"/>
    </row>
    <row r="613">
      <c r="O613" s="31"/>
    </row>
    <row r="614">
      <c r="O614" s="31"/>
    </row>
    <row r="615">
      <c r="O615" s="31"/>
    </row>
    <row r="616">
      <c r="O616" s="31"/>
    </row>
    <row r="617">
      <c r="O617" s="31"/>
    </row>
    <row r="618">
      <c r="O618" s="31"/>
    </row>
    <row r="619">
      <c r="O619" s="31"/>
    </row>
    <row r="620">
      <c r="O620" s="31"/>
    </row>
    <row r="621">
      <c r="O621" s="31"/>
    </row>
    <row r="622">
      <c r="O622" s="31"/>
    </row>
    <row r="623">
      <c r="O623" s="31"/>
    </row>
    <row r="624">
      <c r="O624" s="31"/>
    </row>
    <row r="625">
      <c r="O625" s="31"/>
    </row>
    <row r="626">
      <c r="O626" s="31"/>
    </row>
    <row r="627">
      <c r="O627" s="31"/>
    </row>
    <row r="628">
      <c r="O628" s="31"/>
    </row>
    <row r="629">
      <c r="O629" s="31"/>
    </row>
    <row r="630">
      <c r="O630" s="31"/>
    </row>
    <row r="631">
      <c r="O631" s="31"/>
    </row>
    <row r="632">
      <c r="O632" s="31"/>
    </row>
    <row r="633">
      <c r="O633" s="31"/>
    </row>
    <row r="634">
      <c r="O634" s="31"/>
    </row>
    <row r="635">
      <c r="O635" s="31"/>
    </row>
    <row r="636">
      <c r="O636" s="31"/>
    </row>
    <row r="637">
      <c r="O637" s="31"/>
    </row>
    <row r="638">
      <c r="O638" s="31"/>
    </row>
    <row r="639">
      <c r="O639" s="31"/>
    </row>
    <row r="640">
      <c r="O640" s="31"/>
    </row>
    <row r="641">
      <c r="O641" s="31"/>
    </row>
    <row r="642">
      <c r="O642" s="31"/>
    </row>
    <row r="643">
      <c r="O643" s="31"/>
    </row>
    <row r="644">
      <c r="O644" s="31"/>
    </row>
    <row r="645">
      <c r="O645" s="31"/>
    </row>
    <row r="646">
      <c r="O646" s="31"/>
    </row>
    <row r="647">
      <c r="O647" s="31"/>
    </row>
    <row r="648">
      <c r="O648" s="31"/>
    </row>
    <row r="649">
      <c r="O649" s="31"/>
    </row>
    <row r="650">
      <c r="O650" s="31"/>
    </row>
    <row r="651">
      <c r="O651" s="31"/>
    </row>
    <row r="652">
      <c r="O652" s="31"/>
    </row>
    <row r="653">
      <c r="O653" s="31"/>
    </row>
    <row r="654">
      <c r="O654" s="31"/>
    </row>
    <row r="655">
      <c r="O655" s="31"/>
    </row>
    <row r="656">
      <c r="O656" s="31"/>
    </row>
    <row r="657">
      <c r="O657" s="31"/>
    </row>
    <row r="658">
      <c r="O658" s="31"/>
    </row>
    <row r="659">
      <c r="O659" s="31"/>
    </row>
    <row r="660">
      <c r="O660" s="31"/>
    </row>
    <row r="661">
      <c r="O661" s="31"/>
    </row>
    <row r="662">
      <c r="O662" s="31"/>
    </row>
    <row r="663">
      <c r="O663" s="31"/>
    </row>
    <row r="664">
      <c r="O664" s="31"/>
    </row>
    <row r="665">
      <c r="O665" s="31"/>
    </row>
    <row r="666">
      <c r="O666" s="31"/>
    </row>
    <row r="667">
      <c r="O667" s="31"/>
    </row>
    <row r="668">
      <c r="O668" s="31"/>
    </row>
    <row r="669">
      <c r="O669" s="31"/>
    </row>
    <row r="670">
      <c r="O670" s="31"/>
    </row>
    <row r="671">
      <c r="O671" s="31"/>
    </row>
    <row r="672">
      <c r="O672" s="31"/>
    </row>
    <row r="673">
      <c r="O673" s="31"/>
    </row>
    <row r="674">
      <c r="O674" s="31"/>
    </row>
    <row r="675">
      <c r="O675" s="31"/>
    </row>
    <row r="676">
      <c r="O676" s="31"/>
    </row>
    <row r="677">
      <c r="O677" s="31"/>
    </row>
    <row r="678">
      <c r="O678" s="31"/>
    </row>
    <row r="679">
      <c r="O679" s="31"/>
    </row>
    <row r="680">
      <c r="O680" s="31"/>
    </row>
    <row r="681">
      <c r="O681" s="31"/>
    </row>
    <row r="682">
      <c r="O682" s="31"/>
    </row>
    <row r="683">
      <c r="O683" s="31"/>
    </row>
    <row r="684">
      <c r="O684" s="31"/>
    </row>
    <row r="685">
      <c r="O685" s="31"/>
    </row>
    <row r="686">
      <c r="O686" s="31"/>
    </row>
    <row r="687">
      <c r="O687" s="31"/>
    </row>
    <row r="688">
      <c r="O688" s="31"/>
    </row>
    <row r="689">
      <c r="O689" s="31"/>
    </row>
    <row r="690">
      <c r="O690" s="31"/>
    </row>
    <row r="691">
      <c r="O691" s="31"/>
    </row>
    <row r="692">
      <c r="O692" s="31"/>
    </row>
    <row r="693">
      <c r="O693" s="31"/>
    </row>
    <row r="694">
      <c r="O694" s="31"/>
    </row>
    <row r="695">
      <c r="O695" s="31"/>
    </row>
    <row r="696">
      <c r="O696" s="31"/>
    </row>
    <row r="697">
      <c r="O697" s="31"/>
    </row>
    <row r="698">
      <c r="O698" s="31"/>
    </row>
    <row r="699">
      <c r="O699" s="31"/>
    </row>
    <row r="700">
      <c r="O700" s="31"/>
    </row>
    <row r="701">
      <c r="O701" s="31"/>
    </row>
    <row r="702">
      <c r="O702" s="31"/>
    </row>
    <row r="703">
      <c r="O703" s="31"/>
    </row>
    <row r="704">
      <c r="O704" s="31"/>
    </row>
    <row r="705">
      <c r="O705" s="31"/>
    </row>
    <row r="706">
      <c r="O706" s="31"/>
    </row>
    <row r="707">
      <c r="O707" s="31"/>
    </row>
    <row r="708">
      <c r="O708" s="31"/>
    </row>
    <row r="709">
      <c r="O709" s="31"/>
    </row>
    <row r="710">
      <c r="O710" s="31"/>
    </row>
    <row r="711">
      <c r="O711" s="31"/>
    </row>
    <row r="712">
      <c r="O712" s="31"/>
    </row>
    <row r="713">
      <c r="O713" s="31"/>
    </row>
    <row r="714">
      <c r="O714" s="31"/>
    </row>
    <row r="715">
      <c r="O715" s="31"/>
    </row>
    <row r="716">
      <c r="O716" s="31"/>
    </row>
    <row r="717">
      <c r="O717" s="31"/>
    </row>
    <row r="718">
      <c r="O718" s="31"/>
    </row>
    <row r="719">
      <c r="O719" s="31"/>
    </row>
    <row r="720">
      <c r="O720" s="31"/>
    </row>
    <row r="721">
      <c r="O721" s="31"/>
    </row>
    <row r="722">
      <c r="O722" s="31"/>
    </row>
    <row r="723">
      <c r="O723" s="31"/>
    </row>
    <row r="724">
      <c r="O724" s="31"/>
    </row>
    <row r="725">
      <c r="O725" s="31"/>
    </row>
    <row r="726">
      <c r="O726" s="31"/>
    </row>
    <row r="727">
      <c r="O727" s="31"/>
    </row>
    <row r="728">
      <c r="O728" s="31"/>
    </row>
    <row r="729">
      <c r="O729" s="31"/>
    </row>
    <row r="730">
      <c r="O730" s="31"/>
    </row>
    <row r="731">
      <c r="O731" s="31"/>
    </row>
    <row r="732">
      <c r="O732" s="31"/>
    </row>
    <row r="733">
      <c r="O733" s="31"/>
    </row>
    <row r="734">
      <c r="O734" s="31"/>
    </row>
    <row r="735">
      <c r="O735" s="31"/>
    </row>
    <row r="736">
      <c r="O736" s="31"/>
    </row>
    <row r="737">
      <c r="O737" s="31"/>
    </row>
    <row r="738">
      <c r="O738" s="31"/>
    </row>
    <row r="739">
      <c r="O739" s="31"/>
    </row>
    <row r="740">
      <c r="O740" s="31"/>
    </row>
    <row r="741">
      <c r="O741" s="31"/>
    </row>
    <row r="742">
      <c r="O742" s="31"/>
    </row>
    <row r="743">
      <c r="O743" s="31"/>
    </row>
    <row r="744">
      <c r="O744" s="31"/>
    </row>
    <row r="745">
      <c r="O745" s="31"/>
    </row>
    <row r="746">
      <c r="O746" s="31"/>
    </row>
    <row r="747">
      <c r="O747" s="31"/>
    </row>
    <row r="748">
      <c r="O748" s="31"/>
    </row>
    <row r="749">
      <c r="O749" s="31"/>
    </row>
    <row r="750">
      <c r="O750" s="31"/>
    </row>
    <row r="751">
      <c r="O751" s="31"/>
    </row>
    <row r="752">
      <c r="O752" s="31"/>
    </row>
    <row r="753">
      <c r="O753" s="31"/>
    </row>
    <row r="754">
      <c r="O754" s="31"/>
    </row>
    <row r="755">
      <c r="O755" s="31"/>
    </row>
    <row r="756">
      <c r="O756" s="31"/>
    </row>
    <row r="757">
      <c r="O757" s="31"/>
    </row>
    <row r="758">
      <c r="O758" s="31"/>
    </row>
    <row r="759">
      <c r="O759" s="31"/>
    </row>
    <row r="760">
      <c r="O760" s="31"/>
    </row>
    <row r="761">
      <c r="O761" s="31"/>
    </row>
    <row r="762">
      <c r="O762" s="31"/>
    </row>
    <row r="763">
      <c r="O763" s="31"/>
    </row>
    <row r="764">
      <c r="O764" s="31"/>
    </row>
    <row r="765">
      <c r="O765" s="31"/>
    </row>
    <row r="766">
      <c r="O766" s="31"/>
    </row>
    <row r="767">
      <c r="O767" s="31"/>
    </row>
    <row r="768">
      <c r="O768" s="31"/>
    </row>
    <row r="769">
      <c r="O769" s="31"/>
    </row>
    <row r="770">
      <c r="O770" s="31"/>
    </row>
    <row r="771">
      <c r="O771" s="31"/>
    </row>
    <row r="772">
      <c r="O772" s="31"/>
    </row>
    <row r="773">
      <c r="O773" s="31"/>
    </row>
    <row r="774">
      <c r="O774" s="31"/>
    </row>
    <row r="775">
      <c r="O775" s="31"/>
    </row>
    <row r="776">
      <c r="O776" s="31"/>
    </row>
    <row r="777">
      <c r="O777" s="31"/>
    </row>
    <row r="778">
      <c r="O778" s="31"/>
    </row>
    <row r="779">
      <c r="O779" s="31"/>
    </row>
    <row r="780">
      <c r="O780" s="31"/>
    </row>
    <row r="781">
      <c r="O781" s="31"/>
    </row>
    <row r="782">
      <c r="O782" s="31"/>
    </row>
    <row r="783">
      <c r="O783" s="31"/>
    </row>
    <row r="784">
      <c r="O784" s="31"/>
    </row>
    <row r="785">
      <c r="O785" s="31"/>
    </row>
    <row r="786">
      <c r="O786" s="31"/>
    </row>
    <row r="787">
      <c r="O787" s="31"/>
    </row>
    <row r="788">
      <c r="O788" s="31"/>
    </row>
    <row r="789">
      <c r="O789" s="31"/>
    </row>
    <row r="790">
      <c r="O790" s="31"/>
    </row>
    <row r="791">
      <c r="O791" s="31"/>
    </row>
    <row r="792">
      <c r="O792" s="31"/>
    </row>
    <row r="793">
      <c r="O793" s="31"/>
    </row>
    <row r="794">
      <c r="O794" s="31"/>
    </row>
    <row r="795">
      <c r="O795" s="31"/>
    </row>
    <row r="796">
      <c r="O796" s="31"/>
    </row>
    <row r="797">
      <c r="O797" s="31"/>
    </row>
    <row r="798">
      <c r="O798" s="31"/>
    </row>
    <row r="799">
      <c r="O799" s="31"/>
    </row>
    <row r="800">
      <c r="O800" s="31"/>
    </row>
    <row r="801">
      <c r="O801" s="31"/>
    </row>
    <row r="802">
      <c r="O802" s="31"/>
    </row>
    <row r="803">
      <c r="O803" s="31"/>
    </row>
    <row r="804">
      <c r="O804" s="31"/>
    </row>
    <row r="805">
      <c r="O805" s="31"/>
    </row>
    <row r="806">
      <c r="O806" s="31"/>
    </row>
    <row r="807">
      <c r="O807" s="31"/>
    </row>
    <row r="808">
      <c r="O808" s="31"/>
    </row>
    <row r="809">
      <c r="O809" s="31"/>
    </row>
    <row r="810">
      <c r="O810" s="31"/>
    </row>
    <row r="811">
      <c r="O811" s="31"/>
    </row>
    <row r="812">
      <c r="O812" s="31"/>
    </row>
    <row r="813">
      <c r="O813" s="31"/>
    </row>
    <row r="814">
      <c r="O814" s="31"/>
    </row>
    <row r="815">
      <c r="O815" s="31"/>
    </row>
    <row r="816">
      <c r="O816" s="31"/>
    </row>
    <row r="817">
      <c r="O817" s="31"/>
    </row>
    <row r="818">
      <c r="O818" s="31"/>
    </row>
    <row r="819">
      <c r="O819" s="31"/>
    </row>
    <row r="820">
      <c r="O820" s="31"/>
    </row>
    <row r="821">
      <c r="O821" s="31"/>
    </row>
    <row r="822">
      <c r="O822" s="31"/>
    </row>
    <row r="823">
      <c r="O823" s="31"/>
    </row>
    <row r="824">
      <c r="O824" s="31"/>
    </row>
    <row r="825">
      <c r="O825" s="31"/>
    </row>
    <row r="826">
      <c r="O826" s="31"/>
    </row>
    <row r="827">
      <c r="O827" s="31"/>
    </row>
    <row r="828">
      <c r="O828" s="31"/>
    </row>
    <row r="829">
      <c r="O829" s="31"/>
    </row>
    <row r="830">
      <c r="O830" s="31"/>
    </row>
    <row r="831">
      <c r="O831" s="31"/>
    </row>
    <row r="832">
      <c r="O832" s="31"/>
    </row>
    <row r="833">
      <c r="O833" s="31"/>
    </row>
    <row r="834">
      <c r="O834" s="31"/>
    </row>
    <row r="835">
      <c r="O835" s="31"/>
    </row>
    <row r="836">
      <c r="O836" s="31"/>
    </row>
    <row r="837">
      <c r="O837" s="31"/>
    </row>
    <row r="838">
      <c r="O838" s="31"/>
    </row>
    <row r="839">
      <c r="O839" s="31"/>
    </row>
    <row r="840">
      <c r="O840" s="31"/>
    </row>
    <row r="841">
      <c r="O841" s="31"/>
    </row>
    <row r="842">
      <c r="O842" s="31"/>
    </row>
    <row r="843">
      <c r="O843" s="31"/>
    </row>
    <row r="844">
      <c r="O844" s="31"/>
    </row>
    <row r="845">
      <c r="O845" s="31"/>
    </row>
    <row r="846">
      <c r="O846" s="31"/>
    </row>
    <row r="847">
      <c r="O847" s="31"/>
    </row>
    <row r="848">
      <c r="O848" s="31"/>
    </row>
    <row r="849">
      <c r="O849" s="31"/>
    </row>
    <row r="850">
      <c r="O850" s="31"/>
    </row>
    <row r="851">
      <c r="O851" s="31"/>
    </row>
    <row r="852">
      <c r="O852" s="31"/>
    </row>
    <row r="853">
      <c r="O853" s="31"/>
    </row>
    <row r="854">
      <c r="O854" s="31"/>
    </row>
    <row r="855">
      <c r="O855" s="31"/>
    </row>
    <row r="856">
      <c r="O856" s="31"/>
    </row>
    <row r="857">
      <c r="O857" s="31"/>
    </row>
    <row r="858">
      <c r="O858" s="31"/>
    </row>
    <row r="859">
      <c r="O859" s="31"/>
    </row>
    <row r="860">
      <c r="O860" s="31"/>
    </row>
    <row r="861">
      <c r="O861" s="31"/>
    </row>
    <row r="862">
      <c r="O862" s="31"/>
    </row>
    <row r="863">
      <c r="O863" s="31"/>
    </row>
    <row r="864">
      <c r="O864" s="31"/>
    </row>
    <row r="865">
      <c r="O865" s="31"/>
    </row>
    <row r="866">
      <c r="O866" s="31"/>
    </row>
    <row r="867">
      <c r="O867" s="31"/>
    </row>
    <row r="868">
      <c r="O868" s="31"/>
    </row>
    <row r="869">
      <c r="O869" s="31"/>
    </row>
    <row r="870">
      <c r="O870" s="31"/>
    </row>
    <row r="871">
      <c r="O871" s="31"/>
    </row>
    <row r="872">
      <c r="O872" s="31"/>
    </row>
    <row r="873">
      <c r="O873" s="31"/>
    </row>
    <row r="874">
      <c r="O874" s="31"/>
    </row>
    <row r="875">
      <c r="O875" s="31"/>
    </row>
    <row r="876">
      <c r="O876" s="31"/>
    </row>
    <row r="877">
      <c r="O877" s="31"/>
    </row>
    <row r="878">
      <c r="O878" s="31"/>
    </row>
    <row r="879">
      <c r="O879" s="31"/>
    </row>
    <row r="880">
      <c r="O880" s="31"/>
    </row>
    <row r="881">
      <c r="O881" s="31"/>
    </row>
    <row r="882">
      <c r="O882" s="31"/>
    </row>
    <row r="883">
      <c r="O883" s="31"/>
    </row>
    <row r="884">
      <c r="O884" s="31"/>
    </row>
    <row r="885">
      <c r="O885" s="31"/>
    </row>
    <row r="886">
      <c r="O886" s="31"/>
    </row>
    <row r="887">
      <c r="O887" s="31"/>
    </row>
    <row r="888">
      <c r="O888" s="31"/>
    </row>
    <row r="889">
      <c r="O889" s="31"/>
    </row>
    <row r="890">
      <c r="O890" s="31"/>
    </row>
    <row r="891">
      <c r="O891" s="31"/>
    </row>
    <row r="892">
      <c r="O892" s="31"/>
    </row>
    <row r="893">
      <c r="O893" s="31"/>
    </row>
    <row r="894">
      <c r="O894" s="31"/>
    </row>
    <row r="895">
      <c r="O895" s="31"/>
    </row>
    <row r="896">
      <c r="O896" s="31"/>
    </row>
    <row r="897">
      <c r="O897" s="31"/>
    </row>
    <row r="898">
      <c r="O898" s="31"/>
    </row>
    <row r="899">
      <c r="O899" s="31"/>
    </row>
    <row r="900">
      <c r="O900" s="31"/>
    </row>
    <row r="901">
      <c r="O901" s="31"/>
    </row>
    <row r="902">
      <c r="O902" s="31"/>
    </row>
    <row r="903">
      <c r="O903" s="31"/>
    </row>
    <row r="904">
      <c r="O904" s="31"/>
    </row>
    <row r="905">
      <c r="O905" s="31"/>
    </row>
    <row r="906">
      <c r="O906" s="31"/>
    </row>
    <row r="907">
      <c r="O907" s="31"/>
    </row>
    <row r="908">
      <c r="O908" s="31"/>
    </row>
    <row r="909">
      <c r="O909" s="31"/>
    </row>
    <row r="910">
      <c r="O910" s="31"/>
    </row>
    <row r="911">
      <c r="O911" s="31"/>
    </row>
    <row r="912">
      <c r="O912" s="31"/>
    </row>
    <row r="913">
      <c r="O913" s="31"/>
    </row>
    <row r="914">
      <c r="O914" s="31"/>
    </row>
    <row r="915">
      <c r="O915" s="31"/>
    </row>
    <row r="916">
      <c r="O916" s="31"/>
    </row>
    <row r="917">
      <c r="O917" s="31"/>
    </row>
    <row r="918">
      <c r="O918" s="31"/>
    </row>
    <row r="919">
      <c r="O919" s="31"/>
    </row>
    <row r="920">
      <c r="O920" s="31"/>
    </row>
    <row r="921">
      <c r="O921" s="31"/>
    </row>
    <row r="922">
      <c r="O922" s="31"/>
    </row>
    <row r="923">
      <c r="O923" s="31"/>
    </row>
    <row r="924">
      <c r="O924" s="31"/>
    </row>
    <row r="925">
      <c r="O925" s="31"/>
    </row>
    <row r="926">
      <c r="O926" s="31"/>
    </row>
    <row r="927">
      <c r="O927" s="31"/>
    </row>
    <row r="928">
      <c r="O928" s="31"/>
    </row>
    <row r="929">
      <c r="O929" s="31"/>
    </row>
    <row r="930">
      <c r="O930" s="31"/>
    </row>
    <row r="931">
      <c r="O931" s="31"/>
    </row>
    <row r="932">
      <c r="O932" s="31"/>
    </row>
    <row r="933">
      <c r="O933" s="31"/>
    </row>
    <row r="934">
      <c r="O934" s="31"/>
    </row>
    <row r="935">
      <c r="O935" s="31"/>
    </row>
    <row r="936">
      <c r="O936" s="31"/>
    </row>
    <row r="937">
      <c r="O937" s="31"/>
    </row>
    <row r="938">
      <c r="O938" s="31"/>
    </row>
    <row r="939">
      <c r="O939" s="31"/>
    </row>
    <row r="940">
      <c r="O940" s="31"/>
    </row>
    <row r="941">
      <c r="O941" s="31"/>
    </row>
    <row r="942">
      <c r="O942" s="31"/>
    </row>
    <row r="943">
      <c r="O943" s="31"/>
    </row>
    <row r="944">
      <c r="O944" s="31"/>
    </row>
    <row r="945">
      <c r="O945" s="31"/>
    </row>
    <row r="946">
      <c r="O946" s="31"/>
    </row>
    <row r="947">
      <c r="O947" s="31"/>
    </row>
    <row r="948">
      <c r="O948" s="31"/>
    </row>
    <row r="949">
      <c r="O949" s="31"/>
    </row>
    <row r="950">
      <c r="O950" s="31"/>
    </row>
    <row r="951">
      <c r="O951" s="31"/>
    </row>
    <row r="952">
      <c r="O952" s="31"/>
    </row>
    <row r="953">
      <c r="O953" s="31"/>
    </row>
    <row r="954">
      <c r="O954" s="31"/>
    </row>
    <row r="955">
      <c r="O955" s="31"/>
    </row>
    <row r="956">
      <c r="O956" s="31"/>
    </row>
    <row r="957">
      <c r="O957" s="31"/>
    </row>
    <row r="958">
      <c r="O958" s="31"/>
    </row>
    <row r="959">
      <c r="O959" s="31"/>
    </row>
    <row r="960">
      <c r="O960" s="31"/>
    </row>
    <row r="961">
      <c r="O961" s="31"/>
    </row>
    <row r="962">
      <c r="O962" s="31"/>
    </row>
    <row r="963">
      <c r="O963" s="31"/>
    </row>
    <row r="964">
      <c r="O964" s="31"/>
    </row>
    <row r="965">
      <c r="O965" s="31"/>
    </row>
    <row r="966">
      <c r="O966" s="31"/>
    </row>
    <row r="967">
      <c r="O967" s="31"/>
    </row>
    <row r="968">
      <c r="O968" s="31"/>
    </row>
    <row r="969">
      <c r="O969" s="31"/>
    </row>
    <row r="970">
      <c r="O970" s="31"/>
    </row>
    <row r="971">
      <c r="O971" s="31"/>
    </row>
    <row r="972">
      <c r="O972" s="31"/>
    </row>
    <row r="973">
      <c r="O973" s="31"/>
    </row>
    <row r="974">
      <c r="O974" s="31"/>
    </row>
    <row r="975">
      <c r="O975" s="31"/>
    </row>
    <row r="976">
      <c r="O976" s="31"/>
    </row>
    <row r="977">
      <c r="O977" s="31"/>
    </row>
    <row r="978">
      <c r="O978" s="31"/>
    </row>
    <row r="979">
      <c r="O979" s="31"/>
    </row>
    <row r="980">
      <c r="O980" s="31"/>
    </row>
    <row r="981">
      <c r="O981" s="31"/>
    </row>
    <row r="982">
      <c r="O982" s="31"/>
    </row>
    <row r="983">
      <c r="O983" s="31"/>
    </row>
    <row r="984">
      <c r="O984" s="31"/>
    </row>
    <row r="985">
      <c r="O985" s="31"/>
    </row>
    <row r="986">
      <c r="O986" s="31"/>
    </row>
    <row r="987">
      <c r="O987" s="31"/>
    </row>
    <row r="988">
      <c r="O988" s="31"/>
    </row>
    <row r="989">
      <c r="O989" s="31"/>
    </row>
    <row r="990">
      <c r="O990" s="31"/>
    </row>
    <row r="991">
      <c r="O991" s="31"/>
    </row>
    <row r="992">
      <c r="O992" s="31"/>
    </row>
    <row r="993">
      <c r="O993" s="31"/>
    </row>
    <row r="994">
      <c r="O994" s="31"/>
    </row>
    <row r="995">
      <c r="O995" s="31"/>
    </row>
    <row r="996">
      <c r="O996" s="31"/>
    </row>
    <row r="997">
      <c r="O997" s="31"/>
    </row>
    <row r="998">
      <c r="O998" s="31"/>
    </row>
    <row r="999">
      <c r="O999" s="31"/>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B4"/>
    <hyperlink r:id="rId2" ref="L13"/>
    <hyperlink r:id="rId3" ref="L15"/>
    <hyperlink r:id="rId4" ref="L16"/>
    <hyperlink r:id="rId5" ref="L17"/>
    <hyperlink r:id="rId6" ref="L18"/>
    <hyperlink r:id="rId7" ref="L19"/>
    <hyperlink r:id="rId8" ref="L20"/>
    <hyperlink r:id="rId9" ref="L21"/>
    <hyperlink r:id="rId10" ref="L22"/>
    <hyperlink r:id="rId11" ref="L23"/>
    <hyperlink r:id="rId12" ref="L24"/>
    <hyperlink r:id="rId13" ref="L25"/>
    <hyperlink r:id="rId14" ref="L26"/>
    <hyperlink r:id="rId15" ref="L27"/>
    <hyperlink r:id="rId16" ref="L28"/>
    <hyperlink r:id="rId17" ref="L29"/>
    <hyperlink r:id="rId18" ref="L30"/>
    <hyperlink r:id="rId19" ref="L31"/>
    <hyperlink r:id="rId20" ref="L32"/>
    <hyperlink r:id="rId21" ref="L33"/>
    <hyperlink r:id="rId22" ref="L34"/>
    <hyperlink r:id="rId23" ref="L35"/>
    <hyperlink r:id="rId24" ref="L36"/>
    <hyperlink r:id="rId25" ref="L37"/>
    <hyperlink r:id="rId26" ref="L38"/>
    <hyperlink r:id="rId27" ref="L39"/>
    <hyperlink r:id="rId28" ref="L40"/>
    <hyperlink r:id="rId29" ref="L41"/>
    <hyperlink r:id="rId30" ref="L42"/>
    <hyperlink r:id="rId31" ref="L43"/>
    <hyperlink r:id="rId32" ref="L44"/>
    <hyperlink r:id="rId33" ref="L45"/>
    <hyperlink r:id="rId34" ref="L46"/>
    <hyperlink r:id="rId35" ref="L47"/>
    <hyperlink r:id="rId36" ref="L48"/>
    <hyperlink r:id="rId37" ref="L49"/>
  </hyperlinks>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4.13"/>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33" t="s">
        <v>0</v>
      </c>
      <c r="B1" s="34" t="s">
        <v>1</v>
      </c>
      <c r="C1" s="35"/>
      <c r="D1" s="35"/>
      <c r="E1" s="35"/>
      <c r="F1" s="35"/>
      <c r="G1" s="35"/>
      <c r="H1" s="35"/>
      <c r="I1" s="35"/>
      <c r="J1" s="35"/>
      <c r="K1" s="35"/>
      <c r="L1" s="35"/>
      <c r="M1" s="35"/>
      <c r="N1" s="35"/>
      <c r="O1" s="35"/>
      <c r="P1" s="35"/>
      <c r="Q1" s="35"/>
      <c r="R1" s="35"/>
      <c r="S1" s="35"/>
      <c r="T1" s="35"/>
      <c r="U1" s="35"/>
      <c r="V1" s="35"/>
      <c r="W1" s="35"/>
      <c r="X1" s="35"/>
      <c r="Y1" s="35"/>
      <c r="Z1" s="35"/>
      <c r="AA1" s="35"/>
    </row>
    <row r="2">
      <c r="A2" s="33" t="s">
        <v>4</v>
      </c>
      <c r="B2" s="36"/>
      <c r="C2" s="35"/>
      <c r="D2" s="35"/>
      <c r="E2" s="35"/>
      <c r="F2" s="35"/>
      <c r="G2" s="35"/>
      <c r="H2" s="35"/>
      <c r="I2" s="35"/>
      <c r="J2" s="35"/>
      <c r="K2" s="35"/>
      <c r="L2" s="35"/>
      <c r="M2" s="35"/>
      <c r="N2" s="35"/>
      <c r="O2" s="35"/>
      <c r="P2" s="35"/>
      <c r="Q2" s="35"/>
      <c r="R2" s="35"/>
      <c r="S2" s="35"/>
      <c r="T2" s="35"/>
      <c r="U2" s="35"/>
      <c r="V2" s="35"/>
      <c r="W2" s="35"/>
      <c r="X2" s="35"/>
      <c r="Y2" s="35"/>
      <c r="Z2" s="35"/>
      <c r="AA2" s="35"/>
    </row>
    <row r="3">
      <c r="A3" s="33" t="s">
        <v>10</v>
      </c>
      <c r="B3" s="34" t="s">
        <v>11</v>
      </c>
      <c r="C3" s="35"/>
      <c r="D3" s="35"/>
      <c r="E3" s="35"/>
      <c r="F3" s="35"/>
      <c r="G3" s="35"/>
      <c r="H3" s="35"/>
      <c r="I3" s="35"/>
      <c r="J3" s="35"/>
      <c r="K3" s="35"/>
      <c r="L3" s="35"/>
      <c r="M3" s="35"/>
      <c r="N3" s="35"/>
      <c r="O3" s="35"/>
      <c r="P3" s="35"/>
      <c r="Q3" s="35"/>
      <c r="R3" s="35"/>
      <c r="S3" s="35"/>
      <c r="T3" s="35"/>
      <c r="U3" s="35"/>
      <c r="V3" s="35"/>
      <c r="W3" s="35"/>
      <c r="X3" s="35"/>
      <c r="Y3" s="35"/>
      <c r="Z3" s="35"/>
      <c r="AA3" s="35"/>
    </row>
    <row r="4">
      <c r="A4" s="33" t="s">
        <v>13</v>
      </c>
      <c r="B4" s="37" t="s">
        <v>91</v>
      </c>
      <c r="C4" s="35"/>
      <c r="D4" s="35"/>
      <c r="E4" s="35"/>
      <c r="F4" s="35"/>
      <c r="G4" s="35"/>
      <c r="H4" s="35"/>
      <c r="I4" s="35"/>
      <c r="J4" s="35"/>
      <c r="K4" s="35"/>
      <c r="L4" s="35"/>
      <c r="M4" s="35"/>
      <c r="N4" s="35"/>
      <c r="O4" s="35"/>
      <c r="P4" s="35"/>
      <c r="Q4" s="35"/>
      <c r="R4" s="35"/>
      <c r="S4" s="35"/>
      <c r="T4" s="35"/>
      <c r="U4" s="35"/>
      <c r="V4" s="35"/>
      <c r="W4" s="35"/>
      <c r="X4" s="35"/>
      <c r="Y4" s="35"/>
      <c r="Z4" s="35"/>
      <c r="AA4" s="35"/>
    </row>
    <row r="5">
      <c r="A5" s="38" t="s">
        <v>92</v>
      </c>
      <c r="B5" s="37" t="s">
        <v>93</v>
      </c>
      <c r="C5" s="35"/>
      <c r="D5" s="35"/>
      <c r="E5" s="35"/>
      <c r="F5" s="35"/>
      <c r="G5" s="35"/>
      <c r="H5" s="35"/>
      <c r="I5" s="35"/>
      <c r="J5" s="35"/>
      <c r="K5" s="35"/>
      <c r="L5" s="35"/>
      <c r="M5" s="35"/>
      <c r="N5" s="35"/>
      <c r="O5" s="35"/>
      <c r="P5" s="35"/>
      <c r="Q5" s="35"/>
      <c r="R5" s="35"/>
      <c r="S5" s="35"/>
      <c r="T5" s="35"/>
      <c r="U5" s="35"/>
      <c r="V5" s="35"/>
      <c r="W5" s="35"/>
      <c r="X5" s="35"/>
      <c r="Y5" s="35"/>
      <c r="Z5" s="35"/>
      <c r="AA5" s="35"/>
    </row>
    <row r="6">
      <c r="A6" s="35"/>
      <c r="B6" s="35"/>
      <c r="C6" s="35"/>
      <c r="D6" s="35"/>
      <c r="E6" s="35"/>
      <c r="F6" s="35"/>
      <c r="G6" s="35"/>
      <c r="H6" s="35"/>
      <c r="I6" s="35"/>
      <c r="J6" s="35"/>
      <c r="K6" s="35"/>
      <c r="L6" s="35"/>
      <c r="M6" s="35"/>
      <c r="N6" s="35"/>
      <c r="O6" s="35"/>
      <c r="P6" s="35"/>
      <c r="Q6" s="35"/>
      <c r="R6" s="35"/>
      <c r="S6" s="35"/>
      <c r="T6" s="35"/>
      <c r="U6" s="35"/>
      <c r="V6" s="35"/>
      <c r="W6" s="35"/>
      <c r="X6" s="35"/>
      <c r="Y6" s="35"/>
      <c r="Z6" s="35"/>
      <c r="AA6" s="35"/>
    </row>
    <row r="7">
      <c r="A7" s="39" t="s">
        <v>94</v>
      </c>
      <c r="B7" s="39" t="s">
        <v>18</v>
      </c>
      <c r="C7" s="39" t="s">
        <v>19</v>
      </c>
      <c r="D7" s="39" t="s">
        <v>20</v>
      </c>
      <c r="E7" s="39" t="s">
        <v>21</v>
      </c>
      <c r="F7" s="39" t="s">
        <v>22</v>
      </c>
      <c r="G7" s="39" t="s">
        <v>23</v>
      </c>
      <c r="H7" s="39" t="s">
        <v>24</v>
      </c>
      <c r="I7" s="39" t="s">
        <v>25</v>
      </c>
      <c r="J7" s="39" t="s">
        <v>26</v>
      </c>
      <c r="K7" s="39" t="s">
        <v>2</v>
      </c>
      <c r="L7" s="39" t="s">
        <v>27</v>
      </c>
      <c r="M7" s="39" t="s">
        <v>28</v>
      </c>
      <c r="N7" s="39" t="s">
        <v>30</v>
      </c>
      <c r="O7" s="40" t="s">
        <v>32</v>
      </c>
      <c r="P7" s="41"/>
      <c r="Q7" s="41"/>
      <c r="R7" s="41"/>
      <c r="S7" s="41"/>
      <c r="T7" s="41"/>
      <c r="U7" s="41"/>
      <c r="V7" s="41"/>
      <c r="W7" s="41"/>
      <c r="X7" s="41"/>
      <c r="Y7" s="41"/>
      <c r="Z7" s="41"/>
      <c r="AA7" s="41"/>
    </row>
    <row r="8">
      <c r="A8" s="42" t="s">
        <v>95</v>
      </c>
      <c r="B8" s="43" t="s">
        <v>96</v>
      </c>
      <c r="C8" s="43" t="s">
        <v>96</v>
      </c>
      <c r="D8" s="42" t="s">
        <v>97</v>
      </c>
      <c r="E8" s="42" t="s">
        <v>98</v>
      </c>
      <c r="F8" s="44" t="s">
        <v>99</v>
      </c>
      <c r="G8" s="42" t="s">
        <v>100</v>
      </c>
      <c r="H8" s="42" t="s">
        <v>101</v>
      </c>
      <c r="I8" s="42" t="s">
        <v>102</v>
      </c>
      <c r="J8" s="42" t="s">
        <v>103</v>
      </c>
      <c r="K8" s="42" t="s">
        <v>6</v>
      </c>
      <c r="L8" s="45" t="s">
        <v>104</v>
      </c>
      <c r="M8" s="42"/>
      <c r="N8" s="42"/>
      <c r="O8" s="42"/>
      <c r="P8" s="46"/>
      <c r="Q8" s="46"/>
      <c r="R8" s="46"/>
      <c r="S8" s="46"/>
      <c r="T8" s="46"/>
      <c r="U8" s="46"/>
      <c r="V8" s="46"/>
      <c r="W8" s="46"/>
      <c r="X8" s="46"/>
      <c r="Y8" s="46"/>
      <c r="Z8" s="46"/>
      <c r="AA8" s="46"/>
    </row>
    <row r="9">
      <c r="A9" s="46"/>
      <c r="B9" s="46"/>
      <c r="C9" s="46"/>
      <c r="D9" s="46"/>
      <c r="E9" s="46"/>
      <c r="F9" s="47"/>
      <c r="G9" s="46"/>
      <c r="H9" s="46"/>
      <c r="I9" s="46"/>
      <c r="J9" s="46"/>
      <c r="K9" s="46"/>
      <c r="L9" s="46"/>
      <c r="M9" s="46"/>
      <c r="N9" s="46"/>
      <c r="O9" s="46"/>
      <c r="P9" s="46"/>
      <c r="Q9" s="46"/>
      <c r="R9" s="46"/>
      <c r="S9" s="46"/>
      <c r="T9" s="46"/>
      <c r="U9" s="46"/>
      <c r="V9" s="46"/>
      <c r="W9" s="46"/>
      <c r="X9" s="46"/>
      <c r="Y9" s="46"/>
      <c r="Z9" s="46"/>
      <c r="AA9" s="46"/>
    </row>
    <row r="10">
      <c r="A10" s="43" t="s">
        <v>105</v>
      </c>
      <c r="B10" s="43" t="s">
        <v>106</v>
      </c>
      <c r="C10" s="43" t="s">
        <v>107</v>
      </c>
      <c r="D10" s="43" t="s">
        <v>108</v>
      </c>
      <c r="E10" s="43" t="s">
        <v>98</v>
      </c>
      <c r="F10" s="48" t="s">
        <v>109</v>
      </c>
      <c r="G10" s="43" t="s">
        <v>110</v>
      </c>
      <c r="H10" s="43" t="s">
        <v>111</v>
      </c>
      <c r="I10" s="43" t="s">
        <v>112</v>
      </c>
      <c r="J10" s="43" t="s">
        <v>103</v>
      </c>
      <c r="K10" s="43" t="s">
        <v>6</v>
      </c>
      <c r="L10" s="49" t="s">
        <v>113</v>
      </c>
      <c r="M10" s="43"/>
      <c r="N10" s="43"/>
      <c r="O10" s="43"/>
      <c r="P10" s="46"/>
      <c r="Q10" s="46"/>
      <c r="R10" s="46"/>
      <c r="S10" s="46"/>
      <c r="T10" s="46"/>
      <c r="U10" s="46"/>
      <c r="V10" s="46"/>
      <c r="W10" s="46"/>
      <c r="X10" s="46"/>
      <c r="Y10" s="46"/>
      <c r="Z10" s="46"/>
      <c r="AA10" s="46"/>
    </row>
    <row r="11">
      <c r="A11" s="46"/>
      <c r="B11" s="46"/>
      <c r="C11" s="46"/>
      <c r="D11" s="46"/>
      <c r="E11" s="46"/>
      <c r="F11" s="47"/>
      <c r="G11" s="46"/>
      <c r="H11" s="46"/>
      <c r="I11" s="46"/>
      <c r="J11" s="46"/>
      <c r="K11" s="46"/>
      <c r="L11" s="46"/>
      <c r="M11" s="46"/>
      <c r="N11" s="46"/>
      <c r="O11" s="46"/>
      <c r="P11" s="46"/>
      <c r="Q11" s="46"/>
      <c r="R11" s="46"/>
      <c r="S11" s="46"/>
      <c r="T11" s="46"/>
      <c r="U11" s="46"/>
      <c r="V11" s="46"/>
      <c r="W11" s="46"/>
      <c r="X11" s="46"/>
      <c r="Y11" s="46"/>
      <c r="Z11" s="46"/>
      <c r="AA11" s="46"/>
    </row>
    <row r="12">
      <c r="A12" s="43" t="s">
        <v>114</v>
      </c>
      <c r="B12" s="43" t="s">
        <v>106</v>
      </c>
      <c r="C12" s="43" t="s">
        <v>107</v>
      </c>
      <c r="D12" s="43" t="s">
        <v>115</v>
      </c>
      <c r="E12" s="43" t="s">
        <v>98</v>
      </c>
      <c r="F12" s="48" t="s">
        <v>109</v>
      </c>
      <c r="G12" s="43" t="s">
        <v>110</v>
      </c>
      <c r="H12" s="43" t="s">
        <v>116</v>
      </c>
      <c r="I12" s="43" t="s">
        <v>117</v>
      </c>
      <c r="J12" s="43" t="s">
        <v>103</v>
      </c>
      <c r="K12" s="43" t="s">
        <v>9</v>
      </c>
      <c r="L12" s="50" t="s">
        <v>118</v>
      </c>
      <c r="M12" s="51"/>
      <c r="N12" s="43"/>
      <c r="O12" s="43"/>
      <c r="P12" s="46"/>
      <c r="Q12" s="46"/>
      <c r="R12" s="46"/>
      <c r="S12" s="46"/>
      <c r="T12" s="46"/>
      <c r="U12" s="46"/>
      <c r="V12" s="46"/>
      <c r="W12" s="46"/>
      <c r="X12" s="46"/>
      <c r="Y12" s="46"/>
      <c r="Z12" s="46"/>
      <c r="AA12" s="46"/>
    </row>
    <row r="13">
      <c r="A13" s="46"/>
      <c r="B13" s="46"/>
      <c r="C13" s="46"/>
      <c r="D13" s="46"/>
      <c r="E13" s="46"/>
      <c r="F13" s="47"/>
      <c r="G13" s="46"/>
      <c r="H13" s="46"/>
      <c r="I13" s="46"/>
      <c r="J13" s="46"/>
      <c r="K13" s="46"/>
      <c r="L13" s="46"/>
      <c r="M13" s="46"/>
      <c r="N13" s="46"/>
      <c r="O13" s="46"/>
      <c r="P13" s="46"/>
      <c r="Q13" s="46"/>
      <c r="R13" s="46"/>
      <c r="S13" s="46"/>
      <c r="T13" s="46"/>
      <c r="U13" s="46"/>
      <c r="V13" s="46"/>
      <c r="W13" s="46"/>
      <c r="X13" s="46"/>
      <c r="Y13" s="46"/>
      <c r="Z13" s="46"/>
      <c r="AA13" s="46"/>
    </row>
    <row r="14">
      <c r="A14" s="43" t="s">
        <v>119</v>
      </c>
      <c r="B14" s="43" t="s">
        <v>106</v>
      </c>
      <c r="C14" s="43" t="s">
        <v>107</v>
      </c>
      <c r="D14" s="43" t="s">
        <v>120</v>
      </c>
      <c r="E14" s="43" t="s">
        <v>98</v>
      </c>
      <c r="F14" s="48" t="s">
        <v>109</v>
      </c>
      <c r="G14" s="43" t="s">
        <v>110</v>
      </c>
      <c r="H14" s="43" t="s">
        <v>121</v>
      </c>
      <c r="I14" s="43" t="s">
        <v>122</v>
      </c>
      <c r="J14" s="43" t="s">
        <v>103</v>
      </c>
      <c r="K14" s="43" t="s">
        <v>6</v>
      </c>
      <c r="L14" s="49" t="s">
        <v>123</v>
      </c>
      <c r="M14" s="52"/>
      <c r="N14" s="43"/>
      <c r="O14" s="43"/>
      <c r="P14" s="46"/>
      <c r="Q14" s="46"/>
      <c r="R14" s="46"/>
      <c r="S14" s="46"/>
      <c r="T14" s="46"/>
      <c r="U14" s="46"/>
      <c r="V14" s="46"/>
      <c r="W14" s="46"/>
      <c r="X14" s="46"/>
      <c r="Y14" s="46"/>
      <c r="Z14" s="46"/>
      <c r="AA14" s="46"/>
    </row>
    <row r="15">
      <c r="A15" s="46"/>
      <c r="B15" s="46"/>
      <c r="C15" s="46"/>
      <c r="D15" s="46"/>
      <c r="E15" s="46"/>
      <c r="F15" s="47"/>
      <c r="G15" s="46"/>
      <c r="H15" s="46"/>
      <c r="I15" s="46"/>
      <c r="J15" s="46"/>
      <c r="K15" s="46"/>
      <c r="L15" s="46"/>
      <c r="M15" s="46"/>
      <c r="N15" s="46"/>
      <c r="O15" s="46"/>
      <c r="P15" s="46"/>
      <c r="Q15" s="46"/>
      <c r="R15" s="46"/>
      <c r="S15" s="46"/>
      <c r="T15" s="46"/>
      <c r="U15" s="46"/>
      <c r="V15" s="46"/>
      <c r="W15" s="46"/>
      <c r="X15" s="46"/>
      <c r="Y15" s="46"/>
      <c r="Z15" s="46"/>
      <c r="AA15" s="46"/>
    </row>
    <row r="16">
      <c r="A16" s="43" t="s">
        <v>124</v>
      </c>
      <c r="B16" s="43" t="s">
        <v>106</v>
      </c>
      <c r="C16" s="43" t="s">
        <v>107</v>
      </c>
      <c r="D16" s="43" t="s">
        <v>125</v>
      </c>
      <c r="E16" s="43" t="s">
        <v>98</v>
      </c>
      <c r="F16" s="48" t="s">
        <v>109</v>
      </c>
      <c r="G16" s="43" t="s">
        <v>110</v>
      </c>
      <c r="H16" s="43" t="s">
        <v>126</v>
      </c>
      <c r="I16" s="43" t="s">
        <v>127</v>
      </c>
      <c r="J16" s="43" t="s">
        <v>103</v>
      </c>
      <c r="K16" s="43" t="s">
        <v>9</v>
      </c>
      <c r="L16" s="49" t="s">
        <v>128</v>
      </c>
      <c r="M16" s="51"/>
      <c r="N16" s="43"/>
      <c r="O16" s="43"/>
      <c r="P16" s="46"/>
      <c r="Q16" s="46"/>
      <c r="R16" s="46"/>
      <c r="S16" s="46"/>
      <c r="T16" s="46"/>
      <c r="U16" s="46"/>
      <c r="V16" s="46"/>
      <c r="W16" s="46"/>
      <c r="X16" s="46"/>
      <c r="Y16" s="46"/>
      <c r="Z16" s="46"/>
      <c r="AA16" s="46"/>
    </row>
    <row r="17">
      <c r="A17" s="46"/>
      <c r="B17" s="46"/>
      <c r="C17" s="46"/>
      <c r="D17" s="46"/>
      <c r="E17" s="46"/>
      <c r="F17" s="47"/>
      <c r="G17" s="46"/>
      <c r="H17" s="46"/>
      <c r="I17" s="46"/>
      <c r="J17" s="46"/>
      <c r="K17" s="46"/>
      <c r="L17" s="46"/>
      <c r="M17" s="46"/>
      <c r="N17" s="46"/>
      <c r="O17" s="46"/>
      <c r="P17" s="46"/>
      <c r="Q17" s="46"/>
      <c r="R17" s="46"/>
      <c r="S17" s="46"/>
      <c r="T17" s="46"/>
      <c r="U17" s="46"/>
      <c r="V17" s="46"/>
      <c r="W17" s="46"/>
      <c r="X17" s="46"/>
      <c r="Y17" s="46"/>
      <c r="Z17" s="46"/>
      <c r="AA17" s="46"/>
    </row>
    <row r="18">
      <c r="A18" s="43" t="s">
        <v>129</v>
      </c>
      <c r="B18" s="43" t="s">
        <v>130</v>
      </c>
      <c r="C18" s="43" t="s">
        <v>131</v>
      </c>
      <c r="D18" s="43" t="s">
        <v>132</v>
      </c>
      <c r="E18" s="43" t="s">
        <v>98</v>
      </c>
      <c r="F18" s="48" t="s">
        <v>133</v>
      </c>
      <c r="G18" s="43" t="s">
        <v>110</v>
      </c>
      <c r="H18" s="43" t="s">
        <v>134</v>
      </c>
      <c r="I18" s="43" t="s">
        <v>135</v>
      </c>
      <c r="J18" s="43" t="s">
        <v>103</v>
      </c>
      <c r="K18" s="43" t="s">
        <v>6</v>
      </c>
      <c r="L18" s="49" t="s">
        <v>136</v>
      </c>
      <c r="M18" s="51"/>
      <c r="N18" s="43"/>
      <c r="O18" s="43"/>
      <c r="P18" s="46"/>
      <c r="Q18" s="46"/>
      <c r="R18" s="46"/>
      <c r="S18" s="46"/>
      <c r="T18" s="46"/>
      <c r="U18" s="46"/>
      <c r="V18" s="46"/>
      <c r="W18" s="46"/>
      <c r="X18" s="46"/>
      <c r="Y18" s="46"/>
      <c r="Z18" s="46"/>
      <c r="AA18" s="46"/>
    </row>
    <row r="19">
      <c r="A19" s="46"/>
      <c r="B19" s="46"/>
      <c r="C19" s="46"/>
      <c r="D19" s="46"/>
      <c r="E19" s="46"/>
      <c r="F19" s="47"/>
      <c r="G19" s="46"/>
      <c r="H19" s="46"/>
      <c r="I19" s="46"/>
      <c r="J19" s="46"/>
      <c r="K19" s="46"/>
      <c r="L19" s="46"/>
      <c r="M19" s="46"/>
      <c r="N19" s="46"/>
      <c r="O19" s="46"/>
      <c r="P19" s="46"/>
      <c r="Q19" s="46"/>
      <c r="R19" s="46"/>
      <c r="S19" s="46"/>
      <c r="T19" s="46"/>
      <c r="U19" s="46"/>
      <c r="V19" s="46"/>
      <c r="W19" s="46"/>
      <c r="X19" s="46"/>
      <c r="Y19" s="46"/>
      <c r="Z19" s="46"/>
      <c r="AA19" s="46"/>
    </row>
    <row r="20">
      <c r="A20" s="43" t="s">
        <v>137</v>
      </c>
      <c r="B20" s="43" t="s">
        <v>130</v>
      </c>
      <c r="C20" s="43" t="s">
        <v>131</v>
      </c>
      <c r="D20" s="43" t="s">
        <v>138</v>
      </c>
      <c r="E20" s="43" t="s">
        <v>98</v>
      </c>
      <c r="F20" s="48" t="s">
        <v>133</v>
      </c>
      <c r="G20" s="43" t="s">
        <v>110</v>
      </c>
      <c r="H20" s="43" t="s">
        <v>139</v>
      </c>
      <c r="I20" s="43" t="s">
        <v>140</v>
      </c>
      <c r="J20" s="43" t="s">
        <v>103</v>
      </c>
      <c r="K20" s="43" t="s">
        <v>6</v>
      </c>
      <c r="L20" s="49" t="s">
        <v>141</v>
      </c>
      <c r="M20" s="51"/>
      <c r="N20" s="43"/>
      <c r="O20" s="43"/>
      <c r="P20" s="46"/>
      <c r="Q20" s="46"/>
      <c r="R20" s="46"/>
      <c r="S20" s="46"/>
      <c r="T20" s="46"/>
      <c r="U20" s="46"/>
      <c r="V20" s="46"/>
      <c r="W20" s="46"/>
      <c r="X20" s="46"/>
      <c r="Y20" s="46"/>
      <c r="Z20" s="46"/>
      <c r="AA20" s="46"/>
    </row>
    <row r="21">
      <c r="A21" s="46"/>
      <c r="B21" s="46"/>
      <c r="C21" s="46"/>
      <c r="D21" s="46"/>
      <c r="E21" s="46"/>
      <c r="F21" s="47"/>
      <c r="G21" s="46"/>
      <c r="H21" s="46"/>
      <c r="I21" s="46"/>
      <c r="J21" s="46"/>
      <c r="K21" s="46"/>
      <c r="L21" s="46"/>
      <c r="M21" s="46"/>
      <c r="N21" s="46"/>
      <c r="O21" s="46"/>
      <c r="P21" s="46"/>
      <c r="Q21" s="46"/>
      <c r="R21" s="46"/>
      <c r="S21" s="46"/>
      <c r="T21" s="46"/>
      <c r="U21" s="46"/>
      <c r="V21" s="46"/>
      <c r="W21" s="46"/>
      <c r="X21" s="46"/>
      <c r="Y21" s="46"/>
      <c r="Z21" s="46"/>
      <c r="AA21" s="46"/>
    </row>
    <row r="22">
      <c r="A22" s="43" t="s">
        <v>142</v>
      </c>
      <c r="B22" s="43" t="s">
        <v>130</v>
      </c>
      <c r="C22" s="43" t="s">
        <v>131</v>
      </c>
      <c r="D22" s="43" t="s">
        <v>143</v>
      </c>
      <c r="E22" s="43" t="s">
        <v>98</v>
      </c>
      <c r="F22" s="48" t="s">
        <v>133</v>
      </c>
      <c r="G22" s="43" t="s">
        <v>110</v>
      </c>
      <c r="H22" s="43" t="s">
        <v>144</v>
      </c>
      <c r="I22" s="43" t="s">
        <v>145</v>
      </c>
      <c r="J22" s="43" t="s">
        <v>103</v>
      </c>
      <c r="K22" s="43" t="s">
        <v>9</v>
      </c>
      <c r="L22" s="49" t="s">
        <v>146</v>
      </c>
      <c r="M22" s="53" t="s">
        <v>147</v>
      </c>
      <c r="N22" s="43"/>
      <c r="O22" s="43"/>
      <c r="P22" s="46"/>
      <c r="Q22" s="46"/>
      <c r="R22" s="46"/>
      <c r="S22" s="46"/>
      <c r="T22" s="46"/>
      <c r="U22" s="46"/>
      <c r="V22" s="46"/>
      <c r="W22" s="46"/>
      <c r="X22" s="46"/>
      <c r="Y22" s="46"/>
      <c r="Z22" s="46"/>
      <c r="AA22" s="46"/>
    </row>
    <row r="23">
      <c r="A23" s="46"/>
      <c r="B23" s="46"/>
      <c r="C23" s="46"/>
      <c r="D23" s="46"/>
      <c r="E23" s="46"/>
      <c r="F23" s="47"/>
      <c r="G23" s="46"/>
      <c r="H23" s="46"/>
      <c r="I23" s="46"/>
      <c r="J23" s="46"/>
      <c r="K23" s="46"/>
      <c r="L23" s="46"/>
      <c r="M23" s="46"/>
      <c r="N23" s="46"/>
      <c r="O23" s="46"/>
      <c r="P23" s="46"/>
      <c r="Q23" s="46"/>
      <c r="R23" s="46"/>
      <c r="S23" s="46"/>
      <c r="T23" s="46"/>
      <c r="U23" s="46"/>
      <c r="V23" s="46"/>
      <c r="W23" s="46"/>
      <c r="X23" s="46"/>
      <c r="Y23" s="46"/>
      <c r="Z23" s="46"/>
      <c r="AA23" s="46"/>
    </row>
    <row r="24">
      <c r="A24" s="43" t="s">
        <v>148</v>
      </c>
      <c r="B24" s="43" t="s">
        <v>149</v>
      </c>
      <c r="C24" s="43" t="s">
        <v>149</v>
      </c>
      <c r="D24" s="43" t="s">
        <v>132</v>
      </c>
      <c r="E24" s="43" t="s">
        <v>98</v>
      </c>
      <c r="F24" s="48" t="s">
        <v>150</v>
      </c>
      <c r="G24" s="43" t="s">
        <v>110</v>
      </c>
      <c r="H24" s="43" t="s">
        <v>134</v>
      </c>
      <c r="I24" s="43" t="s">
        <v>135</v>
      </c>
      <c r="J24" s="43" t="s">
        <v>103</v>
      </c>
      <c r="K24" s="43" t="s">
        <v>6</v>
      </c>
      <c r="L24" s="49" t="s">
        <v>151</v>
      </c>
      <c r="M24" s="51"/>
      <c r="N24" s="51"/>
      <c r="O24" s="43"/>
      <c r="P24" s="46"/>
      <c r="Q24" s="46"/>
      <c r="R24" s="46"/>
      <c r="S24" s="46"/>
      <c r="T24" s="46"/>
      <c r="U24" s="46"/>
      <c r="V24" s="46"/>
      <c r="W24" s="46"/>
      <c r="X24" s="46"/>
      <c r="Y24" s="46"/>
      <c r="Z24" s="46"/>
      <c r="AA24" s="46"/>
    </row>
    <row r="25">
      <c r="A25" s="46"/>
      <c r="B25" s="46"/>
      <c r="C25" s="46"/>
      <c r="D25" s="46"/>
      <c r="E25" s="46"/>
      <c r="F25" s="47"/>
      <c r="G25" s="46"/>
      <c r="H25" s="46"/>
      <c r="I25" s="46"/>
      <c r="J25" s="46"/>
      <c r="K25" s="46"/>
      <c r="L25" s="46"/>
      <c r="M25" s="46"/>
      <c r="N25" s="46"/>
      <c r="O25" s="46"/>
      <c r="P25" s="46"/>
      <c r="Q25" s="46"/>
      <c r="R25" s="46"/>
      <c r="S25" s="46"/>
      <c r="T25" s="46"/>
      <c r="U25" s="46"/>
      <c r="V25" s="46"/>
      <c r="W25" s="46"/>
      <c r="X25" s="46"/>
      <c r="Y25" s="46"/>
      <c r="Z25" s="46"/>
      <c r="AA25" s="46"/>
    </row>
    <row r="26">
      <c r="A26" s="43" t="s">
        <v>152</v>
      </c>
      <c r="B26" s="43" t="s">
        <v>149</v>
      </c>
      <c r="C26" s="43" t="s">
        <v>149</v>
      </c>
      <c r="D26" s="43" t="s">
        <v>138</v>
      </c>
      <c r="E26" s="43" t="s">
        <v>98</v>
      </c>
      <c r="F26" s="48" t="s">
        <v>150</v>
      </c>
      <c r="G26" s="43" t="s">
        <v>110</v>
      </c>
      <c r="H26" s="43" t="s">
        <v>139</v>
      </c>
      <c r="I26" s="43" t="s">
        <v>140</v>
      </c>
      <c r="J26" s="43" t="s">
        <v>103</v>
      </c>
      <c r="K26" s="43" t="s">
        <v>6</v>
      </c>
      <c r="L26" s="53" t="s">
        <v>153</v>
      </c>
      <c r="M26" s="43" t="s">
        <v>154</v>
      </c>
      <c r="N26" s="51"/>
      <c r="O26" s="43"/>
      <c r="P26" s="46"/>
      <c r="Q26" s="46"/>
      <c r="R26" s="46"/>
      <c r="S26" s="46"/>
      <c r="T26" s="46"/>
      <c r="U26" s="46"/>
      <c r="V26" s="46"/>
      <c r="W26" s="46"/>
      <c r="X26" s="46"/>
      <c r="Y26" s="46"/>
      <c r="Z26" s="46"/>
      <c r="AA26" s="46"/>
    </row>
    <row r="27">
      <c r="A27" s="46"/>
      <c r="B27" s="46"/>
      <c r="C27" s="46"/>
      <c r="D27" s="46"/>
      <c r="E27" s="46"/>
      <c r="F27" s="47"/>
      <c r="G27" s="46"/>
      <c r="H27" s="46"/>
      <c r="I27" s="46"/>
      <c r="J27" s="46"/>
      <c r="K27" s="46"/>
      <c r="L27" s="46"/>
      <c r="M27" s="46"/>
      <c r="N27" s="46"/>
      <c r="O27" s="46"/>
      <c r="P27" s="46"/>
      <c r="Q27" s="46"/>
      <c r="R27" s="46"/>
      <c r="S27" s="46"/>
      <c r="T27" s="46"/>
      <c r="U27" s="46"/>
      <c r="V27" s="46"/>
      <c r="W27" s="46"/>
      <c r="X27" s="46"/>
      <c r="Y27" s="46"/>
      <c r="Z27" s="46"/>
      <c r="AA27" s="46"/>
    </row>
    <row r="28">
      <c r="A28" s="43" t="s">
        <v>155</v>
      </c>
      <c r="B28" s="43" t="s">
        <v>156</v>
      </c>
      <c r="C28" s="43" t="s">
        <v>157</v>
      </c>
      <c r="D28" s="43" t="s">
        <v>158</v>
      </c>
      <c r="E28" s="43" t="s">
        <v>98</v>
      </c>
      <c r="F28" s="48" t="s">
        <v>159</v>
      </c>
      <c r="G28" s="43" t="s">
        <v>110</v>
      </c>
      <c r="H28" s="43" t="s">
        <v>160</v>
      </c>
      <c r="I28" s="43" t="s">
        <v>161</v>
      </c>
      <c r="J28" s="43" t="s">
        <v>103</v>
      </c>
      <c r="K28" s="43" t="s">
        <v>6</v>
      </c>
      <c r="L28" s="49"/>
      <c r="M28" s="51"/>
      <c r="N28" s="51"/>
      <c r="O28" s="43"/>
      <c r="P28" s="46"/>
      <c r="Q28" s="46"/>
      <c r="R28" s="46"/>
      <c r="S28" s="46"/>
      <c r="T28" s="46"/>
      <c r="U28" s="46"/>
      <c r="V28" s="46"/>
      <c r="W28" s="46"/>
      <c r="X28" s="46"/>
      <c r="Y28" s="46"/>
      <c r="Z28" s="46"/>
      <c r="AA28" s="46"/>
    </row>
    <row r="29">
      <c r="A29" s="46"/>
      <c r="B29" s="46"/>
      <c r="C29" s="46"/>
      <c r="D29" s="46"/>
      <c r="E29" s="46"/>
      <c r="F29" s="47"/>
      <c r="G29" s="46"/>
      <c r="H29" s="46"/>
      <c r="I29" s="46"/>
      <c r="J29" s="46"/>
      <c r="K29" s="46"/>
      <c r="L29" s="46"/>
      <c r="M29" s="46"/>
      <c r="N29" s="46"/>
      <c r="O29" s="46"/>
      <c r="P29" s="46"/>
      <c r="Q29" s="46"/>
      <c r="R29" s="46"/>
      <c r="S29" s="46"/>
      <c r="T29" s="46"/>
      <c r="U29" s="46"/>
      <c r="V29" s="46"/>
      <c r="W29" s="46"/>
      <c r="X29" s="46"/>
      <c r="Y29" s="46"/>
      <c r="Z29" s="46"/>
      <c r="AA29" s="46"/>
    </row>
    <row r="30">
      <c r="A30" s="43" t="s">
        <v>162</v>
      </c>
      <c r="B30" s="43" t="s">
        <v>163</v>
      </c>
      <c r="C30" s="43" t="s">
        <v>164</v>
      </c>
      <c r="D30" s="43" t="s">
        <v>165</v>
      </c>
      <c r="E30" s="43" t="s">
        <v>98</v>
      </c>
      <c r="F30" s="48" t="s">
        <v>166</v>
      </c>
      <c r="G30" s="43" t="s">
        <v>110</v>
      </c>
      <c r="H30" s="43" t="s">
        <v>139</v>
      </c>
      <c r="I30" s="43" t="s">
        <v>140</v>
      </c>
      <c r="J30" s="43" t="s">
        <v>103</v>
      </c>
      <c r="K30" s="43" t="s">
        <v>6</v>
      </c>
      <c r="L30" s="49" t="s">
        <v>167</v>
      </c>
      <c r="M30" s="51"/>
      <c r="N30" s="51"/>
      <c r="O30" s="43"/>
      <c r="P30" s="46"/>
      <c r="Q30" s="46"/>
      <c r="R30" s="46"/>
      <c r="S30" s="46"/>
      <c r="T30" s="46"/>
      <c r="U30" s="46"/>
      <c r="V30" s="46"/>
      <c r="W30" s="46"/>
      <c r="X30" s="46"/>
      <c r="Y30" s="46"/>
      <c r="Z30" s="46"/>
      <c r="AA30" s="46"/>
    </row>
    <row r="31">
      <c r="A31" s="46"/>
      <c r="B31" s="46"/>
      <c r="C31" s="46"/>
      <c r="D31" s="46"/>
      <c r="E31" s="46"/>
      <c r="F31" s="47"/>
      <c r="G31" s="46"/>
      <c r="H31" s="46"/>
      <c r="I31" s="46"/>
      <c r="J31" s="46"/>
      <c r="K31" s="46"/>
      <c r="L31" s="46"/>
      <c r="M31" s="46"/>
      <c r="N31" s="46"/>
      <c r="O31" s="46"/>
      <c r="P31" s="46"/>
      <c r="Q31" s="46"/>
      <c r="R31" s="46"/>
      <c r="S31" s="46"/>
      <c r="T31" s="46"/>
      <c r="U31" s="46"/>
      <c r="V31" s="46"/>
      <c r="W31" s="46"/>
      <c r="X31" s="46"/>
      <c r="Y31" s="46"/>
      <c r="Z31" s="46"/>
      <c r="AA31" s="46"/>
    </row>
    <row r="32">
      <c r="A32" s="43" t="s">
        <v>168</v>
      </c>
      <c r="B32" s="43" t="s">
        <v>169</v>
      </c>
      <c r="C32" s="43" t="s">
        <v>170</v>
      </c>
      <c r="D32" s="43" t="s">
        <v>171</v>
      </c>
      <c r="E32" s="43" t="s">
        <v>98</v>
      </c>
      <c r="F32" s="48" t="s">
        <v>172</v>
      </c>
      <c r="G32" s="43" t="s">
        <v>110</v>
      </c>
      <c r="H32" s="43" t="s">
        <v>173</v>
      </c>
      <c r="I32" s="43" t="s">
        <v>174</v>
      </c>
      <c r="J32" s="43" t="s">
        <v>103</v>
      </c>
      <c r="K32" s="43" t="s">
        <v>12</v>
      </c>
      <c r="L32" s="49" t="s">
        <v>175</v>
      </c>
      <c r="M32" s="51"/>
      <c r="N32" s="51"/>
      <c r="O32" s="43"/>
      <c r="P32" s="46"/>
      <c r="Q32" s="46"/>
      <c r="R32" s="46"/>
      <c r="S32" s="46"/>
      <c r="T32" s="46"/>
      <c r="U32" s="46"/>
      <c r="V32" s="46"/>
      <c r="W32" s="46"/>
      <c r="X32" s="46"/>
      <c r="Y32" s="46"/>
      <c r="Z32" s="46"/>
      <c r="AA32" s="46"/>
    </row>
    <row r="33">
      <c r="A33" s="46"/>
      <c r="B33" s="46"/>
      <c r="C33" s="46"/>
      <c r="D33" s="46"/>
      <c r="E33" s="46"/>
      <c r="F33" s="47"/>
      <c r="G33" s="46"/>
      <c r="H33" s="46"/>
      <c r="I33" s="46"/>
      <c r="J33" s="46"/>
      <c r="K33" s="46"/>
      <c r="L33" s="46"/>
      <c r="M33" s="46"/>
      <c r="N33" s="46"/>
      <c r="O33" s="46"/>
      <c r="P33" s="46"/>
      <c r="Q33" s="46"/>
      <c r="R33" s="46"/>
      <c r="S33" s="46"/>
      <c r="T33" s="46"/>
      <c r="U33" s="46"/>
      <c r="V33" s="46"/>
      <c r="W33" s="46"/>
      <c r="X33" s="46"/>
      <c r="Y33" s="46"/>
      <c r="Z33" s="46"/>
      <c r="AA33" s="46"/>
    </row>
    <row r="34">
      <c r="A34" s="43" t="s">
        <v>176</v>
      </c>
      <c r="B34" s="43" t="s">
        <v>177</v>
      </c>
      <c r="C34" s="43" t="s">
        <v>177</v>
      </c>
      <c r="D34" s="43" t="s">
        <v>178</v>
      </c>
      <c r="E34" s="43" t="s">
        <v>98</v>
      </c>
      <c r="F34" s="48" t="s">
        <v>179</v>
      </c>
      <c r="G34" s="43" t="s">
        <v>110</v>
      </c>
      <c r="H34" s="43" t="s">
        <v>180</v>
      </c>
      <c r="I34" s="43" t="s">
        <v>181</v>
      </c>
      <c r="J34" s="43" t="s">
        <v>103</v>
      </c>
      <c r="K34" s="43" t="s">
        <v>6</v>
      </c>
      <c r="L34" s="49"/>
      <c r="M34" s="51"/>
      <c r="N34" s="51"/>
      <c r="O34" s="43"/>
      <c r="P34" s="46"/>
      <c r="Q34" s="46"/>
      <c r="R34" s="46"/>
      <c r="S34" s="46"/>
      <c r="T34" s="46"/>
      <c r="U34" s="46"/>
      <c r="V34" s="46"/>
      <c r="W34" s="46"/>
      <c r="X34" s="46"/>
      <c r="Y34" s="46"/>
      <c r="Z34" s="46"/>
      <c r="AA34" s="46"/>
    </row>
    <row r="35">
      <c r="A35" s="46"/>
      <c r="B35" s="46"/>
      <c r="C35" s="46"/>
      <c r="D35" s="46"/>
      <c r="E35" s="46"/>
      <c r="F35" s="47"/>
      <c r="G35" s="46"/>
      <c r="H35" s="46"/>
      <c r="I35" s="46"/>
      <c r="J35" s="46"/>
      <c r="K35" s="46"/>
      <c r="L35" s="46"/>
      <c r="M35" s="46"/>
      <c r="N35" s="46"/>
      <c r="O35" s="46"/>
      <c r="P35" s="46"/>
      <c r="Q35" s="46"/>
      <c r="R35" s="46"/>
      <c r="S35" s="46"/>
      <c r="T35" s="46"/>
      <c r="U35" s="46"/>
      <c r="V35" s="46"/>
      <c r="W35" s="46"/>
      <c r="X35" s="46"/>
      <c r="Y35" s="46"/>
      <c r="Z35" s="46"/>
      <c r="AA35" s="46"/>
    </row>
    <row r="36">
      <c r="A36" s="43" t="s">
        <v>182</v>
      </c>
      <c r="B36" s="43" t="s">
        <v>177</v>
      </c>
      <c r="C36" s="43" t="s">
        <v>177</v>
      </c>
      <c r="D36" s="43" t="s">
        <v>183</v>
      </c>
      <c r="E36" s="43" t="s">
        <v>98</v>
      </c>
      <c r="F36" s="48" t="s">
        <v>179</v>
      </c>
      <c r="G36" s="43" t="s">
        <v>110</v>
      </c>
      <c r="H36" s="43" t="s">
        <v>184</v>
      </c>
      <c r="I36" s="43" t="s">
        <v>185</v>
      </c>
      <c r="J36" s="43" t="s">
        <v>103</v>
      </c>
      <c r="K36" s="43" t="s">
        <v>6</v>
      </c>
      <c r="L36" s="53" t="s">
        <v>186</v>
      </c>
      <c r="M36" s="51"/>
      <c r="N36" s="51"/>
      <c r="O36" s="43"/>
      <c r="P36" s="46"/>
      <c r="Q36" s="46"/>
      <c r="R36" s="46"/>
      <c r="S36" s="46"/>
      <c r="T36" s="46"/>
      <c r="U36" s="46"/>
      <c r="V36" s="46"/>
      <c r="W36" s="46"/>
      <c r="X36" s="46"/>
      <c r="Y36" s="46"/>
      <c r="Z36" s="46"/>
      <c r="AA36" s="46"/>
    </row>
    <row r="37">
      <c r="A37" s="46"/>
      <c r="B37" s="46"/>
      <c r="C37" s="46"/>
      <c r="D37" s="46"/>
      <c r="E37" s="46"/>
      <c r="F37" s="47"/>
      <c r="G37" s="46"/>
      <c r="H37" s="46"/>
      <c r="I37" s="46"/>
      <c r="J37" s="46"/>
      <c r="K37" s="46"/>
      <c r="L37" s="46"/>
      <c r="M37" s="46"/>
      <c r="N37" s="46"/>
      <c r="O37" s="46"/>
      <c r="P37" s="46"/>
      <c r="Q37" s="46"/>
      <c r="R37" s="46"/>
      <c r="S37" s="46"/>
      <c r="T37" s="46"/>
      <c r="U37" s="46"/>
      <c r="V37" s="46"/>
      <c r="W37" s="46"/>
      <c r="X37" s="46"/>
      <c r="Y37" s="46"/>
      <c r="Z37" s="46"/>
      <c r="AA37" s="46"/>
    </row>
    <row r="38">
      <c r="A38" s="43" t="s">
        <v>187</v>
      </c>
      <c r="B38" s="43" t="s">
        <v>149</v>
      </c>
      <c r="C38" s="43" t="s">
        <v>149</v>
      </c>
      <c r="D38" s="43" t="s">
        <v>188</v>
      </c>
      <c r="E38" s="43" t="s">
        <v>98</v>
      </c>
      <c r="F38" s="48" t="s">
        <v>133</v>
      </c>
      <c r="G38" s="43" t="s">
        <v>110</v>
      </c>
      <c r="H38" s="43" t="s">
        <v>189</v>
      </c>
      <c r="I38" s="43" t="s">
        <v>190</v>
      </c>
      <c r="J38" s="43" t="s">
        <v>103</v>
      </c>
      <c r="K38" s="43" t="s">
        <v>6</v>
      </c>
      <c r="L38" s="49" t="s">
        <v>191</v>
      </c>
      <c r="M38" s="51"/>
      <c r="N38" s="51"/>
      <c r="O38" s="43"/>
      <c r="P38" s="46"/>
      <c r="Q38" s="46"/>
      <c r="R38" s="46"/>
      <c r="S38" s="46"/>
      <c r="T38" s="46"/>
      <c r="U38" s="46"/>
      <c r="V38" s="46"/>
      <c r="W38" s="46"/>
      <c r="X38" s="46"/>
      <c r="Y38" s="46"/>
      <c r="Z38" s="46"/>
      <c r="AA38" s="46"/>
    </row>
    <row r="39">
      <c r="A39" s="46"/>
      <c r="B39" s="46"/>
      <c r="C39" s="46"/>
      <c r="D39" s="46"/>
      <c r="E39" s="46"/>
      <c r="F39" s="47"/>
      <c r="G39" s="46"/>
      <c r="H39" s="46"/>
      <c r="I39" s="46"/>
      <c r="J39" s="46"/>
      <c r="K39" s="46"/>
      <c r="L39" s="46"/>
      <c r="M39" s="46"/>
      <c r="N39" s="46"/>
      <c r="O39" s="46"/>
      <c r="P39" s="46"/>
      <c r="Q39" s="46"/>
      <c r="R39" s="46"/>
      <c r="S39" s="46"/>
      <c r="T39" s="46"/>
      <c r="U39" s="46"/>
      <c r="V39" s="46"/>
      <c r="W39" s="46"/>
      <c r="X39" s="46"/>
      <c r="Y39" s="46"/>
      <c r="Z39" s="46"/>
      <c r="AA39" s="46"/>
    </row>
    <row r="40">
      <c r="A40" s="43" t="s">
        <v>192</v>
      </c>
      <c r="B40" s="43" t="s">
        <v>193</v>
      </c>
      <c r="C40" s="43" t="s">
        <v>193</v>
      </c>
      <c r="D40" s="43" t="s">
        <v>194</v>
      </c>
      <c r="E40" s="43" t="s">
        <v>98</v>
      </c>
      <c r="F40" s="48" t="s">
        <v>195</v>
      </c>
      <c r="G40" s="43" t="s">
        <v>196</v>
      </c>
      <c r="H40" s="43" t="s">
        <v>197</v>
      </c>
      <c r="I40" s="43" t="s">
        <v>198</v>
      </c>
      <c r="J40" s="43" t="s">
        <v>103</v>
      </c>
      <c r="K40" s="43" t="s">
        <v>6</v>
      </c>
      <c r="L40" s="49" t="s">
        <v>199</v>
      </c>
      <c r="M40" s="51"/>
      <c r="N40" s="51"/>
      <c r="O40" s="43"/>
      <c r="P40" s="54"/>
      <c r="Q40" s="46"/>
      <c r="R40" s="46"/>
      <c r="S40" s="46"/>
      <c r="T40" s="46"/>
      <c r="U40" s="46"/>
      <c r="V40" s="46"/>
      <c r="W40" s="46"/>
      <c r="X40" s="46"/>
      <c r="Y40" s="46"/>
      <c r="Z40" s="46"/>
      <c r="AA40" s="46"/>
    </row>
    <row r="41">
      <c r="A41" s="46"/>
      <c r="B41" s="46"/>
      <c r="C41" s="46"/>
      <c r="D41" s="46"/>
      <c r="E41" s="46"/>
      <c r="F41" s="47"/>
      <c r="G41" s="46"/>
      <c r="H41" s="46"/>
      <c r="I41" s="46"/>
      <c r="J41" s="46"/>
      <c r="K41" s="46"/>
      <c r="L41" s="46"/>
      <c r="M41" s="46"/>
      <c r="N41" s="46"/>
      <c r="O41" s="46"/>
      <c r="P41" s="46"/>
      <c r="Q41" s="46"/>
      <c r="R41" s="46"/>
      <c r="S41" s="46"/>
      <c r="T41" s="46"/>
      <c r="U41" s="46"/>
      <c r="V41" s="46"/>
      <c r="W41" s="46"/>
      <c r="X41" s="46"/>
      <c r="Y41" s="46"/>
      <c r="Z41" s="46"/>
      <c r="AA41" s="46"/>
    </row>
    <row r="42">
      <c r="A42" s="43" t="s">
        <v>200</v>
      </c>
      <c r="B42" s="43" t="s">
        <v>193</v>
      </c>
      <c r="C42" s="43" t="s">
        <v>193</v>
      </c>
      <c r="D42" s="43" t="s">
        <v>201</v>
      </c>
      <c r="E42" s="43" t="s">
        <v>98</v>
      </c>
      <c r="F42" s="48" t="s">
        <v>195</v>
      </c>
      <c r="G42" s="43" t="s">
        <v>196</v>
      </c>
      <c r="H42" s="43" t="s">
        <v>202</v>
      </c>
      <c r="I42" s="43" t="s">
        <v>201</v>
      </c>
      <c r="J42" s="43" t="s">
        <v>103</v>
      </c>
      <c r="K42" s="43" t="s">
        <v>6</v>
      </c>
      <c r="L42" s="53" t="s">
        <v>203</v>
      </c>
      <c r="M42" s="51"/>
      <c r="N42" s="51"/>
      <c r="O42" s="43"/>
      <c r="P42" s="55"/>
      <c r="Q42" s="46"/>
      <c r="R42" s="46"/>
      <c r="S42" s="46"/>
      <c r="T42" s="46"/>
      <c r="U42" s="46"/>
      <c r="V42" s="46"/>
      <c r="W42" s="46"/>
      <c r="X42" s="46"/>
      <c r="Y42" s="46"/>
      <c r="Z42" s="46"/>
      <c r="AA42" s="46"/>
    </row>
    <row r="43">
      <c r="A43" s="46"/>
      <c r="B43" s="46"/>
      <c r="C43" s="46"/>
      <c r="D43" s="46"/>
      <c r="E43" s="46"/>
      <c r="F43" s="47"/>
      <c r="G43" s="46"/>
      <c r="H43" s="46"/>
      <c r="I43" s="46"/>
      <c r="J43" s="46"/>
      <c r="K43" s="46"/>
      <c r="L43" s="46"/>
      <c r="M43" s="46"/>
      <c r="N43" s="46"/>
      <c r="O43" s="46"/>
      <c r="P43" s="46"/>
      <c r="Q43" s="46"/>
      <c r="R43" s="46"/>
      <c r="S43" s="46"/>
      <c r="T43" s="46"/>
      <c r="U43" s="46"/>
      <c r="V43" s="46"/>
      <c r="W43" s="46"/>
      <c r="X43" s="46"/>
      <c r="Y43" s="46"/>
      <c r="Z43" s="46"/>
      <c r="AA43" s="46"/>
    </row>
    <row r="44">
      <c r="A44" s="43" t="s">
        <v>204</v>
      </c>
      <c r="B44" s="43" t="s">
        <v>193</v>
      </c>
      <c r="C44" s="43" t="s">
        <v>193</v>
      </c>
      <c r="D44" s="43" t="s">
        <v>205</v>
      </c>
      <c r="E44" s="43" t="s">
        <v>98</v>
      </c>
      <c r="F44" s="48" t="s">
        <v>195</v>
      </c>
      <c r="G44" s="43" t="s">
        <v>196</v>
      </c>
      <c r="H44" s="43" t="s">
        <v>206</v>
      </c>
      <c r="I44" s="43" t="s">
        <v>207</v>
      </c>
      <c r="J44" s="43" t="s">
        <v>103</v>
      </c>
      <c r="K44" s="43" t="s">
        <v>6</v>
      </c>
      <c r="L44" s="49" t="s">
        <v>208</v>
      </c>
      <c r="M44" s="51"/>
      <c r="N44" s="51"/>
      <c r="O44" s="43"/>
      <c r="P44" s="46"/>
      <c r="Q44" s="46"/>
      <c r="R44" s="46"/>
      <c r="S44" s="46"/>
      <c r="T44" s="46"/>
      <c r="U44" s="46"/>
      <c r="V44" s="46"/>
      <c r="W44" s="46"/>
      <c r="X44" s="46"/>
      <c r="Y44" s="46"/>
      <c r="Z44" s="46"/>
      <c r="AA44" s="46"/>
    </row>
    <row r="45">
      <c r="A45" s="46"/>
      <c r="B45" s="46"/>
      <c r="C45" s="46"/>
      <c r="D45" s="46"/>
      <c r="E45" s="46"/>
      <c r="F45" s="47"/>
      <c r="G45" s="46"/>
      <c r="H45" s="46"/>
      <c r="I45" s="46"/>
      <c r="J45" s="46"/>
      <c r="K45" s="46"/>
      <c r="L45" s="46"/>
      <c r="M45" s="46"/>
      <c r="N45" s="46"/>
      <c r="O45" s="46"/>
      <c r="P45" s="46"/>
      <c r="Q45" s="46"/>
      <c r="R45" s="46"/>
      <c r="S45" s="46"/>
      <c r="T45" s="46"/>
      <c r="U45" s="46"/>
      <c r="V45" s="46"/>
      <c r="W45" s="46"/>
      <c r="X45" s="46"/>
      <c r="Y45" s="46"/>
      <c r="Z45" s="46"/>
      <c r="AA45" s="46"/>
    </row>
    <row r="46">
      <c r="A46" s="43" t="s">
        <v>209</v>
      </c>
      <c r="B46" s="43" t="s">
        <v>106</v>
      </c>
      <c r="C46" s="43" t="s">
        <v>177</v>
      </c>
      <c r="D46" s="43" t="s">
        <v>210</v>
      </c>
      <c r="E46" s="43" t="s">
        <v>98</v>
      </c>
      <c r="F46" s="48" t="s">
        <v>211</v>
      </c>
      <c r="G46" s="43" t="s">
        <v>196</v>
      </c>
      <c r="H46" s="43" t="s">
        <v>212</v>
      </c>
      <c r="I46" s="43" t="s">
        <v>213</v>
      </c>
      <c r="J46" s="43" t="s">
        <v>103</v>
      </c>
      <c r="K46" s="43" t="s">
        <v>6</v>
      </c>
      <c r="L46" s="49" t="s">
        <v>214</v>
      </c>
      <c r="M46" s="51"/>
      <c r="N46" s="51"/>
      <c r="O46" s="43"/>
      <c r="P46" s="46"/>
      <c r="Q46" s="46"/>
      <c r="R46" s="46"/>
      <c r="S46" s="46"/>
      <c r="T46" s="46"/>
      <c r="U46" s="46"/>
      <c r="V46" s="46"/>
      <c r="W46" s="46"/>
      <c r="X46" s="46"/>
      <c r="Y46" s="46"/>
      <c r="Z46" s="46"/>
      <c r="AA46" s="46"/>
    </row>
    <row r="47">
      <c r="A47" s="46"/>
      <c r="B47" s="46"/>
      <c r="C47" s="46"/>
      <c r="D47" s="46"/>
      <c r="E47" s="46"/>
      <c r="F47" s="47"/>
      <c r="G47" s="46"/>
      <c r="H47" s="46"/>
      <c r="I47" s="46"/>
      <c r="J47" s="46"/>
      <c r="K47" s="46"/>
      <c r="L47" s="46"/>
      <c r="M47" s="46"/>
      <c r="N47" s="46"/>
      <c r="O47" s="46"/>
      <c r="P47" s="46"/>
      <c r="Q47" s="46"/>
      <c r="R47" s="46"/>
      <c r="S47" s="46"/>
      <c r="T47" s="46"/>
      <c r="U47" s="46"/>
      <c r="V47" s="46"/>
      <c r="W47" s="46"/>
      <c r="X47" s="46"/>
      <c r="Y47" s="46"/>
      <c r="Z47" s="46"/>
      <c r="AA47" s="46"/>
    </row>
    <row r="48">
      <c r="A48" s="43" t="s">
        <v>215</v>
      </c>
      <c r="B48" s="43" t="s">
        <v>156</v>
      </c>
      <c r="C48" s="43" t="s">
        <v>156</v>
      </c>
      <c r="D48" s="43" t="s">
        <v>216</v>
      </c>
      <c r="E48" s="43" t="s">
        <v>98</v>
      </c>
      <c r="F48" s="48" t="s">
        <v>159</v>
      </c>
      <c r="G48" s="43" t="s">
        <v>217</v>
      </c>
      <c r="H48" s="43" t="s">
        <v>218</v>
      </c>
      <c r="I48" s="43" t="s">
        <v>219</v>
      </c>
      <c r="J48" s="43" t="s">
        <v>103</v>
      </c>
      <c r="K48" s="43" t="s">
        <v>6</v>
      </c>
      <c r="L48" s="49" t="s">
        <v>220</v>
      </c>
      <c r="M48" s="51"/>
      <c r="N48" s="51"/>
      <c r="O48" s="43"/>
      <c r="P48" s="46"/>
      <c r="Q48" s="46"/>
      <c r="R48" s="46"/>
      <c r="S48" s="46"/>
      <c r="T48" s="46"/>
      <c r="U48" s="46"/>
      <c r="V48" s="46"/>
      <c r="W48" s="46"/>
      <c r="X48" s="46"/>
      <c r="Y48" s="46"/>
      <c r="Z48" s="46"/>
      <c r="AA48" s="46"/>
    </row>
    <row r="49">
      <c r="A49" s="46"/>
      <c r="B49" s="46"/>
      <c r="C49" s="46"/>
      <c r="D49" s="46"/>
      <c r="E49" s="46"/>
      <c r="F49" s="47"/>
      <c r="G49" s="46"/>
      <c r="H49" s="46"/>
      <c r="I49" s="46"/>
      <c r="J49" s="46"/>
      <c r="K49" s="46"/>
      <c r="L49" s="46"/>
      <c r="M49" s="46"/>
      <c r="N49" s="46"/>
      <c r="O49" s="46"/>
      <c r="P49" s="46"/>
      <c r="Q49" s="46"/>
      <c r="R49" s="46"/>
      <c r="S49" s="46"/>
      <c r="T49" s="46"/>
      <c r="U49" s="46"/>
      <c r="V49" s="46"/>
      <c r="W49" s="46"/>
      <c r="X49" s="46"/>
      <c r="Y49" s="46"/>
      <c r="Z49" s="46"/>
      <c r="AA49" s="46"/>
    </row>
    <row r="50">
      <c r="A50" s="43" t="s">
        <v>221</v>
      </c>
      <c r="B50" s="43" t="s">
        <v>149</v>
      </c>
      <c r="C50" s="43" t="s">
        <v>149</v>
      </c>
      <c r="D50" s="43" t="s">
        <v>222</v>
      </c>
      <c r="E50" s="43" t="s">
        <v>98</v>
      </c>
      <c r="F50" s="48" t="s">
        <v>150</v>
      </c>
      <c r="G50" s="43" t="s">
        <v>217</v>
      </c>
      <c r="H50" s="43" t="s">
        <v>223</v>
      </c>
      <c r="I50" s="43" t="s">
        <v>224</v>
      </c>
      <c r="J50" s="43" t="s">
        <v>103</v>
      </c>
      <c r="K50" s="43" t="s">
        <v>6</v>
      </c>
      <c r="L50" s="49" t="s">
        <v>225</v>
      </c>
      <c r="M50" s="51"/>
      <c r="N50" s="51"/>
      <c r="O50" s="43"/>
      <c r="P50" s="46"/>
      <c r="Q50" s="46"/>
      <c r="R50" s="46"/>
      <c r="S50" s="46"/>
      <c r="T50" s="46"/>
      <c r="U50" s="46"/>
      <c r="V50" s="46"/>
      <c r="W50" s="46"/>
      <c r="X50" s="46"/>
      <c r="Y50" s="46"/>
      <c r="Z50" s="46"/>
      <c r="AA50" s="46"/>
    </row>
    <row r="51">
      <c r="A51" s="46"/>
      <c r="B51" s="46"/>
      <c r="C51" s="46"/>
      <c r="D51" s="46"/>
      <c r="E51" s="46"/>
      <c r="F51" s="47"/>
      <c r="G51" s="46"/>
      <c r="H51" s="46"/>
      <c r="I51" s="46"/>
      <c r="J51" s="46"/>
      <c r="K51" s="46"/>
      <c r="L51" s="46"/>
      <c r="M51" s="46"/>
      <c r="N51" s="46"/>
      <c r="O51" s="46"/>
      <c r="P51" s="46"/>
      <c r="Q51" s="46"/>
      <c r="R51" s="46"/>
      <c r="S51" s="46"/>
      <c r="T51" s="46"/>
      <c r="U51" s="46"/>
      <c r="V51" s="46"/>
      <c r="W51" s="46"/>
      <c r="X51" s="46"/>
      <c r="Y51" s="46"/>
      <c r="Z51" s="46"/>
      <c r="AA51" s="46"/>
    </row>
    <row r="52">
      <c r="A52" s="43" t="s">
        <v>226</v>
      </c>
      <c r="B52" s="43" t="s">
        <v>149</v>
      </c>
      <c r="C52" s="43" t="s">
        <v>149</v>
      </c>
      <c r="D52" s="43" t="s">
        <v>227</v>
      </c>
      <c r="E52" s="43" t="s">
        <v>98</v>
      </c>
      <c r="F52" s="48" t="s">
        <v>150</v>
      </c>
      <c r="G52" s="43" t="s">
        <v>217</v>
      </c>
      <c r="H52" s="43" t="s">
        <v>228</v>
      </c>
      <c r="I52" s="43" t="s">
        <v>229</v>
      </c>
      <c r="J52" s="43" t="s">
        <v>103</v>
      </c>
      <c r="K52" s="43" t="s">
        <v>6</v>
      </c>
      <c r="L52" s="49" t="s">
        <v>230</v>
      </c>
      <c r="M52" s="43" t="s">
        <v>231</v>
      </c>
      <c r="N52" s="51"/>
      <c r="O52" s="43"/>
      <c r="P52" s="46"/>
      <c r="Q52" s="46"/>
      <c r="R52" s="46"/>
      <c r="S52" s="46"/>
      <c r="T52" s="46"/>
      <c r="U52" s="46"/>
      <c r="V52" s="46"/>
      <c r="W52" s="46"/>
      <c r="X52" s="46"/>
      <c r="Y52" s="46"/>
      <c r="Z52" s="46"/>
      <c r="AA52" s="46"/>
    </row>
    <row r="53">
      <c r="A53" s="46"/>
      <c r="B53" s="46"/>
      <c r="C53" s="46"/>
      <c r="D53" s="46"/>
      <c r="E53" s="46"/>
      <c r="F53" s="47"/>
      <c r="G53" s="46"/>
      <c r="H53" s="46"/>
      <c r="I53" s="46"/>
      <c r="J53" s="46"/>
      <c r="K53" s="46"/>
      <c r="L53" s="46"/>
      <c r="M53" s="46"/>
      <c r="N53" s="46"/>
      <c r="O53" s="46"/>
      <c r="P53" s="46"/>
      <c r="Q53" s="46"/>
      <c r="R53" s="46"/>
      <c r="S53" s="46"/>
      <c r="T53" s="46"/>
      <c r="U53" s="46"/>
      <c r="V53" s="46"/>
      <c r="W53" s="46"/>
      <c r="X53" s="46"/>
      <c r="Y53" s="46"/>
      <c r="Z53" s="46"/>
      <c r="AA53" s="46"/>
    </row>
    <row r="54">
      <c r="A54" s="43" t="s">
        <v>232</v>
      </c>
      <c r="B54" s="43" t="s">
        <v>149</v>
      </c>
      <c r="C54" s="43" t="s">
        <v>149</v>
      </c>
      <c r="D54" s="43" t="s">
        <v>233</v>
      </c>
      <c r="E54" s="43" t="s">
        <v>98</v>
      </c>
      <c r="F54" s="48" t="s">
        <v>150</v>
      </c>
      <c r="G54" s="43" t="s">
        <v>217</v>
      </c>
      <c r="H54" s="43" t="s">
        <v>234</v>
      </c>
      <c r="I54" s="43" t="s">
        <v>235</v>
      </c>
      <c r="J54" s="43" t="s">
        <v>103</v>
      </c>
      <c r="K54" s="43" t="s">
        <v>9</v>
      </c>
      <c r="L54" s="49" t="s">
        <v>236</v>
      </c>
      <c r="M54" s="51"/>
      <c r="N54" s="51"/>
      <c r="O54" s="43"/>
      <c r="P54" s="46"/>
      <c r="Q54" s="46"/>
      <c r="R54" s="46"/>
      <c r="S54" s="46"/>
      <c r="T54" s="46"/>
      <c r="U54" s="46"/>
      <c r="V54" s="46"/>
      <c r="W54" s="46"/>
      <c r="X54" s="46"/>
      <c r="Y54" s="46"/>
      <c r="Z54" s="46"/>
      <c r="AA54" s="46"/>
    </row>
    <row r="55">
      <c r="A55" s="46"/>
      <c r="B55" s="46"/>
      <c r="C55" s="46"/>
      <c r="D55" s="46"/>
      <c r="E55" s="46"/>
      <c r="F55" s="47"/>
      <c r="G55" s="46"/>
      <c r="H55" s="46"/>
      <c r="I55" s="46"/>
      <c r="J55" s="46"/>
      <c r="K55" s="46"/>
      <c r="L55" s="46"/>
      <c r="M55" s="46"/>
      <c r="N55" s="46"/>
      <c r="O55" s="46"/>
      <c r="P55" s="46"/>
      <c r="Q55" s="46"/>
      <c r="R55" s="46"/>
      <c r="S55" s="46"/>
      <c r="T55" s="46"/>
      <c r="U55" s="46"/>
      <c r="V55" s="46"/>
      <c r="W55" s="46"/>
      <c r="X55" s="46"/>
      <c r="Y55" s="46"/>
      <c r="Z55" s="46"/>
      <c r="AA55" s="46"/>
    </row>
    <row r="56">
      <c r="A56" s="43" t="s">
        <v>237</v>
      </c>
      <c r="B56" s="43" t="s">
        <v>149</v>
      </c>
      <c r="C56" s="43" t="s">
        <v>149</v>
      </c>
      <c r="D56" s="43" t="s">
        <v>238</v>
      </c>
      <c r="E56" s="43" t="s">
        <v>98</v>
      </c>
      <c r="F56" s="48" t="s">
        <v>150</v>
      </c>
      <c r="G56" s="43" t="s">
        <v>217</v>
      </c>
      <c r="H56" s="43" t="s">
        <v>239</v>
      </c>
      <c r="I56" s="43" t="s">
        <v>240</v>
      </c>
      <c r="J56" s="43" t="s">
        <v>103</v>
      </c>
      <c r="K56" s="43" t="s">
        <v>6</v>
      </c>
      <c r="L56" s="50" t="s">
        <v>241</v>
      </c>
      <c r="M56" s="51"/>
      <c r="N56" s="51"/>
      <c r="O56" s="43"/>
      <c r="P56" s="46"/>
      <c r="Q56" s="46"/>
      <c r="R56" s="46"/>
      <c r="S56" s="46"/>
      <c r="T56" s="46"/>
      <c r="U56" s="46"/>
      <c r="V56" s="46"/>
      <c r="W56" s="46"/>
      <c r="X56" s="46"/>
      <c r="Y56" s="46"/>
      <c r="Z56" s="46"/>
      <c r="AA56" s="46"/>
    </row>
    <row r="57">
      <c r="A57" s="46"/>
      <c r="B57" s="46"/>
      <c r="C57" s="46"/>
      <c r="D57" s="46"/>
      <c r="E57" s="46"/>
      <c r="F57" s="47"/>
      <c r="G57" s="46"/>
      <c r="H57" s="46"/>
      <c r="I57" s="46"/>
      <c r="J57" s="46"/>
      <c r="K57" s="46"/>
      <c r="L57" s="46"/>
      <c r="M57" s="46"/>
      <c r="N57" s="46"/>
      <c r="O57" s="46"/>
      <c r="P57" s="46"/>
      <c r="Q57" s="46"/>
      <c r="R57" s="46"/>
      <c r="S57" s="46"/>
      <c r="T57" s="46"/>
      <c r="U57" s="46"/>
      <c r="V57" s="46"/>
      <c r="W57" s="46"/>
      <c r="X57" s="46"/>
      <c r="Y57" s="46"/>
      <c r="Z57" s="46"/>
      <c r="AA57" s="46"/>
    </row>
    <row r="58">
      <c r="A58" s="43" t="s">
        <v>242</v>
      </c>
      <c r="B58" s="43" t="s">
        <v>149</v>
      </c>
      <c r="C58" s="43" t="s">
        <v>149</v>
      </c>
      <c r="D58" s="43" t="s">
        <v>243</v>
      </c>
      <c r="E58" s="43" t="s">
        <v>98</v>
      </c>
      <c r="F58" s="48" t="s">
        <v>150</v>
      </c>
      <c r="G58" s="43" t="s">
        <v>217</v>
      </c>
      <c r="H58" s="43" t="s">
        <v>244</v>
      </c>
      <c r="I58" s="43" t="s">
        <v>245</v>
      </c>
      <c r="J58" s="43" t="s">
        <v>103</v>
      </c>
      <c r="K58" s="43" t="s">
        <v>9</v>
      </c>
      <c r="L58" s="49" t="s">
        <v>246</v>
      </c>
      <c r="M58" s="43" t="s">
        <v>247</v>
      </c>
      <c r="N58" s="51"/>
      <c r="O58" s="43"/>
      <c r="P58" s="46"/>
      <c r="Q58" s="46"/>
      <c r="R58" s="46"/>
      <c r="S58" s="46"/>
      <c r="T58" s="46"/>
      <c r="U58" s="46"/>
      <c r="V58" s="46"/>
      <c r="W58" s="46"/>
      <c r="X58" s="46"/>
      <c r="Y58" s="46"/>
      <c r="Z58" s="46"/>
      <c r="AA58" s="46"/>
    </row>
    <row r="59">
      <c r="A59" s="46"/>
      <c r="B59" s="46"/>
      <c r="C59" s="46"/>
      <c r="D59" s="46"/>
      <c r="E59" s="46"/>
      <c r="F59" s="47"/>
      <c r="G59" s="46"/>
      <c r="H59" s="46"/>
      <c r="I59" s="46"/>
      <c r="J59" s="46"/>
      <c r="K59" s="46"/>
      <c r="L59" s="46"/>
      <c r="M59" s="46"/>
      <c r="N59" s="46"/>
      <c r="O59" s="46"/>
      <c r="P59" s="46"/>
      <c r="Q59" s="46"/>
      <c r="R59" s="46"/>
      <c r="S59" s="46"/>
      <c r="T59" s="46"/>
      <c r="U59" s="46"/>
      <c r="V59" s="46"/>
      <c r="W59" s="46"/>
      <c r="X59" s="46"/>
      <c r="Y59" s="46"/>
      <c r="Z59" s="46"/>
      <c r="AA59" s="46"/>
    </row>
    <row r="60">
      <c r="A60" s="43" t="s">
        <v>248</v>
      </c>
      <c r="B60" s="43" t="s">
        <v>106</v>
      </c>
      <c r="C60" s="43" t="s">
        <v>106</v>
      </c>
      <c r="D60" s="43" t="s">
        <v>249</v>
      </c>
      <c r="E60" s="43" t="s">
        <v>98</v>
      </c>
      <c r="F60" s="48" t="s">
        <v>250</v>
      </c>
      <c r="G60" s="43" t="s">
        <v>251</v>
      </c>
      <c r="H60" s="43" t="s">
        <v>252</v>
      </c>
      <c r="I60" s="43" t="s">
        <v>253</v>
      </c>
      <c r="J60" s="43" t="s">
        <v>103</v>
      </c>
      <c r="K60" s="43" t="s">
        <v>9</v>
      </c>
      <c r="L60" s="49" t="s">
        <v>254</v>
      </c>
      <c r="M60" s="51"/>
      <c r="N60" s="51"/>
      <c r="O60" s="43"/>
      <c r="P60" s="46"/>
      <c r="Q60" s="46"/>
      <c r="R60" s="46"/>
      <c r="S60" s="46"/>
      <c r="T60" s="46"/>
      <c r="U60" s="46"/>
      <c r="V60" s="46"/>
      <c r="W60" s="46"/>
      <c r="X60" s="46"/>
      <c r="Y60" s="46"/>
      <c r="Z60" s="46"/>
      <c r="AA60" s="46"/>
    </row>
    <row r="61">
      <c r="A61" s="46"/>
      <c r="B61" s="46"/>
      <c r="C61" s="46"/>
      <c r="D61" s="46"/>
      <c r="E61" s="46"/>
      <c r="F61" s="47"/>
      <c r="G61" s="46"/>
      <c r="H61" s="46"/>
      <c r="I61" s="46"/>
      <c r="J61" s="46"/>
      <c r="K61" s="46"/>
      <c r="L61" s="46"/>
      <c r="M61" s="46"/>
      <c r="N61" s="46"/>
      <c r="O61" s="46"/>
      <c r="P61" s="46"/>
      <c r="Q61" s="46"/>
      <c r="R61" s="46"/>
      <c r="S61" s="46"/>
      <c r="T61" s="46"/>
      <c r="U61" s="46"/>
      <c r="V61" s="46"/>
      <c r="W61" s="46"/>
      <c r="X61" s="46"/>
      <c r="Y61" s="46"/>
      <c r="Z61" s="46"/>
      <c r="AA61" s="46"/>
    </row>
    <row r="62">
      <c r="A62" s="43" t="s">
        <v>255</v>
      </c>
      <c r="B62" s="43" t="s">
        <v>149</v>
      </c>
      <c r="C62" s="43" t="s">
        <v>149</v>
      </c>
      <c r="D62" s="43" t="s">
        <v>256</v>
      </c>
      <c r="E62" s="43" t="s">
        <v>98</v>
      </c>
      <c r="F62" s="48" t="s">
        <v>257</v>
      </c>
      <c r="G62" s="43" t="s">
        <v>251</v>
      </c>
      <c r="H62" s="43" t="s">
        <v>258</v>
      </c>
      <c r="I62" s="43" t="s">
        <v>259</v>
      </c>
      <c r="J62" s="43" t="s">
        <v>103</v>
      </c>
      <c r="K62" s="43" t="s">
        <v>6</v>
      </c>
      <c r="L62" s="49" t="s">
        <v>260</v>
      </c>
      <c r="M62" s="51"/>
      <c r="N62" s="51"/>
      <c r="O62" s="43"/>
      <c r="P62" s="46"/>
      <c r="Q62" s="46"/>
      <c r="R62" s="46"/>
      <c r="S62" s="46"/>
      <c r="T62" s="46"/>
      <c r="U62" s="46"/>
      <c r="V62" s="46"/>
      <c r="W62" s="46"/>
      <c r="X62" s="46"/>
      <c r="Y62" s="46"/>
      <c r="Z62" s="46"/>
      <c r="AA62" s="46"/>
    </row>
    <row r="63">
      <c r="A63" s="46"/>
      <c r="B63" s="46"/>
      <c r="C63" s="46"/>
      <c r="D63" s="46"/>
      <c r="E63" s="46"/>
      <c r="F63" s="47"/>
      <c r="G63" s="46"/>
      <c r="H63" s="46"/>
      <c r="I63" s="46"/>
      <c r="J63" s="46"/>
      <c r="K63" s="46"/>
      <c r="L63" s="46"/>
      <c r="M63" s="46"/>
      <c r="N63" s="46"/>
      <c r="O63" s="46"/>
      <c r="P63" s="46"/>
      <c r="Q63" s="46"/>
      <c r="R63" s="46"/>
      <c r="S63" s="46"/>
      <c r="T63" s="46"/>
      <c r="U63" s="46"/>
      <c r="V63" s="46"/>
      <c r="W63" s="46"/>
      <c r="X63" s="46"/>
      <c r="Y63" s="46"/>
      <c r="Z63" s="46"/>
      <c r="AA63" s="46"/>
    </row>
    <row r="64">
      <c r="A64" s="43" t="s">
        <v>261</v>
      </c>
      <c r="B64" s="43" t="s">
        <v>163</v>
      </c>
      <c r="C64" s="43" t="s">
        <v>164</v>
      </c>
      <c r="D64" s="43" t="s">
        <v>262</v>
      </c>
      <c r="E64" s="43" t="s">
        <v>98</v>
      </c>
      <c r="F64" s="48" t="s">
        <v>263</v>
      </c>
      <c r="G64" s="43" t="s">
        <v>251</v>
      </c>
      <c r="H64" s="43" t="s">
        <v>262</v>
      </c>
      <c r="I64" s="43" t="s">
        <v>264</v>
      </c>
      <c r="J64" s="43" t="s">
        <v>103</v>
      </c>
      <c r="K64" s="43" t="s">
        <v>6</v>
      </c>
      <c r="L64" s="49" t="s">
        <v>265</v>
      </c>
      <c r="M64" s="51"/>
      <c r="N64" s="51"/>
      <c r="O64" s="43"/>
      <c r="P64" s="46"/>
      <c r="Q64" s="46"/>
      <c r="R64" s="46"/>
      <c r="S64" s="46"/>
      <c r="T64" s="46"/>
      <c r="U64" s="46"/>
      <c r="V64" s="46"/>
      <c r="W64" s="46"/>
      <c r="X64" s="46"/>
      <c r="Y64" s="46"/>
      <c r="Z64" s="46"/>
      <c r="AA64" s="46"/>
    </row>
    <row r="65">
      <c r="A65" s="46"/>
      <c r="B65" s="46"/>
      <c r="C65" s="46"/>
      <c r="D65" s="46"/>
      <c r="E65" s="46"/>
      <c r="F65" s="47"/>
      <c r="G65" s="46"/>
      <c r="H65" s="46"/>
      <c r="I65" s="46"/>
      <c r="J65" s="46"/>
      <c r="K65" s="46"/>
      <c r="L65" s="46"/>
      <c r="M65" s="46"/>
      <c r="N65" s="46"/>
      <c r="O65" s="46"/>
      <c r="P65" s="46"/>
      <c r="Q65" s="46"/>
      <c r="R65" s="46"/>
      <c r="S65" s="46"/>
      <c r="T65" s="46"/>
      <c r="U65" s="46"/>
      <c r="V65" s="46"/>
      <c r="W65" s="46"/>
      <c r="X65" s="46"/>
      <c r="Y65" s="46"/>
      <c r="Z65" s="46"/>
      <c r="AA65" s="46"/>
    </row>
    <row r="66">
      <c r="A66" s="43" t="s">
        <v>266</v>
      </c>
      <c r="B66" s="43" t="s">
        <v>106</v>
      </c>
      <c r="C66" s="43" t="s">
        <v>106</v>
      </c>
      <c r="D66" s="43" t="s">
        <v>267</v>
      </c>
      <c r="E66" s="43" t="s">
        <v>98</v>
      </c>
      <c r="F66" s="56" t="s">
        <v>250</v>
      </c>
      <c r="G66" s="43" t="s">
        <v>251</v>
      </c>
      <c r="H66" s="43" t="s">
        <v>268</v>
      </c>
      <c r="I66" s="43" t="s">
        <v>269</v>
      </c>
      <c r="J66" s="43" t="s">
        <v>103</v>
      </c>
      <c r="K66" s="43" t="s">
        <v>6</v>
      </c>
      <c r="L66" s="53" t="s">
        <v>270</v>
      </c>
      <c r="M66" s="51"/>
      <c r="N66" s="51"/>
      <c r="O66" s="43"/>
      <c r="P66" s="46"/>
      <c r="Q66" s="46"/>
      <c r="R66" s="46"/>
      <c r="S66" s="46"/>
      <c r="T66" s="46"/>
      <c r="U66" s="46"/>
      <c r="V66" s="46"/>
      <c r="W66" s="46"/>
      <c r="X66" s="46"/>
      <c r="Y66" s="46"/>
      <c r="Z66" s="46"/>
      <c r="AA66" s="46"/>
    </row>
    <row r="67">
      <c r="A67" s="46"/>
      <c r="B67" s="46"/>
      <c r="C67" s="46"/>
      <c r="D67" s="46"/>
      <c r="E67" s="46"/>
      <c r="F67" s="47"/>
      <c r="G67" s="46"/>
      <c r="H67" s="46"/>
      <c r="I67" s="46"/>
      <c r="J67" s="46"/>
      <c r="K67" s="46"/>
      <c r="L67" s="46"/>
      <c r="M67" s="46"/>
      <c r="N67" s="46"/>
      <c r="O67" s="46"/>
      <c r="P67" s="46"/>
      <c r="Q67" s="46"/>
      <c r="R67" s="46"/>
      <c r="S67" s="46"/>
      <c r="T67" s="46"/>
      <c r="U67" s="46"/>
      <c r="V67" s="46"/>
      <c r="W67" s="46"/>
      <c r="X67" s="46"/>
      <c r="Y67" s="46"/>
      <c r="Z67" s="46"/>
      <c r="AA67" s="46"/>
    </row>
    <row r="68">
      <c r="A68" s="43" t="s">
        <v>271</v>
      </c>
      <c r="B68" s="43" t="s">
        <v>106</v>
      </c>
      <c r="C68" s="43" t="s">
        <v>106</v>
      </c>
      <c r="D68" s="43" t="s">
        <v>272</v>
      </c>
      <c r="E68" s="43" t="s">
        <v>98</v>
      </c>
      <c r="F68" s="56" t="s">
        <v>250</v>
      </c>
      <c r="G68" s="43" t="s">
        <v>251</v>
      </c>
      <c r="H68" s="43" t="s">
        <v>273</v>
      </c>
      <c r="I68" s="43" t="s">
        <v>274</v>
      </c>
      <c r="J68" s="43" t="s">
        <v>103</v>
      </c>
      <c r="K68" s="43" t="s">
        <v>6</v>
      </c>
      <c r="L68" s="49" t="s">
        <v>275</v>
      </c>
      <c r="M68" s="51"/>
      <c r="N68" s="51"/>
      <c r="O68" s="43"/>
      <c r="P68" s="46"/>
      <c r="Q68" s="46"/>
      <c r="R68" s="46"/>
      <c r="S68" s="46"/>
      <c r="T68" s="46"/>
      <c r="U68" s="46"/>
      <c r="V68" s="46"/>
      <c r="W68" s="46"/>
      <c r="X68" s="46"/>
      <c r="Y68" s="46"/>
      <c r="Z68" s="46"/>
      <c r="AA68" s="46"/>
    </row>
    <row r="69">
      <c r="A69" s="46"/>
      <c r="B69" s="46"/>
      <c r="C69" s="46"/>
      <c r="D69" s="46"/>
      <c r="E69" s="46"/>
      <c r="F69" s="47"/>
      <c r="G69" s="46"/>
      <c r="H69" s="46"/>
      <c r="I69" s="46"/>
      <c r="J69" s="46"/>
      <c r="K69" s="46"/>
      <c r="L69" s="46"/>
      <c r="M69" s="46"/>
      <c r="N69" s="46"/>
      <c r="O69" s="46"/>
      <c r="P69" s="46"/>
      <c r="Q69" s="46"/>
      <c r="R69" s="46"/>
      <c r="S69" s="46"/>
      <c r="T69" s="46"/>
      <c r="U69" s="46"/>
      <c r="V69" s="46"/>
      <c r="W69" s="46"/>
      <c r="X69" s="46"/>
      <c r="Y69" s="46"/>
      <c r="Z69" s="46"/>
      <c r="AA69" s="46"/>
    </row>
    <row r="70">
      <c r="A70" s="43" t="s">
        <v>276</v>
      </c>
      <c r="B70" s="43" t="s">
        <v>163</v>
      </c>
      <c r="C70" s="43" t="s">
        <v>164</v>
      </c>
      <c r="D70" s="43" t="s">
        <v>277</v>
      </c>
      <c r="E70" s="43" t="s">
        <v>98</v>
      </c>
      <c r="F70" s="56" t="s">
        <v>263</v>
      </c>
      <c r="G70" s="43" t="s">
        <v>251</v>
      </c>
      <c r="H70" s="43" t="s">
        <v>268</v>
      </c>
      <c r="I70" s="43" t="s">
        <v>269</v>
      </c>
      <c r="J70" s="43" t="s">
        <v>103</v>
      </c>
      <c r="K70" s="43" t="s">
        <v>6</v>
      </c>
      <c r="L70" s="49" t="s">
        <v>278</v>
      </c>
      <c r="M70" s="43" t="s">
        <v>279</v>
      </c>
      <c r="N70" s="51"/>
      <c r="O70" s="43"/>
      <c r="P70" s="46"/>
      <c r="Q70" s="46"/>
      <c r="R70" s="46"/>
      <c r="S70" s="46"/>
      <c r="T70" s="46"/>
      <c r="U70" s="46"/>
      <c r="V70" s="46"/>
      <c r="W70" s="46"/>
      <c r="X70" s="46"/>
      <c r="Y70" s="46"/>
      <c r="Z70" s="46"/>
      <c r="AA70" s="46"/>
    </row>
    <row r="71">
      <c r="A71" s="46"/>
      <c r="B71" s="46"/>
      <c r="C71" s="46"/>
      <c r="D71" s="46"/>
      <c r="E71" s="46"/>
      <c r="F71" s="47"/>
      <c r="G71" s="46"/>
      <c r="H71" s="46"/>
      <c r="I71" s="46"/>
      <c r="J71" s="46"/>
      <c r="K71" s="46"/>
      <c r="L71" s="46"/>
      <c r="M71" s="46"/>
      <c r="N71" s="46"/>
      <c r="O71" s="46"/>
      <c r="P71" s="46"/>
      <c r="Q71" s="46"/>
      <c r="R71" s="46"/>
      <c r="S71" s="46"/>
      <c r="T71" s="46"/>
      <c r="U71" s="46"/>
      <c r="V71" s="46"/>
      <c r="W71" s="46"/>
      <c r="X71" s="46"/>
      <c r="Y71" s="46"/>
      <c r="Z71" s="46"/>
      <c r="AA71" s="46"/>
    </row>
    <row r="72">
      <c r="A72" s="43" t="s">
        <v>280</v>
      </c>
      <c r="B72" s="43" t="s">
        <v>106</v>
      </c>
      <c r="C72" s="43" t="s">
        <v>106</v>
      </c>
      <c r="D72" s="43" t="s">
        <v>281</v>
      </c>
      <c r="E72" s="43" t="s">
        <v>98</v>
      </c>
      <c r="F72" s="56" t="s">
        <v>250</v>
      </c>
      <c r="G72" s="43" t="s">
        <v>251</v>
      </c>
      <c r="H72" s="43" t="s">
        <v>273</v>
      </c>
      <c r="I72" s="43" t="s">
        <v>274</v>
      </c>
      <c r="J72" s="43" t="s">
        <v>103</v>
      </c>
      <c r="K72" s="43" t="s">
        <v>6</v>
      </c>
      <c r="L72" s="49" t="s">
        <v>282</v>
      </c>
      <c r="M72" s="51"/>
      <c r="N72" s="51"/>
      <c r="O72" s="43"/>
      <c r="P72" s="46"/>
      <c r="Q72" s="46"/>
      <c r="R72" s="46"/>
      <c r="S72" s="46"/>
      <c r="T72" s="46"/>
      <c r="U72" s="46"/>
      <c r="V72" s="46"/>
      <c r="W72" s="46"/>
      <c r="X72" s="46"/>
      <c r="Y72" s="46"/>
      <c r="Z72" s="46"/>
      <c r="AA72" s="46"/>
    </row>
    <row r="73">
      <c r="A73" s="57"/>
      <c r="B73" s="57"/>
      <c r="C73" s="57"/>
      <c r="D73" s="57"/>
      <c r="E73" s="57"/>
      <c r="F73" s="58"/>
      <c r="G73" s="57"/>
      <c r="H73" s="57"/>
      <c r="I73" s="57"/>
      <c r="J73" s="57"/>
      <c r="K73" s="57"/>
      <c r="L73" s="57"/>
      <c r="M73" s="57"/>
      <c r="N73" s="57"/>
      <c r="O73" s="46"/>
      <c r="P73" s="57"/>
      <c r="Q73" s="57"/>
      <c r="R73" s="57"/>
      <c r="S73" s="46"/>
      <c r="T73" s="46"/>
      <c r="U73" s="57"/>
      <c r="V73" s="57"/>
      <c r="W73" s="57"/>
      <c r="X73" s="57"/>
      <c r="Y73" s="57"/>
      <c r="Z73" s="57"/>
      <c r="AA73" s="57"/>
    </row>
    <row r="74">
      <c r="A74" s="43" t="s">
        <v>283</v>
      </c>
      <c r="B74" s="43" t="s">
        <v>106</v>
      </c>
      <c r="C74" s="43" t="s">
        <v>106</v>
      </c>
      <c r="D74" s="43" t="s">
        <v>284</v>
      </c>
      <c r="E74" s="43" t="s">
        <v>98</v>
      </c>
      <c r="F74" s="56" t="s">
        <v>250</v>
      </c>
      <c r="G74" s="43" t="s">
        <v>251</v>
      </c>
      <c r="H74" s="43" t="s">
        <v>285</v>
      </c>
      <c r="I74" s="43" t="s">
        <v>286</v>
      </c>
      <c r="J74" s="43" t="s">
        <v>103</v>
      </c>
      <c r="K74" s="43" t="s">
        <v>6</v>
      </c>
      <c r="L74" s="49" t="s">
        <v>287</v>
      </c>
      <c r="M74" s="59"/>
      <c r="N74" s="59"/>
      <c r="O74" s="43"/>
      <c r="P74" s="57"/>
      <c r="Q74" s="57"/>
      <c r="R74" s="57"/>
      <c r="S74" s="46"/>
      <c r="T74" s="46"/>
      <c r="U74" s="57"/>
      <c r="V74" s="57"/>
      <c r="W74" s="57"/>
      <c r="X74" s="57"/>
      <c r="Y74" s="57"/>
      <c r="Z74" s="57"/>
      <c r="AA74" s="57"/>
    </row>
    <row r="75">
      <c r="A75" s="57"/>
      <c r="B75" s="57"/>
      <c r="C75" s="57"/>
      <c r="D75" s="57"/>
      <c r="E75" s="57"/>
      <c r="F75" s="58"/>
      <c r="G75" s="57"/>
      <c r="H75" s="57"/>
      <c r="I75" s="57"/>
      <c r="J75" s="57"/>
      <c r="K75" s="57"/>
      <c r="L75" s="57"/>
      <c r="M75" s="57"/>
      <c r="N75" s="57"/>
      <c r="O75" s="46"/>
      <c r="P75" s="57"/>
      <c r="Q75" s="57"/>
      <c r="R75" s="57"/>
      <c r="S75" s="57"/>
      <c r="T75" s="57"/>
      <c r="U75" s="57"/>
      <c r="V75" s="57"/>
      <c r="W75" s="57"/>
      <c r="X75" s="57"/>
      <c r="Y75" s="57"/>
      <c r="Z75" s="57"/>
      <c r="AA75" s="57"/>
    </row>
    <row r="76">
      <c r="A76" s="43" t="s">
        <v>288</v>
      </c>
      <c r="B76" s="43" t="s">
        <v>106</v>
      </c>
      <c r="C76" s="43" t="s">
        <v>106</v>
      </c>
      <c r="D76" s="43" t="s">
        <v>289</v>
      </c>
      <c r="E76" s="43" t="s">
        <v>98</v>
      </c>
      <c r="F76" s="56" t="s">
        <v>250</v>
      </c>
      <c r="G76" s="43" t="s">
        <v>251</v>
      </c>
      <c r="H76" s="43" t="s">
        <v>285</v>
      </c>
      <c r="I76" s="43" t="s">
        <v>286</v>
      </c>
      <c r="J76" s="43" t="s">
        <v>103</v>
      </c>
      <c r="K76" s="43" t="s">
        <v>6</v>
      </c>
      <c r="L76" s="49" t="s">
        <v>290</v>
      </c>
      <c r="M76" s="59"/>
      <c r="N76" s="59"/>
      <c r="O76" s="43"/>
      <c r="P76" s="57"/>
      <c r="Q76" s="57"/>
      <c r="R76" s="57"/>
      <c r="S76" s="57"/>
      <c r="T76" s="57"/>
      <c r="U76" s="57"/>
      <c r="V76" s="57"/>
      <c r="W76" s="57"/>
      <c r="X76" s="57"/>
      <c r="Y76" s="57"/>
      <c r="Z76" s="57"/>
      <c r="AA76" s="57"/>
    </row>
    <row r="77">
      <c r="A77" s="57"/>
      <c r="B77" s="57"/>
      <c r="C77" s="57"/>
      <c r="D77" s="57"/>
      <c r="E77" s="57"/>
      <c r="F77" s="58"/>
      <c r="G77" s="57"/>
      <c r="H77" s="57"/>
      <c r="I77" s="57"/>
      <c r="J77" s="57"/>
      <c r="K77" s="57"/>
      <c r="L77" s="57"/>
      <c r="M77" s="57"/>
      <c r="N77" s="57"/>
      <c r="O77" s="46"/>
      <c r="P77" s="57"/>
      <c r="Q77" s="57"/>
      <c r="R77" s="57"/>
      <c r="S77" s="57"/>
      <c r="T77" s="57"/>
      <c r="U77" s="57"/>
      <c r="V77" s="57"/>
      <c r="W77" s="57"/>
      <c r="X77" s="57"/>
      <c r="Y77" s="57"/>
      <c r="Z77" s="57"/>
      <c r="AA77" s="57"/>
    </row>
    <row r="78">
      <c r="A78" s="43" t="s">
        <v>291</v>
      </c>
      <c r="B78" s="43" t="s">
        <v>106</v>
      </c>
      <c r="C78" s="43" t="s">
        <v>106</v>
      </c>
      <c r="D78" s="43" t="s">
        <v>292</v>
      </c>
      <c r="E78" s="43" t="s">
        <v>98</v>
      </c>
      <c r="F78" s="56" t="s">
        <v>250</v>
      </c>
      <c r="G78" s="43" t="s">
        <v>251</v>
      </c>
      <c r="H78" s="43" t="s">
        <v>285</v>
      </c>
      <c r="I78" s="43" t="s">
        <v>286</v>
      </c>
      <c r="J78" s="43" t="s">
        <v>103</v>
      </c>
      <c r="K78" s="43" t="s">
        <v>6</v>
      </c>
      <c r="L78" s="49" t="s">
        <v>293</v>
      </c>
      <c r="M78" s="59"/>
      <c r="N78" s="59"/>
      <c r="O78" s="43"/>
      <c r="P78" s="57"/>
      <c r="Q78" s="57"/>
      <c r="R78" s="57"/>
      <c r="S78" s="57"/>
      <c r="T78" s="57"/>
      <c r="U78" s="57"/>
      <c r="V78" s="57"/>
      <c r="W78" s="57"/>
      <c r="X78" s="57"/>
      <c r="Y78" s="57"/>
      <c r="Z78" s="57"/>
      <c r="AA78" s="57"/>
    </row>
    <row r="79">
      <c r="A79" s="57"/>
      <c r="B79" s="57"/>
      <c r="C79" s="57"/>
      <c r="D79" s="57"/>
      <c r="E79" s="57"/>
      <c r="F79" s="58"/>
      <c r="G79" s="57"/>
      <c r="H79" s="57"/>
      <c r="I79" s="57"/>
      <c r="J79" s="57"/>
      <c r="K79" s="57"/>
      <c r="L79" s="57"/>
      <c r="M79" s="57"/>
      <c r="N79" s="57"/>
      <c r="O79" s="46"/>
      <c r="P79" s="57"/>
      <c r="Q79" s="57"/>
      <c r="R79" s="57"/>
      <c r="S79" s="57"/>
      <c r="T79" s="57"/>
      <c r="U79" s="57"/>
      <c r="V79" s="57"/>
      <c r="W79" s="57"/>
      <c r="X79" s="57"/>
      <c r="Y79" s="57"/>
      <c r="Z79" s="57"/>
      <c r="AA79" s="57"/>
    </row>
    <row r="80">
      <c r="A80" s="43" t="s">
        <v>294</v>
      </c>
      <c r="B80" s="43" t="s">
        <v>106</v>
      </c>
      <c r="C80" s="43" t="s">
        <v>106</v>
      </c>
      <c r="D80" s="43" t="s">
        <v>295</v>
      </c>
      <c r="E80" s="43" t="s">
        <v>98</v>
      </c>
      <c r="F80" s="56" t="s">
        <v>250</v>
      </c>
      <c r="G80" s="43" t="s">
        <v>251</v>
      </c>
      <c r="H80" s="43" t="s">
        <v>285</v>
      </c>
      <c r="I80" s="43" t="s">
        <v>286</v>
      </c>
      <c r="J80" s="43" t="s">
        <v>103</v>
      </c>
      <c r="K80" s="43" t="s">
        <v>6</v>
      </c>
      <c r="L80" s="49" t="s">
        <v>296</v>
      </c>
      <c r="M80" s="59"/>
      <c r="N80" s="59"/>
      <c r="O80" s="43"/>
      <c r="P80" s="57"/>
      <c r="Q80" s="57"/>
      <c r="R80" s="57"/>
      <c r="S80" s="57"/>
      <c r="T80" s="57"/>
      <c r="U80" s="57"/>
      <c r="V80" s="57"/>
      <c r="W80" s="57"/>
      <c r="X80" s="57"/>
      <c r="Y80" s="57"/>
      <c r="Z80" s="57"/>
      <c r="AA80" s="57"/>
    </row>
    <row r="81">
      <c r="A81" s="57"/>
      <c r="B81" s="57"/>
      <c r="C81" s="57"/>
      <c r="D81" s="57"/>
      <c r="E81" s="57"/>
      <c r="F81" s="58"/>
      <c r="G81" s="57"/>
      <c r="H81" s="57"/>
      <c r="I81" s="57"/>
      <c r="J81" s="57"/>
      <c r="K81" s="57"/>
      <c r="L81" s="57"/>
      <c r="M81" s="57"/>
      <c r="N81" s="57"/>
      <c r="O81" s="46"/>
      <c r="P81" s="57"/>
      <c r="Q81" s="57"/>
      <c r="R81" s="57"/>
      <c r="S81" s="57"/>
      <c r="T81" s="57"/>
      <c r="U81" s="57"/>
      <c r="V81" s="57"/>
      <c r="W81" s="57"/>
      <c r="X81" s="57"/>
      <c r="Y81" s="57"/>
      <c r="Z81" s="57"/>
      <c r="AA81" s="57"/>
    </row>
    <row r="82">
      <c r="A82" s="43" t="s">
        <v>297</v>
      </c>
      <c r="B82" s="43" t="s">
        <v>106</v>
      </c>
      <c r="C82" s="43" t="s">
        <v>106</v>
      </c>
      <c r="D82" s="43" t="s">
        <v>298</v>
      </c>
      <c r="E82" s="43" t="s">
        <v>98</v>
      </c>
      <c r="F82" s="56" t="s">
        <v>250</v>
      </c>
      <c r="G82" s="43" t="s">
        <v>251</v>
      </c>
      <c r="H82" s="43" t="s">
        <v>285</v>
      </c>
      <c r="I82" s="43" t="s">
        <v>286</v>
      </c>
      <c r="J82" s="43" t="s">
        <v>103</v>
      </c>
      <c r="K82" s="43" t="s">
        <v>6</v>
      </c>
      <c r="L82" s="49" t="s">
        <v>299</v>
      </c>
      <c r="M82" s="59"/>
      <c r="N82" s="59"/>
      <c r="O82" s="43"/>
      <c r="P82" s="57"/>
      <c r="Q82" s="57"/>
      <c r="R82" s="57"/>
      <c r="S82" s="57"/>
      <c r="T82" s="57"/>
      <c r="U82" s="57"/>
      <c r="V82" s="57"/>
      <c r="W82" s="57"/>
      <c r="X82" s="57"/>
      <c r="Y82" s="57"/>
      <c r="Z82" s="57"/>
      <c r="AA82" s="57"/>
    </row>
    <row r="83">
      <c r="A83" s="57"/>
      <c r="B83" s="57"/>
      <c r="C83" s="57"/>
      <c r="D83" s="57"/>
      <c r="E83" s="57"/>
      <c r="F83" s="58"/>
      <c r="G83" s="57"/>
      <c r="H83" s="57"/>
      <c r="I83" s="57"/>
      <c r="J83" s="57"/>
      <c r="K83" s="57"/>
      <c r="L83" s="57"/>
      <c r="M83" s="57"/>
      <c r="N83" s="57"/>
      <c r="O83" s="46"/>
      <c r="P83" s="57"/>
      <c r="Q83" s="57"/>
      <c r="R83" s="57"/>
      <c r="S83" s="57"/>
      <c r="T83" s="57"/>
      <c r="U83" s="57"/>
      <c r="V83" s="57"/>
      <c r="W83" s="57"/>
      <c r="X83" s="57"/>
      <c r="Y83" s="57"/>
      <c r="Z83" s="57"/>
      <c r="AA83" s="57"/>
    </row>
    <row r="84">
      <c r="A84" s="43" t="s">
        <v>300</v>
      </c>
      <c r="B84" s="43" t="s">
        <v>149</v>
      </c>
      <c r="C84" s="43" t="s">
        <v>149</v>
      </c>
      <c r="D84" s="43" t="s">
        <v>301</v>
      </c>
      <c r="E84" s="43" t="s">
        <v>98</v>
      </c>
      <c r="F84" s="56" t="s">
        <v>257</v>
      </c>
      <c r="G84" s="43" t="s">
        <v>251</v>
      </c>
      <c r="H84" s="43" t="s">
        <v>302</v>
      </c>
      <c r="I84" s="43" t="s">
        <v>303</v>
      </c>
      <c r="J84" s="43" t="s">
        <v>103</v>
      </c>
      <c r="K84" s="43" t="s">
        <v>6</v>
      </c>
      <c r="L84" s="49" t="s">
        <v>304</v>
      </c>
      <c r="M84" s="59"/>
      <c r="N84" s="59"/>
      <c r="O84" s="43"/>
      <c r="P84" s="57"/>
      <c r="Q84" s="57"/>
      <c r="R84" s="57"/>
      <c r="S84" s="57"/>
      <c r="T84" s="57"/>
      <c r="U84" s="57"/>
      <c r="V84" s="57"/>
      <c r="W84" s="57"/>
      <c r="X84" s="57"/>
      <c r="Y84" s="57"/>
      <c r="Z84" s="57"/>
      <c r="AA84" s="57"/>
    </row>
    <row r="85">
      <c r="A85" s="57"/>
      <c r="B85" s="57"/>
      <c r="C85" s="57"/>
      <c r="D85" s="57"/>
      <c r="E85" s="57"/>
      <c r="F85" s="58"/>
      <c r="G85" s="57"/>
      <c r="H85" s="57"/>
      <c r="I85" s="57"/>
      <c r="J85" s="57"/>
      <c r="K85" s="57"/>
      <c r="L85" s="57"/>
      <c r="M85" s="57"/>
      <c r="N85" s="57"/>
      <c r="O85" s="46"/>
      <c r="P85" s="57"/>
      <c r="Q85" s="57"/>
      <c r="R85" s="57"/>
      <c r="S85" s="57"/>
      <c r="T85" s="57"/>
      <c r="U85" s="57"/>
      <c r="V85" s="57"/>
      <c r="W85" s="57"/>
      <c r="X85" s="57"/>
      <c r="Y85" s="57"/>
      <c r="Z85" s="57"/>
      <c r="AA85" s="57"/>
    </row>
    <row r="86">
      <c r="A86" s="43" t="s">
        <v>305</v>
      </c>
      <c r="B86" s="51"/>
      <c r="C86" s="51"/>
      <c r="D86" s="51"/>
      <c r="E86" s="51"/>
      <c r="F86" s="51"/>
      <c r="G86" s="59"/>
      <c r="H86" s="51"/>
      <c r="I86" s="51"/>
      <c r="J86" s="51"/>
      <c r="K86" s="51"/>
      <c r="L86" s="60"/>
      <c r="M86" s="59"/>
      <c r="N86" s="59"/>
      <c r="O86" s="43"/>
      <c r="P86" s="57"/>
      <c r="Q86" s="57"/>
      <c r="R86" s="57"/>
      <c r="S86" s="57"/>
      <c r="T86" s="57"/>
      <c r="U86" s="57"/>
      <c r="V86" s="57"/>
      <c r="W86" s="57"/>
      <c r="X86" s="57"/>
      <c r="Y86" s="57"/>
      <c r="Z86" s="57"/>
      <c r="AA86" s="57"/>
    </row>
    <row r="87">
      <c r="A87" s="35"/>
      <c r="B87" s="35"/>
      <c r="C87" s="35"/>
      <c r="D87" s="35"/>
      <c r="E87" s="35"/>
      <c r="F87" s="35"/>
      <c r="G87" s="35"/>
      <c r="H87" s="35"/>
      <c r="I87" s="35"/>
      <c r="J87" s="35"/>
      <c r="K87" s="35"/>
      <c r="L87" s="35"/>
      <c r="M87" s="35"/>
      <c r="N87" s="35"/>
      <c r="O87" s="46"/>
      <c r="P87" s="35"/>
      <c r="Q87" s="35"/>
      <c r="R87" s="35"/>
      <c r="S87" s="57"/>
      <c r="T87" s="57"/>
      <c r="U87" s="35"/>
      <c r="V87" s="35"/>
      <c r="W87" s="35"/>
      <c r="X87" s="35"/>
      <c r="Y87" s="35"/>
      <c r="Z87" s="35"/>
      <c r="AA87" s="35"/>
    </row>
    <row r="88">
      <c r="A88" s="43" t="s">
        <v>306</v>
      </c>
      <c r="B88" s="51"/>
      <c r="C88" s="51"/>
      <c r="D88" s="51"/>
      <c r="E88" s="51"/>
      <c r="F88" s="51"/>
      <c r="G88" s="59"/>
      <c r="H88" s="51"/>
      <c r="I88" s="51"/>
      <c r="J88" s="51"/>
      <c r="K88" s="51"/>
      <c r="L88" s="60"/>
      <c r="M88" s="59"/>
      <c r="N88" s="59"/>
      <c r="O88" s="43"/>
      <c r="P88" s="35"/>
      <c r="Q88" s="35"/>
      <c r="R88" s="35"/>
      <c r="S88" s="57"/>
      <c r="T88" s="57"/>
      <c r="U88" s="35"/>
      <c r="V88" s="35"/>
      <c r="W88" s="35"/>
      <c r="X88" s="35"/>
      <c r="Y88" s="35"/>
      <c r="Z88" s="35"/>
      <c r="AA88" s="35"/>
    </row>
    <row r="89">
      <c r="A89" s="35"/>
      <c r="B89" s="35"/>
      <c r="C89" s="35"/>
      <c r="D89" s="35"/>
      <c r="E89" s="35"/>
      <c r="F89" s="35"/>
      <c r="G89" s="35"/>
      <c r="H89" s="35"/>
      <c r="I89" s="35"/>
      <c r="J89" s="35"/>
      <c r="K89" s="35"/>
      <c r="L89" s="35"/>
      <c r="M89" s="35"/>
      <c r="N89" s="35"/>
      <c r="O89" s="46"/>
      <c r="P89" s="35"/>
      <c r="Q89" s="35"/>
      <c r="R89" s="35"/>
      <c r="S89" s="35"/>
      <c r="T89" s="35"/>
      <c r="U89" s="35"/>
      <c r="V89" s="35"/>
      <c r="W89" s="35"/>
      <c r="X89" s="35"/>
      <c r="Y89" s="35"/>
      <c r="Z89" s="35"/>
      <c r="AA89" s="35"/>
    </row>
    <row r="90">
      <c r="A90" s="43" t="s">
        <v>307</v>
      </c>
      <c r="B90" s="51"/>
      <c r="C90" s="51"/>
      <c r="D90" s="51"/>
      <c r="E90" s="51"/>
      <c r="F90" s="51"/>
      <c r="G90" s="59"/>
      <c r="H90" s="51"/>
      <c r="I90" s="51"/>
      <c r="J90" s="51"/>
      <c r="K90" s="51"/>
      <c r="L90" s="60"/>
      <c r="M90" s="59"/>
      <c r="N90" s="59"/>
      <c r="O90" s="43"/>
      <c r="P90" s="35"/>
      <c r="Q90" s="35"/>
      <c r="R90" s="35"/>
      <c r="S90" s="35"/>
      <c r="T90" s="35"/>
      <c r="U90" s="35"/>
      <c r="V90" s="35"/>
      <c r="W90" s="35"/>
      <c r="X90" s="35"/>
      <c r="Y90" s="35"/>
      <c r="Z90" s="35"/>
      <c r="AA90" s="35"/>
    </row>
    <row r="91">
      <c r="A91" s="35"/>
      <c r="B91" s="35"/>
      <c r="C91" s="35"/>
      <c r="D91" s="35"/>
      <c r="E91" s="35"/>
      <c r="F91" s="35"/>
      <c r="G91" s="35"/>
      <c r="H91" s="35"/>
      <c r="I91" s="35"/>
      <c r="J91" s="35"/>
      <c r="K91" s="35"/>
      <c r="L91" s="35"/>
      <c r="M91" s="35"/>
      <c r="N91" s="35"/>
      <c r="O91" s="46"/>
      <c r="P91" s="35"/>
      <c r="Q91" s="35"/>
      <c r="R91" s="35"/>
      <c r="S91" s="35"/>
      <c r="T91" s="35"/>
      <c r="U91" s="35"/>
      <c r="V91" s="35"/>
      <c r="W91" s="35"/>
      <c r="X91" s="35"/>
      <c r="Y91" s="35"/>
      <c r="Z91" s="35"/>
      <c r="AA91" s="35"/>
    </row>
    <row r="92">
      <c r="A92" s="43" t="s">
        <v>308</v>
      </c>
      <c r="B92" s="51"/>
      <c r="C92" s="51"/>
      <c r="D92" s="51"/>
      <c r="E92" s="51"/>
      <c r="F92" s="51"/>
      <c r="G92" s="59"/>
      <c r="H92" s="51"/>
      <c r="I92" s="51"/>
      <c r="J92" s="51"/>
      <c r="K92" s="51"/>
      <c r="L92" s="60"/>
      <c r="M92" s="59"/>
      <c r="N92" s="59"/>
      <c r="O92" s="43"/>
      <c r="P92" s="35"/>
      <c r="Q92" s="35"/>
      <c r="R92" s="35"/>
      <c r="S92" s="35"/>
      <c r="T92" s="35"/>
      <c r="U92" s="35"/>
      <c r="V92" s="35"/>
      <c r="W92" s="35"/>
      <c r="X92" s="35"/>
      <c r="Y92" s="35"/>
      <c r="Z92" s="35"/>
      <c r="AA92" s="35"/>
    </row>
    <row r="93">
      <c r="A93" s="35"/>
      <c r="B93" s="35"/>
      <c r="C93" s="35"/>
      <c r="D93" s="35"/>
      <c r="E93" s="35"/>
      <c r="F93" s="35"/>
      <c r="G93" s="35"/>
      <c r="H93" s="35"/>
      <c r="I93" s="35"/>
      <c r="J93" s="35"/>
      <c r="K93" s="35"/>
      <c r="L93" s="35"/>
      <c r="M93" s="35"/>
      <c r="N93" s="35"/>
      <c r="O93" s="46"/>
      <c r="P93" s="35"/>
      <c r="Q93" s="35"/>
      <c r="R93" s="35"/>
      <c r="S93" s="35"/>
      <c r="T93" s="35"/>
      <c r="U93" s="35"/>
      <c r="V93" s="35"/>
      <c r="W93" s="35"/>
      <c r="X93" s="35"/>
      <c r="Y93" s="35"/>
      <c r="Z93" s="35"/>
      <c r="AA93" s="35"/>
    </row>
    <row r="94">
      <c r="A94" s="43" t="s">
        <v>309</v>
      </c>
      <c r="B94" s="51"/>
      <c r="C94" s="51"/>
      <c r="D94" s="51"/>
      <c r="E94" s="51"/>
      <c r="F94" s="51"/>
      <c r="G94" s="59"/>
      <c r="H94" s="51"/>
      <c r="I94" s="51"/>
      <c r="J94" s="51"/>
      <c r="K94" s="51"/>
      <c r="L94" s="60"/>
      <c r="M94" s="59"/>
      <c r="N94" s="59"/>
      <c r="O94" s="43"/>
      <c r="P94" s="35"/>
      <c r="Q94" s="35"/>
      <c r="R94" s="35"/>
      <c r="S94" s="35"/>
      <c r="T94" s="35"/>
      <c r="U94" s="35"/>
      <c r="V94" s="35"/>
      <c r="W94" s="35"/>
      <c r="X94" s="35"/>
      <c r="Y94" s="35"/>
      <c r="Z94" s="35"/>
      <c r="AA94" s="35"/>
    </row>
    <row r="95">
      <c r="A95" s="35"/>
      <c r="B95" s="35"/>
      <c r="C95" s="35"/>
      <c r="D95" s="35"/>
      <c r="E95" s="35"/>
      <c r="F95" s="35"/>
      <c r="G95" s="35"/>
      <c r="H95" s="35"/>
      <c r="I95" s="35"/>
      <c r="J95" s="35"/>
      <c r="K95" s="35"/>
      <c r="L95" s="35"/>
      <c r="M95" s="35"/>
      <c r="N95" s="35"/>
      <c r="O95" s="46"/>
      <c r="P95" s="35"/>
      <c r="Q95" s="35"/>
      <c r="R95" s="35"/>
      <c r="S95" s="35"/>
      <c r="T95" s="35"/>
      <c r="U95" s="35"/>
      <c r="V95" s="35"/>
      <c r="W95" s="35"/>
      <c r="X95" s="35"/>
      <c r="Y95" s="35"/>
      <c r="Z95" s="35"/>
      <c r="AA95" s="35"/>
    </row>
    <row r="96">
      <c r="A96" s="43" t="s">
        <v>310</v>
      </c>
      <c r="B96" s="51"/>
      <c r="C96" s="51"/>
      <c r="D96" s="51"/>
      <c r="E96" s="51"/>
      <c r="F96" s="51"/>
      <c r="G96" s="59"/>
      <c r="H96" s="51"/>
      <c r="I96" s="51"/>
      <c r="J96" s="51"/>
      <c r="K96" s="51"/>
      <c r="L96" s="60"/>
      <c r="M96" s="59"/>
      <c r="N96" s="59"/>
      <c r="O96" s="43"/>
      <c r="P96" s="35"/>
      <c r="Q96" s="35"/>
      <c r="R96" s="35"/>
      <c r="S96" s="35"/>
      <c r="T96" s="35"/>
      <c r="U96" s="35"/>
      <c r="V96" s="35"/>
      <c r="W96" s="35"/>
      <c r="X96" s="35"/>
      <c r="Y96" s="35"/>
      <c r="Z96" s="35"/>
      <c r="AA96" s="35"/>
    </row>
    <row r="97">
      <c r="A97" s="35"/>
      <c r="B97" s="35"/>
      <c r="C97" s="35"/>
      <c r="D97" s="35"/>
      <c r="E97" s="35"/>
      <c r="F97" s="35"/>
      <c r="G97" s="35"/>
      <c r="H97" s="35"/>
      <c r="I97" s="35"/>
      <c r="J97" s="35"/>
      <c r="K97" s="35"/>
      <c r="L97" s="35"/>
      <c r="M97" s="35"/>
      <c r="N97" s="35"/>
      <c r="O97" s="46"/>
      <c r="P97" s="35"/>
      <c r="Q97" s="35"/>
      <c r="R97" s="35"/>
      <c r="S97" s="35"/>
      <c r="T97" s="35"/>
      <c r="U97" s="35"/>
      <c r="V97" s="35"/>
      <c r="W97" s="35"/>
      <c r="X97" s="35"/>
      <c r="Y97" s="35"/>
      <c r="Z97" s="35"/>
      <c r="AA97" s="35"/>
    </row>
    <row r="98">
      <c r="A98" s="43" t="s">
        <v>311</v>
      </c>
      <c r="B98" s="51"/>
      <c r="C98" s="51"/>
      <c r="D98" s="51"/>
      <c r="E98" s="51"/>
      <c r="F98" s="51"/>
      <c r="G98" s="59"/>
      <c r="H98" s="51"/>
      <c r="I98" s="51"/>
      <c r="J98" s="51"/>
      <c r="K98" s="51"/>
      <c r="L98" s="60"/>
      <c r="M98" s="59"/>
      <c r="N98" s="59"/>
      <c r="O98" s="43"/>
      <c r="P98" s="35"/>
      <c r="Q98" s="35"/>
      <c r="R98" s="35"/>
      <c r="S98" s="35"/>
      <c r="T98" s="35"/>
      <c r="U98" s="35"/>
      <c r="V98" s="35"/>
      <c r="W98" s="35"/>
      <c r="X98" s="35"/>
      <c r="Y98" s="35"/>
      <c r="Z98" s="35"/>
      <c r="AA98" s="35"/>
    </row>
    <row r="99">
      <c r="A99" s="35"/>
      <c r="B99" s="35"/>
      <c r="C99" s="35"/>
      <c r="D99" s="35"/>
      <c r="E99" s="35"/>
      <c r="F99" s="35"/>
      <c r="G99" s="35"/>
      <c r="H99" s="35"/>
      <c r="I99" s="35"/>
      <c r="J99" s="35"/>
      <c r="K99" s="35"/>
      <c r="L99" s="35"/>
      <c r="M99" s="35"/>
      <c r="N99" s="35"/>
      <c r="O99" s="46"/>
      <c r="P99" s="35"/>
      <c r="Q99" s="35"/>
      <c r="R99" s="35"/>
      <c r="S99" s="35"/>
      <c r="T99" s="35"/>
      <c r="U99" s="35"/>
      <c r="V99" s="35"/>
      <c r="W99" s="35"/>
      <c r="X99" s="35"/>
      <c r="Y99" s="35"/>
      <c r="Z99" s="35"/>
      <c r="AA99" s="35"/>
    </row>
    <row r="100">
      <c r="A100" s="43" t="s">
        <v>312</v>
      </c>
      <c r="B100" s="51"/>
      <c r="C100" s="51"/>
      <c r="D100" s="51"/>
      <c r="E100" s="51"/>
      <c r="F100" s="51"/>
      <c r="G100" s="59"/>
      <c r="H100" s="51"/>
      <c r="I100" s="51"/>
      <c r="J100" s="51"/>
      <c r="K100" s="51"/>
      <c r="L100" s="60"/>
      <c r="M100" s="59"/>
      <c r="N100" s="59"/>
      <c r="O100" s="43"/>
      <c r="P100" s="35"/>
      <c r="Q100" s="35"/>
      <c r="R100" s="35"/>
      <c r="S100" s="35"/>
      <c r="T100" s="35"/>
      <c r="U100" s="35"/>
      <c r="V100" s="35"/>
      <c r="W100" s="35"/>
      <c r="X100" s="35"/>
      <c r="Y100" s="35"/>
      <c r="Z100" s="35"/>
      <c r="AA100" s="35"/>
    </row>
    <row r="101">
      <c r="A101" s="35"/>
      <c r="B101" s="35"/>
      <c r="C101" s="35"/>
      <c r="D101" s="35"/>
      <c r="E101" s="35"/>
      <c r="F101" s="35"/>
      <c r="G101" s="35"/>
      <c r="H101" s="35"/>
      <c r="I101" s="35"/>
      <c r="J101" s="35"/>
      <c r="K101" s="35"/>
      <c r="L101" s="35"/>
      <c r="M101" s="35"/>
      <c r="N101" s="35"/>
      <c r="O101" s="46"/>
      <c r="P101" s="35"/>
      <c r="Q101" s="35"/>
      <c r="R101" s="35"/>
      <c r="S101" s="35"/>
      <c r="T101" s="35"/>
      <c r="U101" s="35"/>
      <c r="V101" s="35"/>
      <c r="W101" s="35"/>
      <c r="X101" s="35"/>
      <c r="Y101" s="35"/>
      <c r="Z101" s="35"/>
      <c r="AA101" s="35"/>
    </row>
    <row r="102">
      <c r="A102" s="43" t="s">
        <v>313</v>
      </c>
      <c r="B102" s="51"/>
      <c r="C102" s="51"/>
      <c r="D102" s="51"/>
      <c r="E102" s="51"/>
      <c r="F102" s="51"/>
      <c r="G102" s="59"/>
      <c r="H102" s="51"/>
      <c r="I102" s="51"/>
      <c r="J102" s="51"/>
      <c r="K102" s="51"/>
      <c r="L102" s="60"/>
      <c r="M102" s="59"/>
      <c r="N102" s="59"/>
      <c r="O102" s="43"/>
      <c r="P102" s="35"/>
      <c r="Q102" s="35"/>
      <c r="R102" s="35"/>
      <c r="S102" s="35"/>
      <c r="T102" s="35"/>
      <c r="U102" s="35"/>
      <c r="V102" s="35"/>
      <c r="W102" s="35"/>
      <c r="X102" s="35"/>
      <c r="Y102" s="35"/>
      <c r="Z102" s="35"/>
      <c r="AA102" s="35"/>
    </row>
    <row r="103">
      <c r="A103" s="35"/>
      <c r="B103" s="35"/>
      <c r="C103" s="35"/>
      <c r="D103" s="35"/>
      <c r="E103" s="35"/>
      <c r="F103" s="35"/>
      <c r="G103" s="35"/>
      <c r="H103" s="35"/>
      <c r="I103" s="35"/>
      <c r="J103" s="35"/>
      <c r="K103" s="35"/>
      <c r="L103" s="35"/>
      <c r="M103" s="35"/>
      <c r="N103" s="35"/>
      <c r="O103" s="46"/>
      <c r="P103" s="35"/>
      <c r="Q103" s="35"/>
      <c r="R103" s="35"/>
      <c r="S103" s="35"/>
      <c r="T103" s="35"/>
      <c r="U103" s="35"/>
      <c r="V103" s="35"/>
      <c r="W103" s="35"/>
      <c r="X103" s="35"/>
      <c r="Y103" s="35"/>
      <c r="Z103" s="35"/>
      <c r="AA103" s="35"/>
    </row>
    <row r="104">
      <c r="A104" s="43" t="s">
        <v>314</v>
      </c>
      <c r="B104" s="51"/>
      <c r="C104" s="51"/>
      <c r="D104" s="51"/>
      <c r="E104" s="51"/>
      <c r="F104" s="51"/>
      <c r="G104" s="59"/>
      <c r="H104" s="51"/>
      <c r="I104" s="51"/>
      <c r="J104" s="51"/>
      <c r="K104" s="51"/>
      <c r="L104" s="60"/>
      <c r="M104" s="59"/>
      <c r="N104" s="59"/>
      <c r="O104" s="43"/>
      <c r="P104" s="35"/>
      <c r="Q104" s="35"/>
      <c r="R104" s="35"/>
      <c r="S104" s="35"/>
      <c r="T104" s="35"/>
      <c r="U104" s="35"/>
      <c r="V104" s="35"/>
      <c r="W104" s="35"/>
      <c r="X104" s="35"/>
      <c r="Y104" s="35"/>
      <c r="Z104" s="35"/>
      <c r="AA104" s="35"/>
    </row>
    <row r="105">
      <c r="A105" s="35"/>
      <c r="B105" s="35"/>
      <c r="C105" s="35"/>
      <c r="D105" s="35"/>
      <c r="E105" s="35"/>
      <c r="F105" s="35"/>
      <c r="G105" s="35"/>
      <c r="H105" s="35"/>
      <c r="I105" s="35"/>
      <c r="J105" s="35"/>
      <c r="K105" s="35"/>
      <c r="L105" s="35"/>
      <c r="M105" s="35"/>
      <c r="N105" s="35"/>
      <c r="O105" s="46"/>
      <c r="P105" s="35"/>
      <c r="Q105" s="35"/>
      <c r="R105" s="35"/>
      <c r="S105" s="35"/>
      <c r="T105" s="35"/>
      <c r="U105" s="35"/>
      <c r="V105" s="35"/>
      <c r="W105" s="35"/>
      <c r="X105" s="35"/>
      <c r="Y105" s="35"/>
      <c r="Z105" s="35"/>
      <c r="AA105" s="35"/>
    </row>
    <row r="106">
      <c r="A106" s="43" t="s">
        <v>315</v>
      </c>
      <c r="B106" s="51"/>
      <c r="C106" s="51"/>
      <c r="D106" s="51"/>
      <c r="E106" s="51"/>
      <c r="F106" s="51"/>
      <c r="G106" s="59"/>
      <c r="H106" s="51"/>
      <c r="I106" s="51"/>
      <c r="J106" s="51"/>
      <c r="K106" s="51"/>
      <c r="L106" s="60"/>
      <c r="M106" s="59"/>
      <c r="N106" s="59"/>
      <c r="O106" s="43"/>
      <c r="P106" s="35"/>
      <c r="Q106" s="35"/>
      <c r="R106" s="35"/>
      <c r="S106" s="35"/>
      <c r="T106" s="35"/>
      <c r="U106" s="35"/>
      <c r="V106" s="35"/>
      <c r="W106" s="35"/>
      <c r="X106" s="35"/>
      <c r="Y106" s="35"/>
      <c r="Z106" s="35"/>
      <c r="AA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row>
    <row r="1003">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c r="AA1003" s="35"/>
    </row>
    <row r="1004">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row>
    <row r="100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c r="AA1005" s="35"/>
    </row>
    <row r="1006">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c r="AA1006" s="35"/>
    </row>
    <row r="1007">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c r="AA1007" s="35"/>
    </row>
    <row r="1008">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c r="AA1008" s="35"/>
    </row>
  </sheetData>
  <dataValidations>
    <dataValidation type="list" allowBlank="1" showErrorMessage="1" sqref="N8 N10 N12 N14 N16 N18 N20 N22 N24 N26 N28 N30 N32 N34 N36 N38 N40 N42 N44 N46 N48 N50 N52 N54 N56 N58 N60 N62 N64 N66 N68 N70 N72 N74 N76 N78 N80 N82 N84 N86 N88 N90 N92 N94 N96 N98 N100 N102 N104 N106">
      <formula1>"Solved,Unsolve"</formula1>
    </dataValidation>
    <dataValidation type="list" allowBlank="1" showErrorMessage="1" sqref="J8 J10 J12 J14 J16 J18 J20 J22 J24 J26 J28 J30 J32 J34 J36 J38 J40 J42 J44 J46 J48 J50 J52 J54 J56 J58 J60 J62 J64 J66 J68 J70 J72 J74 J76 J78 J80 J82 J84 J86 J88 J90 J92 J94 J96 J98 J100 J102 J104 J106">
      <formula1>"Pass,Fail"</formula1>
    </dataValidation>
    <dataValidation type="list" allowBlank="1" showErrorMessage="1" sqref="K8 K10 K12 K14 K16 K18 K20 K22 K24 K26 K28 K30 K32 K34 K36 K38 K40 K42 K44 K46 K48 K50 K52 K54 K56 K58 K60 K62 K64 K66 K68 K70 K72 K74 K76 K78 K80 K82 K84 K86 K88 K90 K92 K94 K96 K98 K100 K102 K104 K106">
      <formula1>"High,Medium,Low"</formula1>
    </dataValidation>
  </dataValidations>
  <hyperlinks>
    <hyperlink r:id="rId1" ref="F8"/>
    <hyperlink r:id="rId2" ref="L8"/>
    <hyperlink r:id="rId3" ref="L10"/>
    <hyperlink r:id="rId4" ref="L12"/>
    <hyperlink r:id="rId5" ref="L14"/>
    <hyperlink r:id="rId6" ref="L16"/>
    <hyperlink r:id="rId7" ref="L18"/>
    <hyperlink r:id="rId8" ref="L20"/>
    <hyperlink r:id="rId9" ref="L22"/>
    <hyperlink r:id="rId10" ref="M22"/>
    <hyperlink r:id="rId11" ref="L24"/>
    <hyperlink r:id="rId12" ref="L26"/>
    <hyperlink r:id="rId13" ref="L30"/>
    <hyperlink r:id="rId14" ref="L32"/>
    <hyperlink r:id="rId15" ref="L36"/>
    <hyperlink r:id="rId16" ref="L38"/>
    <hyperlink r:id="rId17" ref="L40"/>
    <hyperlink r:id="rId18" ref="L42"/>
    <hyperlink r:id="rId19" ref="L46"/>
    <hyperlink r:id="rId20" ref="L48"/>
    <hyperlink r:id="rId21" ref="L50"/>
    <hyperlink r:id="rId22" ref="L52"/>
    <hyperlink r:id="rId23" ref="L54"/>
    <hyperlink r:id="rId24" ref="L56"/>
    <hyperlink r:id="rId25" ref="L58"/>
    <hyperlink r:id="rId26" ref="L60"/>
    <hyperlink r:id="rId27" ref="L62"/>
    <hyperlink r:id="rId28" ref="L64"/>
    <hyperlink r:id="rId29" ref="L66"/>
    <hyperlink r:id="rId30" ref="L68"/>
    <hyperlink r:id="rId31" ref="L70"/>
    <hyperlink r:id="rId32" ref="L72"/>
    <hyperlink r:id="rId33" ref="L74"/>
    <hyperlink r:id="rId34" ref="L76"/>
    <hyperlink r:id="rId35" ref="L78"/>
    <hyperlink r:id="rId36" ref="L80"/>
    <hyperlink r:id="rId37" ref="L82"/>
    <hyperlink r:id="rId38" ref="L84"/>
  </hyperlinks>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61" t="s">
        <v>18</v>
      </c>
      <c r="B1" s="61" t="s">
        <v>19</v>
      </c>
      <c r="C1" s="62" t="s">
        <v>17</v>
      </c>
      <c r="D1" s="61" t="s">
        <v>316</v>
      </c>
      <c r="E1" s="61" t="s">
        <v>317</v>
      </c>
      <c r="F1" s="63" t="s">
        <v>318</v>
      </c>
      <c r="G1" s="64"/>
      <c r="H1" s="64"/>
      <c r="I1" s="64"/>
      <c r="J1" s="64"/>
      <c r="K1" s="64"/>
      <c r="L1" s="64"/>
      <c r="M1" s="64"/>
      <c r="N1" s="64"/>
      <c r="O1" s="64"/>
      <c r="P1" s="64"/>
      <c r="Q1" s="64"/>
      <c r="R1" s="64"/>
      <c r="S1" s="64"/>
      <c r="T1" s="64"/>
      <c r="U1" s="64"/>
      <c r="V1" s="64"/>
      <c r="W1" s="64"/>
      <c r="X1" s="64"/>
      <c r="Y1" s="64"/>
      <c r="Z1" s="64"/>
      <c r="AA1" s="64"/>
    </row>
    <row r="2">
      <c r="A2" s="65" t="str">
        <f>IFERROR(__xludf.DUMMYFUNCTION("SORT(
  SPLIT(
    UNIQUE(
      FILTER('Main Report'!B11:B100 &amp; ""♦"" &amp; 'Main Report'!C11:C100, LEN('Main Report'!C11:C100))
    ),
    ""♦""
  ),
  1, TRUE, 2, TRUE
)
"),"AI Chat")</f>
        <v>AI Chat</v>
      </c>
      <c r="B2" s="65" t="str">
        <f>IFERROR(__xludf.DUMMYFUNCTION("""COMPUTED_VALUE"""),"AI Chat")</f>
        <v>AI Chat</v>
      </c>
      <c r="C2" s="65" t="str">
        <f>IFERROR(__xludf.DUMMYFUNCTION("TEXTJOIN("", "", TRUE, 
  FILTER('Main Report'!A11:A100, 
    ('Main Report'!B11:B100=A2) * ('Main Report'!C11:C100=B2)
  )
)
"),"BR-001, BR-002")</f>
        <v>BR-001, BR-002</v>
      </c>
      <c r="D2" s="65">
        <f>IFERROR(__xludf.DUMMYFUNCTION("COUNTA(UNIQUE(TRANSPOSE(SPLIT(C2, "", ""))))
"),2.0)</f>
        <v>2</v>
      </c>
      <c r="E2" s="65" t="str">
        <f>IF(D2="", "", TEXT((D2 / 'Main Report'!$E$7), "0.00%"))
</f>
        <v>5.13%</v>
      </c>
      <c r="F2" s="66"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2
Medium: 0
Low: 0")</f>
        <v>High: 2
Medium: 0
Low: 0</v>
      </c>
      <c r="G2" s="64"/>
      <c r="H2" s="64"/>
      <c r="I2" s="64"/>
      <c r="J2" s="64"/>
      <c r="K2" s="64"/>
      <c r="L2" s="64"/>
      <c r="M2" s="64"/>
      <c r="N2" s="64"/>
      <c r="O2" s="64"/>
      <c r="P2" s="64"/>
      <c r="Q2" s="64"/>
      <c r="R2" s="64"/>
      <c r="S2" s="64"/>
      <c r="T2" s="64"/>
      <c r="U2" s="64"/>
      <c r="V2" s="64"/>
      <c r="W2" s="64"/>
      <c r="X2" s="64"/>
      <c r="Y2" s="64"/>
      <c r="Z2" s="64"/>
      <c r="AA2" s="64"/>
    </row>
    <row r="3">
      <c r="A3" s="67" t="str">
        <f>IFERROR(__xludf.DUMMYFUNCTION("""COMPUTED_VALUE"""),"AI Training")</f>
        <v>AI Training</v>
      </c>
      <c r="B3" s="67" t="str">
        <f>IFERROR(__xludf.DUMMYFUNCTION("""COMPUTED_VALUE"""),"AI Training")</f>
        <v>AI Training</v>
      </c>
      <c r="C3" s="67" t="str">
        <f>IFERROR(__xludf.DUMMYFUNCTION("TEXTJOIN("", "", TRUE, 
  FILTER('Main Report'!A12:A101, 
    ('Main Report'!B12:B101=A3) * ('Main Report'!C12:C101=B3)
  )
)
"),"BR-003")</f>
        <v>BR-003</v>
      </c>
      <c r="D3" s="65">
        <f>IFERROR(__xludf.DUMMYFUNCTION("COUNTA(UNIQUE(TRANSPOSE(SPLIT(C3, "", ""))))
"),1.0)</f>
        <v>1</v>
      </c>
      <c r="E3" s="67" t="str">
        <f>IF(D3="", "", TEXT((D3 / 'Main Report'!$E$7), "0.00%"))
</f>
        <v>2.56%</v>
      </c>
      <c r="F3" s="68"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64"/>
      <c r="H3" s="64"/>
      <c r="I3" s="64"/>
      <c r="J3" s="64"/>
      <c r="K3" s="64"/>
      <c r="L3" s="64"/>
      <c r="M3" s="64"/>
      <c r="N3" s="64"/>
      <c r="O3" s="64"/>
      <c r="P3" s="64"/>
      <c r="Q3" s="64"/>
      <c r="R3" s="64"/>
      <c r="S3" s="64"/>
      <c r="T3" s="64"/>
      <c r="U3" s="64"/>
      <c r="V3" s="64"/>
      <c r="W3" s="64"/>
      <c r="X3" s="64"/>
      <c r="Y3" s="64"/>
      <c r="Z3" s="64"/>
      <c r="AA3" s="64"/>
    </row>
    <row r="4">
      <c r="A4" s="67" t="str">
        <f>IFERROR(__xludf.DUMMYFUNCTION("""COMPUTED_VALUE"""),"AI Training")</f>
        <v>AI Training</v>
      </c>
      <c r="B4" s="67" t="str">
        <f>IFERROR(__xludf.DUMMYFUNCTION("""COMPUTED_VALUE"""),"View Docs")</f>
        <v>View Docs</v>
      </c>
      <c r="C4" s="67" t="str">
        <f>IFERROR(__xludf.DUMMYFUNCTION("TEXTJOIN("", "", TRUE, 
  FILTER('Main Report'!A13:A102, 
    ('Main Report'!B13:B102=A4) * ('Main Report'!C13:C102=B4)
  )
)
"),"BR-004")</f>
        <v>BR-004</v>
      </c>
      <c r="D4" s="65">
        <f>IFERROR(__xludf.DUMMYFUNCTION("COUNTA(UNIQUE(TRANSPOSE(SPLIT(C4, "", ""))))
"),1.0)</f>
        <v>1</v>
      </c>
      <c r="E4" s="67" t="str">
        <f>IF(D4="", "", TEXT((D4 / 'Main Report'!$E$7), "0.00%"))
</f>
        <v>2.56%</v>
      </c>
      <c r="F4" s="68"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64"/>
      <c r="H4" s="64"/>
      <c r="I4" s="64"/>
      <c r="J4" s="64"/>
      <c r="K4" s="64"/>
      <c r="L4" s="64"/>
      <c r="M4" s="64"/>
      <c r="N4" s="64"/>
      <c r="O4" s="64"/>
      <c r="P4" s="64"/>
      <c r="Q4" s="64"/>
      <c r="R4" s="64"/>
      <c r="S4" s="64"/>
      <c r="T4" s="64"/>
      <c r="U4" s="64"/>
      <c r="V4" s="64"/>
      <c r="W4" s="64"/>
      <c r="X4" s="64"/>
      <c r="Y4" s="64"/>
      <c r="Z4" s="64"/>
      <c r="AA4" s="64"/>
    </row>
    <row r="5">
      <c r="A5" s="67" t="str">
        <f>IFERROR(__xludf.DUMMYFUNCTION("""COMPUTED_VALUE"""),"Clinicwise Chat")</f>
        <v>Clinicwise Chat</v>
      </c>
      <c r="B5" s="67" t="str">
        <f>IFERROR(__xludf.DUMMYFUNCTION("""COMPUTED_VALUE"""),"Chats")</f>
        <v>Chats</v>
      </c>
      <c r="C5" s="67" t="str">
        <f>IFERROR(__xludf.DUMMYFUNCTION("TEXTJOIN("", "", TRUE, 
  FILTER('Main Report'!A14:A103, 
    ('Main Report'!B14:B103=A5) * ('Main Report'!C14:C103=B5)
  )
)
"),"BR-005")</f>
        <v>BR-005</v>
      </c>
      <c r="D5" s="65">
        <f>IFERROR(__xludf.DUMMYFUNCTION("COUNTA(UNIQUE(TRANSPOSE(SPLIT(C5, "", ""))))
"),1.0)</f>
        <v>1</v>
      </c>
      <c r="E5" s="67" t="str">
        <f>IF(D5="", "", TEXT((D5 / 'Main Report'!$E$7), "0.00%"))
</f>
        <v>2.56%</v>
      </c>
      <c r="F5" s="68"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0
Low: 1")</f>
        <v>High: 0
Medium: 0
Low: 1</v>
      </c>
      <c r="G5" s="64"/>
      <c r="H5" s="64"/>
      <c r="I5" s="64"/>
      <c r="J5" s="64"/>
      <c r="K5" s="64"/>
      <c r="L5" s="64"/>
      <c r="M5" s="64"/>
      <c r="N5" s="64"/>
      <c r="O5" s="64"/>
      <c r="P5" s="64"/>
      <c r="Q5" s="64"/>
      <c r="R5" s="64"/>
      <c r="S5" s="64"/>
      <c r="T5" s="64"/>
      <c r="U5" s="64"/>
      <c r="V5" s="64"/>
      <c r="W5" s="64"/>
      <c r="X5" s="64"/>
      <c r="Y5" s="64"/>
      <c r="Z5" s="64"/>
      <c r="AA5" s="64"/>
    </row>
    <row r="6">
      <c r="A6" s="67" t="str">
        <f>IFERROR(__xludf.DUMMYFUNCTION("""COMPUTED_VALUE"""),"Communication")</f>
        <v>Communication</v>
      </c>
      <c r="B6" s="67" t="str">
        <f>IFERROR(__xludf.DUMMYFUNCTION("""COMPUTED_VALUE"""),"AI Chat")</f>
        <v>AI Chat</v>
      </c>
      <c r="C6" s="67" t="str">
        <f>IFERROR(__xludf.DUMMYFUNCTION("TEXTJOIN("", "", TRUE, 
  FILTER('Main Report'!A15:A104, 
    ('Main Report'!B15:B104=A6) * ('Main Report'!C15:C104=B6)
  )
)
"),"BR-006")</f>
        <v>BR-006</v>
      </c>
      <c r="D6" s="65">
        <f>IFERROR(__xludf.DUMMYFUNCTION("COUNTA(UNIQUE(TRANSPOSE(SPLIT(C6, "", ""))))
"),1.0)</f>
        <v>1</v>
      </c>
      <c r="E6" s="67" t="str">
        <f>IF(D6="", "", TEXT((D6 / 'Main Report'!$E$7), "0.00%"))
</f>
        <v>2.56%</v>
      </c>
      <c r="F6" s="68"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0")</f>
        <v>High: 1
Medium: 0
Low: 0</v>
      </c>
      <c r="G6" s="64"/>
      <c r="H6" s="64"/>
      <c r="I6" s="64"/>
      <c r="J6" s="64"/>
      <c r="K6" s="64"/>
      <c r="L6" s="64"/>
      <c r="M6" s="64"/>
      <c r="N6" s="64"/>
      <c r="O6" s="64"/>
      <c r="P6" s="64"/>
      <c r="Q6" s="64"/>
      <c r="R6" s="64"/>
      <c r="S6" s="64"/>
      <c r="T6" s="64"/>
      <c r="U6" s="64"/>
      <c r="V6" s="64"/>
      <c r="W6" s="64"/>
      <c r="X6" s="64"/>
      <c r="Y6" s="64"/>
      <c r="Z6" s="64"/>
      <c r="AA6" s="64"/>
    </row>
    <row r="7">
      <c r="A7" s="67" t="str">
        <f>IFERROR(__xludf.DUMMYFUNCTION("""COMPUTED_VALUE"""),"Communication")</f>
        <v>Communication</v>
      </c>
      <c r="B7" s="67" t="str">
        <f>IFERROR(__xludf.DUMMYFUNCTION("""COMPUTED_VALUE"""),"Communication")</f>
        <v>Communication</v>
      </c>
      <c r="C7" s="67" t="str">
        <f>IFERROR(__xludf.DUMMYFUNCTION("TEXTJOIN("", "", TRUE, 
  FILTER('Main Report'!A16:A105, 
    ('Main Report'!B16:B105=A7) * ('Main Report'!C16:C105=B7)
  )
)
"),"BR-007, BR-008, BR-009, BR-010, BR-011, BR-012, BR-013, BR-014, BR-015")</f>
        <v>BR-007, BR-008, BR-009, BR-010, BR-011, BR-012, BR-013, BR-014, BR-015</v>
      </c>
      <c r="D7" s="65">
        <f>IFERROR(__xludf.DUMMYFUNCTION("COUNTA(UNIQUE(TRANSPOSE(SPLIT(C7, "", ""))))
"),9.0)</f>
        <v>9</v>
      </c>
      <c r="E7" s="67" t="str">
        <f>IF(D7="", "", TEXT((D7 / 'Main Report'!$E$7), "0.00%"))
</f>
        <v>23.08%</v>
      </c>
      <c r="F7" s="68"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8
Medium: 1
Low: 0")</f>
        <v>High: 8
Medium: 1
Low: 0</v>
      </c>
      <c r="G7" s="64"/>
      <c r="H7" s="64"/>
      <c r="I7" s="64"/>
      <c r="J7" s="64"/>
      <c r="K7" s="64"/>
      <c r="L7" s="64"/>
      <c r="M7" s="64"/>
      <c r="N7" s="64"/>
      <c r="O7" s="64"/>
      <c r="P7" s="64"/>
      <c r="Q7" s="64"/>
      <c r="R7" s="64"/>
      <c r="S7" s="64"/>
      <c r="T7" s="64"/>
      <c r="U7" s="64"/>
      <c r="V7" s="64"/>
      <c r="W7" s="64"/>
      <c r="X7" s="64"/>
      <c r="Y7" s="64"/>
      <c r="Z7" s="64"/>
      <c r="AA7" s="64"/>
    </row>
    <row r="8">
      <c r="A8" s="67" t="str">
        <f>IFERROR(__xludf.DUMMYFUNCTION("""COMPUTED_VALUE"""),"Communication")</f>
        <v>Communication</v>
      </c>
      <c r="B8" s="67" t="str">
        <f>IFERROR(__xludf.DUMMYFUNCTION("""COMPUTED_VALUE"""),"Group Chat")</f>
        <v>Group Chat</v>
      </c>
      <c r="C8" s="67" t="str">
        <f>IFERROR(__xludf.DUMMYFUNCTION("TEXTJOIN("", "", TRUE, 
  FILTER('Main Report'!A17:A106, 
    ('Main Report'!B17:B106=A8) * ('Main Report'!C17:C106=B8)
  )
)
"),"BR-016, BR-017, BR-018, BR-019")</f>
        <v>BR-016, BR-017, BR-018, BR-019</v>
      </c>
      <c r="D8" s="65">
        <f>IFERROR(__xludf.DUMMYFUNCTION("COUNTA(UNIQUE(TRANSPOSE(SPLIT(C8, "", ""))))
"),4.0)</f>
        <v>4</v>
      </c>
      <c r="E8" s="67" t="str">
        <f>IF(D8="", "", TEXT((D8 / 'Main Report'!$E$7), "0.00%"))
</f>
        <v>10.26%</v>
      </c>
      <c r="F8" s="68"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2
Low: 0")</f>
        <v>High: 2
Medium: 2
Low: 0</v>
      </c>
      <c r="G8" s="64"/>
      <c r="H8" s="64"/>
      <c r="I8" s="64"/>
      <c r="J8" s="64"/>
      <c r="K8" s="64"/>
      <c r="L8" s="64"/>
      <c r="M8" s="64"/>
      <c r="N8" s="64"/>
      <c r="O8" s="64"/>
      <c r="P8" s="64"/>
      <c r="Q8" s="64"/>
      <c r="R8" s="64"/>
      <c r="S8" s="64"/>
      <c r="T8" s="64"/>
      <c r="U8" s="64"/>
      <c r="V8" s="64"/>
      <c r="W8" s="64"/>
      <c r="X8" s="64"/>
      <c r="Y8" s="64"/>
      <c r="Z8" s="64"/>
      <c r="AA8" s="64"/>
    </row>
    <row r="9">
      <c r="A9" s="67" t="str">
        <f>IFERROR(__xludf.DUMMYFUNCTION("""COMPUTED_VALUE"""),"Dashboard")</f>
        <v>Dashboard</v>
      </c>
      <c r="B9" s="67" t="str">
        <f>IFERROR(__xludf.DUMMYFUNCTION("""COMPUTED_VALUE"""),"Dashboard")</f>
        <v>Dashboard</v>
      </c>
      <c r="C9" s="67" t="str">
        <f>IFERROR(__xludf.DUMMYFUNCTION("TEXTJOIN("", "", TRUE, 
  FILTER('Main Report'!A18:A107, 
    ('Main Report'!B18:B107=A9) * ('Main Report'!C18:C107=B9)
  )
)
"),"BR-020, BR-021, BR-022")</f>
        <v>BR-020, BR-021, BR-022</v>
      </c>
      <c r="D9" s="65">
        <f>IFERROR(__xludf.DUMMYFUNCTION("COUNTA(UNIQUE(TRANSPOSE(SPLIT(C9, "", ""))))
"),3.0)</f>
        <v>3</v>
      </c>
      <c r="E9" s="67" t="str">
        <f>IF(D9="", "", TEXT((D9 / 'Main Report'!$E$7), "0.00%"))
</f>
        <v>7.69%</v>
      </c>
      <c r="F9" s="68"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3
Medium: 0
Low: 0")</f>
        <v>High: 3
Medium: 0
Low: 0</v>
      </c>
      <c r="G9" s="69"/>
      <c r="H9" s="64"/>
      <c r="I9" s="64"/>
      <c r="J9" s="64"/>
      <c r="K9" s="64"/>
      <c r="L9" s="64"/>
      <c r="M9" s="64"/>
      <c r="N9" s="64"/>
      <c r="O9" s="64"/>
      <c r="P9" s="64"/>
      <c r="Q9" s="64"/>
      <c r="R9" s="64"/>
      <c r="S9" s="64"/>
      <c r="T9" s="64"/>
      <c r="U9" s="64"/>
      <c r="V9" s="64"/>
      <c r="W9" s="64"/>
      <c r="X9" s="64"/>
      <c r="Y9" s="64"/>
      <c r="Z9" s="64"/>
      <c r="AA9" s="64"/>
    </row>
    <row r="10">
      <c r="A10" s="67" t="str">
        <f>IFERROR(__xludf.DUMMYFUNCTION("""COMPUTED_VALUE"""),"Login")</f>
        <v>Login</v>
      </c>
      <c r="B10" s="67" t="str">
        <f>IFERROR(__xludf.DUMMYFUNCTION("""COMPUTED_VALUE"""),"Login")</f>
        <v>Login</v>
      </c>
      <c r="C10" s="67" t="str">
        <f>IFERROR(__xludf.DUMMYFUNCTION("TEXTJOIN("", "", TRUE, 
  FILTER('Main Report'!A19:A108, 
    ('Main Report'!B19:B108=A10) * ('Main Report'!C19:C108=B10)
  )
)
"),"BR-023")</f>
        <v>BR-023</v>
      </c>
      <c r="D10" s="65">
        <f>IFERROR(__xludf.DUMMYFUNCTION("COUNTA(UNIQUE(TRANSPOSE(SPLIT(C10, "", ""))))
"),1.0)</f>
        <v>1</v>
      </c>
      <c r="E10" s="67" t="str">
        <f>IF(D10="", "", TEXT((D10 / 'Main Report'!$E$7), "0.00%"))
</f>
        <v>2.56%</v>
      </c>
      <c r="F10" s="68"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0
Low: 0")</f>
        <v>High: 1
Medium: 0
Low: 0</v>
      </c>
      <c r="G10" s="64"/>
      <c r="H10" s="64"/>
      <c r="I10" s="64"/>
      <c r="J10" s="64"/>
      <c r="K10" s="64"/>
      <c r="L10" s="64"/>
      <c r="M10" s="64"/>
      <c r="N10" s="64"/>
      <c r="O10" s="64"/>
      <c r="P10" s="64"/>
      <c r="Q10" s="64"/>
      <c r="R10" s="64"/>
      <c r="S10" s="64"/>
      <c r="T10" s="64"/>
      <c r="U10" s="64"/>
      <c r="V10" s="64"/>
      <c r="W10" s="64"/>
      <c r="X10" s="64"/>
      <c r="Y10" s="64"/>
      <c r="Z10" s="64"/>
      <c r="AA10" s="64"/>
    </row>
    <row r="11">
      <c r="A11" s="67" t="str">
        <f>IFERROR(__xludf.DUMMYFUNCTION("""COMPUTED_VALUE"""),"Manage Clinic")</f>
        <v>Manage Clinic</v>
      </c>
      <c r="B11" s="67" t="str">
        <f>IFERROR(__xludf.DUMMYFUNCTION("""COMPUTED_VALUE"""),"Add Clinic")</f>
        <v>Add Clinic</v>
      </c>
      <c r="C11" s="67" t="str">
        <f>IFERROR(__xludf.DUMMYFUNCTION("TEXTJOIN("", "", TRUE, 
  FILTER('Main Report'!A20:A109, 
    ('Main Report'!B20:B109=A11) * ('Main Report'!C20:C109=B11)
  )
)
"),"BR-024, BR-025, BR-026")</f>
        <v>BR-024, BR-025, BR-026</v>
      </c>
      <c r="D11" s="65">
        <f>IFERROR(__xludf.DUMMYFUNCTION("COUNTA(UNIQUE(TRANSPOSE(SPLIT(C11, "", ""))))
"),3.0)</f>
        <v>3</v>
      </c>
      <c r="E11" s="67" t="str">
        <f>IF(D11="", "", TEXT((D11 / 'Main Report'!$E$7), "0.00%"))
</f>
        <v>7.69%</v>
      </c>
      <c r="F11" s="68"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2
Medium: 1
Low: 0")</f>
        <v>High: 2
Medium: 1
Low: 0</v>
      </c>
      <c r="G11" s="64"/>
      <c r="H11" s="64"/>
      <c r="I11" s="64"/>
      <c r="J11" s="64"/>
      <c r="K11" s="64"/>
      <c r="L11" s="64"/>
      <c r="M11" s="64"/>
      <c r="N11" s="64"/>
      <c r="O11" s="64"/>
      <c r="P11" s="64"/>
      <c r="Q11" s="64"/>
      <c r="R11" s="64"/>
      <c r="S11" s="64"/>
      <c r="T11" s="64"/>
      <c r="U11" s="64"/>
      <c r="V11" s="64"/>
      <c r="W11" s="64"/>
      <c r="X11" s="64"/>
      <c r="Y11" s="64"/>
      <c r="Z11" s="64"/>
      <c r="AA11" s="64"/>
    </row>
    <row r="12">
      <c r="A12" s="67" t="str">
        <f>IFERROR(__xludf.DUMMYFUNCTION("""COMPUTED_VALUE"""),"Settings")</f>
        <v>Settings</v>
      </c>
      <c r="B12" s="67" t="str">
        <f>IFERROR(__xludf.DUMMYFUNCTION("""COMPUTED_VALUE"""),"Profile")</f>
        <v>Profile</v>
      </c>
      <c r="C12" s="67" t="str">
        <f>IFERROR(__xludf.DUMMYFUNCTION("TEXTJOIN("", "", TRUE, 
  FILTER('Main Report'!A21:A110, 
    ('Main Report'!B21:B110=A12) * ('Main Report'!C21:C110=B12)
  )
)
"),"BR-027, BR-028, BR-029")</f>
        <v>BR-027, BR-028, BR-029</v>
      </c>
      <c r="D12" s="65">
        <f>IFERROR(__xludf.DUMMYFUNCTION("COUNTA(UNIQUE(TRANSPOSE(SPLIT(C12, "", ""))))
"),3.0)</f>
        <v>3</v>
      </c>
      <c r="E12" s="67" t="str">
        <f>IF(D12="", "", TEXT((D12 / 'Main Report'!$E$7), "0.00%"))
</f>
        <v>7.69%</v>
      </c>
      <c r="F12" s="68"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3
Medium: 0
Low: 0")</f>
        <v>High: 3
Medium: 0
Low: 0</v>
      </c>
      <c r="G12" s="64"/>
      <c r="H12" s="64"/>
      <c r="I12" s="64"/>
      <c r="J12" s="64"/>
      <c r="K12" s="64"/>
      <c r="L12" s="64"/>
      <c r="M12" s="64"/>
      <c r="N12" s="64"/>
      <c r="O12" s="64"/>
      <c r="P12" s="64"/>
      <c r="Q12" s="64"/>
      <c r="R12" s="64"/>
      <c r="S12" s="64"/>
      <c r="T12" s="64"/>
      <c r="U12" s="64"/>
      <c r="V12" s="64"/>
      <c r="W12" s="64"/>
      <c r="X12" s="64"/>
      <c r="Y12" s="64"/>
      <c r="Z12" s="64"/>
      <c r="AA12" s="64"/>
    </row>
    <row r="13">
      <c r="A13" s="67" t="str">
        <f>IFERROR(__xludf.DUMMYFUNCTION("""COMPUTED_VALUE"""),"User Management")</f>
        <v>User Management</v>
      </c>
      <c r="B13" s="67" t="str">
        <f>IFERROR(__xludf.DUMMYFUNCTION("""COMPUTED_VALUE"""),"User Management")</f>
        <v>User Management</v>
      </c>
      <c r="C13" s="67" t="str">
        <f>IFERROR(__xludf.DUMMYFUNCTION("TEXTJOIN("", "", TRUE, 
  FILTER('Main Report'!A22:A111, 
    ('Main Report'!B22:B111=A13) * ('Main Report'!C22:C111=B13)
  )
)
"),"BR-030, BR-031, BR-032, BR-033, BR-034, BR-035, BR-036, BR-037, BR-038, BR-039")</f>
        <v>BR-030, BR-031, BR-032, BR-033, BR-034, BR-035, BR-036, BR-037, BR-038, BR-039</v>
      </c>
      <c r="D13" s="65">
        <f>IFERROR(__xludf.DUMMYFUNCTION("COUNTA(UNIQUE(TRANSPOSE(SPLIT(C13, "", ""))))
"),10.0)</f>
        <v>10</v>
      </c>
      <c r="E13" s="67" t="str">
        <f>IF(D13="", "", TEXT((D13 / 'Main Report'!$E$7), "0.00%"))
</f>
        <v>25.64%</v>
      </c>
      <c r="F13" s="68"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8
Medium: 2
Low: 0")</f>
        <v>High: 8
Medium: 2
Low: 0</v>
      </c>
      <c r="G13" s="64"/>
      <c r="H13" s="64"/>
      <c r="I13" s="64"/>
      <c r="J13" s="64"/>
      <c r="K13" s="64"/>
      <c r="L13" s="64"/>
      <c r="M13" s="64"/>
      <c r="N13" s="64"/>
      <c r="O13" s="64"/>
      <c r="P13" s="64"/>
      <c r="Q13" s="64"/>
      <c r="R13" s="64"/>
      <c r="S13" s="64"/>
      <c r="T13" s="64"/>
      <c r="U13" s="64"/>
      <c r="V13" s="64"/>
      <c r="W13" s="64"/>
      <c r="X13" s="64"/>
      <c r="Y13" s="64"/>
      <c r="Z13" s="64"/>
      <c r="AA13" s="64"/>
    </row>
    <row r="14">
      <c r="A14" s="67"/>
      <c r="B14" s="67"/>
      <c r="C14" s="67" t="str">
        <f>IFERROR(__xludf.DUMMYFUNCTION("TEXTJOIN("", "", TRUE, 
  FILTER('Main Report'!A23:A112, 
    ('Main Report'!B23:B112=A14) * ('Main Report'!C23:C112=B14)
  )
)
"),"")</f>
        <v/>
      </c>
      <c r="D14" s="67"/>
      <c r="E14" s="67" t="str">
        <f>IF(D14="", "", TEXT((D14 / 'Main Report'!$E$7), "0.00%"))
</f>
        <v/>
      </c>
      <c r="F14" s="68"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64"/>
      <c r="H14" s="64"/>
      <c r="I14" s="64"/>
      <c r="J14" s="64"/>
      <c r="K14" s="64"/>
      <c r="L14" s="64"/>
      <c r="M14" s="64"/>
      <c r="N14" s="64"/>
      <c r="O14" s="64"/>
      <c r="P14" s="64"/>
      <c r="Q14" s="64"/>
      <c r="R14" s="64"/>
      <c r="S14" s="64"/>
      <c r="T14" s="64"/>
      <c r="U14" s="64"/>
      <c r="V14" s="64"/>
      <c r="W14" s="64"/>
      <c r="X14" s="64"/>
      <c r="Y14" s="64"/>
      <c r="Z14" s="64"/>
      <c r="AA14" s="64"/>
    </row>
    <row r="15">
      <c r="A15" s="67"/>
      <c r="B15" s="67"/>
      <c r="C15" s="67" t="str">
        <f>IFERROR(__xludf.DUMMYFUNCTION("TEXTJOIN("", "", TRUE, 
  FILTER('Main Report'!A24:A113, 
    ('Main Report'!B24:B113=A15) * ('Main Report'!C24:C113=B15)
  )
)
"),"")</f>
        <v/>
      </c>
      <c r="D15" s="67"/>
      <c r="E15" s="67" t="str">
        <f>IF(D15="", "", TEXT((D15 / 'Main Report'!$E$7), "0.00%"))
</f>
        <v/>
      </c>
      <c r="F15" s="68"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64"/>
      <c r="H15" s="64"/>
      <c r="I15" s="64"/>
      <c r="J15" s="64"/>
      <c r="K15" s="64"/>
      <c r="L15" s="64"/>
      <c r="M15" s="64"/>
      <c r="N15" s="64"/>
      <c r="O15" s="64"/>
      <c r="P15" s="64"/>
      <c r="Q15" s="64"/>
      <c r="R15" s="64"/>
      <c r="S15" s="64"/>
      <c r="T15" s="64"/>
      <c r="U15" s="64"/>
      <c r="V15" s="64"/>
      <c r="W15" s="64"/>
      <c r="X15" s="64"/>
      <c r="Y15" s="64"/>
      <c r="Z15" s="64"/>
      <c r="AA15" s="64"/>
    </row>
    <row r="16">
      <c r="A16" s="67"/>
      <c r="B16" s="67"/>
      <c r="C16" s="67" t="str">
        <f>IFERROR(__xludf.DUMMYFUNCTION("TEXTJOIN("", "", TRUE, 
  FILTER('Main Report'!A25:A114, 
    ('Main Report'!B25:B114=A16) * ('Main Report'!C25:C114=B16)
  )
)
"),"")</f>
        <v/>
      </c>
      <c r="D16" s="67"/>
      <c r="E16" s="67" t="str">
        <f>IF(D16="", "", TEXT((D16 / 'Main Report'!$E$7), "0.00%"))
</f>
        <v/>
      </c>
      <c r="F16" s="68"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64"/>
      <c r="H16" s="64"/>
      <c r="I16" s="64"/>
      <c r="J16" s="64"/>
      <c r="K16" s="64"/>
      <c r="L16" s="64"/>
      <c r="M16" s="64"/>
      <c r="N16" s="64"/>
      <c r="O16" s="64"/>
      <c r="P16" s="64"/>
      <c r="Q16" s="64"/>
      <c r="R16" s="64"/>
      <c r="S16" s="64"/>
      <c r="T16" s="64"/>
      <c r="U16" s="64"/>
      <c r="V16" s="64"/>
      <c r="W16" s="64"/>
      <c r="X16" s="64"/>
      <c r="Y16" s="64"/>
      <c r="Z16" s="64"/>
      <c r="AA16" s="64"/>
    </row>
    <row r="17">
      <c r="A17" s="67"/>
      <c r="B17" s="67"/>
      <c r="C17" s="67" t="str">
        <f>IFERROR(__xludf.DUMMYFUNCTION("TEXTJOIN("", "", TRUE, 
  FILTER('Main Report'!A26:A115, 
    ('Main Report'!B26:B115=A17) * ('Main Report'!C26:C115=B17)
  )
)
"),"")</f>
        <v/>
      </c>
      <c r="D17" s="67"/>
      <c r="E17" s="67" t="str">
        <f>IF(D17="", "", TEXT((D17 / 'Main Report'!$E$7), "0.00%"))
</f>
        <v/>
      </c>
      <c r="F17" s="68"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64"/>
      <c r="H17" s="64"/>
      <c r="I17" s="64"/>
      <c r="J17" s="64"/>
      <c r="K17" s="64"/>
      <c r="L17" s="64"/>
      <c r="M17" s="64"/>
      <c r="N17" s="64"/>
      <c r="O17" s="64"/>
      <c r="P17" s="64"/>
      <c r="Q17" s="64"/>
      <c r="R17" s="64"/>
      <c r="S17" s="64"/>
      <c r="T17" s="64"/>
      <c r="U17" s="64"/>
      <c r="V17" s="64"/>
      <c r="W17" s="64"/>
      <c r="X17" s="64"/>
      <c r="Y17" s="64"/>
      <c r="Z17" s="64"/>
      <c r="AA17" s="64"/>
    </row>
    <row r="18">
      <c r="A18" s="67"/>
      <c r="B18" s="67"/>
      <c r="C18" s="67" t="str">
        <f>IFERROR(__xludf.DUMMYFUNCTION("TEXTJOIN("", "", TRUE, 
  FILTER('Main Report'!A27:A116, 
    ('Main Report'!B27:B116=A18) * ('Main Report'!C27:C116=B18)
  )
)
"),"")</f>
        <v/>
      </c>
      <c r="D18" s="67"/>
      <c r="E18" s="67" t="str">
        <f>IF(D18="", "", TEXT((D18 / 'Main Report'!$E$7), "0.00%"))
</f>
        <v/>
      </c>
      <c r="F18" s="68"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64"/>
      <c r="H18" s="64"/>
      <c r="I18" s="64"/>
      <c r="J18" s="64"/>
      <c r="K18" s="64"/>
      <c r="L18" s="64"/>
      <c r="M18" s="64"/>
      <c r="N18" s="64"/>
      <c r="O18" s="64"/>
      <c r="P18" s="64"/>
      <c r="Q18" s="64"/>
      <c r="R18" s="64"/>
      <c r="S18" s="64"/>
      <c r="T18" s="64"/>
      <c r="U18" s="64"/>
      <c r="V18" s="64"/>
      <c r="W18" s="64"/>
      <c r="X18" s="64"/>
      <c r="Y18" s="64"/>
      <c r="Z18" s="64"/>
      <c r="AA18" s="64"/>
    </row>
    <row r="19">
      <c r="A19" s="67"/>
      <c r="B19" s="67"/>
      <c r="C19" s="67" t="str">
        <f>IFERROR(__xludf.DUMMYFUNCTION("TEXTJOIN("", "", TRUE, 
  FILTER('Main Report'!A28:A117, 
    ('Main Report'!B28:B117=A19) * ('Main Report'!C28:C117=B19)
  )
)
"),"")</f>
        <v/>
      </c>
      <c r="D19" s="67"/>
      <c r="E19" s="67" t="str">
        <f>IF(D19="", "", TEXT((D19 / 'Main Report'!$E$7), "0.00%"))
</f>
        <v/>
      </c>
      <c r="F19" s="68"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64"/>
      <c r="H19" s="64"/>
      <c r="I19" s="64"/>
      <c r="J19" s="64"/>
      <c r="K19" s="64"/>
      <c r="L19" s="64"/>
      <c r="M19" s="64"/>
      <c r="N19" s="64"/>
      <c r="O19" s="64"/>
      <c r="P19" s="64"/>
      <c r="Q19" s="64"/>
      <c r="R19" s="64"/>
      <c r="S19" s="64"/>
      <c r="T19" s="64"/>
      <c r="U19" s="64"/>
      <c r="V19" s="64"/>
      <c r="W19" s="64"/>
      <c r="X19" s="64"/>
      <c r="Y19" s="64"/>
      <c r="Z19" s="64"/>
      <c r="AA19" s="64"/>
    </row>
    <row r="20">
      <c r="A20" s="65"/>
      <c r="B20" s="65"/>
      <c r="C20" s="67" t="str">
        <f>IFERROR(__xludf.DUMMYFUNCTION("TEXTJOIN("", "", TRUE, 
  FILTER('Main Report'!A29:A118, 
    ('Main Report'!B29:B118=A20) * ('Main Report'!C29:C118=B20)
  )
)
"),"")</f>
        <v/>
      </c>
      <c r="D20" s="67"/>
      <c r="E20" s="67" t="str">
        <f>IF(D20="", "", TEXT((D20 / 'Main Report'!$E$7), "0.00%"))
</f>
        <v/>
      </c>
      <c r="F20" s="68"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64"/>
      <c r="H20" s="64"/>
      <c r="I20" s="64"/>
      <c r="J20" s="64"/>
      <c r="K20" s="64"/>
      <c r="L20" s="64"/>
      <c r="M20" s="64"/>
      <c r="N20" s="64"/>
      <c r="O20" s="64"/>
      <c r="P20" s="64"/>
      <c r="Q20" s="64"/>
      <c r="R20" s="64"/>
      <c r="S20" s="64"/>
      <c r="T20" s="64"/>
      <c r="U20" s="64"/>
      <c r="V20" s="64"/>
      <c r="W20" s="64"/>
      <c r="X20" s="64"/>
      <c r="Y20" s="64"/>
      <c r="Z20" s="64"/>
      <c r="AA20" s="64"/>
    </row>
    <row r="21">
      <c r="A21" s="67"/>
      <c r="B21" s="67"/>
      <c r="C21" s="67" t="str">
        <f>IFERROR(__xludf.DUMMYFUNCTION("TEXTJOIN("", "", TRUE, 
  FILTER('Main Report'!A30:A119, 
    ('Main Report'!B30:B119=A21) * ('Main Report'!C30:C119=B21)
  )
)
"),"")</f>
        <v/>
      </c>
      <c r="D21" s="67"/>
      <c r="E21" s="67" t="str">
        <f>IF(D21="", "", TEXT((D21 / 'Main Report'!$E$7), "0.00%"))
</f>
        <v/>
      </c>
      <c r="F21" s="68"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64"/>
      <c r="H21" s="64"/>
      <c r="I21" s="64"/>
      <c r="J21" s="64"/>
      <c r="K21" s="64"/>
      <c r="L21" s="64"/>
      <c r="M21" s="64"/>
      <c r="N21" s="64"/>
      <c r="O21" s="64"/>
      <c r="P21" s="64"/>
      <c r="Q21" s="64"/>
      <c r="R21" s="64"/>
      <c r="S21" s="64"/>
      <c r="T21" s="64"/>
      <c r="U21" s="64"/>
      <c r="V21" s="64"/>
      <c r="W21" s="64"/>
      <c r="X21" s="64"/>
      <c r="Y21" s="64"/>
      <c r="Z21" s="64"/>
      <c r="AA21" s="64"/>
    </row>
    <row r="22">
      <c r="A22" s="67"/>
      <c r="B22" s="67"/>
      <c r="C22" s="67"/>
      <c r="D22" s="67"/>
      <c r="E22" s="67"/>
      <c r="F22" s="67"/>
      <c r="G22" s="64"/>
      <c r="H22" s="64"/>
      <c r="I22" s="64"/>
      <c r="J22" s="64"/>
      <c r="K22" s="64"/>
      <c r="L22" s="64"/>
      <c r="M22" s="64"/>
      <c r="N22" s="64"/>
      <c r="O22" s="64"/>
      <c r="P22" s="64"/>
      <c r="Q22" s="64"/>
      <c r="R22" s="64"/>
      <c r="S22" s="64"/>
      <c r="T22" s="64"/>
      <c r="U22" s="64"/>
      <c r="V22" s="64"/>
      <c r="W22" s="64"/>
      <c r="X22" s="64"/>
      <c r="Y22" s="64"/>
      <c r="Z22" s="64"/>
      <c r="AA22" s="64"/>
    </row>
    <row r="23">
      <c r="A23" s="67"/>
      <c r="B23" s="67"/>
      <c r="C23" s="67"/>
      <c r="D23" s="67"/>
      <c r="E23" s="67"/>
      <c r="F23" s="67"/>
      <c r="G23" s="64"/>
      <c r="H23" s="64"/>
      <c r="I23" s="64"/>
      <c r="J23" s="64"/>
      <c r="K23" s="64"/>
      <c r="L23" s="64"/>
      <c r="M23" s="64"/>
      <c r="N23" s="64"/>
      <c r="O23" s="64"/>
      <c r="P23" s="64"/>
      <c r="Q23" s="64"/>
      <c r="R23" s="64"/>
      <c r="S23" s="64"/>
      <c r="T23" s="64"/>
      <c r="U23" s="64"/>
      <c r="V23" s="64"/>
      <c r="W23" s="64"/>
      <c r="X23" s="64"/>
      <c r="Y23" s="64"/>
      <c r="Z23" s="64"/>
      <c r="AA23" s="64"/>
    </row>
    <row r="24">
      <c r="A24" s="67"/>
      <c r="B24" s="67"/>
      <c r="C24" s="67"/>
      <c r="D24" s="67"/>
      <c r="E24" s="67"/>
      <c r="F24" s="67"/>
      <c r="G24" s="64"/>
      <c r="H24" s="64"/>
      <c r="I24" s="64"/>
      <c r="J24" s="64"/>
      <c r="K24" s="64"/>
      <c r="L24" s="64"/>
      <c r="M24" s="64"/>
      <c r="N24" s="64"/>
      <c r="O24" s="64"/>
      <c r="P24" s="64"/>
      <c r="Q24" s="64"/>
      <c r="R24" s="64"/>
      <c r="S24" s="64"/>
      <c r="T24" s="64"/>
      <c r="U24" s="64"/>
      <c r="V24" s="64"/>
      <c r="W24" s="64"/>
      <c r="X24" s="64"/>
      <c r="Y24" s="64"/>
      <c r="Z24" s="64"/>
      <c r="AA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70"/>
      <c r="B1" s="70"/>
      <c r="C1" s="70"/>
      <c r="D1" s="70"/>
      <c r="E1" s="1"/>
      <c r="F1" s="1"/>
      <c r="G1" s="70"/>
      <c r="H1" s="70"/>
      <c r="I1" s="70"/>
      <c r="J1" s="70"/>
      <c r="K1" s="70"/>
      <c r="L1" s="70"/>
      <c r="M1" s="70"/>
      <c r="N1" s="70"/>
      <c r="O1" s="70"/>
      <c r="P1" s="70"/>
    </row>
    <row r="2">
      <c r="A2" s="71" t="s">
        <v>0</v>
      </c>
      <c r="B2" s="72"/>
      <c r="C2" s="70"/>
      <c r="D2" s="5" t="s">
        <v>2</v>
      </c>
      <c r="E2" s="5" t="s">
        <v>3</v>
      </c>
      <c r="F2" s="70"/>
      <c r="G2" s="70"/>
      <c r="H2" s="70"/>
      <c r="I2" s="70"/>
      <c r="J2" s="70"/>
      <c r="K2" s="70"/>
      <c r="L2" s="70"/>
      <c r="M2" s="70"/>
      <c r="N2" s="70"/>
      <c r="O2" s="70"/>
      <c r="P2" s="70"/>
    </row>
    <row r="3">
      <c r="A3" s="71" t="s">
        <v>4</v>
      </c>
      <c r="B3" s="73"/>
      <c r="C3" s="70"/>
      <c r="D3" s="74" t="s">
        <v>6</v>
      </c>
      <c r="E3" s="75">
        <f>COUNTIF(K14:K1005, "High")</f>
        <v>0</v>
      </c>
      <c r="F3" s="70"/>
      <c r="G3" s="70"/>
      <c r="H3" s="70"/>
      <c r="I3" s="70"/>
      <c r="J3" s="70"/>
      <c r="K3" s="70"/>
      <c r="L3" s="70"/>
      <c r="M3" s="70"/>
      <c r="N3" s="70"/>
      <c r="O3" s="70"/>
      <c r="P3" s="70"/>
    </row>
    <row r="4">
      <c r="A4" s="71" t="s">
        <v>7</v>
      </c>
      <c r="B4" s="76"/>
      <c r="C4" s="70"/>
      <c r="D4" s="74" t="s">
        <v>9</v>
      </c>
      <c r="E4" s="75">
        <f>COUNTIF(K14:K1006, "Medium")</f>
        <v>0</v>
      </c>
      <c r="F4" s="70"/>
      <c r="G4" s="70"/>
      <c r="H4" s="70"/>
      <c r="I4" s="70"/>
      <c r="J4" s="70"/>
      <c r="K4" s="70"/>
      <c r="L4" s="70"/>
      <c r="M4" s="70"/>
      <c r="N4" s="70"/>
      <c r="O4" s="70"/>
      <c r="P4" s="70"/>
    </row>
    <row r="5">
      <c r="A5" s="71" t="s">
        <v>10</v>
      </c>
      <c r="B5" s="77"/>
      <c r="C5" s="70"/>
      <c r="D5" s="74" t="s">
        <v>12</v>
      </c>
      <c r="E5" s="75">
        <f>COUNTIF(K14:K1007, "Low") </f>
        <v>0</v>
      </c>
      <c r="F5" s="70"/>
      <c r="G5" s="70"/>
      <c r="H5" s="70"/>
      <c r="I5" s="70"/>
      <c r="J5" s="70"/>
      <c r="K5" s="70"/>
      <c r="L5" s="70"/>
      <c r="M5" s="70"/>
      <c r="N5" s="70"/>
      <c r="O5" s="70"/>
      <c r="P5" s="70"/>
    </row>
    <row r="6">
      <c r="A6" s="71" t="s">
        <v>13</v>
      </c>
      <c r="B6" s="77"/>
      <c r="C6" s="70"/>
      <c r="D6" s="70"/>
      <c r="E6" s="70"/>
      <c r="F6" s="70"/>
      <c r="G6" s="70"/>
      <c r="H6" s="70"/>
      <c r="I6" s="70"/>
      <c r="J6" s="70"/>
      <c r="K6" s="70"/>
      <c r="L6" s="70"/>
      <c r="M6" s="70"/>
      <c r="N6" s="70"/>
      <c r="O6" s="70"/>
      <c r="P6" s="70"/>
    </row>
    <row r="7">
      <c r="A7" s="78" t="s">
        <v>14</v>
      </c>
      <c r="B7" s="77"/>
      <c r="C7" s="70"/>
      <c r="D7" s="79" t="s">
        <v>15</v>
      </c>
      <c r="E7" s="80">
        <f>SUM(E3:E5)</f>
        <v>0</v>
      </c>
      <c r="F7" s="70"/>
      <c r="G7" s="70"/>
      <c r="H7" s="70"/>
      <c r="I7" s="70"/>
      <c r="J7" s="70"/>
      <c r="K7" s="70"/>
      <c r="L7" s="70"/>
      <c r="M7" s="70"/>
      <c r="N7" s="70"/>
      <c r="O7" s="70"/>
      <c r="P7" s="70"/>
    </row>
    <row r="8">
      <c r="A8" s="70"/>
      <c r="B8" s="70"/>
      <c r="C8" s="70"/>
      <c r="D8" s="79" t="s">
        <v>16</v>
      </c>
      <c r="E8" s="77"/>
      <c r="F8" s="70"/>
      <c r="G8" s="70"/>
      <c r="H8" s="70"/>
      <c r="I8" s="70"/>
      <c r="J8" s="70"/>
      <c r="K8" s="70"/>
      <c r="L8" s="70"/>
      <c r="M8" s="70"/>
      <c r="N8" s="70"/>
      <c r="O8" s="70"/>
      <c r="P8" s="70"/>
    </row>
    <row r="9">
      <c r="A9" s="70"/>
      <c r="B9" s="70"/>
      <c r="C9" s="70"/>
      <c r="D9" s="70"/>
      <c r="E9" s="70"/>
      <c r="F9" s="70"/>
      <c r="G9" s="70"/>
      <c r="H9" s="70"/>
      <c r="I9" s="70"/>
      <c r="J9" s="70"/>
      <c r="K9" s="70"/>
      <c r="L9" s="70"/>
      <c r="M9" s="70"/>
      <c r="N9" s="70"/>
      <c r="O9" s="70"/>
      <c r="P9" s="70"/>
    </row>
    <row r="10">
      <c r="A10" s="70"/>
      <c r="B10" s="70"/>
      <c r="C10" s="70"/>
      <c r="D10" s="70"/>
      <c r="E10" s="70"/>
      <c r="F10" s="70"/>
      <c r="G10" s="70"/>
      <c r="H10" s="70"/>
      <c r="I10" s="70"/>
      <c r="J10" s="70"/>
      <c r="K10" s="70"/>
      <c r="L10" s="70"/>
      <c r="M10" s="70"/>
      <c r="N10" s="70"/>
      <c r="O10" s="70"/>
      <c r="P10" s="70"/>
    </row>
    <row r="11">
      <c r="A11" s="70"/>
      <c r="B11" s="70"/>
      <c r="C11" s="70"/>
      <c r="D11" s="70"/>
      <c r="E11" s="70"/>
      <c r="F11" s="70"/>
      <c r="G11" s="70"/>
      <c r="H11" s="70"/>
      <c r="I11" s="70"/>
      <c r="J11" s="70"/>
      <c r="K11" s="70"/>
      <c r="L11" s="70"/>
      <c r="M11" s="70"/>
      <c r="N11" s="70"/>
      <c r="O11" s="70"/>
      <c r="P11" s="70"/>
    </row>
    <row r="12">
      <c r="A12" s="70"/>
      <c r="B12" s="70"/>
      <c r="C12" s="70"/>
      <c r="D12" s="70"/>
      <c r="E12" s="70"/>
      <c r="F12" s="70"/>
      <c r="G12" s="70"/>
      <c r="H12" s="70"/>
      <c r="I12" s="70"/>
      <c r="J12" s="70"/>
      <c r="K12" s="70"/>
      <c r="L12" s="70"/>
      <c r="M12" s="70"/>
      <c r="N12" s="70"/>
      <c r="O12" s="70"/>
      <c r="P12" s="70"/>
    </row>
    <row r="13">
      <c r="A13" s="70"/>
      <c r="B13" s="70"/>
      <c r="C13" s="70"/>
      <c r="D13" s="70"/>
      <c r="E13" s="70"/>
      <c r="F13" s="70"/>
      <c r="G13" s="70"/>
      <c r="H13" s="70"/>
      <c r="I13" s="70"/>
      <c r="J13" s="70"/>
      <c r="K13" s="70"/>
      <c r="L13" s="70"/>
      <c r="M13" s="70"/>
      <c r="N13" s="70"/>
      <c r="O13" s="70"/>
      <c r="P13" s="70"/>
    </row>
    <row r="14">
      <c r="A14" s="81" t="s">
        <v>17</v>
      </c>
      <c r="B14" s="81" t="s">
        <v>18</v>
      </c>
      <c r="C14" s="81" t="s">
        <v>19</v>
      </c>
      <c r="D14" s="81" t="s">
        <v>20</v>
      </c>
      <c r="E14" s="81" t="s">
        <v>21</v>
      </c>
      <c r="F14" s="81" t="s">
        <v>22</v>
      </c>
      <c r="G14" s="81" t="s">
        <v>23</v>
      </c>
      <c r="H14" s="81" t="s">
        <v>24</v>
      </c>
      <c r="I14" s="81" t="s">
        <v>25</v>
      </c>
      <c r="J14" s="81" t="s">
        <v>26</v>
      </c>
      <c r="K14" s="81" t="s">
        <v>2</v>
      </c>
      <c r="L14" s="81" t="s">
        <v>27</v>
      </c>
      <c r="M14" s="81" t="s">
        <v>28</v>
      </c>
      <c r="N14" s="81" t="s">
        <v>30</v>
      </c>
      <c r="O14" s="70"/>
      <c r="P14" s="70"/>
    </row>
    <row r="15">
      <c r="A15" s="82"/>
      <c r="B15" s="82"/>
      <c r="C15" s="82"/>
      <c r="D15" s="82"/>
      <c r="E15" s="82"/>
      <c r="F15" s="82"/>
      <c r="G15" s="82"/>
      <c r="H15" s="82"/>
      <c r="I15" s="82"/>
      <c r="J15" s="82"/>
      <c r="K15" s="82"/>
      <c r="L15" s="83"/>
      <c r="M15" s="84"/>
      <c r="N15" s="84"/>
      <c r="O15" s="70"/>
      <c r="P15" s="70"/>
    </row>
    <row r="16">
      <c r="A16" s="82"/>
      <c r="B16" s="82"/>
      <c r="C16" s="82"/>
      <c r="D16" s="82"/>
      <c r="E16" s="82"/>
      <c r="F16" s="82"/>
      <c r="G16" s="82"/>
      <c r="H16" s="82"/>
      <c r="I16" s="82"/>
      <c r="J16" s="82"/>
      <c r="K16" s="82"/>
      <c r="L16" s="83"/>
      <c r="M16" s="84"/>
      <c r="N16" s="85"/>
      <c r="O16" s="70"/>
      <c r="P16" s="70"/>
    </row>
    <row r="17">
      <c r="A17" s="82"/>
      <c r="B17" s="82"/>
      <c r="C17" s="82"/>
      <c r="D17" s="82"/>
      <c r="E17" s="82"/>
      <c r="F17" s="82"/>
      <c r="G17" s="82"/>
      <c r="H17" s="82"/>
      <c r="I17" s="82"/>
      <c r="J17" s="82"/>
      <c r="K17" s="82"/>
      <c r="L17" s="83"/>
      <c r="M17" s="84"/>
      <c r="N17" s="84"/>
      <c r="O17" s="70"/>
      <c r="P17" s="70"/>
    </row>
    <row r="18">
      <c r="A18" s="82"/>
      <c r="B18" s="82"/>
      <c r="C18" s="82"/>
      <c r="D18" s="82"/>
      <c r="E18" s="82"/>
      <c r="F18" s="82"/>
      <c r="G18" s="86"/>
      <c r="H18" s="82"/>
      <c r="I18" s="82"/>
      <c r="J18" s="82"/>
      <c r="K18" s="82"/>
      <c r="L18" s="83"/>
      <c r="M18" s="84"/>
      <c r="N18" s="85"/>
      <c r="O18" s="70"/>
      <c r="P18" s="70"/>
    </row>
    <row r="19">
      <c r="A19" s="82"/>
      <c r="B19" s="82"/>
      <c r="C19" s="82"/>
      <c r="D19" s="82"/>
      <c r="E19" s="82"/>
      <c r="F19" s="82"/>
      <c r="G19" s="82"/>
      <c r="H19" s="82"/>
      <c r="I19" s="82"/>
      <c r="J19" s="82"/>
      <c r="K19" s="82"/>
      <c r="L19" s="83"/>
      <c r="M19" s="84"/>
      <c r="N19" s="84"/>
      <c r="O19" s="70"/>
      <c r="P19" s="70"/>
    </row>
    <row r="20">
      <c r="A20" s="82"/>
      <c r="B20" s="82"/>
      <c r="C20" s="82"/>
      <c r="D20" s="82"/>
      <c r="E20" s="82"/>
      <c r="F20" s="82"/>
      <c r="G20" s="82"/>
      <c r="H20" s="82"/>
      <c r="I20" s="82"/>
      <c r="J20" s="82"/>
      <c r="K20" s="82"/>
      <c r="L20" s="83"/>
      <c r="M20" s="84"/>
      <c r="N20" s="85"/>
      <c r="O20" s="70"/>
      <c r="P20" s="70"/>
    </row>
    <row r="21">
      <c r="A21" s="82"/>
      <c r="B21" s="82"/>
      <c r="C21" s="82"/>
      <c r="D21" s="82"/>
      <c r="E21" s="82"/>
      <c r="F21" s="82"/>
      <c r="G21" s="82"/>
      <c r="H21" s="82"/>
      <c r="I21" s="82"/>
      <c r="J21" s="82"/>
      <c r="K21" s="82"/>
      <c r="L21" s="83"/>
      <c r="M21" s="84"/>
      <c r="N21" s="84"/>
      <c r="O21" s="70"/>
      <c r="P21" s="70"/>
    </row>
    <row r="22">
      <c r="A22" s="82"/>
      <c r="B22" s="82"/>
      <c r="C22" s="82"/>
      <c r="D22" s="82"/>
      <c r="E22" s="82"/>
      <c r="F22" s="82"/>
      <c r="G22" s="82"/>
      <c r="H22" s="82"/>
      <c r="I22" s="82"/>
      <c r="J22" s="82"/>
      <c r="K22" s="82"/>
      <c r="L22" s="83"/>
      <c r="M22" s="84"/>
      <c r="N22" s="85"/>
      <c r="O22" s="70"/>
      <c r="P22" s="70"/>
    </row>
    <row r="23">
      <c r="A23" s="82"/>
      <c r="B23" s="82"/>
      <c r="C23" s="82"/>
      <c r="D23" s="82"/>
      <c r="E23" s="82"/>
      <c r="F23" s="82"/>
      <c r="G23" s="82"/>
      <c r="H23" s="82"/>
      <c r="I23" s="82"/>
      <c r="J23" s="82"/>
      <c r="K23" s="82"/>
      <c r="L23" s="82"/>
      <c r="M23" s="87"/>
      <c r="N23" s="84"/>
      <c r="O23" s="70"/>
      <c r="P23" s="70"/>
    </row>
    <row r="24">
      <c r="A24" s="82"/>
      <c r="B24" s="82"/>
      <c r="C24" s="82"/>
      <c r="D24" s="82"/>
      <c r="E24" s="82"/>
      <c r="F24" s="82"/>
      <c r="G24" s="82"/>
      <c r="H24" s="82"/>
      <c r="I24" s="82"/>
      <c r="J24" s="82"/>
      <c r="K24" s="82"/>
      <c r="L24" s="82"/>
      <c r="M24" s="87"/>
      <c r="N24" s="85"/>
      <c r="O24" s="70"/>
      <c r="P24" s="70"/>
    </row>
    <row r="25">
      <c r="A25" s="82"/>
      <c r="B25" s="82"/>
      <c r="C25" s="82"/>
      <c r="D25" s="82"/>
      <c r="E25" s="82"/>
      <c r="F25" s="82"/>
      <c r="G25" s="82"/>
      <c r="H25" s="82"/>
      <c r="I25" s="82"/>
      <c r="J25" s="82"/>
      <c r="K25" s="82"/>
      <c r="L25" s="82"/>
      <c r="M25" s="87"/>
      <c r="N25" s="84"/>
      <c r="O25" s="70"/>
      <c r="P25" s="70"/>
    </row>
    <row r="26">
      <c r="A26" s="82"/>
      <c r="B26" s="82"/>
      <c r="C26" s="82"/>
      <c r="D26" s="82"/>
      <c r="E26" s="82"/>
      <c r="F26" s="82"/>
      <c r="G26" s="82"/>
      <c r="H26" s="82"/>
      <c r="I26" s="82"/>
      <c r="J26" s="82"/>
      <c r="K26" s="82"/>
      <c r="L26" s="82"/>
      <c r="M26" s="87"/>
      <c r="N26" s="85"/>
      <c r="O26" s="70"/>
      <c r="P26" s="70"/>
    </row>
    <row r="27">
      <c r="A27" s="82"/>
      <c r="B27" s="82"/>
      <c r="C27" s="82"/>
      <c r="D27" s="82"/>
      <c r="E27" s="82"/>
      <c r="F27" s="82"/>
      <c r="G27" s="82"/>
      <c r="H27" s="82"/>
      <c r="I27" s="82"/>
      <c r="J27" s="82"/>
      <c r="K27" s="82"/>
      <c r="L27" s="82"/>
      <c r="M27" s="87"/>
      <c r="N27" s="84"/>
      <c r="O27" s="70"/>
      <c r="P27" s="70"/>
    </row>
    <row r="28">
      <c r="A28" s="82"/>
      <c r="B28" s="82"/>
      <c r="C28" s="82"/>
      <c r="D28" s="82"/>
      <c r="E28" s="82"/>
      <c r="F28" s="82"/>
      <c r="G28" s="82"/>
      <c r="H28" s="82"/>
      <c r="I28" s="82"/>
      <c r="J28" s="82"/>
      <c r="K28" s="82"/>
      <c r="L28" s="82"/>
      <c r="M28" s="87"/>
      <c r="N28" s="85"/>
      <c r="O28" s="70"/>
      <c r="P28" s="70"/>
    </row>
    <row r="29">
      <c r="A29" s="82"/>
      <c r="B29" s="82"/>
      <c r="C29" s="82"/>
      <c r="D29" s="82"/>
      <c r="E29" s="82"/>
      <c r="F29" s="82"/>
      <c r="G29" s="82"/>
      <c r="H29" s="82"/>
      <c r="I29" s="82"/>
      <c r="J29" s="82"/>
      <c r="K29" s="82"/>
      <c r="L29" s="82"/>
      <c r="M29" s="87"/>
      <c r="N29" s="84"/>
      <c r="O29" s="70"/>
      <c r="P29" s="70"/>
    </row>
    <row r="30">
      <c r="A30" s="82"/>
      <c r="B30" s="87"/>
      <c r="C30" s="87"/>
      <c r="D30" s="87"/>
      <c r="E30" s="87"/>
      <c r="F30" s="87"/>
      <c r="G30" s="87"/>
      <c r="H30" s="87"/>
      <c r="I30" s="87"/>
      <c r="J30" s="87"/>
      <c r="K30" s="87"/>
      <c r="L30" s="87"/>
      <c r="M30" s="87"/>
      <c r="N30" s="85"/>
      <c r="O30" s="70"/>
      <c r="P30" s="70"/>
    </row>
    <row r="31">
      <c r="A31" s="82"/>
      <c r="B31" s="87"/>
      <c r="C31" s="87"/>
      <c r="D31" s="87"/>
      <c r="E31" s="87"/>
      <c r="F31" s="87"/>
      <c r="G31" s="87"/>
      <c r="H31" s="87"/>
      <c r="I31" s="87"/>
      <c r="J31" s="87"/>
      <c r="K31" s="87"/>
      <c r="L31" s="87"/>
      <c r="M31" s="87"/>
      <c r="N31" s="84"/>
      <c r="O31" s="70"/>
      <c r="P31" s="70"/>
    </row>
    <row r="32">
      <c r="A32" s="82"/>
      <c r="B32" s="87"/>
      <c r="C32" s="87"/>
      <c r="D32" s="87"/>
      <c r="E32" s="87"/>
      <c r="F32" s="87"/>
      <c r="G32" s="87"/>
      <c r="H32" s="87"/>
      <c r="I32" s="87"/>
      <c r="J32" s="87"/>
      <c r="K32" s="87"/>
      <c r="L32" s="87"/>
      <c r="M32" s="87"/>
      <c r="N32" s="85"/>
      <c r="O32" s="70"/>
      <c r="P32" s="70"/>
    </row>
    <row r="33">
      <c r="A33" s="82"/>
      <c r="B33" s="87"/>
      <c r="C33" s="87"/>
      <c r="D33" s="87"/>
      <c r="E33" s="87"/>
      <c r="F33" s="87"/>
      <c r="G33" s="87"/>
      <c r="H33" s="87"/>
      <c r="I33" s="87"/>
      <c r="J33" s="87"/>
      <c r="K33" s="87"/>
      <c r="L33" s="87"/>
      <c r="M33" s="87"/>
      <c r="N33" s="84"/>
      <c r="O33" s="70"/>
      <c r="P33" s="70"/>
    </row>
    <row r="34">
      <c r="A34" s="82"/>
      <c r="B34" s="87"/>
      <c r="C34" s="87"/>
      <c r="D34" s="87"/>
      <c r="E34" s="87"/>
      <c r="F34" s="87"/>
      <c r="G34" s="87"/>
      <c r="H34" s="87"/>
      <c r="I34" s="87"/>
      <c r="J34" s="87"/>
      <c r="K34" s="87"/>
      <c r="L34" s="87"/>
      <c r="M34" s="87"/>
      <c r="N34" s="85"/>
      <c r="O34" s="70"/>
      <c r="P34" s="70"/>
    </row>
    <row r="35">
      <c r="A35" s="82"/>
      <c r="B35" s="87"/>
      <c r="C35" s="87"/>
      <c r="D35" s="87"/>
      <c r="E35" s="87"/>
      <c r="F35" s="87"/>
      <c r="G35" s="87"/>
      <c r="H35" s="87"/>
      <c r="I35" s="87"/>
      <c r="J35" s="87"/>
      <c r="K35" s="87"/>
      <c r="L35" s="87"/>
      <c r="M35" s="87"/>
      <c r="N35" s="84"/>
      <c r="O35" s="70"/>
      <c r="P35" s="70"/>
    </row>
    <row r="36">
      <c r="A36" s="82"/>
      <c r="B36" s="87"/>
      <c r="C36" s="87"/>
      <c r="D36" s="87"/>
      <c r="E36" s="87"/>
      <c r="F36" s="87"/>
      <c r="G36" s="87"/>
      <c r="H36" s="87"/>
      <c r="I36" s="87"/>
      <c r="J36" s="87"/>
      <c r="K36" s="87"/>
      <c r="L36" s="87"/>
      <c r="M36" s="87"/>
      <c r="N36" s="85"/>
      <c r="O36" s="70"/>
      <c r="P36" s="70"/>
    </row>
    <row r="37">
      <c r="A37" s="82"/>
      <c r="B37" s="87"/>
      <c r="C37" s="87"/>
      <c r="D37" s="87"/>
      <c r="E37" s="87"/>
      <c r="F37" s="87"/>
      <c r="G37" s="87"/>
      <c r="H37" s="87"/>
      <c r="I37" s="87"/>
      <c r="J37" s="87"/>
      <c r="K37" s="87"/>
      <c r="L37" s="87"/>
      <c r="M37" s="87"/>
      <c r="N37" s="84"/>
      <c r="O37" s="70"/>
      <c r="P37" s="70"/>
    </row>
    <row r="38">
      <c r="A38" s="82"/>
      <c r="B38" s="87"/>
      <c r="C38" s="87"/>
      <c r="D38" s="87"/>
      <c r="E38" s="87"/>
      <c r="F38" s="87"/>
      <c r="G38" s="87"/>
      <c r="H38" s="87"/>
      <c r="I38" s="87"/>
      <c r="J38" s="87"/>
      <c r="K38" s="87"/>
      <c r="L38" s="87"/>
      <c r="M38" s="87"/>
      <c r="N38" s="85"/>
      <c r="O38" s="70"/>
      <c r="P38" s="70"/>
    </row>
    <row r="39">
      <c r="A39" s="82"/>
      <c r="B39" s="87"/>
      <c r="C39" s="87"/>
      <c r="D39" s="87"/>
      <c r="E39" s="87"/>
      <c r="F39" s="87"/>
      <c r="G39" s="87"/>
      <c r="H39" s="87"/>
      <c r="I39" s="87"/>
      <c r="J39" s="87"/>
      <c r="K39" s="87"/>
      <c r="L39" s="87"/>
      <c r="M39" s="87"/>
      <c r="N39" s="84"/>
      <c r="O39" s="70"/>
      <c r="P39" s="70"/>
    </row>
    <row r="40">
      <c r="A40" s="82"/>
      <c r="B40" s="87"/>
      <c r="C40" s="87"/>
      <c r="D40" s="87"/>
      <c r="E40" s="87"/>
      <c r="F40" s="87"/>
      <c r="G40" s="87"/>
      <c r="H40" s="87"/>
      <c r="I40" s="87"/>
      <c r="J40" s="87"/>
      <c r="K40" s="87"/>
      <c r="L40" s="87"/>
      <c r="M40" s="87"/>
      <c r="N40" s="85"/>
      <c r="O40" s="70"/>
      <c r="P40" s="70"/>
    </row>
    <row r="41">
      <c r="A41" s="82"/>
      <c r="B41" s="87"/>
      <c r="C41" s="87"/>
      <c r="D41" s="87"/>
      <c r="E41" s="87"/>
      <c r="F41" s="87"/>
      <c r="G41" s="87"/>
      <c r="H41" s="87"/>
      <c r="I41" s="87"/>
      <c r="J41" s="87"/>
      <c r="K41" s="87"/>
      <c r="L41" s="87"/>
      <c r="M41" s="87"/>
      <c r="N41" s="84"/>
      <c r="O41" s="70"/>
      <c r="P41" s="70"/>
    </row>
    <row r="42">
      <c r="A42" s="82"/>
      <c r="B42" s="87"/>
      <c r="C42" s="87"/>
      <c r="D42" s="87"/>
      <c r="E42" s="87"/>
      <c r="F42" s="87"/>
      <c r="G42" s="87"/>
      <c r="H42" s="87"/>
      <c r="I42" s="87"/>
      <c r="J42" s="87"/>
      <c r="K42" s="87"/>
      <c r="L42" s="87"/>
      <c r="M42" s="87"/>
      <c r="N42" s="85"/>
      <c r="O42" s="70"/>
      <c r="P42" s="70"/>
    </row>
    <row r="43">
      <c r="A43" s="82"/>
      <c r="B43" s="87"/>
      <c r="C43" s="87"/>
      <c r="D43" s="87"/>
      <c r="E43" s="87"/>
      <c r="F43" s="87"/>
      <c r="G43" s="87"/>
      <c r="H43" s="87"/>
      <c r="I43" s="87"/>
      <c r="J43" s="87"/>
      <c r="K43" s="87"/>
      <c r="L43" s="87"/>
      <c r="M43" s="87"/>
      <c r="N43" s="84"/>
      <c r="O43" s="70"/>
      <c r="P43" s="70"/>
    </row>
    <row r="44">
      <c r="A44" s="82"/>
      <c r="B44" s="87"/>
      <c r="C44" s="87"/>
      <c r="D44" s="87"/>
      <c r="E44" s="87"/>
      <c r="F44" s="87"/>
      <c r="G44" s="87"/>
      <c r="H44" s="87"/>
      <c r="I44" s="87"/>
      <c r="J44" s="87"/>
      <c r="K44" s="87"/>
      <c r="L44" s="87"/>
      <c r="M44" s="87"/>
      <c r="N44" s="85"/>
      <c r="O44" s="70"/>
      <c r="P44" s="70"/>
    </row>
    <row r="45">
      <c r="A45" s="82"/>
      <c r="B45" s="87"/>
      <c r="C45" s="87"/>
      <c r="D45" s="87"/>
      <c r="E45" s="87"/>
      <c r="F45" s="87"/>
      <c r="G45" s="87"/>
      <c r="H45" s="87"/>
      <c r="I45" s="87"/>
      <c r="J45" s="87"/>
      <c r="K45" s="87"/>
      <c r="L45" s="87"/>
      <c r="M45" s="87"/>
      <c r="N45" s="84"/>
      <c r="O45" s="70"/>
      <c r="P45" s="70"/>
    </row>
    <row r="46">
      <c r="A46" s="82"/>
      <c r="B46" s="87"/>
      <c r="C46" s="87"/>
      <c r="D46" s="87"/>
      <c r="E46" s="87"/>
      <c r="F46" s="87"/>
      <c r="G46" s="87"/>
      <c r="H46" s="87"/>
      <c r="I46" s="87"/>
      <c r="J46" s="87"/>
      <c r="K46" s="87"/>
      <c r="L46" s="87"/>
      <c r="M46" s="87"/>
      <c r="N46" s="85"/>
      <c r="O46" s="70"/>
      <c r="P46" s="70"/>
    </row>
    <row r="47">
      <c r="A47" s="82"/>
      <c r="B47" s="87"/>
      <c r="C47" s="87"/>
      <c r="D47" s="87"/>
      <c r="E47" s="87"/>
      <c r="F47" s="87"/>
      <c r="G47" s="87"/>
      <c r="H47" s="87"/>
      <c r="I47" s="87"/>
      <c r="J47" s="87"/>
      <c r="K47" s="87"/>
      <c r="L47" s="87"/>
      <c r="M47" s="87"/>
      <c r="N47" s="84"/>
      <c r="O47" s="70"/>
      <c r="P47" s="70"/>
    </row>
    <row r="48">
      <c r="A48" s="82"/>
      <c r="B48" s="87"/>
      <c r="C48" s="87"/>
      <c r="D48" s="87"/>
      <c r="E48" s="87"/>
      <c r="F48" s="87"/>
      <c r="G48" s="87"/>
      <c r="H48" s="87"/>
      <c r="I48" s="87"/>
      <c r="J48" s="87"/>
      <c r="K48" s="87"/>
      <c r="L48" s="87"/>
      <c r="M48" s="87"/>
      <c r="N48" s="85"/>
      <c r="O48" s="70"/>
      <c r="P48" s="70"/>
    </row>
    <row r="49">
      <c r="A49" s="82"/>
      <c r="B49" s="87"/>
      <c r="C49" s="87"/>
      <c r="D49" s="87"/>
      <c r="E49" s="87"/>
      <c r="F49" s="87"/>
      <c r="G49" s="87"/>
      <c r="H49" s="87"/>
      <c r="I49" s="87"/>
      <c r="J49" s="87"/>
      <c r="K49" s="87"/>
      <c r="L49" s="87"/>
      <c r="M49" s="87"/>
      <c r="N49" s="84"/>
      <c r="O49" s="70"/>
      <c r="P49" s="70"/>
    </row>
    <row r="50">
      <c r="A50" s="82"/>
      <c r="B50" s="87"/>
      <c r="C50" s="87"/>
      <c r="D50" s="87"/>
      <c r="E50" s="87"/>
      <c r="F50" s="87"/>
      <c r="G50" s="87"/>
      <c r="H50" s="87"/>
      <c r="I50" s="87"/>
      <c r="J50" s="87"/>
      <c r="K50" s="87"/>
      <c r="L50" s="87"/>
      <c r="M50" s="87"/>
      <c r="N50" s="85"/>
      <c r="O50" s="70"/>
      <c r="P50" s="70"/>
    </row>
    <row r="51">
      <c r="A51" s="82"/>
      <c r="B51" s="87"/>
      <c r="C51" s="87"/>
      <c r="D51" s="87"/>
      <c r="E51" s="87"/>
      <c r="F51" s="87"/>
      <c r="G51" s="87"/>
      <c r="H51" s="87"/>
      <c r="I51" s="87"/>
      <c r="J51" s="87"/>
      <c r="K51" s="87"/>
      <c r="L51" s="87"/>
      <c r="M51" s="87"/>
      <c r="N51" s="84"/>
      <c r="O51" s="70"/>
      <c r="P51" s="70"/>
    </row>
    <row r="52">
      <c r="A52" s="82"/>
      <c r="B52" s="87"/>
      <c r="C52" s="87"/>
      <c r="D52" s="87"/>
      <c r="E52" s="87"/>
      <c r="F52" s="87"/>
      <c r="G52" s="87"/>
      <c r="H52" s="87"/>
      <c r="I52" s="87"/>
      <c r="J52" s="87"/>
      <c r="K52" s="87"/>
      <c r="L52" s="87"/>
      <c r="M52" s="87"/>
      <c r="N52" s="85"/>
      <c r="O52" s="70"/>
      <c r="P52" s="70"/>
    </row>
    <row r="53">
      <c r="A53" s="82"/>
      <c r="B53" s="87"/>
      <c r="C53" s="87"/>
      <c r="D53" s="87"/>
      <c r="E53" s="87"/>
      <c r="F53" s="87"/>
      <c r="G53" s="87"/>
      <c r="H53" s="87"/>
      <c r="I53" s="87"/>
      <c r="J53" s="87"/>
      <c r="K53" s="87"/>
      <c r="L53" s="87"/>
      <c r="M53" s="87"/>
      <c r="N53" s="84"/>
      <c r="O53" s="70"/>
      <c r="P53" s="70"/>
    </row>
    <row r="54">
      <c r="A54" s="82"/>
      <c r="B54" s="87"/>
      <c r="C54" s="87"/>
      <c r="D54" s="87"/>
      <c r="E54" s="87"/>
      <c r="F54" s="87"/>
      <c r="G54" s="87"/>
      <c r="H54" s="87"/>
      <c r="I54" s="87"/>
      <c r="J54" s="87"/>
      <c r="K54" s="87"/>
      <c r="L54" s="87"/>
      <c r="M54" s="87"/>
      <c r="N54" s="85"/>
      <c r="O54" s="70"/>
      <c r="P54" s="70"/>
    </row>
    <row r="55">
      <c r="A55" s="82"/>
      <c r="B55" s="87"/>
      <c r="C55" s="87"/>
      <c r="D55" s="87"/>
      <c r="E55" s="87"/>
      <c r="F55" s="87"/>
      <c r="G55" s="87"/>
      <c r="H55" s="87"/>
      <c r="I55" s="87"/>
      <c r="J55" s="87"/>
      <c r="K55" s="87"/>
      <c r="L55" s="87"/>
      <c r="M55" s="87"/>
      <c r="N55" s="84"/>
      <c r="O55" s="70"/>
      <c r="P55" s="70"/>
    </row>
    <row r="56">
      <c r="A56" s="82"/>
      <c r="B56" s="87"/>
      <c r="C56" s="87"/>
      <c r="D56" s="87"/>
      <c r="E56" s="87"/>
      <c r="F56" s="87"/>
      <c r="G56" s="87"/>
      <c r="H56" s="87"/>
      <c r="I56" s="87"/>
      <c r="J56" s="87"/>
      <c r="K56" s="87"/>
      <c r="L56" s="87"/>
      <c r="M56" s="87"/>
      <c r="N56" s="85"/>
      <c r="O56" s="70"/>
      <c r="P56" s="70"/>
    </row>
    <row r="57">
      <c r="A57" s="82"/>
      <c r="B57" s="87"/>
      <c r="C57" s="87"/>
      <c r="D57" s="87"/>
      <c r="E57" s="87"/>
      <c r="F57" s="87"/>
      <c r="G57" s="87"/>
      <c r="H57" s="87"/>
      <c r="I57" s="87"/>
      <c r="J57" s="87"/>
      <c r="K57" s="87"/>
      <c r="L57" s="87"/>
      <c r="M57" s="87"/>
      <c r="N57" s="84"/>
      <c r="O57" s="70"/>
      <c r="P57" s="70"/>
    </row>
    <row r="58">
      <c r="A58" s="82"/>
      <c r="B58" s="87"/>
      <c r="C58" s="87"/>
      <c r="D58" s="87"/>
      <c r="E58" s="87"/>
      <c r="F58" s="87"/>
      <c r="G58" s="87"/>
      <c r="H58" s="87"/>
      <c r="I58" s="87"/>
      <c r="J58" s="87"/>
      <c r="K58" s="87"/>
      <c r="L58" s="87"/>
      <c r="M58" s="87"/>
      <c r="N58" s="85"/>
      <c r="O58" s="70"/>
      <c r="P58" s="70"/>
    </row>
    <row r="59">
      <c r="A59" s="82"/>
      <c r="B59" s="87"/>
      <c r="C59" s="87"/>
      <c r="D59" s="87"/>
      <c r="E59" s="87"/>
      <c r="F59" s="87"/>
      <c r="G59" s="87"/>
      <c r="H59" s="87"/>
      <c r="I59" s="87"/>
      <c r="J59" s="87"/>
      <c r="K59" s="87"/>
      <c r="L59" s="87"/>
      <c r="M59" s="87"/>
      <c r="N59" s="84"/>
      <c r="O59" s="70"/>
      <c r="P59" s="70"/>
    </row>
    <row r="60">
      <c r="A60" s="82"/>
      <c r="B60" s="87"/>
      <c r="C60" s="87"/>
      <c r="D60" s="87"/>
      <c r="E60" s="87"/>
      <c r="F60" s="87"/>
      <c r="G60" s="87"/>
      <c r="H60" s="87"/>
      <c r="I60" s="87"/>
      <c r="J60" s="87"/>
      <c r="K60" s="87"/>
      <c r="L60" s="87"/>
      <c r="M60" s="87"/>
      <c r="N60" s="85"/>
      <c r="O60" s="70"/>
      <c r="P60" s="70"/>
    </row>
    <row r="61">
      <c r="A61" s="82"/>
      <c r="B61" s="87"/>
      <c r="C61" s="87"/>
      <c r="D61" s="87"/>
      <c r="E61" s="87"/>
      <c r="F61" s="87"/>
      <c r="G61" s="87"/>
      <c r="H61" s="87"/>
      <c r="I61" s="87"/>
      <c r="J61" s="87"/>
      <c r="K61" s="87"/>
      <c r="L61" s="87"/>
      <c r="M61" s="87"/>
      <c r="N61" s="84"/>
      <c r="O61" s="70"/>
      <c r="P61" s="70"/>
    </row>
    <row r="62">
      <c r="A62" s="82"/>
      <c r="B62" s="87"/>
      <c r="C62" s="87"/>
      <c r="D62" s="87"/>
      <c r="E62" s="87"/>
      <c r="F62" s="87"/>
      <c r="G62" s="87"/>
      <c r="H62" s="87"/>
      <c r="I62" s="87"/>
      <c r="J62" s="87"/>
      <c r="K62" s="87"/>
      <c r="L62" s="87"/>
      <c r="M62" s="87"/>
      <c r="N62" s="85"/>
      <c r="O62" s="70"/>
      <c r="P62" s="70"/>
    </row>
    <row r="63">
      <c r="A63" s="82"/>
      <c r="B63" s="87"/>
      <c r="C63" s="87"/>
      <c r="D63" s="87"/>
      <c r="E63" s="87"/>
      <c r="F63" s="87"/>
      <c r="G63" s="87"/>
      <c r="H63" s="87"/>
      <c r="I63" s="87"/>
      <c r="J63" s="87"/>
      <c r="K63" s="87"/>
      <c r="L63" s="87"/>
      <c r="M63" s="87"/>
      <c r="N63" s="84"/>
      <c r="O63" s="70"/>
      <c r="P63" s="70"/>
    </row>
    <row r="64">
      <c r="A64" s="82"/>
      <c r="B64" s="87"/>
      <c r="C64" s="87"/>
      <c r="D64" s="87"/>
      <c r="E64" s="87"/>
      <c r="F64" s="87"/>
      <c r="G64" s="87"/>
      <c r="H64" s="87"/>
      <c r="I64" s="87"/>
      <c r="J64" s="87"/>
      <c r="K64" s="87"/>
      <c r="L64" s="87"/>
      <c r="M64" s="87"/>
      <c r="N64" s="85"/>
      <c r="O64" s="70"/>
      <c r="P64" s="70"/>
    </row>
    <row r="65">
      <c r="A65" s="82"/>
      <c r="B65" s="84"/>
      <c r="C65" s="84"/>
      <c r="D65" s="84"/>
      <c r="E65" s="84"/>
      <c r="F65" s="84"/>
      <c r="G65" s="84"/>
      <c r="H65" s="84"/>
      <c r="I65" s="84"/>
      <c r="J65" s="84"/>
      <c r="K65" s="84"/>
      <c r="L65" s="84"/>
      <c r="M65" s="84"/>
      <c r="N65" s="84"/>
      <c r="O65" s="70"/>
      <c r="P65" s="70"/>
    </row>
    <row r="66">
      <c r="A66" s="82"/>
      <c r="B66" s="84"/>
      <c r="C66" s="84"/>
      <c r="D66" s="84"/>
      <c r="E66" s="84"/>
      <c r="F66" s="84"/>
      <c r="G66" s="84"/>
      <c r="H66" s="84"/>
      <c r="I66" s="84"/>
      <c r="J66" s="84"/>
      <c r="K66" s="84"/>
      <c r="L66" s="84"/>
      <c r="M66" s="84"/>
      <c r="N66" s="85"/>
      <c r="O66" s="70"/>
      <c r="P66" s="70"/>
    </row>
    <row r="67">
      <c r="A67" s="82"/>
      <c r="B67" s="84"/>
      <c r="C67" s="84"/>
      <c r="D67" s="84"/>
      <c r="E67" s="84"/>
      <c r="F67" s="84"/>
      <c r="G67" s="84"/>
      <c r="H67" s="84"/>
      <c r="I67" s="84"/>
      <c r="J67" s="84"/>
      <c r="K67" s="84"/>
      <c r="L67" s="84"/>
      <c r="M67" s="84"/>
      <c r="N67" s="84"/>
      <c r="O67" s="70"/>
      <c r="P67" s="70"/>
    </row>
    <row r="68">
      <c r="A68" s="82"/>
      <c r="B68" s="84"/>
      <c r="C68" s="84"/>
      <c r="D68" s="84"/>
      <c r="E68" s="84"/>
      <c r="F68" s="84"/>
      <c r="G68" s="84"/>
      <c r="H68" s="84"/>
      <c r="I68" s="84"/>
      <c r="J68" s="84"/>
      <c r="K68" s="84"/>
      <c r="L68" s="84"/>
      <c r="M68" s="84"/>
      <c r="N68" s="85"/>
      <c r="O68" s="70"/>
      <c r="P68" s="70"/>
    </row>
    <row r="69">
      <c r="A69" s="82"/>
      <c r="B69" s="84"/>
      <c r="C69" s="84"/>
      <c r="D69" s="84"/>
      <c r="E69" s="84"/>
      <c r="F69" s="84"/>
      <c r="G69" s="84"/>
      <c r="H69" s="84"/>
      <c r="I69" s="84"/>
      <c r="J69" s="84"/>
      <c r="K69" s="84"/>
      <c r="L69" s="84"/>
      <c r="M69" s="84"/>
      <c r="N69" s="84"/>
      <c r="O69" s="70"/>
      <c r="P69" s="70"/>
    </row>
    <row r="70">
      <c r="A70" s="82"/>
      <c r="B70" s="84"/>
      <c r="C70" s="84"/>
      <c r="D70" s="84"/>
      <c r="E70" s="84"/>
      <c r="F70" s="84"/>
      <c r="G70" s="84"/>
      <c r="H70" s="84"/>
      <c r="I70" s="84"/>
      <c r="J70" s="84"/>
      <c r="K70" s="84"/>
      <c r="L70" s="84"/>
      <c r="M70" s="84"/>
      <c r="N70" s="85"/>
      <c r="O70" s="70"/>
      <c r="P70" s="70"/>
    </row>
    <row r="71">
      <c r="A71" s="82"/>
      <c r="B71" s="84"/>
      <c r="C71" s="84"/>
      <c r="D71" s="84"/>
      <c r="E71" s="84"/>
      <c r="F71" s="84"/>
      <c r="G71" s="84"/>
      <c r="H71" s="84"/>
      <c r="I71" s="84"/>
      <c r="J71" s="84"/>
      <c r="K71" s="84"/>
      <c r="L71" s="84"/>
      <c r="M71" s="84"/>
      <c r="N71" s="84"/>
      <c r="O71" s="70"/>
      <c r="P71" s="70"/>
    </row>
    <row r="72">
      <c r="A72" s="82"/>
      <c r="B72" s="84"/>
      <c r="C72" s="84"/>
      <c r="D72" s="84"/>
      <c r="E72" s="84"/>
      <c r="F72" s="84"/>
      <c r="G72" s="84"/>
      <c r="H72" s="84"/>
      <c r="I72" s="84"/>
      <c r="J72" s="84"/>
      <c r="K72" s="84"/>
      <c r="L72" s="84"/>
      <c r="M72" s="84"/>
      <c r="N72" s="85"/>
      <c r="O72" s="70"/>
      <c r="P72" s="70"/>
    </row>
    <row r="73">
      <c r="A73" s="82"/>
      <c r="B73" s="84"/>
      <c r="C73" s="84"/>
      <c r="D73" s="84"/>
      <c r="E73" s="84"/>
      <c r="F73" s="84"/>
      <c r="G73" s="84"/>
      <c r="H73" s="84"/>
      <c r="I73" s="84"/>
      <c r="J73" s="84"/>
      <c r="K73" s="84"/>
      <c r="L73" s="84"/>
      <c r="M73" s="84"/>
      <c r="N73" s="84"/>
      <c r="O73" s="70"/>
      <c r="P73" s="70"/>
    </row>
    <row r="74">
      <c r="A74" s="82"/>
      <c r="B74" s="84"/>
      <c r="C74" s="84"/>
      <c r="D74" s="84"/>
      <c r="E74" s="84"/>
      <c r="F74" s="84"/>
      <c r="G74" s="84"/>
      <c r="H74" s="84"/>
      <c r="I74" s="84"/>
      <c r="J74" s="84"/>
      <c r="K74" s="84"/>
      <c r="L74" s="84"/>
      <c r="M74" s="84"/>
      <c r="N74" s="85"/>
      <c r="O74" s="70"/>
      <c r="P74" s="70"/>
    </row>
    <row r="75">
      <c r="A75" s="82"/>
      <c r="B75" s="84"/>
      <c r="C75" s="84"/>
      <c r="D75" s="84"/>
      <c r="E75" s="84"/>
      <c r="F75" s="84"/>
      <c r="G75" s="84"/>
      <c r="H75" s="84"/>
      <c r="I75" s="84"/>
      <c r="J75" s="84"/>
      <c r="K75" s="84"/>
      <c r="L75" s="84"/>
      <c r="M75" s="84"/>
      <c r="N75" s="84"/>
      <c r="O75" s="70"/>
      <c r="P75" s="70"/>
    </row>
    <row r="76">
      <c r="A76" s="82"/>
      <c r="B76" s="84"/>
      <c r="C76" s="84"/>
      <c r="D76" s="84"/>
      <c r="E76" s="84"/>
      <c r="F76" s="84"/>
      <c r="G76" s="84"/>
      <c r="H76" s="84"/>
      <c r="I76" s="84"/>
      <c r="J76" s="84"/>
      <c r="K76" s="84"/>
      <c r="L76" s="84"/>
      <c r="M76" s="84"/>
      <c r="N76" s="85"/>
      <c r="O76" s="70"/>
      <c r="P76" s="70"/>
    </row>
    <row r="77">
      <c r="A77" s="82"/>
      <c r="B77" s="84"/>
      <c r="C77" s="84"/>
      <c r="D77" s="84"/>
      <c r="E77" s="84"/>
      <c r="F77" s="84"/>
      <c r="G77" s="84"/>
      <c r="H77" s="84"/>
      <c r="I77" s="84"/>
      <c r="J77" s="84"/>
      <c r="K77" s="84"/>
      <c r="L77" s="84"/>
      <c r="M77" s="84"/>
      <c r="N77" s="84"/>
      <c r="O77" s="70"/>
      <c r="P77" s="70"/>
    </row>
    <row r="78">
      <c r="A78" s="82"/>
      <c r="B78" s="84"/>
      <c r="C78" s="84"/>
      <c r="D78" s="84"/>
      <c r="E78" s="84"/>
      <c r="F78" s="84"/>
      <c r="G78" s="84"/>
      <c r="H78" s="84"/>
      <c r="I78" s="84"/>
      <c r="J78" s="84"/>
      <c r="K78" s="84"/>
      <c r="L78" s="84"/>
      <c r="M78" s="84"/>
      <c r="N78" s="85"/>
      <c r="O78" s="70"/>
      <c r="P78" s="70"/>
    </row>
    <row r="79">
      <c r="A79" s="87"/>
      <c r="B79" s="84"/>
      <c r="C79" s="84"/>
      <c r="D79" s="84"/>
      <c r="E79" s="84"/>
      <c r="F79" s="84"/>
      <c r="G79" s="84"/>
      <c r="H79" s="84"/>
      <c r="I79" s="84"/>
      <c r="J79" s="84"/>
      <c r="K79" s="84"/>
      <c r="L79" s="84"/>
      <c r="M79" s="84"/>
      <c r="N79" s="84"/>
      <c r="O79" s="70"/>
      <c r="P79" s="70"/>
    </row>
    <row r="80">
      <c r="A80" s="84"/>
      <c r="B80" s="84"/>
      <c r="C80" s="84"/>
      <c r="D80" s="84"/>
      <c r="E80" s="84"/>
      <c r="F80" s="84"/>
      <c r="G80" s="84"/>
      <c r="H80" s="84"/>
      <c r="I80" s="84"/>
      <c r="J80" s="84"/>
      <c r="K80" s="84"/>
      <c r="L80" s="84"/>
      <c r="M80" s="84"/>
      <c r="N80" s="85"/>
      <c r="O80" s="70"/>
      <c r="P80" s="70"/>
    </row>
    <row r="81">
      <c r="A81" s="84"/>
      <c r="B81" s="84"/>
      <c r="C81" s="84"/>
      <c r="D81" s="84"/>
      <c r="E81" s="84"/>
      <c r="F81" s="84"/>
      <c r="G81" s="84"/>
      <c r="H81" s="84"/>
      <c r="I81" s="84"/>
      <c r="J81" s="84"/>
      <c r="K81" s="84"/>
      <c r="L81" s="84"/>
      <c r="M81" s="84"/>
      <c r="N81" s="84"/>
      <c r="O81" s="70"/>
      <c r="P81" s="70"/>
    </row>
    <row r="82">
      <c r="A82" s="84"/>
      <c r="B82" s="84"/>
      <c r="C82" s="84"/>
      <c r="D82" s="84"/>
      <c r="E82" s="84"/>
      <c r="F82" s="84"/>
      <c r="G82" s="84"/>
      <c r="H82" s="84"/>
      <c r="I82" s="84"/>
      <c r="J82" s="84"/>
      <c r="K82" s="84"/>
      <c r="L82" s="84"/>
      <c r="M82" s="84"/>
      <c r="N82" s="85"/>
      <c r="O82" s="70"/>
      <c r="P82" s="70"/>
    </row>
    <row r="83">
      <c r="A83" s="84"/>
      <c r="B83" s="84"/>
      <c r="C83" s="84"/>
      <c r="D83" s="84"/>
      <c r="E83" s="84"/>
      <c r="F83" s="84"/>
      <c r="G83" s="84"/>
      <c r="H83" s="84"/>
      <c r="I83" s="84"/>
      <c r="J83" s="84"/>
      <c r="K83" s="84"/>
      <c r="L83" s="84"/>
      <c r="M83" s="84"/>
      <c r="N83" s="84"/>
      <c r="O83" s="70"/>
      <c r="P83" s="70"/>
    </row>
    <row r="84">
      <c r="A84" s="84"/>
      <c r="B84" s="84"/>
      <c r="C84" s="84"/>
      <c r="D84" s="84"/>
      <c r="E84" s="84"/>
      <c r="F84" s="84"/>
      <c r="G84" s="84"/>
      <c r="H84" s="84"/>
      <c r="I84" s="84"/>
      <c r="J84" s="84"/>
      <c r="K84" s="84"/>
      <c r="L84" s="84"/>
      <c r="M84" s="84"/>
      <c r="N84" s="85"/>
      <c r="O84" s="70"/>
      <c r="P84" s="70"/>
    </row>
    <row r="85">
      <c r="A85" s="84"/>
      <c r="B85" s="84"/>
      <c r="C85" s="84"/>
      <c r="D85" s="84"/>
      <c r="E85" s="84"/>
      <c r="F85" s="84"/>
      <c r="G85" s="84"/>
      <c r="H85" s="84"/>
      <c r="I85" s="84"/>
      <c r="J85" s="84"/>
      <c r="K85" s="84"/>
      <c r="L85" s="84"/>
      <c r="M85" s="84"/>
      <c r="N85" s="84"/>
      <c r="O85" s="70"/>
      <c r="P85" s="70"/>
    </row>
    <row r="86">
      <c r="A86" s="84"/>
      <c r="B86" s="84"/>
      <c r="C86" s="84"/>
      <c r="D86" s="84"/>
      <c r="E86" s="84"/>
      <c r="F86" s="84"/>
      <c r="G86" s="84"/>
      <c r="H86" s="84"/>
      <c r="I86" s="84"/>
      <c r="J86" s="84"/>
      <c r="K86" s="84"/>
      <c r="L86" s="84"/>
      <c r="M86" s="84"/>
      <c r="N86" s="85"/>
      <c r="O86" s="70"/>
      <c r="P86" s="70"/>
    </row>
    <row r="87">
      <c r="A87" s="84"/>
      <c r="B87" s="84"/>
      <c r="C87" s="84"/>
      <c r="D87" s="84"/>
      <c r="E87" s="84"/>
      <c r="F87" s="84"/>
      <c r="G87" s="84"/>
      <c r="H87" s="84"/>
      <c r="I87" s="84"/>
      <c r="J87" s="84"/>
      <c r="K87" s="84"/>
      <c r="L87" s="84"/>
      <c r="M87" s="84"/>
      <c r="N87" s="84"/>
      <c r="O87" s="70"/>
      <c r="P87" s="70"/>
    </row>
    <row r="88">
      <c r="A88" s="84"/>
      <c r="B88" s="84"/>
      <c r="C88" s="84"/>
      <c r="D88" s="84"/>
      <c r="E88" s="84"/>
      <c r="F88" s="84"/>
      <c r="G88" s="84"/>
      <c r="H88" s="84"/>
      <c r="I88" s="84"/>
      <c r="J88" s="84"/>
      <c r="K88" s="84"/>
      <c r="L88" s="84"/>
      <c r="M88" s="84"/>
      <c r="N88" s="85"/>
      <c r="O88" s="70"/>
      <c r="P88" s="70"/>
    </row>
    <row r="89">
      <c r="A89" s="84"/>
      <c r="B89" s="84"/>
      <c r="C89" s="84"/>
      <c r="D89" s="84"/>
      <c r="E89" s="84"/>
      <c r="F89" s="84"/>
      <c r="G89" s="84"/>
      <c r="H89" s="84"/>
      <c r="I89" s="84"/>
      <c r="J89" s="84"/>
      <c r="K89" s="84"/>
      <c r="L89" s="84"/>
      <c r="M89" s="84"/>
      <c r="N89" s="84"/>
      <c r="O89" s="70"/>
      <c r="P89" s="70"/>
    </row>
    <row r="90">
      <c r="A90" s="84"/>
      <c r="B90" s="84"/>
      <c r="C90" s="84"/>
      <c r="D90" s="84"/>
      <c r="E90" s="84"/>
      <c r="F90" s="84"/>
      <c r="G90" s="84"/>
      <c r="H90" s="84"/>
      <c r="I90" s="84"/>
      <c r="J90" s="84"/>
      <c r="K90" s="84"/>
      <c r="L90" s="84"/>
      <c r="M90" s="84"/>
      <c r="N90" s="85"/>
      <c r="O90" s="70"/>
      <c r="P90" s="70"/>
    </row>
    <row r="91">
      <c r="A91" s="84"/>
      <c r="B91" s="84"/>
      <c r="C91" s="84"/>
      <c r="D91" s="84"/>
      <c r="E91" s="84"/>
      <c r="F91" s="84"/>
      <c r="G91" s="84"/>
      <c r="H91" s="84"/>
      <c r="I91" s="84"/>
      <c r="J91" s="84"/>
      <c r="K91" s="84"/>
      <c r="L91" s="84"/>
      <c r="M91" s="84"/>
      <c r="N91" s="84"/>
      <c r="O91" s="70"/>
      <c r="P91" s="70"/>
    </row>
    <row r="92">
      <c r="A92" s="84"/>
      <c r="B92" s="84"/>
      <c r="C92" s="84"/>
      <c r="D92" s="84"/>
      <c r="E92" s="84"/>
      <c r="F92" s="84"/>
      <c r="G92" s="84"/>
      <c r="H92" s="84"/>
      <c r="I92" s="84"/>
      <c r="J92" s="84"/>
      <c r="K92" s="84"/>
      <c r="L92" s="84"/>
      <c r="M92" s="84"/>
      <c r="N92" s="85"/>
      <c r="O92" s="70"/>
      <c r="P92" s="70"/>
    </row>
    <row r="93">
      <c r="A93" s="84"/>
      <c r="B93" s="84"/>
      <c r="C93" s="84"/>
      <c r="D93" s="84"/>
      <c r="E93" s="84"/>
      <c r="F93" s="84"/>
      <c r="G93" s="84"/>
      <c r="H93" s="84"/>
      <c r="I93" s="84"/>
      <c r="J93" s="84"/>
      <c r="K93" s="84"/>
      <c r="L93" s="84"/>
      <c r="M93" s="84"/>
      <c r="N93" s="84"/>
      <c r="O93" s="70"/>
      <c r="P93" s="70"/>
    </row>
    <row r="94">
      <c r="A94" s="84"/>
      <c r="B94" s="84"/>
      <c r="C94" s="84"/>
      <c r="D94" s="84"/>
      <c r="E94" s="84"/>
      <c r="F94" s="84"/>
      <c r="G94" s="84"/>
      <c r="H94" s="84"/>
      <c r="I94" s="84"/>
      <c r="J94" s="84"/>
      <c r="K94" s="84"/>
      <c r="L94" s="84"/>
      <c r="M94" s="84"/>
      <c r="N94" s="85"/>
      <c r="O94" s="70"/>
      <c r="P94" s="70"/>
    </row>
    <row r="95">
      <c r="A95" s="88"/>
      <c r="B95" s="82"/>
      <c r="C95" s="82"/>
      <c r="D95" s="82"/>
      <c r="E95" s="82"/>
      <c r="F95" s="82"/>
      <c r="G95" s="82"/>
      <c r="H95" s="82"/>
      <c r="I95" s="82"/>
      <c r="J95" s="82"/>
      <c r="K95" s="82"/>
      <c r="L95" s="89"/>
      <c r="M95" s="82"/>
      <c r="N95" s="82"/>
      <c r="O95" s="70"/>
      <c r="P95" s="70"/>
    </row>
    <row r="96">
      <c r="A96" s="82"/>
      <c r="B96" s="90"/>
      <c r="C96" s="90"/>
      <c r="D96" s="90"/>
      <c r="E96" s="90"/>
      <c r="F96" s="90"/>
      <c r="G96" s="90"/>
      <c r="H96" s="90"/>
      <c r="I96" s="90"/>
      <c r="J96" s="90"/>
      <c r="K96" s="90"/>
      <c r="L96" s="91"/>
      <c r="M96" s="90"/>
      <c r="N96" s="92"/>
      <c r="O96" s="70"/>
      <c r="P96" s="70"/>
    </row>
    <row r="97">
      <c r="A97" s="93"/>
      <c r="B97" s="94"/>
      <c r="C97" s="94"/>
      <c r="D97" s="94"/>
      <c r="E97" s="94"/>
      <c r="F97" s="94"/>
      <c r="G97" s="94"/>
      <c r="H97" s="94"/>
      <c r="I97" s="94"/>
      <c r="J97" s="94"/>
      <c r="K97" s="94"/>
      <c r="L97" s="95"/>
      <c r="M97" s="94"/>
      <c r="N97" s="94"/>
      <c r="O97" s="70"/>
      <c r="P97" s="70"/>
    </row>
    <row r="98">
      <c r="A98" s="96"/>
      <c r="B98" s="93"/>
      <c r="C98" s="93"/>
      <c r="D98" s="93"/>
      <c r="E98" s="93"/>
      <c r="F98" s="93"/>
      <c r="G98" s="93"/>
      <c r="H98" s="93"/>
      <c r="I98" s="93"/>
      <c r="J98" s="93"/>
      <c r="K98" s="93"/>
      <c r="L98" s="97"/>
      <c r="M98" s="93"/>
      <c r="N98" s="98"/>
      <c r="O98" s="70"/>
      <c r="P98" s="70"/>
    </row>
    <row r="99">
      <c r="A99" s="94"/>
      <c r="B99" s="94"/>
      <c r="C99" s="94"/>
      <c r="D99" s="94"/>
      <c r="E99" s="94"/>
      <c r="F99" s="94"/>
      <c r="G99" s="94"/>
      <c r="H99" s="94"/>
      <c r="I99" s="94"/>
      <c r="J99" s="94"/>
      <c r="K99" s="94"/>
      <c r="L99" s="95"/>
      <c r="M99" s="94"/>
      <c r="N99" s="94"/>
      <c r="O99" s="70"/>
      <c r="P99" s="70"/>
    </row>
    <row r="100">
      <c r="A100" s="70"/>
      <c r="B100" s="70"/>
      <c r="C100" s="70"/>
      <c r="D100" s="70"/>
      <c r="E100" s="70"/>
      <c r="F100" s="70"/>
      <c r="G100" s="70"/>
      <c r="H100" s="70"/>
      <c r="I100" s="70"/>
      <c r="J100" s="70"/>
      <c r="K100" s="70"/>
      <c r="L100" s="70"/>
      <c r="M100" s="70"/>
      <c r="N100" s="70"/>
      <c r="O100" s="70"/>
      <c r="P100" s="70"/>
    </row>
    <row r="101">
      <c r="A101" s="70"/>
      <c r="B101" s="70"/>
      <c r="C101" s="70"/>
      <c r="D101" s="70"/>
      <c r="E101" s="70"/>
      <c r="F101" s="70"/>
      <c r="G101" s="70"/>
      <c r="H101" s="70"/>
      <c r="I101" s="70"/>
      <c r="J101" s="70"/>
      <c r="K101" s="70"/>
      <c r="L101" s="70"/>
      <c r="M101" s="70"/>
      <c r="N101" s="70"/>
      <c r="O101" s="70"/>
      <c r="P101" s="70"/>
    </row>
    <row r="102">
      <c r="A102" s="70"/>
      <c r="B102" s="70"/>
      <c r="C102" s="70"/>
      <c r="D102" s="70"/>
      <c r="E102" s="70"/>
      <c r="F102" s="70"/>
      <c r="G102" s="70"/>
      <c r="H102" s="70"/>
      <c r="I102" s="70"/>
      <c r="J102" s="70"/>
      <c r="K102" s="70"/>
      <c r="L102" s="70"/>
      <c r="M102" s="70"/>
      <c r="N102" s="70"/>
      <c r="O102" s="70"/>
      <c r="P102" s="70"/>
    </row>
    <row r="103">
      <c r="A103" s="70"/>
      <c r="B103" s="70"/>
      <c r="C103" s="70"/>
      <c r="D103" s="70"/>
      <c r="E103" s="70"/>
      <c r="F103" s="70"/>
      <c r="G103" s="70"/>
      <c r="H103" s="70"/>
      <c r="I103" s="70"/>
      <c r="J103" s="70"/>
      <c r="K103" s="70"/>
      <c r="L103" s="70"/>
      <c r="M103" s="70"/>
      <c r="N103" s="70"/>
      <c r="O103" s="70"/>
      <c r="P103" s="70"/>
    </row>
    <row r="104">
      <c r="A104" s="70"/>
      <c r="B104" s="70"/>
      <c r="C104" s="70"/>
      <c r="D104" s="70"/>
      <c r="E104" s="70"/>
      <c r="F104" s="70"/>
      <c r="G104" s="70"/>
      <c r="H104" s="70"/>
      <c r="I104" s="70"/>
      <c r="J104" s="70"/>
      <c r="K104" s="70"/>
      <c r="L104" s="70"/>
      <c r="M104" s="70"/>
      <c r="N104" s="70"/>
      <c r="O104" s="70"/>
      <c r="P104" s="70"/>
    </row>
    <row r="105">
      <c r="A105" s="70"/>
      <c r="B105" s="70"/>
      <c r="C105" s="70"/>
      <c r="D105" s="70"/>
      <c r="E105" s="70"/>
      <c r="F105" s="70"/>
      <c r="G105" s="70"/>
      <c r="H105" s="70"/>
      <c r="I105" s="70"/>
      <c r="J105" s="70"/>
      <c r="K105" s="70"/>
      <c r="L105" s="70"/>
      <c r="M105" s="70"/>
      <c r="N105" s="70"/>
      <c r="O105" s="70"/>
      <c r="P105" s="70"/>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