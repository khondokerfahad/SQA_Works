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had" sheetId="1" r:id="rId5"/>
    <sheet state="hidden" name="Tahsin" sheetId="2" r:id="rId6"/>
    <sheet state="visible" name="Summary Report" sheetId="3" r:id="rId7"/>
    <sheet state="visible" name="Main Report" sheetId="4" r:id="rId8"/>
  </sheets>
  <definedNames/>
  <calcPr/>
</workbook>
</file>

<file path=xl/sharedStrings.xml><?xml version="1.0" encoding="utf-8"?>
<sst xmlns="http://schemas.openxmlformats.org/spreadsheetml/2006/main" count="716" uniqueCount="348">
  <si>
    <t xml:space="preserve">Tester : </t>
  </si>
  <si>
    <t>Mohammed Fahad Faisal</t>
  </si>
  <si>
    <t>Severity</t>
  </si>
  <si>
    <t>Issues</t>
  </si>
  <si>
    <t>Project Name:</t>
  </si>
  <si>
    <t>CrewHub mobile app</t>
  </si>
  <si>
    <t>High</t>
  </si>
  <si>
    <t>Total Test Cases:</t>
  </si>
  <si>
    <t>Developer:</t>
  </si>
  <si>
    <t>AI Thunder</t>
  </si>
  <si>
    <t>Medium</t>
  </si>
  <si>
    <t>Test Case Solved :</t>
  </si>
  <si>
    <t xml:space="preserve">OS: </t>
  </si>
  <si>
    <t>Windows 11 Pro 
Version:24H2 
OS build:26100.4946</t>
  </si>
  <si>
    <t>Low</t>
  </si>
  <si>
    <t>Environment:</t>
  </si>
  <si>
    <t>Brave 1.81.135 
(Official Build) (64-bit)
Chromium: 139.0.7258.127</t>
  </si>
  <si>
    <t>Place solve if the issue resolves 
|
\/</t>
  </si>
  <si>
    <t>Mention which Stack solved the issue 
|
\/</t>
  </si>
  <si>
    <t>Test ID</t>
  </si>
  <si>
    <t>Module</t>
  </si>
  <si>
    <t>Sub Module</t>
  </si>
  <si>
    <t>Test Case Description</t>
  </si>
  <si>
    <t>Preconditions</t>
  </si>
  <si>
    <t>Test Steps</t>
  </si>
  <si>
    <t>Test Data</t>
  </si>
  <si>
    <t>Expected Result</t>
  </si>
  <si>
    <t>Actual Result</t>
  </si>
  <si>
    <t>Status</t>
  </si>
  <si>
    <t>Screen Shots</t>
  </si>
  <si>
    <t>Suggestion</t>
  </si>
  <si>
    <t>Feedback</t>
  </si>
  <si>
    <t>Stack</t>
  </si>
  <si>
    <t>Comment</t>
  </si>
  <si>
    <t>BR_001</t>
  </si>
  <si>
    <t>Worker</t>
  </si>
  <si>
    <t>Mail</t>
  </si>
  <si>
    <t>Alignment issue in Mail body</t>
  </si>
  <si>
    <t>User need to install app on their mobile device</t>
  </si>
  <si>
    <t>1. Open app
2. Register using necessary data</t>
  </si>
  <si>
    <t>Worker CREDENTIAL</t>
  </si>
  <si>
    <t>Alignment should be accurate in email body</t>
  </si>
  <si>
    <t>Alignment issue has been noticed</t>
  </si>
  <si>
    <t>Fail</t>
  </si>
  <si>
    <t>001.png</t>
  </si>
  <si>
    <t>Solved</t>
  </si>
  <si>
    <t>BR_002</t>
  </si>
  <si>
    <t>Mail is redirecting to localhost:3000, which isn’t accessible.</t>
  </si>
  <si>
    <t>1. Open app
2. Register using necessary data
3. Open mail body</t>
  </si>
  <si>
    <t>Mail button redirect URL should be valid</t>
  </si>
  <si>
    <t>Redirecting to localhost port 3000 which is not accessible</t>
  </si>
  <si>
    <t>002.png</t>
  </si>
  <si>
    <t>BR_003</t>
  </si>
  <si>
    <t>Certificate</t>
  </si>
  <si>
    <t>Failed to display Status in certificate</t>
  </si>
  <si>
    <t>1. Open app
2. Login using valid credentials
3. Goto Settings
4. Click on certificates</t>
  </si>
  <si>
    <t>The certificate status should be properly displayed in the certificate list.</t>
  </si>
  <si>
    <t>Unable to display the certificate status</t>
  </si>
  <si>
    <t>003.jpg</t>
  </si>
  <si>
    <t>BR_004</t>
  </si>
  <si>
    <t>Profile</t>
  </si>
  <si>
    <t>Missing work experience data input in frontend</t>
  </si>
  <si>
    <t>1. Open app
2. Login using valid credentials
3. Goto Settings
4. Click on profile</t>
  </si>
  <si>
    <t>App should include an input field as specified in the requirement.</t>
  </si>
  <si>
    <t>Experience field is missing in the app, even though it was part of the requirements.</t>
  </si>
  <si>
    <t>004.jpg</t>
  </si>
  <si>
    <t>BR_005</t>
  </si>
  <si>
    <t>Home</t>
  </si>
  <si>
    <t>Worker is available according to the calendar, but the display shows them as unavailable.</t>
  </si>
  <si>
    <t>1. Open app
2. Login using valid credentials
3. Goto Calender and set as available
4. Click on Home</t>
  </si>
  <si>
    <t>Worker availability should be shown based on their calendar.</t>
  </si>
  <si>
    <t>Could not display the correct data</t>
  </si>
  <si>
    <t>005.mp4</t>
  </si>
  <si>
    <t>BR_006</t>
  </si>
  <si>
    <t>Failed to display the notification for a certificate set to expire within one month.</t>
  </si>
  <si>
    <t>1. Open app
2. Login using valid credentials
3. Goto Certificate
4. Click on notification</t>
  </si>
  <si>
    <t>Workers should receive push alerts 6 months, 3 months, and 1 month before cert expiry.</t>
  </si>
  <si>
    <t>Failed to receive push alert notification for certificate expiry.</t>
  </si>
  <si>
    <t>006.mp4</t>
  </si>
  <si>
    <t>BR_007</t>
  </si>
  <si>
    <t>App keeps showing the network error message multiple times.</t>
  </si>
  <si>
    <t>1. Open app
2. Login using valid credentials
3. Close app and reopen again</t>
  </si>
  <si>
    <t>Frontend should display the appropriate error message.</t>
  </si>
  <si>
    <t>A network error message appears at random times.</t>
  </si>
  <si>
    <t>007.jpg</t>
  </si>
  <si>
    <t>BR_008</t>
  </si>
  <si>
    <t xml:space="preserve">Unable to remove/update expired certificate </t>
  </si>
  <si>
    <t>1. Open app
2. Login using valid credentials
3. Goto Certificate</t>
  </si>
  <si>
    <t>Users should be able to remove expired certificates or update them.</t>
  </si>
  <si>
    <t>Failed to replace/remove expire cert</t>
  </si>
  <si>
    <t>008.jpg</t>
  </si>
  <si>
    <t>BR_009</t>
  </si>
  <si>
    <t>Using "EXP." before the date doesn’t make sense when the field is already labeled for the expiration date.</t>
  </si>
  <si>
    <t>1. Open app
2. Login using valid credentials
3. Goto Certificate
4. Open Certificate</t>
  </si>
  <si>
    <t>Only the date should be shown in the expiry section.</t>
  </si>
  <si>
    <t>"EXP." before the date isn’t relevant because the section is already for the expiration date.</t>
  </si>
  <si>
    <t>009.jpg</t>
  </si>
  <si>
    <t>BR_010</t>
  </si>
  <si>
    <t>Should be the certificate issuer's name.</t>
  </si>
  <si>
    <t>Certificate data should be arranged according to the specified requirements.</t>
  </si>
  <si>
    <t>The issuer's name should go in the Last Name field.</t>
  </si>
  <si>
    <t>010.jpg</t>
  </si>
  <si>
    <t>BR_011</t>
  </si>
  <si>
    <t>Forget Password</t>
  </si>
  <si>
    <t>Login should be required after resetting the password.</t>
  </si>
  <si>
    <t>1. Open app
2. Open Login page
3. Click on Forget Password
4. reset password</t>
  </si>
  <si>
    <t>User should be redirect to login page after they reset their password</t>
  </si>
  <si>
    <t>Failed to redirect, but a login popup appeared after it logged in automatically.</t>
  </si>
  <si>
    <t>011.jpg</t>
  </si>
  <si>
    <t>BR_012</t>
  </si>
  <si>
    <t>Recruiter</t>
  </si>
  <si>
    <t>Unable to download the worker certificate</t>
  </si>
  <si>
    <t>1. Open app
2. Login by recruiter credential
3. Download worker certificate</t>
  </si>
  <si>
    <t>Recruiter CREDENTIAL</t>
  </si>
  <si>
    <t>Recruiter should be able to download worker cert</t>
  </si>
  <si>
    <t>Failed to download worker cert</t>
  </si>
  <si>
    <t>012.jpg</t>
  </si>
  <si>
    <t>This feature wasn't mentioned by the client in the meeting</t>
  </si>
  <si>
    <t>Was Mentioned in quotation and conversation</t>
  </si>
  <si>
    <t>BR_013</t>
  </si>
  <si>
    <t>Document</t>
  </si>
  <si>
    <t>Placeholder should be named as "Document Name"</t>
  </si>
  <si>
    <t>1. Open app
2. Login by recruiter credential
3. Goto Settings
4. Click on document</t>
  </si>
  <si>
    <t>Recruiters should be able to submit different types of documents, so the placeholder name should reflect the document name.</t>
  </si>
  <si>
    <t>Placeholder name used as certificate name</t>
  </si>
  <si>
    <t>013.jpg</t>
  </si>
  <si>
    <t>BR_014</t>
  </si>
  <si>
    <t>Search</t>
  </si>
  <si>
    <t>Unable to search by category as mentioned in the requirement.</t>
  </si>
  <si>
    <t>1. Open app
2. Login by recruiter credential
3. Goto Search</t>
  </si>
  <si>
    <t>Recruiters should be able to search for workers by trade or discipline, availability, and location as outlined in the requirements.</t>
  </si>
  <si>
    <t>A recruiter can search for a worker using their name or ID.</t>
  </si>
  <si>
    <t>014.jpg</t>
  </si>
  <si>
    <t>It's Already Working</t>
  </si>
  <si>
    <t>BR_015</t>
  </si>
  <si>
    <t>Random number appears on the worker's tag.</t>
  </si>
  <si>
    <t>The worker's tag should be displayed correctly on the search page.</t>
  </si>
  <si>
    <t>Random numbers are displayed on the worker's tag.</t>
  </si>
  <si>
    <t>015.jpg</t>
  </si>
  <si>
    <t>BR_016</t>
  </si>
  <si>
    <t>Notification</t>
  </si>
  <si>
    <t xml:space="preserve">Failed to receive message notification </t>
  </si>
  <si>
    <t>1. Open app
2. Login using worker credentials
3. Goto notification / message</t>
  </si>
  <si>
    <t>A message notification should appear when a worker logs in to the app or receives a message.</t>
  </si>
  <si>
    <t>Message notifications fail to appear when a worker logs in or is using the app.</t>
  </si>
  <si>
    <t>016.jpg</t>
  </si>
  <si>
    <t>BR_017</t>
  </si>
  <si>
    <t>Login</t>
  </si>
  <si>
    <t>Failed to login using google login</t>
  </si>
  <si>
    <t xml:space="preserve">1. Open app
2. Login using google </t>
  </si>
  <si>
    <t>Should be able to login with google login feature</t>
  </si>
  <si>
    <t>017.jpg</t>
  </si>
  <si>
    <t>BR_018</t>
  </si>
  <si>
    <t>Remember me operation failed</t>
  </si>
  <si>
    <t>1. Open app
2. Goto Login Page</t>
  </si>
  <si>
    <t>App should remember user credentials if they select the "remember me" option during login.</t>
  </si>
  <si>
    <t>The “Remember Me” option didn’t save the user credentials.</t>
  </si>
  <si>
    <t>018.jpg</t>
  </si>
  <si>
    <t>BR_019</t>
  </si>
  <si>
    <t>OTP</t>
  </si>
  <si>
    <t>Clicking the back button closes the app instead of taking users to the login page.</t>
  </si>
  <si>
    <t>1. Open app
2. Goto Login Page
3. Click on forget password
4. provide email and goto OTP page</t>
  </si>
  <si>
    <t>The back button should take the user to the home or login screen, and on the second click, it should either prompt them to quit the app or close it automatically.</t>
  </si>
  <si>
    <t>Close the app without prompting for confirmation</t>
  </si>
  <si>
    <t>019.mp4</t>
  </si>
  <si>
    <t>BR_020</t>
  </si>
  <si>
    <t>Job Details</t>
  </si>
  <si>
    <t>Failed to display proper progress steps</t>
  </si>
  <si>
    <t>1. Open app
2. Login using worker credentials
3. Click on Jobs
4. Click on job details</t>
  </si>
  <si>
    <t>Progress steps should properly displayed on workers job details</t>
  </si>
  <si>
    <t>Progress failed to show properly on the worker side.</t>
  </si>
  <si>
    <t>020.jpg</t>
  </si>
  <si>
    <t>BR_021</t>
  </si>
  <si>
    <t>The progress mark is not set correctly in the recruiter dashboard.</t>
  </si>
  <si>
    <t>1. Open app
2. Goto Login Page
3. Click on job details</t>
  </si>
  <si>
    <t>Progress steps should properly displayed on recruiter job details</t>
  </si>
  <si>
    <t>021.jpg</t>
  </si>
  <si>
    <t>BR_022</t>
  </si>
  <si>
    <t>Completed the job but still being asked to apply</t>
  </si>
  <si>
    <t>Once a job is finished, it should be marked as complete and no longer available for applications.</t>
  </si>
  <si>
    <t>Can apply to expired job</t>
  </si>
  <si>
    <t>022.jpg</t>
  </si>
  <si>
    <t>BR_023</t>
  </si>
  <si>
    <t>Unable to give a rating or review for a completed job from the worker's side.</t>
  </si>
  <si>
    <t>Workers should be able to review(Food,Gym,Accommodation,Internet,Work environment) the job once it’s completed.</t>
  </si>
  <si>
    <t>Unable to review the job after it was completed on the worker's side.</t>
  </si>
  <si>
    <t>023.jpg</t>
  </si>
  <si>
    <t>BR_024</t>
  </si>
  <si>
    <t>The 1-5 star rating is missing on the frontend.</t>
  </si>
  <si>
    <t>Workers should be able to rate a job after completing it, and the rating should be displayed in the job details immediately.</t>
  </si>
  <si>
    <t>The rating system is missing from the job details once it’s completed.</t>
  </si>
  <si>
    <t>024.jpg</t>
  </si>
  <si>
    <t>BR_025</t>
  </si>
  <si>
    <t>Unable to save job details once the job is completed.</t>
  </si>
  <si>
    <t>Saved job should be displayed in save tag section</t>
  </si>
  <si>
    <t xml:space="preserve">Failed to display saved jobs </t>
  </si>
  <si>
    <t>025.mp4</t>
  </si>
  <si>
    <t>BR_026</t>
  </si>
  <si>
    <t>Unable to comment on finished job</t>
  </si>
  <si>
    <t>Workers should be able to leave a comment on a job after it’s finished, and it will be displayed in the job banner once approved by the admin.</t>
  </si>
  <si>
    <t>Missing comment section in job banner</t>
  </si>
  <si>
    <t>026.jpg</t>
  </si>
  <si>
    <t>BR_027</t>
  </si>
  <si>
    <t>The certificate names are missing on the frontend.</t>
  </si>
  <si>
    <t>1. Open app
2. Login by worker credential
3. Add a certificate</t>
  </si>
  <si>
    <t>Certificate name should be displayed correctly in the certificate list.</t>
  </si>
  <si>
    <t>The certificate name is missing in the frontend, and it’s showing as "Certificate" instead.</t>
  </si>
  <si>
    <t>027.jpg</t>
  </si>
  <si>
    <t>BR_028</t>
  </si>
  <si>
    <t>Recruiter’s name is missing and should be linked to their profile.</t>
  </si>
  <si>
    <t>In the job details, the recruiter’s name should be shown, and the worker should be able to view their profile along with their certificates.</t>
  </si>
  <si>
    <t xml:space="preserve">Missing recruiter name in job details </t>
  </si>
  <si>
    <t>028.jpg</t>
  </si>
  <si>
    <t>BR_029</t>
  </si>
  <si>
    <t>Location picker needs to be integrated.</t>
  </si>
  <si>
    <t>Location picker should be integrated into the location input.</t>
  </si>
  <si>
    <t>The absence of a location picker in the job section can cause confusion about the exact workplace.</t>
  </si>
  <si>
    <t>029.jpg</t>
  </si>
  <si>
    <t>BR_030</t>
  </si>
  <si>
    <t>Chat</t>
  </si>
  <si>
    <t>Should display last message time</t>
  </si>
  <si>
    <t>1. Open app
2. Goto Login Page
3. Click on Chat</t>
  </si>
  <si>
    <t>The message time should be shown in the message bar on the right side.</t>
  </si>
  <si>
    <t>Unable to show the message time on the message bar.</t>
  </si>
  <si>
    <t>030.jpg</t>
  </si>
  <si>
    <t>BR_031</t>
  </si>
  <si>
    <t>Certificate list is not integrated into the job details.</t>
  </si>
  <si>
    <t>The required cert input field should integrate a cert list that displays cert names in a dropdown or search format.</t>
  </si>
  <si>
    <t>Missing certificate data in the required field can lead to workers not applying for a job due to a certificate mismatch.</t>
  </si>
  <si>
    <t>031.jpg</t>
  </si>
  <si>
    <t>BR_032</t>
  </si>
  <si>
    <t>Active jobs aren’t listed under the active tag.</t>
  </si>
  <si>
    <t>1. Open app
2. Login using worker credentials
3. Click on Jobs</t>
  </si>
  <si>
    <t>Jobs that have been applied for and are still active should be listed under the active tag.</t>
  </si>
  <si>
    <t>Jobs that have already been applied for and are still active are not shown under active tags.</t>
  </si>
  <si>
    <t>032.mp4</t>
  </si>
  <si>
    <t>BR_033</t>
  </si>
  <si>
    <t>Applicant Details</t>
  </si>
  <si>
    <t>All applicant certificate expiry dates are shown in red, which can be confusing for recruiters, especially since the Figma design specifies that three colors should be used.</t>
  </si>
  <si>
    <t>1. Open app
2. Goto Login Page
3. Click on job details
4. Click on applicant details</t>
  </si>
  <si>
    <t>According to the Figma design, there should be three colors (Green, Amber, Red) for certificates in the categories Up to Date, Expire Soon, and Expired.</t>
  </si>
  <si>
    <t>All are marked in red, which can cause confusion between expired and up-to-date certificates.</t>
  </si>
  <si>
    <t>033.jpg</t>
  </si>
  <si>
    <t>BR_034</t>
  </si>
  <si>
    <t>Notifications are not dynamic and are not redirecting to the actual page.</t>
  </si>
  <si>
    <t>Notification should take the user directly to the intended location.</t>
  </si>
  <si>
    <t>Notifications stay the same. Static</t>
  </si>
  <si>
    <t>034.jpg</t>
  </si>
  <si>
    <t>BR_035</t>
  </si>
  <si>
    <t>The work progress color theme should be green instead of blue, based on the client’s comment on Figma.</t>
  </si>
  <si>
    <t>When the steps are complete, the mark color should be green instead of blue, as specified by the client in Figma.</t>
  </si>
  <si>
    <t>Blue mark has been spotted.</t>
  </si>
  <si>
    <t>035.jpg</t>
  </si>
  <si>
    <t>BR_036</t>
  </si>
  <si>
    <t>Notifications from the 16th may still be showing up in the worker's email.</t>
  </si>
  <si>
    <t>1. Open app
2. Login using worker credentials
3. Goto email notification / message</t>
  </si>
  <si>
    <t>Notifications should be sent to email only once, not multiple times.</t>
  </si>
  <si>
    <t>The same email notification is being sent multiple times from the backend to the workers' emails.</t>
  </si>
  <si>
    <t>036.png</t>
  </si>
  <si>
    <t>BR_037</t>
  </si>
  <si>
    <t>Need to set up Apple Sign-In.</t>
  </si>
  <si>
    <t>N/A</t>
  </si>
  <si>
    <t>The app should include Apple login integration.</t>
  </si>
  <si>
    <t>Missing apple login</t>
  </si>
  <si>
    <t>037.jpg</t>
  </si>
  <si>
    <t>BR_038</t>
  </si>
  <si>
    <t xml:space="preserve">Worker </t>
  </si>
  <si>
    <t>Expired jobs are shown in the best match category, and workers can still apply for them.</t>
  </si>
  <si>
    <t>A worker can not apply for expired jobs</t>
  </si>
  <si>
    <t>Expired jobs are listed in the best match category, and workers can still apply for them.</t>
  </si>
  <si>
    <t>038.jpg</t>
  </si>
  <si>
    <t>BR_039</t>
  </si>
  <si>
    <t>Expired jobs are showing up as active jobs.</t>
  </si>
  <si>
    <t>After expiration, jobs should be listed under the expired category.</t>
  </si>
  <si>
    <t>Expired jobs appear in the active jobs section.</t>
  </si>
  <si>
    <t>039.jpg</t>
  </si>
  <si>
    <t>BR_040</t>
  </si>
  <si>
    <t>Received OTP, but it showed as invalid.</t>
  </si>
  <si>
    <t>1. Open app
2. Goto Login Page
3. Click on forget password</t>
  </si>
  <si>
    <t>The user should be able to receive an OTP and submit it for verification.</t>
  </si>
  <si>
    <t>Unable to submit the OTP after receiving it via email.</t>
  </si>
  <si>
    <t>040.png</t>
  </si>
  <si>
    <t>BR_041</t>
  </si>
  <si>
    <t>Can't navigate to the login page from the OTP submission page.</t>
  </si>
  <si>
    <t>Users should be able to backtrack.</t>
  </si>
  <si>
    <t>Failed to backtrack and navigate to the desired page.</t>
  </si>
  <si>
    <t>041.mp4</t>
  </si>
  <si>
    <t>BR_042</t>
  </si>
  <si>
    <t>OTP alignment problem in the email body</t>
  </si>
  <si>
    <t>The alignment and design should be precise.</t>
  </si>
  <si>
    <t>An alignment issue has been spotted.</t>
  </si>
  <si>
    <t>042.jpg</t>
  </si>
  <si>
    <t>BR_043</t>
  </si>
  <si>
    <t>BR_044</t>
  </si>
  <si>
    <t>BR_045</t>
  </si>
  <si>
    <t>BR_046</t>
  </si>
  <si>
    <t>BR_047</t>
  </si>
  <si>
    <t>BR_048</t>
  </si>
  <si>
    <t>Project URL:</t>
  </si>
  <si>
    <t>Environment</t>
  </si>
  <si>
    <t>Test Case ID</t>
  </si>
  <si>
    <t>Bug Count</t>
  </si>
  <si>
    <t>Bug Rate %</t>
  </si>
  <si>
    <t>Bug Severity</t>
  </si>
  <si>
    <t>CrewHub</t>
  </si>
  <si>
    <t>Tester</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</si>
  <si>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</si>
  <si>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</si>
  <si>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</si>
  <si>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</si>
  <si>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</si>
  <si>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</si>
  <si>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</si>
  <si>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</si>
  <si>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</si>
  <si>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</si>
  <si>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</si>
  <si>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</si>
  <si>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</si>
  <si>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</si>
  <si>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</si>
  <si>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</si>
  <si>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</si>
  <si>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</si>
  <si>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</si>
  <si>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</si>
  <si>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</si>
  <si>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</si>
  <si>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</si>
  <si>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</si>
  <si>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</si>
  <si>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</si>
  <si>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</si>
  <si>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</si>
  <si>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</si>
  <si>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</si>
  <si>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</si>
  <si>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</si>
  <si>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</si>
  <si>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</si>
  <si>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</si>
  <si>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BR-037</t>
  </si>
  <si>
    <t>BR-038</t>
  </si>
  <si>
    <t>BR-039</t>
  </si>
  <si>
    <t>BR-040</t>
  </si>
  <si>
    <t>BR-041</t>
  </si>
  <si>
    <t>BR-042</t>
  </si>
  <si>
    <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</si>
</sst>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0.0"/>
      <color theme="1"/>
      <name val="Times New Roman"/>
    </font>
    <font>
      <sz val="10.0"/>
      <color theme="1"/>
      <name val="Times New Roman"/>
    </font>
    <font>
      <sz val="12.0"/>
      <color theme="1"/>
      <name val="Times New Roman"/>
    </font>
    <font>
      <b/>
      <sz val="12.0"/>
      <color theme="1"/>
      <name val="Times New Roman"/>
    </font>
    <font>
      <sz val="10.0"/>
      <color rgb="FF1E2624"/>
      <name val="Times New Roman"/>
    </font>
    <font>
      <u/>
      <sz val="12.0"/>
      <color theme="1"/>
      <name val="Times New Roman"/>
    </font>
    <font>
      <u/>
      <sz val="12.0"/>
      <color rgb="FF1155CC"/>
      <name val="Times New Roman"/>
    </font>
    <font>
      <u/>
      <sz val="12.0"/>
      <color theme="1"/>
      <name val="Times New Roman"/>
    </font>
    <font>
      <u/>
      <sz val="12.0"/>
      <color rgb="FF1155CC"/>
      <name val="Times New Roman"/>
    </font>
    <font>
      <color theme="1"/>
      <name val="Arial"/>
    </font>
    <font>
      <b/>
      <sz val="12.0"/>
      <color theme="1"/>
      <name val="Calibri"/>
    </font>
    <font>
      <b/>
      <sz val="15.0"/>
      <color theme="1"/>
      <name val="Calibri"/>
    </font>
    <font>
      <b/>
      <sz val="12.0"/>
      <color theme="1"/>
      <name val="Arial"/>
    </font>
    <font>
      <u/>
      <color rgb="FF1155CC"/>
      <name val="Arial"/>
    </font>
    <font>
      <b/>
      <sz val="11.0"/>
      <color theme="1"/>
      <name val="Calibri"/>
    </font>
    <font>
      <b/>
      <sz val="13.0"/>
      <color theme="1"/>
      <name val="Times New Roman"/>
    </font>
    <font>
      <color theme="1"/>
      <name val="Arial"/>
      <scheme val="minor"/>
    </font>
    <font>
      <sz val="11.0"/>
      <color theme="1"/>
      <name val="Calibri"/>
    </font>
    <font>
      <b/>
      <color rgb="FF000000"/>
      <name val="Arial"/>
      <scheme val="minor"/>
    </font>
    <font>
      <b/>
      <color theme="1"/>
      <name val="Arial"/>
    </font>
    <font>
      <color theme="1"/>
      <name val="Times New Roman"/>
    </font>
    <font>
      <sz val="15.0"/>
      <color theme="1"/>
      <name val="Arial"/>
      <scheme val="minor"/>
    </font>
    <font>
      <u/>
      <color theme="1"/>
      <name val="Arial"/>
      <scheme val="minor"/>
    </font>
    <font>
      <u/>
      <color theme="1"/>
      <name val="Arial"/>
      <scheme val="minor"/>
    </font>
  </fonts>
  <fills count="12">
    <fill>
      <patternFill patternType="none"/>
    </fill>
    <fill>
      <patternFill patternType="lightGray"/>
    </fill>
    <fill>
      <patternFill patternType="solid">
        <fgColor rgb="FFF9CB9C"/>
        <bgColor rgb="FFF9CB9C"/>
      </patternFill>
    </fill>
    <fill>
      <patternFill patternType="solid">
        <fgColor rgb="FFFF0000"/>
        <bgColor rgb="FFFF0000"/>
      </patternFill>
    </fill>
    <fill>
      <patternFill patternType="solid">
        <fgColor rgb="FFB6D7A8"/>
        <bgColor rgb="FFB6D7A8"/>
      </patternFill>
    </fill>
    <fill>
      <patternFill patternType="solid">
        <fgColor rgb="FFFFFF00"/>
        <bgColor rgb="FFFFFF00"/>
      </patternFill>
    </fill>
    <fill>
      <patternFill patternType="solid">
        <fgColor rgb="FFFFFFFF"/>
        <bgColor rgb="FFFFFFFF"/>
      </patternFill>
    </fill>
    <fill>
      <patternFill patternType="solid">
        <fgColor rgb="FF38761D"/>
        <bgColor rgb="FF38761D"/>
      </patternFill>
    </fill>
    <fill>
      <patternFill patternType="solid">
        <fgColor rgb="FFFFD966"/>
        <bgColor rgb="FFFFD966"/>
      </patternFill>
    </fill>
    <fill>
      <patternFill patternType="solid">
        <fgColor rgb="FF00FF00"/>
        <bgColor rgb="FF00FF00"/>
      </patternFill>
    </fill>
    <fill>
      <patternFill patternType="solid">
        <fgColor rgb="FF00FFFF"/>
        <bgColor rgb="FF00FFFF"/>
      </patternFill>
    </fill>
    <fill>
      <patternFill patternType="solid">
        <fgColor rgb="FFF1C232"/>
        <bgColor rgb="FFF1C232"/>
      </patternFill>
    </fill>
  </fills>
  <borders count="6">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0" fontId="1" numFmtId="0" xfId="0" applyAlignment="1" applyBorder="1" applyFont="1">
      <alignment horizontal="right" shrinkToFit="0" vertical="center" wrapText="1"/>
    </xf>
    <xf borderId="1" fillId="0" fontId="2" numFmtId="0" xfId="0" applyAlignment="1" applyBorder="1" applyFont="1">
      <alignment horizontal="center" readingOrder="0" vertical="center"/>
    </xf>
    <xf borderId="0" fillId="0" fontId="3" numFmtId="0" xfId="0" applyFont="1"/>
    <xf borderId="1" fillId="2" fontId="4" numFmtId="0" xfId="0" applyAlignment="1" applyBorder="1" applyFill="1" applyFont="1">
      <alignment horizontal="center" shrinkToFit="0" wrapText="1"/>
    </xf>
    <xf borderId="1" fillId="0" fontId="2" numFmtId="0" xfId="0" applyAlignment="1" applyBorder="1" applyFont="1">
      <alignment horizontal="center" readingOrder="0" vertical="center"/>
    </xf>
    <xf borderId="1" fillId="3" fontId="4" numFmtId="0" xfId="0" applyAlignment="1" applyBorder="1" applyFill="1" applyFont="1">
      <alignment horizontal="center" shrinkToFit="0" vertical="center" wrapText="1"/>
    </xf>
    <xf borderId="1" fillId="0" fontId="4" numFmtId="0" xfId="0" applyAlignment="1" applyBorder="1" applyFont="1">
      <alignment horizontal="center" shrinkToFit="0" vertical="center" wrapText="1"/>
    </xf>
    <xf borderId="1" fillId="4" fontId="4" numFmtId="0" xfId="0" applyAlignment="1" applyBorder="1" applyFill="1" applyFont="1">
      <alignment horizontal="center" shrinkToFit="0" wrapText="1"/>
    </xf>
    <xf borderId="1" fillId="0" fontId="4" numFmtId="0" xfId="0" applyAlignment="1" applyBorder="1" applyFont="1">
      <alignment horizontal="center" shrinkToFit="0" wrapText="1"/>
    </xf>
    <xf borderId="1" fillId="5" fontId="4" numFmtId="0" xfId="0" applyAlignment="1" applyBorder="1" applyFill="1" applyFont="1">
      <alignment horizontal="center" shrinkToFit="0" vertical="center" wrapText="1"/>
    </xf>
    <xf borderId="1" fillId="6" fontId="5" numFmtId="0" xfId="0" applyAlignment="1" applyBorder="1" applyFill="1" applyFont="1">
      <alignment horizontal="center" readingOrder="0" vertical="center"/>
    </xf>
    <xf borderId="1" fillId="7" fontId="4" numFmtId="0" xfId="0" applyAlignment="1" applyBorder="1" applyFill="1" applyFont="1">
      <alignment horizontal="center" shrinkToFit="0" vertical="center" wrapText="1"/>
    </xf>
    <xf borderId="0" fillId="0" fontId="4" numFmtId="0" xfId="0" applyAlignment="1" applyFont="1">
      <alignment horizontal="center" shrinkToFit="0" wrapText="1"/>
    </xf>
    <xf borderId="1" fillId="0" fontId="1" numFmtId="0" xfId="0" applyAlignment="1" applyBorder="1" applyFont="1">
      <alignment horizontal="right" readingOrder="0" vertical="center"/>
    </xf>
    <xf borderId="0" fillId="8" fontId="3" numFmtId="0" xfId="0" applyAlignment="1" applyFill="1" applyFont="1">
      <alignment horizontal="center" readingOrder="0" shrinkToFit="0" wrapText="1"/>
    </xf>
    <xf borderId="2" fillId="9" fontId="4" numFmtId="0" xfId="0" applyAlignment="1" applyBorder="1" applyFill="1" applyFont="1">
      <alignment horizontal="center" shrinkToFit="0" vertical="center" wrapText="1"/>
    </xf>
    <xf borderId="2" fillId="9" fontId="4" numFmtId="0" xfId="0" applyAlignment="1" applyBorder="1" applyFont="1">
      <alignment horizontal="center" readingOrder="0" shrinkToFit="0" vertical="center" wrapText="1"/>
    </xf>
    <xf borderId="0" fillId="0" fontId="3" numFmtId="0" xfId="0" applyAlignment="1" applyFont="1">
      <alignment vertical="center"/>
    </xf>
    <xf borderId="0" fillId="0" fontId="3" numFmtId="0" xfId="0" applyAlignment="1" applyFont="1">
      <alignment readingOrder="0" vertical="center"/>
    </xf>
    <xf borderId="3"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3" fillId="0" fontId="3"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left" shrinkToFit="0" vertical="center" wrapText="1"/>
    </xf>
    <xf borderId="1" fillId="0" fontId="3" numFmtId="0" xfId="0" applyAlignment="1" applyBorder="1" applyFont="1">
      <alignment horizontal="left" readingOrder="0" shrinkToFit="0" vertical="center" wrapText="1"/>
    </xf>
    <xf borderId="1" fillId="0" fontId="7"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0" fillId="0" fontId="3" numFmtId="0" xfId="0" applyAlignment="1" applyFont="1">
      <alignment horizontal="center" readingOrder="0" shrinkToFit="0" vertical="center" wrapText="1"/>
    </xf>
    <xf borderId="1" fillId="0" fontId="3" numFmtId="0" xfId="0" applyAlignment="1" applyBorder="1" applyFont="1">
      <alignment horizontal="left" readingOrder="0" shrinkToFit="0" vertical="center" wrapText="1"/>
    </xf>
    <xf borderId="1" fillId="0" fontId="9" numFmtId="0" xfId="0" applyAlignment="1" applyBorder="1" applyFont="1">
      <alignment horizontal="center" shrinkToFit="0" vertical="center" wrapText="1"/>
    </xf>
    <xf borderId="0" fillId="0" fontId="10" numFmtId="0" xfId="0" applyAlignment="1" applyFont="1">
      <alignment vertical="bottom"/>
    </xf>
    <xf borderId="0" fillId="0" fontId="10" numFmtId="0" xfId="0" applyFont="1"/>
    <xf borderId="1" fillId="0" fontId="11" numFmtId="0" xfId="0" applyAlignment="1" applyBorder="1" applyFont="1">
      <alignment horizontal="right" shrinkToFit="0" vertical="bottom" wrapText="1"/>
    </xf>
    <xf borderId="1" fillId="0" fontId="12" numFmtId="0" xfId="0" applyAlignment="1" applyBorder="1" applyFont="1">
      <alignment horizontal="center" vertical="bottom"/>
    </xf>
    <xf borderId="1" fillId="0" fontId="13" numFmtId="0" xfId="0" applyAlignment="1" applyBorder="1" applyFont="1">
      <alignment horizontal="center" shrinkToFit="0" wrapText="1"/>
    </xf>
    <xf borderId="1" fillId="0" fontId="10" numFmtId="0" xfId="0" applyAlignment="1" applyBorder="1" applyFont="1">
      <alignment horizontal="center" readingOrder="0" vertical="bottom"/>
    </xf>
    <xf borderId="1" fillId="0" fontId="10" numFmtId="0" xfId="0" applyAlignment="1" applyBorder="1" applyFont="1">
      <alignment horizontal="center" shrinkToFit="0" wrapText="1"/>
    </xf>
    <xf borderId="1" fillId="0" fontId="10" numFmtId="0" xfId="0" applyAlignment="1" applyBorder="1" applyFont="1">
      <alignment horizontal="center"/>
    </xf>
    <xf borderId="1" fillId="0" fontId="14" numFmtId="0" xfId="0" applyAlignment="1" applyBorder="1" applyFont="1">
      <alignment horizontal="center" readingOrder="0" shrinkToFit="0" vertical="bottom" wrapText="1"/>
    </xf>
    <xf borderId="1" fillId="0" fontId="10" numFmtId="0" xfId="0" applyAlignment="1" applyBorder="1" applyFont="1">
      <alignment vertical="bottom"/>
    </xf>
    <xf borderId="1" fillId="0" fontId="11" numFmtId="0" xfId="0" applyAlignment="1" applyBorder="1" applyFont="1">
      <alignment horizontal="right" vertical="bottom"/>
    </xf>
    <xf borderId="1" fillId="0" fontId="15" numFmtId="0" xfId="0" applyAlignment="1" applyBorder="1" applyFont="1">
      <alignment horizontal="right" vertical="bottom"/>
    </xf>
    <xf borderId="1" fillId="0" fontId="10" numFmtId="0" xfId="0" applyAlignment="1" applyBorder="1" applyFont="1">
      <alignment horizontal="center" vertical="bottom"/>
    </xf>
    <xf borderId="2" fillId="10" fontId="16" numFmtId="0" xfId="0" applyAlignment="1" applyBorder="1" applyFill="1" applyFont="1">
      <alignment horizontal="center" shrinkToFit="0" vertical="center" wrapText="1"/>
    </xf>
    <xf borderId="2" fillId="10" fontId="12" numFmtId="0" xfId="0" applyAlignment="1" applyBorder="1" applyFont="1">
      <alignment horizontal="center" shrinkToFit="0" vertical="center" wrapText="1"/>
    </xf>
    <xf borderId="2" fillId="10" fontId="12" numFmtId="0" xfId="0" applyAlignment="1" applyBorder="1" applyFont="1">
      <alignment horizontal="center" readingOrder="0" shrinkToFit="0" vertical="center" wrapText="1"/>
    </xf>
    <xf borderId="3" fillId="0" fontId="10" numFmtId="0" xfId="0" applyAlignment="1" applyBorder="1" applyFont="1">
      <alignment horizontal="center" readingOrder="0" shrinkToFit="0" vertical="center" wrapText="1"/>
    </xf>
    <xf borderId="4" fillId="0" fontId="17"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0" fillId="0" fontId="17" numFmtId="0" xfId="0" applyAlignment="1" applyFont="1">
      <alignment horizontal="center" shrinkToFit="0" vertical="center" wrapText="1"/>
    </xf>
    <xf borderId="0" fillId="0" fontId="17" numFmtId="0" xfId="0" applyAlignment="1" applyFont="1">
      <alignment horizontal="left" shrinkToFit="0" vertical="center" wrapText="1"/>
    </xf>
    <xf borderId="0" fillId="0" fontId="10" numFmtId="0" xfId="0" applyAlignment="1" applyFont="1">
      <alignment horizontal="center" shrinkToFit="0" vertical="center" wrapText="1"/>
    </xf>
    <xf borderId="1" fillId="0" fontId="17" numFmtId="0" xfId="0" applyAlignment="1" applyBorder="1" applyFont="1">
      <alignment horizontal="center" readingOrder="0" shrinkToFit="0" vertical="center" wrapText="1"/>
    </xf>
    <xf borderId="1" fillId="0" fontId="10" numFmtId="0" xfId="0" applyAlignment="1" applyBorder="1" applyFont="1">
      <alignment horizontal="center" shrinkToFit="0" vertical="center" wrapText="1"/>
    </xf>
    <xf borderId="2" fillId="10" fontId="16" numFmtId="0" xfId="0" applyAlignment="1" applyBorder="1" applyFont="1">
      <alignment horizontal="center" shrinkToFit="0" vertical="center" wrapText="1"/>
    </xf>
    <xf borderId="2" fillId="10" fontId="16" numFmtId="0" xfId="0" applyAlignment="1" applyBorder="1" applyFont="1">
      <alignment horizontal="center" readingOrder="0" shrinkToFit="0" vertical="center" wrapText="1"/>
    </xf>
    <xf borderId="3" fillId="0" fontId="10" numFmtId="0" xfId="0" applyAlignment="1" applyBorder="1" applyFont="1">
      <alignment horizontal="center" shrinkToFit="0" vertical="center" wrapText="1"/>
    </xf>
    <xf borderId="3" fillId="0" fontId="10"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0" fontId="11" numFmtId="0" xfId="0" applyAlignment="1" applyBorder="1" applyFont="1">
      <alignment horizontal="right" shrinkToFit="0" vertical="center" wrapText="1"/>
    </xf>
    <xf borderId="1" fillId="0" fontId="18" numFmtId="0" xfId="0" applyAlignment="1" applyBorder="1" applyFont="1">
      <alignment horizontal="center" readingOrder="0" shrinkToFit="0" vertical="center" wrapText="1"/>
    </xf>
    <xf borderId="0" fillId="0" fontId="19" numFmtId="0" xfId="0" applyAlignment="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3" fontId="20" numFmtId="0" xfId="0" applyAlignment="1" applyBorder="1" applyFont="1">
      <alignment horizontal="center" shrinkToFit="0" vertical="center" wrapText="1"/>
    </xf>
    <xf borderId="1" fillId="0" fontId="20" numFmtId="0" xfId="0" applyAlignment="1" applyBorder="1" applyFont="1">
      <alignment horizontal="center" shrinkToFit="0" vertical="center" wrapText="1"/>
    </xf>
    <xf borderId="1" fillId="0" fontId="17" numFmtId="0" xfId="0" applyAlignment="1" applyBorder="1" applyFont="1">
      <alignment horizontal="center" readingOrder="0"/>
    </xf>
    <xf borderId="1" fillId="5" fontId="20" numFmtId="0" xfId="0" applyAlignment="1" applyBorder="1" applyFont="1">
      <alignment horizontal="center" shrinkToFit="0" vertical="center" wrapText="1"/>
    </xf>
    <xf borderId="1" fillId="7" fontId="20" numFmtId="0" xfId="0" applyAlignment="1" applyBorder="1" applyFont="1">
      <alignment horizontal="center" shrinkToFit="0" vertical="center" wrapText="1"/>
    </xf>
    <xf borderId="1" fillId="0" fontId="10" numFmtId="0" xfId="0" applyBorder="1" applyFont="1"/>
    <xf borderId="0" fillId="0" fontId="20" numFmtId="0" xfId="0" applyFont="1"/>
    <xf borderId="1" fillId="0" fontId="15" numFmtId="0" xfId="0" applyAlignment="1" applyBorder="1" applyFont="1">
      <alignment horizontal="center" shrinkToFit="0" wrapText="1"/>
    </xf>
    <xf borderId="1" fillId="0" fontId="20" numFmtId="0" xfId="0" applyAlignment="1" applyBorder="1" applyFont="1">
      <alignment horizontal="center" shrinkToFit="0" wrapText="1"/>
    </xf>
    <xf borderId="0" fillId="0" fontId="21" numFmtId="0" xfId="0" applyAlignment="1" applyFont="1">
      <alignment horizontal="center" readingOrder="0" shrinkToFit="0" vertical="center" wrapText="1"/>
    </xf>
    <xf borderId="2" fillId="11" fontId="12" numFmtId="0" xfId="0" applyAlignment="1" applyBorder="1" applyFill="1" applyFont="1">
      <alignment horizontal="center" shrinkToFit="0" vertical="center" wrapText="1"/>
    </xf>
    <xf borderId="2" fillId="11" fontId="12" numFmtId="0" xfId="0" applyAlignment="1" applyBorder="1" applyFont="1">
      <alignment horizontal="center" readingOrder="0" shrinkToFit="0" vertical="center" wrapText="1"/>
    </xf>
    <xf borderId="0" fillId="0" fontId="22" numFmtId="0" xfId="0" applyAlignment="1" applyFont="1">
      <alignment horizontal="center" shrinkToFit="0" vertical="center" wrapText="1"/>
    </xf>
    <xf borderId="5" fillId="0" fontId="17" numFmtId="0" xfId="0" applyAlignment="1" applyBorder="1" applyFont="1">
      <alignment horizontal="center" readingOrder="0" shrinkToFit="0" vertical="center" wrapText="1"/>
    </xf>
    <xf borderId="3" fillId="0" fontId="17" numFmtId="0" xfId="0" applyAlignment="1" applyBorder="1" applyFont="1">
      <alignment horizontal="center" shrinkToFit="0" vertical="center" wrapText="1"/>
    </xf>
    <xf borderId="3" fillId="0" fontId="23" numFmtId="0" xfId="0" applyAlignment="1" applyBorder="1" applyFont="1">
      <alignment horizontal="center" shrinkToFit="0" vertical="center" wrapText="1"/>
    </xf>
    <xf borderId="3" fillId="0" fontId="17" numFmtId="0" xfId="0" applyAlignment="1" applyBorder="1" applyFont="1">
      <alignment horizontal="center" readingOrder="0" shrinkToFit="0" vertical="center" wrapText="1"/>
    </xf>
    <xf borderId="1" fillId="0" fontId="17" numFmtId="0" xfId="0" applyAlignment="1" applyBorder="1" applyFont="1">
      <alignment horizontal="center" shrinkToFit="0" vertical="center" wrapText="1"/>
    </xf>
    <xf borderId="1" fillId="0" fontId="24" numFmtId="0" xfId="0" applyAlignment="1" applyBorder="1" applyFont="1">
      <alignment horizontal="center" shrinkToFit="0" vertical="center" wrapText="1"/>
    </xf>
    <xf borderId="0" fillId="0" fontId="17" numFmtId="0" xfId="0" applyAlignment="1" applyFont="1">
      <alignment horizontal="center" readingOrder="0" shrinkToFit="0" vertical="center" wrapText="1"/>
    </xf>
    <xf borderId="0" fillId="0" fontId="17"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9525</xdr:colOff>
      <xdr:row>27</xdr:row>
      <xdr:rowOff>495300</xdr:rowOff>
    </xdr:from>
    <xdr:ext cx="6172200" cy="2305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9525</xdr:rowOff>
    </xdr:from>
    <xdr:ext cx="3676650" cy="1943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3ZANb6iY8-FZ7VGP6wIab3nkaWHp4E4_/view?usp=drive_link" TargetMode="External"/><Relationship Id="rId20" Type="http://schemas.openxmlformats.org/officeDocument/2006/relationships/hyperlink" Target="https://drive.google.com/file/d/1h_qd2AWQ0c72HqPZYOW4kzsUhaSElBp4/view?usp=sharing" TargetMode="External"/><Relationship Id="rId42" Type="http://schemas.openxmlformats.org/officeDocument/2006/relationships/hyperlink" Target="https://drive.google.com/file/d/12WKdwZKIEogoRUhBUP0gQm15IFiicYr_/view?usp=sharing" TargetMode="External"/><Relationship Id="rId41" Type="http://schemas.openxmlformats.org/officeDocument/2006/relationships/hyperlink" Target="https://drive.google.com/file/d/1qF9Jdva7l9nooY8Rf9zHlqAWyaczncHO/view?usp=drive_link" TargetMode="External"/><Relationship Id="rId22" Type="http://schemas.openxmlformats.org/officeDocument/2006/relationships/hyperlink" Target="https://drive.google.com/file/d/18vcnED0psAtK3G01FUh9Wib1JLQAWVp_/view?usp=sharing" TargetMode="External"/><Relationship Id="rId21" Type="http://schemas.openxmlformats.org/officeDocument/2006/relationships/hyperlink" Target="https://drive.google.com/file/d/1Z_ytUGgk2R3ppdSvvXwpKajpoWHicL90/view?usp=drive_link" TargetMode="External"/><Relationship Id="rId43" Type="http://schemas.openxmlformats.org/officeDocument/2006/relationships/drawing" Target="../drawings/drawing1.xml"/><Relationship Id="rId24" Type="http://schemas.openxmlformats.org/officeDocument/2006/relationships/hyperlink" Target="https://drive.google.com/file/d/1XAkYyaSoPXbVGgcey4une6C8KNAooLXE/view?usp=sharing" TargetMode="External"/><Relationship Id="rId23" Type="http://schemas.openxmlformats.org/officeDocument/2006/relationships/hyperlink" Target="https://drive.google.com/file/d/1hrixOrjlQuwLxYjXitLQpqnLBzhVwKxY/view?usp=sharing" TargetMode="External"/><Relationship Id="rId1" Type="http://schemas.openxmlformats.org/officeDocument/2006/relationships/hyperlink" Target="https://drive.google.com/file/d/1H2BLWZsUa9mYKlRM8w-9tXmnEVX2xfVm/view?usp=sharing" TargetMode="External"/><Relationship Id="rId2" Type="http://schemas.openxmlformats.org/officeDocument/2006/relationships/hyperlink" Target="https://drive.google.com/file/d/11oajqVS3vmPb9xuPty64LQR-H8WaqwG_/view?usp=drive_link" TargetMode="External"/><Relationship Id="rId3" Type="http://schemas.openxmlformats.org/officeDocument/2006/relationships/hyperlink" Target="https://drive.google.com/file/d/1_1ZPLB6E7znN3l1ZhB9WidDOD6lNN1Vi/view?usp=drive_link" TargetMode="External"/><Relationship Id="rId4" Type="http://schemas.openxmlformats.org/officeDocument/2006/relationships/hyperlink" Target="https://drive.google.com/file/d/121gWbAfCCZmxqoy1wRfeMHvk6csaYnUK/view?usp=sharing" TargetMode="External"/><Relationship Id="rId9" Type="http://schemas.openxmlformats.org/officeDocument/2006/relationships/hyperlink" Target="https://drive.google.com/file/d/1-euJc_7H5FgzoeexYiTdsUjHbANEpxR4/view?usp=drive_link" TargetMode="External"/><Relationship Id="rId26" Type="http://schemas.openxmlformats.org/officeDocument/2006/relationships/hyperlink" Target="https://drive.google.com/file/d/15PkBD3btPSg5EXXK4PuTzTVfQbYXEais/view?usp=drive_link" TargetMode="External"/><Relationship Id="rId25" Type="http://schemas.openxmlformats.org/officeDocument/2006/relationships/hyperlink" Target="https://drive.google.com/file/d/1q7cNMUKK7mK3ML7kmJrfFxs7lKPvbvEu/view?usp=drive_link" TargetMode="External"/><Relationship Id="rId28" Type="http://schemas.openxmlformats.org/officeDocument/2006/relationships/hyperlink" Target="https://drive.google.com/file/d/1JVZYGRdfdw8joDy5tjR3IrGEN4cKl8Nw/view?usp=drive_link" TargetMode="External"/><Relationship Id="rId27" Type="http://schemas.openxmlformats.org/officeDocument/2006/relationships/hyperlink" Target="https://drive.google.com/file/d/1iX6g3XkBwz4a1w-xXlFJLlUQi7cLC7s3/view?usp=sharing" TargetMode="External"/><Relationship Id="rId5" Type="http://schemas.openxmlformats.org/officeDocument/2006/relationships/hyperlink" Target="https://drive.google.com/file/d/1KD0_9ndqdbOd7Cg8YHid1sVgVGakEs4Y/view?usp=drive_link" TargetMode="External"/><Relationship Id="rId6" Type="http://schemas.openxmlformats.org/officeDocument/2006/relationships/hyperlink" Target="https://drive.google.com/file/d/1wKVWC-SJOaOLbAf20DrX5w17Z3Kdi6_G/view?usp=drive_link" TargetMode="External"/><Relationship Id="rId29" Type="http://schemas.openxmlformats.org/officeDocument/2006/relationships/hyperlink" Target="https://drive.google.com/file/d/1iVUmUKNdbqU5YmltiIEwwMHmZiq9mm4C/view?usp=drive_link" TargetMode="External"/><Relationship Id="rId7" Type="http://schemas.openxmlformats.org/officeDocument/2006/relationships/hyperlink" Target="https://drive.google.com/file/d/1C42_aqbwNZYzPiP4Bk7mNjKHt2SHY3ny/view?usp=drive_link" TargetMode="External"/><Relationship Id="rId8" Type="http://schemas.openxmlformats.org/officeDocument/2006/relationships/hyperlink" Target="https://drive.google.com/file/d/1JlRSmbVJbhY5PQcAeX67GgXsHC35UvYj/view?usp=drive_link" TargetMode="External"/><Relationship Id="rId31" Type="http://schemas.openxmlformats.org/officeDocument/2006/relationships/hyperlink" Target="https://drive.google.com/file/d/1qddldgyukk-SYMvugDX5ANH7xT8t9yuH/view?usp=sharing" TargetMode="External"/><Relationship Id="rId30" Type="http://schemas.openxmlformats.org/officeDocument/2006/relationships/hyperlink" Target="https://drive.google.com/file/d/1DW5uLMHtSOIGUxnKSOVTThbhprDd7_Xh/view?usp=sharing" TargetMode="External"/><Relationship Id="rId11" Type="http://schemas.openxmlformats.org/officeDocument/2006/relationships/hyperlink" Target="https://drive.google.com/file/d/1r_S1POUmUnIGQm9kkIY4QeRqVBnOKAPl/view?usp=drive_link" TargetMode="External"/><Relationship Id="rId33" Type="http://schemas.openxmlformats.org/officeDocument/2006/relationships/hyperlink" Target="https://drive.google.com/file/d/1sfNvB3D89OEAzD1LDHTqDwWf7dWGDikY/view?usp=sharing" TargetMode="External"/><Relationship Id="rId10" Type="http://schemas.openxmlformats.org/officeDocument/2006/relationships/hyperlink" Target="https://drive.google.com/file/d/1bj74gGHKnnp1XXSSSEspG8-G4UixV7r_/view?usp=drive_link" TargetMode="External"/><Relationship Id="rId32" Type="http://schemas.openxmlformats.org/officeDocument/2006/relationships/hyperlink" Target="https://drive.google.com/file/d/148ccZpqMXlMNY7G0DnO56J8Rt6-7VfOI/view?usp=drive_link" TargetMode="External"/><Relationship Id="rId13" Type="http://schemas.openxmlformats.org/officeDocument/2006/relationships/hyperlink" Target="https://drive.google.com/file/d/1-Px6pMWhlrm5k5DS41MNvVATewiY33-T/view?usp=drive_link" TargetMode="External"/><Relationship Id="rId35" Type="http://schemas.openxmlformats.org/officeDocument/2006/relationships/hyperlink" Target="https://drive.google.com/file/d/1pKsEbXfYv4VV8ofvizjuTE_l7WA490Un/view?usp=sharing" TargetMode="External"/><Relationship Id="rId12" Type="http://schemas.openxmlformats.org/officeDocument/2006/relationships/hyperlink" Target="https://drive.google.com/file/d/1VqX_TrclX94Afxz99-n-O2Cr9tUH5058/view?usp=drive_link" TargetMode="External"/><Relationship Id="rId34" Type="http://schemas.openxmlformats.org/officeDocument/2006/relationships/hyperlink" Target="https://drive.google.com/file/d/1Na4Tg_KNX7qx53OvrjkqiCWZ6wypIc4D/view?usp=sharing" TargetMode="External"/><Relationship Id="rId15" Type="http://schemas.openxmlformats.org/officeDocument/2006/relationships/hyperlink" Target="https://drive.google.com/file/d/1Gd28LhogyqYr3gaAm8Xc7pDOAbVcv8Kt/view?usp=sharing" TargetMode="External"/><Relationship Id="rId37" Type="http://schemas.openxmlformats.org/officeDocument/2006/relationships/hyperlink" Target="https://drive.google.com/file/d/15z47zX1h0pJnWMhqq24si4S0KmK1HNaS/view?usp=sharing" TargetMode="External"/><Relationship Id="rId14" Type="http://schemas.openxmlformats.org/officeDocument/2006/relationships/hyperlink" Target="https://drive.google.com/file/d/1bqmKRgZiLal-_t3oWknfNV_UihSrZux1/view?usp=drive_link" TargetMode="External"/><Relationship Id="rId36" Type="http://schemas.openxmlformats.org/officeDocument/2006/relationships/hyperlink" Target="https://drive.google.com/file/d/1V2pqfRtd_tzw8h0gTYdaD7a8uAKa19Zz/view?usp=drive_link" TargetMode="External"/><Relationship Id="rId17" Type="http://schemas.openxmlformats.org/officeDocument/2006/relationships/hyperlink" Target="https://drive.google.com/file/d/1TjHQeS0W7RCo8-TF7H137OOp6MYmhTyM/view?usp=drive_link" TargetMode="External"/><Relationship Id="rId39" Type="http://schemas.openxmlformats.org/officeDocument/2006/relationships/hyperlink" Target="https://drive.google.com/file/d/1GMU29zyNbA1wI-Fl0jHmgtZSJRbPXvec/view?usp=sharing" TargetMode="External"/><Relationship Id="rId16" Type="http://schemas.openxmlformats.org/officeDocument/2006/relationships/hyperlink" Target="https://drive.google.com/file/d/17ehkZKJXuvT-SVMfUb0H-F9r9DSuQ893/view?usp=sharing" TargetMode="External"/><Relationship Id="rId38" Type="http://schemas.openxmlformats.org/officeDocument/2006/relationships/hyperlink" Target="https://drive.google.com/file/d/1oo-QwynRWUU3_DNKG_uF4e22li6mNTiO/view?usp=sharing" TargetMode="External"/><Relationship Id="rId19" Type="http://schemas.openxmlformats.org/officeDocument/2006/relationships/hyperlink" Target="https://drive.google.com/file/d/1exeNuvE6R6YFi9ENutuVdpGaQyPA6ijy/view?usp=sharing" TargetMode="External"/><Relationship Id="rId18" Type="http://schemas.openxmlformats.org/officeDocument/2006/relationships/hyperlink" Target="https://drive.google.com/file/d/1ypXT8QVSe573ZQQT8BXXfXuMXrUMMHLE/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Na4Tg_KNX7qx53OvrjkqiCWZ6wypIc4D/view?usp=sharing" TargetMode="External"/><Relationship Id="rId20" Type="http://schemas.openxmlformats.org/officeDocument/2006/relationships/hyperlink" Target="https://drive.google.com/file/d/1bj74gGHKnnp1XXSSSEspG8-G4UixV7r_/view?usp=drive_link" TargetMode="External"/><Relationship Id="rId42" Type="http://schemas.openxmlformats.org/officeDocument/2006/relationships/hyperlink" Target="https://drive.google.com/file/d/121gWbAfCCZmxqoy1wRfeMHvk6csaYnUK/view?usp=sharing" TargetMode="External"/><Relationship Id="rId41" Type="http://schemas.openxmlformats.org/officeDocument/2006/relationships/hyperlink" Target="https://drive.google.com/file/d/1V2pqfRtd_tzw8h0gTYdaD7a8uAKa19Zz/view?usp=drive_link" TargetMode="External"/><Relationship Id="rId22" Type="http://schemas.openxmlformats.org/officeDocument/2006/relationships/hyperlink" Target="https://drive.google.com/file/d/1r_S1POUmUnIGQm9kkIY4QeRqVBnOKAPl/view?usp=drive_link" TargetMode="External"/><Relationship Id="rId21" Type="http://schemas.openxmlformats.org/officeDocument/2006/relationships/hyperlink" Target="https://drive.google.com/file/d/1iX6g3XkBwz4a1w-xXlFJLlUQi7cLC7s3/view?usp=sharing" TargetMode="External"/><Relationship Id="rId43" Type="http://schemas.openxmlformats.org/officeDocument/2006/relationships/drawing" Target="../drawings/drawing4.xml"/><Relationship Id="rId24" Type="http://schemas.openxmlformats.org/officeDocument/2006/relationships/hyperlink" Target="https://drive.google.com/file/d/1C42_aqbwNZYzPiP4Bk7mNjKHt2SHY3ny/view?usp=drive_link" TargetMode="External"/><Relationship Id="rId23" Type="http://schemas.openxmlformats.org/officeDocument/2006/relationships/hyperlink" Target="https://drive.google.com/file/d/1KD0_9ndqdbOd7Cg8YHid1sVgVGakEs4Y/view?usp=drive_link" TargetMode="External"/><Relationship Id="rId1" Type="http://schemas.openxmlformats.org/officeDocument/2006/relationships/hyperlink" Target="https://drive.google.com/file/d/1sfNvB3D89OEAzD1LDHTqDwWf7dWGDikY/view?usp=sharing" TargetMode="External"/><Relationship Id="rId2" Type="http://schemas.openxmlformats.org/officeDocument/2006/relationships/hyperlink" Target="https://drive.google.com/file/d/1VqX_TrclX94Afxz99-n-O2Cr9tUH5058/view?usp=drive_link" TargetMode="External"/><Relationship Id="rId3" Type="http://schemas.openxmlformats.org/officeDocument/2006/relationships/hyperlink" Target="https://drive.google.com/file/d/1DW5uLMHtSOIGUxnKSOVTThbhprDd7_Xh/view?usp=sharing" TargetMode="External"/><Relationship Id="rId4" Type="http://schemas.openxmlformats.org/officeDocument/2006/relationships/hyperlink" Target="https://drive.google.com/file/d/1-Px6pMWhlrm5k5DS41MNvVATewiY33-T/view?usp=drive_link" TargetMode="External"/><Relationship Id="rId9" Type="http://schemas.openxmlformats.org/officeDocument/2006/relationships/hyperlink" Target="https://drive.google.com/file/d/1qddldgyukk-SYMvugDX5ANH7xT8t9yuH/view?usp=sharing" TargetMode="External"/><Relationship Id="rId26" Type="http://schemas.openxmlformats.org/officeDocument/2006/relationships/hyperlink" Target="https://drive.google.com/file/d/1h_qd2AWQ0c72HqPZYOW4kzsUhaSElBp4/view?usp=sharing" TargetMode="External"/><Relationship Id="rId25" Type="http://schemas.openxmlformats.org/officeDocument/2006/relationships/hyperlink" Target="https://drive.google.com/file/d/1oo-QwynRWUU3_DNKG_uF4e22li6mNTiO/view?usp=sharing" TargetMode="External"/><Relationship Id="rId28" Type="http://schemas.openxmlformats.org/officeDocument/2006/relationships/hyperlink" Target="https://drive.google.com/file/d/1hrixOrjlQuwLxYjXitLQpqnLBzhVwKxY/view?usp=sharing" TargetMode="External"/><Relationship Id="rId27" Type="http://schemas.openxmlformats.org/officeDocument/2006/relationships/hyperlink" Target="https://drive.google.com/file/d/18vcnED0psAtK3G01FUh9Wib1JLQAWVp_/view?usp=sharing" TargetMode="External"/><Relationship Id="rId5" Type="http://schemas.openxmlformats.org/officeDocument/2006/relationships/hyperlink" Target="https://drive.google.com/file/d/13ZANb6iY8-FZ7VGP6wIab3nkaWHp4E4_/view?usp=drive_link" TargetMode="External"/><Relationship Id="rId6" Type="http://schemas.openxmlformats.org/officeDocument/2006/relationships/hyperlink" Target="https://drive.google.com/file/d/1qF9Jdva7l9nooY8Rf9zHlqAWyaczncHO/view?usp=drive_link" TargetMode="External"/><Relationship Id="rId29" Type="http://schemas.openxmlformats.org/officeDocument/2006/relationships/hyperlink" Target="https://drive.google.com/file/d/1XAkYyaSoPXbVGgcey4une6C8KNAooLXE/view?usp=sharing" TargetMode="External"/><Relationship Id="rId7" Type="http://schemas.openxmlformats.org/officeDocument/2006/relationships/hyperlink" Target="https://drive.google.com/file/d/1Z_ytUGgk2R3ppdSvvXwpKajpoWHicL90/view?usp=drive_link" TargetMode="External"/><Relationship Id="rId8" Type="http://schemas.openxmlformats.org/officeDocument/2006/relationships/hyperlink" Target="https://drive.google.com/file/d/1iVUmUKNdbqU5YmltiIEwwMHmZiq9mm4C/view?usp=drive_link" TargetMode="External"/><Relationship Id="rId31" Type="http://schemas.openxmlformats.org/officeDocument/2006/relationships/hyperlink" Target="https://drive.google.com/file/d/15PkBD3btPSg5EXXK4PuTzTVfQbYXEais/view?usp=drive_link" TargetMode="External"/><Relationship Id="rId30" Type="http://schemas.openxmlformats.org/officeDocument/2006/relationships/hyperlink" Target="https://drive.google.com/file/d/1q7cNMUKK7mK3ML7kmJrfFxs7lKPvbvEu/view?usp=drive_link" TargetMode="External"/><Relationship Id="rId11" Type="http://schemas.openxmlformats.org/officeDocument/2006/relationships/hyperlink" Target="https://drive.google.com/file/d/1ypXT8QVSe573ZQQT8BXXfXuMXrUMMHLE/view?usp=sharing" TargetMode="External"/><Relationship Id="rId33" Type="http://schemas.openxmlformats.org/officeDocument/2006/relationships/hyperlink" Target="https://drive.google.com/file/d/148ccZpqMXlMNY7G0DnO56J8Rt6-7VfOI/view?usp=drive_link" TargetMode="External"/><Relationship Id="rId10" Type="http://schemas.openxmlformats.org/officeDocument/2006/relationships/hyperlink" Target="https://drive.google.com/file/d/1TjHQeS0W7RCo8-TF7H137OOp6MYmhTyM/view?usp=drive_link" TargetMode="External"/><Relationship Id="rId32" Type="http://schemas.openxmlformats.org/officeDocument/2006/relationships/hyperlink" Target="https://drive.google.com/file/d/1JVZYGRdfdw8joDy5tjR3IrGEN4cKl8Nw/view?usp=drive_link" TargetMode="External"/><Relationship Id="rId13" Type="http://schemas.openxmlformats.org/officeDocument/2006/relationships/hyperlink" Target="https://drive.google.com/file/d/1exeNuvE6R6YFi9ENutuVdpGaQyPA6ijy/view?usp=sharing" TargetMode="External"/><Relationship Id="rId35" Type="http://schemas.openxmlformats.org/officeDocument/2006/relationships/hyperlink" Target="https://drive.google.com/file/d/1GMU29zyNbA1wI-Fl0jHmgtZSJRbPXvec/view?usp=sharing" TargetMode="External"/><Relationship Id="rId12" Type="http://schemas.openxmlformats.org/officeDocument/2006/relationships/hyperlink" Target="https://drive.google.com/file/d/15z47zX1h0pJnWMhqq24si4S0KmK1HNaS/view?usp=sharing" TargetMode="External"/><Relationship Id="rId34" Type="http://schemas.openxmlformats.org/officeDocument/2006/relationships/hyperlink" Target="https://drive.google.com/file/d/1pKsEbXfYv4VV8ofvizjuTE_l7WA490Un/view?usp=sharing" TargetMode="External"/><Relationship Id="rId15" Type="http://schemas.openxmlformats.org/officeDocument/2006/relationships/hyperlink" Target="https://drive.google.com/file/d/1Gd28LhogyqYr3gaAm8Xc7pDOAbVcv8Kt/view?usp=sharing" TargetMode="External"/><Relationship Id="rId37" Type="http://schemas.openxmlformats.org/officeDocument/2006/relationships/hyperlink" Target="https://drive.google.com/file/d/11oajqVS3vmPb9xuPty64LQR-H8WaqwG_/view?usp=drive_link" TargetMode="External"/><Relationship Id="rId14" Type="http://schemas.openxmlformats.org/officeDocument/2006/relationships/hyperlink" Target="https://drive.google.com/file/d/1bqmKRgZiLal-_t3oWknfNV_UihSrZux1/view?usp=drive_link" TargetMode="External"/><Relationship Id="rId36" Type="http://schemas.openxmlformats.org/officeDocument/2006/relationships/hyperlink" Target="https://drive.google.com/file/d/1H2BLWZsUa9mYKlRM8w-9tXmnEVX2xfVm/view?usp=sharing" TargetMode="External"/><Relationship Id="rId17" Type="http://schemas.openxmlformats.org/officeDocument/2006/relationships/hyperlink" Target="https://drive.google.com/file/d/1wKVWC-SJOaOLbAf20DrX5w17Z3Kdi6_G/view?usp=drive_link" TargetMode="External"/><Relationship Id="rId39" Type="http://schemas.openxmlformats.org/officeDocument/2006/relationships/hyperlink" Target="https://drive.google.com/file/d/17ehkZKJXuvT-SVMfUb0H-F9r9DSuQ893/view?usp=sharing" TargetMode="External"/><Relationship Id="rId16" Type="http://schemas.openxmlformats.org/officeDocument/2006/relationships/hyperlink" Target="https://drive.google.com/file/d/1_1ZPLB6E7znN3l1ZhB9WidDOD6lNN1Vi/view?usp=drive_link" TargetMode="External"/><Relationship Id="rId38" Type="http://schemas.openxmlformats.org/officeDocument/2006/relationships/hyperlink" Target="https://drive.google.com/file/d/12WKdwZKIEogoRUhBUP0gQm15IFiicYr_/view?usp=sharing" TargetMode="External"/><Relationship Id="rId19" Type="http://schemas.openxmlformats.org/officeDocument/2006/relationships/hyperlink" Target="https://drive.google.com/file/d/1-euJc_7H5FgzoeexYiTdsUjHbANEpxR4/view?usp=drive_link" TargetMode="External"/><Relationship Id="rId18" Type="http://schemas.openxmlformats.org/officeDocument/2006/relationships/hyperlink" Target="https://drive.google.com/file/d/1JlRSmbVJbhY5PQcAeX67GgXsHC35UvYj/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1.25"/>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min="14" max="14" width="16.63"/>
    <col customWidth="1" min="15" max="15" width="18.25"/>
  </cols>
  <sheetData>
    <row r="1">
      <c r="A1" s="1" t="s">
        <v>0</v>
      </c>
      <c r="B1" s="2" t="s">
        <v>1</v>
      </c>
      <c r="C1" s="3"/>
      <c r="D1" s="3"/>
      <c r="E1" s="4" t="s">
        <v>2</v>
      </c>
      <c r="F1" s="4" t="s">
        <v>3</v>
      </c>
      <c r="G1" s="3"/>
      <c r="H1" s="3"/>
      <c r="I1" s="3"/>
      <c r="J1" s="3"/>
      <c r="K1" s="3"/>
      <c r="L1" s="3"/>
      <c r="M1" s="3"/>
      <c r="N1" s="3"/>
      <c r="O1" s="3"/>
      <c r="P1" s="3"/>
      <c r="Q1" s="3"/>
      <c r="R1" s="3"/>
      <c r="S1" s="3"/>
      <c r="T1" s="3"/>
      <c r="U1" s="3"/>
      <c r="V1" s="3"/>
      <c r="W1" s="3"/>
      <c r="X1" s="3"/>
      <c r="Y1" s="3"/>
    </row>
    <row r="2">
      <c r="A2" s="1" t="s">
        <v>4</v>
      </c>
      <c r="B2" s="5" t="s">
        <v>5</v>
      </c>
      <c r="C2" s="3"/>
      <c r="D2" s="3"/>
      <c r="E2" s="6" t="s">
        <v>6</v>
      </c>
      <c r="F2" s="7">
        <f>COUNTIF(Fahad!K8:K1003, "High")</f>
        <v>28</v>
      </c>
      <c r="G2" s="8" t="s">
        <v>7</v>
      </c>
      <c r="H2" s="9">
        <f>SUM(F2:F4)</f>
        <v>42</v>
      </c>
      <c r="I2" s="3"/>
      <c r="J2" s="3"/>
      <c r="K2" s="3"/>
      <c r="L2" s="3"/>
      <c r="M2" s="3"/>
      <c r="N2" s="3"/>
      <c r="O2" s="3"/>
      <c r="P2" s="3"/>
      <c r="Q2" s="3"/>
      <c r="R2" s="3"/>
      <c r="S2" s="3"/>
      <c r="T2" s="3"/>
      <c r="U2" s="3"/>
      <c r="V2" s="3"/>
      <c r="W2" s="3"/>
      <c r="X2" s="3"/>
      <c r="Y2" s="3"/>
    </row>
    <row r="3">
      <c r="A3" s="1" t="s">
        <v>8</v>
      </c>
      <c r="B3" s="2" t="s">
        <v>9</v>
      </c>
      <c r="C3" s="3"/>
      <c r="D3" s="3"/>
      <c r="E3" s="10" t="s">
        <v>10</v>
      </c>
      <c r="F3" s="7">
        <f>COUNTIF(Fahad!K8:K1004, "Medium")</f>
        <v>11</v>
      </c>
      <c r="G3" s="8" t="s">
        <v>11</v>
      </c>
      <c r="H3" s="9">
        <f>COUNTIF(N8:N2382, "Solved")</f>
        <v>11</v>
      </c>
      <c r="I3" s="3"/>
      <c r="J3" s="3"/>
      <c r="K3" s="3"/>
      <c r="L3" s="3"/>
      <c r="M3" s="3"/>
      <c r="N3" s="3"/>
      <c r="O3" s="3"/>
      <c r="P3" s="3"/>
      <c r="Q3" s="3"/>
      <c r="R3" s="3"/>
      <c r="S3" s="3"/>
      <c r="T3" s="3"/>
      <c r="U3" s="3"/>
      <c r="V3" s="3"/>
      <c r="W3" s="3"/>
      <c r="X3" s="3"/>
      <c r="Y3" s="3"/>
    </row>
    <row r="4">
      <c r="A4" s="1" t="s">
        <v>12</v>
      </c>
      <c r="B4" s="11" t="s">
        <v>13</v>
      </c>
      <c r="C4" s="3"/>
      <c r="D4" s="3"/>
      <c r="E4" s="12" t="s">
        <v>14</v>
      </c>
      <c r="F4" s="7">
        <f>COUNTIF(Fahad!K8:K1005, "Low")</f>
        <v>3</v>
      </c>
      <c r="G4" s="3"/>
      <c r="H4" s="3"/>
      <c r="I4" s="3"/>
      <c r="J4" s="3"/>
      <c r="K4" s="3"/>
      <c r="L4" s="3"/>
      <c r="M4" s="3"/>
      <c r="N4" s="13"/>
      <c r="O4" s="13"/>
      <c r="P4" s="3"/>
      <c r="Q4" s="3"/>
      <c r="R4" s="3"/>
      <c r="S4" s="3"/>
      <c r="T4" s="3"/>
      <c r="U4" s="3"/>
      <c r="V4" s="3"/>
      <c r="W4" s="3"/>
      <c r="X4" s="3"/>
      <c r="Y4" s="3"/>
    </row>
    <row r="5">
      <c r="A5" s="14" t="s">
        <v>15</v>
      </c>
      <c r="B5" s="11" t="s">
        <v>16</v>
      </c>
      <c r="C5" s="3"/>
      <c r="D5" s="3"/>
      <c r="E5" s="3"/>
      <c r="F5" s="3"/>
      <c r="G5" s="3"/>
      <c r="H5" s="3"/>
      <c r="I5" s="3"/>
      <c r="J5" s="3"/>
      <c r="K5" s="3"/>
      <c r="L5" s="3"/>
      <c r="M5" s="3"/>
      <c r="N5" s="15" t="s">
        <v>17</v>
      </c>
      <c r="O5" s="15" t="s">
        <v>18</v>
      </c>
      <c r="P5" s="3"/>
      <c r="Q5" s="3"/>
      <c r="R5" s="3"/>
      <c r="S5" s="3"/>
      <c r="T5" s="3"/>
      <c r="U5" s="3"/>
      <c r="V5" s="3"/>
      <c r="W5" s="3"/>
      <c r="X5" s="3"/>
      <c r="Y5" s="3"/>
    </row>
    <row r="6" ht="18.75" customHeight="1">
      <c r="A6" s="3"/>
      <c r="B6" s="3"/>
      <c r="C6" s="3"/>
      <c r="D6" s="3"/>
      <c r="E6" s="3"/>
      <c r="F6" s="3"/>
      <c r="G6" s="3"/>
      <c r="H6" s="3"/>
      <c r="I6" s="3"/>
      <c r="J6" s="3"/>
      <c r="K6" s="3"/>
      <c r="L6" s="3"/>
      <c r="M6" s="3"/>
      <c r="P6" s="3"/>
      <c r="Q6" s="3"/>
      <c r="R6" s="3"/>
      <c r="S6" s="3"/>
      <c r="T6" s="3"/>
      <c r="U6" s="3"/>
      <c r="V6" s="3"/>
      <c r="W6" s="3"/>
      <c r="X6" s="3"/>
      <c r="Y6" s="3"/>
    </row>
    <row r="7">
      <c r="A7" s="16" t="s">
        <v>19</v>
      </c>
      <c r="B7" s="16" t="s">
        <v>20</v>
      </c>
      <c r="C7" s="16" t="s">
        <v>21</v>
      </c>
      <c r="D7" s="16" t="s">
        <v>22</v>
      </c>
      <c r="E7" s="16" t="s">
        <v>23</v>
      </c>
      <c r="F7" s="16" t="s">
        <v>24</v>
      </c>
      <c r="G7" s="16" t="s">
        <v>25</v>
      </c>
      <c r="H7" s="16" t="s">
        <v>26</v>
      </c>
      <c r="I7" s="16" t="s">
        <v>27</v>
      </c>
      <c r="J7" s="16" t="s">
        <v>28</v>
      </c>
      <c r="K7" s="16" t="s">
        <v>2</v>
      </c>
      <c r="L7" s="16" t="s">
        <v>29</v>
      </c>
      <c r="M7" s="16" t="s">
        <v>30</v>
      </c>
      <c r="N7" s="16" t="s">
        <v>31</v>
      </c>
      <c r="O7" s="16" t="s">
        <v>32</v>
      </c>
      <c r="P7" s="17" t="s">
        <v>33</v>
      </c>
      <c r="Q7" s="18"/>
      <c r="R7" s="18"/>
      <c r="S7" s="18"/>
      <c r="T7" s="19"/>
      <c r="U7" s="18"/>
      <c r="V7" s="18"/>
      <c r="W7" s="18"/>
      <c r="X7" s="18"/>
      <c r="Y7" s="18"/>
    </row>
    <row r="8">
      <c r="A8" s="20" t="s">
        <v>34</v>
      </c>
      <c r="B8" s="21" t="s">
        <v>35</v>
      </c>
      <c r="C8" s="21" t="s">
        <v>36</v>
      </c>
      <c r="D8" s="20" t="s">
        <v>37</v>
      </c>
      <c r="E8" s="20" t="s">
        <v>38</v>
      </c>
      <c r="F8" s="22" t="s">
        <v>39</v>
      </c>
      <c r="G8" s="21" t="s">
        <v>40</v>
      </c>
      <c r="H8" s="20" t="s">
        <v>41</v>
      </c>
      <c r="I8" s="20" t="s">
        <v>42</v>
      </c>
      <c r="J8" s="20" t="s">
        <v>43</v>
      </c>
      <c r="K8" s="20" t="s">
        <v>14</v>
      </c>
      <c r="L8" s="23" t="s">
        <v>44</v>
      </c>
      <c r="M8" s="20"/>
      <c r="N8" s="20" t="s">
        <v>45</v>
      </c>
      <c r="O8" s="20"/>
      <c r="P8" s="21"/>
      <c r="Q8" s="24"/>
      <c r="R8" s="24"/>
      <c r="S8" s="24"/>
      <c r="T8" s="24"/>
      <c r="U8" s="24"/>
      <c r="V8" s="24"/>
      <c r="W8" s="24"/>
      <c r="X8" s="24"/>
      <c r="Y8" s="24"/>
    </row>
    <row r="9">
      <c r="A9" s="24"/>
      <c r="B9" s="24"/>
      <c r="C9" s="24"/>
      <c r="D9" s="24"/>
      <c r="E9" s="24"/>
      <c r="F9" s="25"/>
      <c r="G9" s="24"/>
      <c r="H9" s="24"/>
      <c r="I9" s="24"/>
      <c r="J9" s="24"/>
      <c r="K9" s="24"/>
      <c r="L9" s="24"/>
      <c r="M9" s="24"/>
      <c r="N9" s="24"/>
      <c r="O9" s="24"/>
      <c r="P9" s="24"/>
      <c r="Q9" s="24"/>
      <c r="R9" s="24"/>
      <c r="S9" s="24"/>
      <c r="T9" s="24"/>
      <c r="U9" s="24"/>
      <c r="V9" s="24"/>
      <c r="W9" s="24"/>
      <c r="X9" s="24"/>
      <c r="Y9" s="24"/>
    </row>
    <row r="10">
      <c r="A10" s="21" t="s">
        <v>46</v>
      </c>
      <c r="B10" s="21" t="s">
        <v>35</v>
      </c>
      <c r="C10" s="21" t="s">
        <v>36</v>
      </c>
      <c r="D10" s="21" t="s">
        <v>47</v>
      </c>
      <c r="E10" s="21" t="s">
        <v>38</v>
      </c>
      <c r="F10" s="26" t="s">
        <v>48</v>
      </c>
      <c r="G10" s="21" t="s">
        <v>40</v>
      </c>
      <c r="H10" s="21" t="s">
        <v>49</v>
      </c>
      <c r="I10" s="21" t="s">
        <v>50</v>
      </c>
      <c r="J10" s="21" t="s">
        <v>43</v>
      </c>
      <c r="K10" s="21" t="s">
        <v>10</v>
      </c>
      <c r="L10" s="27" t="s">
        <v>51</v>
      </c>
      <c r="M10" s="21"/>
      <c r="N10" s="21"/>
      <c r="O10" s="21"/>
      <c r="P10" s="21"/>
      <c r="Q10" s="24"/>
      <c r="R10" s="24"/>
      <c r="S10" s="24"/>
      <c r="T10" s="24"/>
      <c r="U10" s="24"/>
      <c r="V10" s="24"/>
      <c r="W10" s="24"/>
      <c r="X10" s="24"/>
      <c r="Y10" s="24"/>
    </row>
    <row r="11">
      <c r="A11" s="24"/>
      <c r="B11" s="24"/>
      <c r="C11" s="24"/>
      <c r="D11" s="24"/>
      <c r="E11" s="24"/>
      <c r="F11" s="25"/>
      <c r="G11" s="24"/>
      <c r="H11" s="24"/>
      <c r="I11" s="24"/>
      <c r="J11" s="24"/>
      <c r="K11" s="24"/>
      <c r="L11" s="24"/>
      <c r="M11" s="24"/>
      <c r="N11" s="24"/>
      <c r="O11" s="24"/>
      <c r="P11" s="24"/>
      <c r="Q11" s="24"/>
      <c r="R11" s="24"/>
      <c r="S11" s="24"/>
      <c r="T11" s="24"/>
      <c r="U11" s="24"/>
      <c r="V11" s="24"/>
      <c r="W11" s="24"/>
      <c r="X11" s="24"/>
      <c r="Y11" s="24"/>
    </row>
    <row r="12">
      <c r="A12" s="21" t="s">
        <v>52</v>
      </c>
      <c r="B12" s="21" t="s">
        <v>35</v>
      </c>
      <c r="C12" s="21" t="s">
        <v>53</v>
      </c>
      <c r="D12" s="21" t="s">
        <v>54</v>
      </c>
      <c r="E12" s="21" t="s">
        <v>38</v>
      </c>
      <c r="F12" s="26" t="s">
        <v>55</v>
      </c>
      <c r="G12" s="21" t="s">
        <v>40</v>
      </c>
      <c r="H12" s="21" t="s">
        <v>56</v>
      </c>
      <c r="I12" s="21" t="s">
        <v>57</v>
      </c>
      <c r="J12" s="21" t="s">
        <v>43</v>
      </c>
      <c r="K12" s="21" t="s">
        <v>6</v>
      </c>
      <c r="L12" s="28" t="s">
        <v>58</v>
      </c>
      <c r="M12" s="21"/>
      <c r="N12" s="21" t="s">
        <v>45</v>
      </c>
      <c r="O12" s="21"/>
      <c r="P12" s="21"/>
      <c r="Q12" s="24"/>
      <c r="R12" s="24"/>
      <c r="S12" s="24"/>
      <c r="T12" s="24"/>
      <c r="U12" s="24"/>
      <c r="V12" s="24"/>
      <c r="W12" s="24"/>
      <c r="X12" s="24"/>
      <c r="Y12" s="24"/>
    </row>
    <row r="13">
      <c r="A13" s="24"/>
      <c r="B13" s="24"/>
      <c r="C13" s="24"/>
      <c r="D13" s="24"/>
      <c r="E13" s="24"/>
      <c r="F13" s="25"/>
      <c r="G13" s="24"/>
      <c r="H13" s="24"/>
      <c r="I13" s="24"/>
      <c r="J13" s="24"/>
      <c r="K13" s="24"/>
      <c r="L13" s="24"/>
      <c r="M13" s="24"/>
      <c r="N13" s="24"/>
      <c r="O13" s="24"/>
      <c r="P13" s="24"/>
      <c r="Q13" s="24"/>
      <c r="R13" s="24"/>
      <c r="S13" s="24"/>
      <c r="T13" s="24"/>
      <c r="U13" s="24"/>
      <c r="V13" s="24"/>
      <c r="W13" s="24"/>
      <c r="X13" s="24"/>
      <c r="Y13" s="24"/>
    </row>
    <row r="14">
      <c r="A14" s="21" t="s">
        <v>59</v>
      </c>
      <c r="B14" s="21" t="s">
        <v>35</v>
      </c>
      <c r="C14" s="21" t="s">
        <v>60</v>
      </c>
      <c r="D14" s="21" t="s">
        <v>61</v>
      </c>
      <c r="E14" s="21" t="s">
        <v>38</v>
      </c>
      <c r="F14" s="26" t="s">
        <v>62</v>
      </c>
      <c r="G14" s="21" t="s">
        <v>40</v>
      </c>
      <c r="H14" s="21" t="s">
        <v>63</v>
      </c>
      <c r="I14" s="21" t="s">
        <v>64</v>
      </c>
      <c r="J14" s="21" t="s">
        <v>43</v>
      </c>
      <c r="K14" s="21" t="s">
        <v>6</v>
      </c>
      <c r="L14" s="27" t="s">
        <v>65</v>
      </c>
      <c r="M14" s="29"/>
      <c r="N14" s="21" t="s">
        <v>45</v>
      </c>
      <c r="O14" s="30"/>
      <c r="P14" s="21"/>
      <c r="Q14" s="24"/>
      <c r="R14" s="24"/>
      <c r="S14" s="24"/>
      <c r="T14" s="24"/>
      <c r="U14" s="24"/>
      <c r="V14" s="24"/>
      <c r="W14" s="24"/>
      <c r="X14" s="24"/>
      <c r="Y14" s="24"/>
    </row>
    <row r="15">
      <c r="A15" s="24"/>
      <c r="B15" s="24"/>
      <c r="C15" s="24"/>
      <c r="D15" s="24"/>
      <c r="E15" s="24"/>
      <c r="F15" s="25"/>
      <c r="G15" s="24"/>
      <c r="H15" s="24"/>
      <c r="I15" s="24"/>
      <c r="J15" s="24"/>
      <c r="K15" s="24"/>
      <c r="L15" s="24"/>
      <c r="M15" s="24"/>
      <c r="N15" s="24"/>
      <c r="O15" s="24"/>
      <c r="P15" s="24"/>
      <c r="Q15" s="24"/>
      <c r="R15" s="24"/>
      <c r="S15" s="24"/>
      <c r="T15" s="24"/>
      <c r="U15" s="24"/>
      <c r="V15" s="24"/>
      <c r="W15" s="24"/>
      <c r="X15" s="24"/>
      <c r="Y15" s="24"/>
    </row>
    <row r="16">
      <c r="A16" s="21" t="s">
        <v>66</v>
      </c>
      <c r="B16" s="21" t="s">
        <v>35</v>
      </c>
      <c r="C16" s="21" t="s">
        <v>67</v>
      </c>
      <c r="D16" s="21" t="s">
        <v>68</v>
      </c>
      <c r="E16" s="21" t="s">
        <v>38</v>
      </c>
      <c r="F16" s="26" t="s">
        <v>69</v>
      </c>
      <c r="G16" s="21" t="s">
        <v>40</v>
      </c>
      <c r="H16" s="21" t="s">
        <v>70</v>
      </c>
      <c r="I16" s="21" t="s">
        <v>71</v>
      </c>
      <c r="J16" s="21" t="s">
        <v>43</v>
      </c>
      <c r="K16" s="21" t="s">
        <v>6</v>
      </c>
      <c r="L16" s="27" t="s">
        <v>72</v>
      </c>
      <c r="M16" s="30"/>
      <c r="N16" s="21" t="s">
        <v>45</v>
      </c>
      <c r="O16" s="30"/>
      <c r="P16" s="21"/>
      <c r="Q16" s="24"/>
      <c r="R16" s="24"/>
      <c r="S16" s="24"/>
      <c r="T16" s="24"/>
      <c r="U16" s="24"/>
      <c r="V16" s="24"/>
      <c r="W16" s="24"/>
      <c r="X16" s="24"/>
      <c r="Y16" s="24"/>
    </row>
    <row r="17">
      <c r="A17" s="24"/>
      <c r="B17" s="24"/>
      <c r="C17" s="24"/>
      <c r="D17" s="24"/>
      <c r="E17" s="24"/>
      <c r="F17" s="25"/>
      <c r="G17" s="24"/>
      <c r="H17" s="24"/>
      <c r="I17" s="24"/>
      <c r="J17" s="24"/>
      <c r="K17" s="24"/>
      <c r="L17" s="24"/>
      <c r="M17" s="24"/>
      <c r="N17" s="24"/>
      <c r="O17" s="24"/>
      <c r="P17" s="24"/>
      <c r="Q17" s="24"/>
      <c r="R17" s="24"/>
      <c r="S17" s="24"/>
      <c r="T17" s="24"/>
      <c r="U17" s="24"/>
      <c r="V17" s="24"/>
      <c r="W17" s="24"/>
      <c r="X17" s="24"/>
      <c r="Y17" s="24"/>
    </row>
    <row r="18">
      <c r="A18" s="21" t="s">
        <v>73</v>
      </c>
      <c r="B18" s="21" t="s">
        <v>35</v>
      </c>
      <c r="C18" s="21" t="s">
        <v>53</v>
      </c>
      <c r="D18" s="21" t="s">
        <v>74</v>
      </c>
      <c r="E18" s="21" t="s">
        <v>38</v>
      </c>
      <c r="F18" s="26" t="s">
        <v>75</v>
      </c>
      <c r="G18" s="21" t="s">
        <v>40</v>
      </c>
      <c r="H18" s="21" t="s">
        <v>76</v>
      </c>
      <c r="I18" s="21" t="s">
        <v>77</v>
      </c>
      <c r="J18" s="21" t="s">
        <v>43</v>
      </c>
      <c r="K18" s="21" t="s">
        <v>6</v>
      </c>
      <c r="L18" s="27" t="s">
        <v>78</v>
      </c>
      <c r="M18" s="30"/>
      <c r="N18" s="21" t="s">
        <v>45</v>
      </c>
      <c r="O18" s="30"/>
      <c r="P18" s="21"/>
      <c r="Q18" s="24"/>
      <c r="R18" s="24"/>
      <c r="S18" s="24"/>
      <c r="T18" s="24"/>
      <c r="U18" s="24"/>
      <c r="V18" s="24"/>
      <c r="W18" s="24"/>
      <c r="X18" s="24"/>
      <c r="Y18" s="24"/>
    </row>
    <row r="19">
      <c r="A19" s="24"/>
      <c r="B19" s="24"/>
      <c r="C19" s="24"/>
      <c r="D19" s="24"/>
      <c r="E19" s="24"/>
      <c r="F19" s="25"/>
      <c r="G19" s="24"/>
      <c r="H19" s="24"/>
      <c r="I19" s="24"/>
      <c r="J19" s="24"/>
      <c r="K19" s="24"/>
      <c r="L19" s="24"/>
      <c r="M19" s="24"/>
      <c r="N19" s="24"/>
      <c r="O19" s="24"/>
      <c r="P19" s="24"/>
      <c r="Q19" s="24"/>
      <c r="R19" s="24"/>
      <c r="S19" s="24"/>
      <c r="T19" s="24"/>
      <c r="U19" s="24"/>
      <c r="V19" s="24"/>
      <c r="W19" s="24"/>
      <c r="X19" s="24"/>
      <c r="Y19" s="24"/>
    </row>
    <row r="20">
      <c r="A20" s="21" t="s">
        <v>79</v>
      </c>
      <c r="B20" s="21" t="s">
        <v>35</v>
      </c>
      <c r="C20" s="21" t="s">
        <v>67</v>
      </c>
      <c r="D20" s="21" t="s">
        <v>80</v>
      </c>
      <c r="E20" s="21" t="s">
        <v>38</v>
      </c>
      <c r="F20" s="26" t="s">
        <v>81</v>
      </c>
      <c r="G20" s="21" t="s">
        <v>40</v>
      </c>
      <c r="H20" s="21" t="s">
        <v>82</v>
      </c>
      <c r="I20" s="21" t="s">
        <v>83</v>
      </c>
      <c r="J20" s="21" t="s">
        <v>43</v>
      </c>
      <c r="K20" s="21" t="s">
        <v>10</v>
      </c>
      <c r="L20" s="27" t="s">
        <v>84</v>
      </c>
      <c r="M20" s="30"/>
      <c r="N20" s="21" t="s">
        <v>45</v>
      </c>
      <c r="O20" s="30"/>
      <c r="P20" s="21"/>
      <c r="Q20" s="24"/>
      <c r="R20" s="24"/>
      <c r="S20" s="24"/>
      <c r="T20" s="24"/>
      <c r="U20" s="24"/>
      <c r="V20" s="24"/>
      <c r="W20" s="24"/>
      <c r="X20" s="24"/>
      <c r="Y20" s="24"/>
    </row>
    <row r="21">
      <c r="A21" s="24"/>
      <c r="B21" s="24"/>
      <c r="C21" s="24"/>
      <c r="D21" s="24"/>
      <c r="E21" s="24"/>
      <c r="F21" s="25"/>
      <c r="G21" s="24"/>
      <c r="H21" s="24"/>
      <c r="I21" s="24"/>
      <c r="J21" s="24"/>
      <c r="K21" s="24"/>
      <c r="L21" s="24"/>
      <c r="M21" s="24"/>
      <c r="N21" s="24"/>
      <c r="O21" s="24"/>
      <c r="P21" s="24"/>
      <c r="Q21" s="24"/>
      <c r="R21" s="24"/>
      <c r="S21" s="24"/>
      <c r="T21" s="24"/>
      <c r="U21" s="24"/>
      <c r="V21" s="24"/>
      <c r="W21" s="24"/>
      <c r="X21" s="24"/>
      <c r="Y21" s="24"/>
    </row>
    <row r="22">
      <c r="A22" s="21" t="s">
        <v>85</v>
      </c>
      <c r="B22" s="21" t="s">
        <v>35</v>
      </c>
      <c r="C22" s="21" t="s">
        <v>53</v>
      </c>
      <c r="D22" s="21" t="s">
        <v>86</v>
      </c>
      <c r="E22" s="21" t="s">
        <v>38</v>
      </c>
      <c r="F22" s="26" t="s">
        <v>87</v>
      </c>
      <c r="G22" s="21" t="s">
        <v>40</v>
      </c>
      <c r="H22" s="21" t="s">
        <v>88</v>
      </c>
      <c r="I22" s="21" t="s">
        <v>89</v>
      </c>
      <c r="J22" s="21" t="s">
        <v>43</v>
      </c>
      <c r="K22" s="21" t="s">
        <v>6</v>
      </c>
      <c r="L22" s="27" t="s">
        <v>90</v>
      </c>
      <c r="M22" s="30"/>
      <c r="N22" s="21" t="s">
        <v>45</v>
      </c>
      <c r="O22" s="30"/>
      <c r="P22" s="21"/>
      <c r="Q22" s="24"/>
      <c r="R22" s="24"/>
      <c r="S22" s="24"/>
      <c r="T22" s="24"/>
      <c r="U22" s="24"/>
      <c r="V22" s="24"/>
      <c r="W22" s="24"/>
      <c r="X22" s="24"/>
      <c r="Y22" s="24"/>
    </row>
    <row r="23">
      <c r="A23" s="24"/>
      <c r="B23" s="24"/>
      <c r="C23" s="24"/>
      <c r="D23" s="24"/>
      <c r="E23" s="24"/>
      <c r="F23" s="25"/>
      <c r="G23" s="24"/>
      <c r="H23" s="24"/>
      <c r="I23" s="24"/>
      <c r="J23" s="24"/>
      <c r="K23" s="24"/>
      <c r="L23" s="24"/>
      <c r="M23" s="24"/>
      <c r="N23" s="24"/>
      <c r="O23" s="24"/>
      <c r="P23" s="24"/>
      <c r="Q23" s="24"/>
      <c r="R23" s="24"/>
      <c r="S23" s="24"/>
      <c r="T23" s="24"/>
      <c r="U23" s="24"/>
      <c r="V23" s="24"/>
      <c r="W23" s="24"/>
      <c r="X23" s="24"/>
      <c r="Y23" s="24"/>
    </row>
    <row r="24">
      <c r="A24" s="21" t="s">
        <v>91</v>
      </c>
      <c r="B24" s="21" t="s">
        <v>35</v>
      </c>
      <c r="C24" s="21" t="s">
        <v>53</v>
      </c>
      <c r="D24" s="21" t="s">
        <v>92</v>
      </c>
      <c r="E24" s="21" t="s">
        <v>38</v>
      </c>
      <c r="F24" s="26" t="s">
        <v>93</v>
      </c>
      <c r="G24" s="21" t="s">
        <v>40</v>
      </c>
      <c r="H24" s="21" t="s">
        <v>94</v>
      </c>
      <c r="I24" s="21" t="s">
        <v>95</v>
      </c>
      <c r="J24" s="21" t="s">
        <v>43</v>
      </c>
      <c r="K24" s="21" t="s">
        <v>14</v>
      </c>
      <c r="L24" s="27" t="s">
        <v>96</v>
      </c>
      <c r="M24" s="30"/>
      <c r="N24" s="21" t="s">
        <v>45</v>
      </c>
      <c r="O24" s="30"/>
      <c r="P24" s="21"/>
      <c r="Q24" s="24"/>
      <c r="R24" s="24"/>
      <c r="S24" s="24"/>
      <c r="T24" s="24"/>
      <c r="U24" s="24"/>
      <c r="V24" s="24"/>
      <c r="W24" s="24"/>
      <c r="X24" s="24"/>
      <c r="Y24" s="24"/>
    </row>
    <row r="25">
      <c r="A25" s="24"/>
      <c r="B25" s="24"/>
      <c r="C25" s="24"/>
      <c r="D25" s="24"/>
      <c r="E25" s="24"/>
      <c r="F25" s="25"/>
      <c r="G25" s="24"/>
      <c r="H25" s="24"/>
      <c r="I25" s="24"/>
      <c r="J25" s="24"/>
      <c r="K25" s="24"/>
      <c r="L25" s="24"/>
      <c r="M25" s="24"/>
      <c r="N25" s="24"/>
      <c r="O25" s="24"/>
      <c r="P25" s="24"/>
      <c r="Q25" s="24"/>
      <c r="R25" s="24"/>
      <c r="S25" s="24"/>
      <c r="T25" s="24"/>
      <c r="U25" s="24"/>
      <c r="V25" s="24"/>
      <c r="W25" s="24"/>
      <c r="X25" s="24"/>
      <c r="Y25" s="24"/>
    </row>
    <row r="26">
      <c r="A26" s="21" t="s">
        <v>97</v>
      </c>
      <c r="B26" s="21" t="s">
        <v>35</v>
      </c>
      <c r="C26" s="21" t="s">
        <v>53</v>
      </c>
      <c r="D26" s="21" t="s">
        <v>98</v>
      </c>
      <c r="E26" s="21" t="s">
        <v>38</v>
      </c>
      <c r="F26" s="26" t="s">
        <v>93</v>
      </c>
      <c r="G26" s="21" t="s">
        <v>40</v>
      </c>
      <c r="H26" s="21" t="s">
        <v>99</v>
      </c>
      <c r="I26" s="21" t="s">
        <v>100</v>
      </c>
      <c r="J26" s="21" t="s">
        <v>43</v>
      </c>
      <c r="K26" s="21" t="s">
        <v>10</v>
      </c>
      <c r="L26" s="28" t="s">
        <v>101</v>
      </c>
      <c r="M26" s="30"/>
      <c r="N26" s="21" t="s">
        <v>45</v>
      </c>
      <c r="O26" s="30"/>
      <c r="P26" s="21"/>
      <c r="Q26" s="24"/>
      <c r="R26" s="24"/>
      <c r="S26" s="24"/>
      <c r="T26" s="24"/>
      <c r="U26" s="24"/>
      <c r="V26" s="24"/>
      <c r="W26" s="24"/>
      <c r="X26" s="24"/>
      <c r="Y26" s="24"/>
    </row>
    <row r="27">
      <c r="A27" s="24"/>
      <c r="B27" s="24"/>
      <c r="C27" s="24"/>
      <c r="D27" s="24"/>
      <c r="E27" s="24"/>
      <c r="F27" s="25"/>
      <c r="G27" s="24"/>
      <c r="H27" s="24"/>
      <c r="I27" s="24"/>
      <c r="J27" s="24"/>
      <c r="K27" s="24"/>
      <c r="L27" s="24"/>
      <c r="M27" s="24"/>
      <c r="N27" s="24"/>
      <c r="O27" s="24"/>
      <c r="P27" s="24"/>
      <c r="Q27" s="24"/>
      <c r="R27" s="24"/>
      <c r="S27" s="24"/>
      <c r="T27" s="24"/>
      <c r="U27" s="24"/>
      <c r="V27" s="24"/>
      <c r="W27" s="24"/>
      <c r="X27" s="24"/>
      <c r="Y27" s="24"/>
    </row>
    <row r="28">
      <c r="A28" s="21" t="s">
        <v>102</v>
      </c>
      <c r="B28" s="21" t="s">
        <v>35</v>
      </c>
      <c r="C28" s="21" t="s">
        <v>103</v>
      </c>
      <c r="D28" s="21" t="s">
        <v>104</v>
      </c>
      <c r="E28" s="21" t="s">
        <v>38</v>
      </c>
      <c r="F28" s="26" t="s">
        <v>105</v>
      </c>
      <c r="G28" s="21" t="s">
        <v>40</v>
      </c>
      <c r="H28" s="21" t="s">
        <v>106</v>
      </c>
      <c r="I28" s="21" t="s">
        <v>107</v>
      </c>
      <c r="J28" s="21" t="s">
        <v>43</v>
      </c>
      <c r="K28" s="21" t="s">
        <v>6</v>
      </c>
      <c r="L28" s="27" t="s">
        <v>108</v>
      </c>
      <c r="M28" s="30"/>
      <c r="N28" s="30"/>
      <c r="O28" s="30"/>
      <c r="P28" s="21"/>
      <c r="Q28" s="24"/>
      <c r="R28" s="24"/>
      <c r="S28" s="24"/>
      <c r="T28" s="24"/>
      <c r="U28" s="24"/>
      <c r="V28" s="24"/>
      <c r="W28" s="24"/>
      <c r="X28" s="24"/>
      <c r="Y28" s="24"/>
    </row>
    <row r="29">
      <c r="A29" s="24"/>
      <c r="B29" s="24"/>
      <c r="C29" s="24"/>
      <c r="D29" s="24"/>
      <c r="E29" s="24"/>
      <c r="F29" s="25"/>
      <c r="G29" s="24"/>
      <c r="H29" s="24"/>
      <c r="I29" s="24"/>
      <c r="J29" s="24"/>
      <c r="K29" s="24"/>
      <c r="L29" s="24"/>
      <c r="M29" s="24"/>
      <c r="N29" s="24"/>
      <c r="O29" s="24"/>
      <c r="P29" s="24"/>
      <c r="Q29" s="24"/>
      <c r="R29" s="24"/>
      <c r="S29" s="24"/>
      <c r="T29" s="24"/>
      <c r="U29" s="24"/>
      <c r="V29" s="24"/>
      <c r="W29" s="24"/>
      <c r="X29" s="24"/>
      <c r="Y29" s="24"/>
    </row>
    <row r="30">
      <c r="A30" s="21" t="s">
        <v>109</v>
      </c>
      <c r="B30" s="21" t="s">
        <v>110</v>
      </c>
      <c r="C30" s="21" t="s">
        <v>53</v>
      </c>
      <c r="D30" s="21" t="s">
        <v>111</v>
      </c>
      <c r="E30" s="21" t="s">
        <v>38</v>
      </c>
      <c r="F30" s="26" t="s">
        <v>112</v>
      </c>
      <c r="G30" s="21" t="s">
        <v>113</v>
      </c>
      <c r="H30" s="21" t="s">
        <v>114</v>
      </c>
      <c r="I30" s="21" t="s">
        <v>115</v>
      </c>
      <c r="J30" s="21" t="s">
        <v>43</v>
      </c>
      <c r="K30" s="21" t="s">
        <v>6</v>
      </c>
      <c r="L30" s="27" t="s">
        <v>116</v>
      </c>
      <c r="M30" s="30"/>
      <c r="N30" s="21" t="s">
        <v>45</v>
      </c>
      <c r="O30" s="30"/>
      <c r="P30" s="21" t="s">
        <v>117</v>
      </c>
      <c r="Q30" s="31" t="s">
        <v>118</v>
      </c>
      <c r="R30" s="24"/>
      <c r="S30" s="24"/>
      <c r="T30" s="24"/>
      <c r="U30" s="24"/>
      <c r="V30" s="24"/>
      <c r="W30" s="24"/>
      <c r="X30" s="24"/>
      <c r="Y30" s="24"/>
    </row>
    <row r="31">
      <c r="A31" s="24"/>
      <c r="B31" s="24"/>
      <c r="C31" s="24"/>
      <c r="D31" s="24"/>
      <c r="E31" s="24"/>
      <c r="F31" s="25"/>
      <c r="G31" s="24"/>
      <c r="H31" s="24"/>
      <c r="I31" s="24"/>
      <c r="J31" s="24"/>
      <c r="K31" s="24"/>
      <c r="L31" s="24"/>
      <c r="M31" s="24"/>
      <c r="N31" s="24"/>
      <c r="O31" s="24"/>
      <c r="P31" s="24"/>
      <c r="Q31" s="24"/>
      <c r="R31" s="24"/>
      <c r="S31" s="24"/>
      <c r="T31" s="24"/>
      <c r="U31" s="24"/>
      <c r="V31" s="24"/>
      <c r="W31" s="24"/>
      <c r="X31" s="24"/>
      <c r="Y31" s="24"/>
    </row>
    <row r="32">
      <c r="A32" s="21" t="s">
        <v>119</v>
      </c>
      <c r="B32" s="21" t="s">
        <v>110</v>
      </c>
      <c r="C32" s="21" t="s">
        <v>120</v>
      </c>
      <c r="D32" s="21" t="s">
        <v>121</v>
      </c>
      <c r="E32" s="21" t="s">
        <v>38</v>
      </c>
      <c r="F32" s="26" t="s">
        <v>122</v>
      </c>
      <c r="G32" s="21" t="s">
        <v>113</v>
      </c>
      <c r="H32" s="21" t="s">
        <v>123</v>
      </c>
      <c r="I32" s="21" t="s">
        <v>124</v>
      </c>
      <c r="J32" s="21" t="s">
        <v>43</v>
      </c>
      <c r="K32" s="21" t="s">
        <v>14</v>
      </c>
      <c r="L32" s="27" t="s">
        <v>125</v>
      </c>
      <c r="M32" s="30"/>
      <c r="N32" s="30"/>
      <c r="O32" s="30"/>
      <c r="P32" s="21"/>
      <c r="Q32" s="24"/>
      <c r="R32" s="24"/>
      <c r="S32" s="24"/>
      <c r="T32" s="24"/>
      <c r="U32" s="24"/>
      <c r="V32" s="24"/>
      <c r="W32" s="24"/>
      <c r="X32" s="24"/>
      <c r="Y32" s="24"/>
    </row>
    <row r="33">
      <c r="A33" s="24"/>
      <c r="B33" s="24"/>
      <c r="C33" s="24"/>
      <c r="D33" s="24"/>
      <c r="E33" s="24"/>
      <c r="F33" s="25"/>
      <c r="G33" s="24"/>
      <c r="H33" s="24"/>
      <c r="I33" s="24"/>
      <c r="J33" s="24"/>
      <c r="K33" s="24"/>
      <c r="L33" s="24"/>
      <c r="M33" s="24"/>
      <c r="N33" s="24"/>
      <c r="O33" s="24"/>
      <c r="P33" s="24"/>
      <c r="Q33" s="24"/>
      <c r="R33" s="24"/>
      <c r="S33" s="24"/>
      <c r="T33" s="24"/>
      <c r="U33" s="24"/>
      <c r="V33" s="24"/>
      <c r="W33" s="24"/>
      <c r="X33" s="24"/>
      <c r="Y33" s="24"/>
    </row>
    <row r="34">
      <c r="A34" s="21" t="s">
        <v>126</v>
      </c>
      <c r="B34" s="21" t="s">
        <v>110</v>
      </c>
      <c r="C34" s="21" t="s">
        <v>127</v>
      </c>
      <c r="D34" s="21" t="s">
        <v>128</v>
      </c>
      <c r="E34" s="21" t="s">
        <v>38</v>
      </c>
      <c r="F34" s="26" t="s">
        <v>129</v>
      </c>
      <c r="G34" s="21" t="s">
        <v>113</v>
      </c>
      <c r="H34" s="21" t="s">
        <v>130</v>
      </c>
      <c r="I34" s="21" t="s">
        <v>131</v>
      </c>
      <c r="J34" s="21" t="s">
        <v>43</v>
      </c>
      <c r="K34" s="21" t="s">
        <v>6</v>
      </c>
      <c r="L34" s="27" t="s">
        <v>132</v>
      </c>
      <c r="M34" s="30"/>
      <c r="N34" s="21" t="s">
        <v>45</v>
      </c>
      <c r="O34" s="30"/>
      <c r="P34" s="21" t="s">
        <v>133</v>
      </c>
      <c r="Q34" s="24"/>
      <c r="R34" s="24"/>
      <c r="S34" s="24"/>
      <c r="T34" s="24"/>
      <c r="U34" s="24"/>
      <c r="V34" s="24"/>
      <c r="W34" s="24"/>
      <c r="X34" s="24"/>
      <c r="Y34" s="24"/>
    </row>
    <row r="35">
      <c r="A35" s="24"/>
      <c r="B35" s="24"/>
      <c r="C35" s="24"/>
      <c r="D35" s="24"/>
      <c r="E35" s="24"/>
      <c r="F35" s="25"/>
      <c r="G35" s="24"/>
      <c r="H35" s="24"/>
      <c r="I35" s="24"/>
      <c r="J35" s="24"/>
      <c r="K35" s="24"/>
      <c r="L35" s="24"/>
      <c r="M35" s="24"/>
      <c r="N35" s="24"/>
      <c r="O35" s="24"/>
      <c r="P35" s="24"/>
      <c r="Q35" s="24"/>
      <c r="R35" s="24"/>
      <c r="S35" s="24"/>
      <c r="T35" s="24"/>
      <c r="U35" s="24"/>
      <c r="V35" s="24"/>
      <c r="W35" s="24"/>
      <c r="X35" s="24"/>
      <c r="Y35" s="24"/>
    </row>
    <row r="36">
      <c r="A36" s="21" t="s">
        <v>134</v>
      </c>
      <c r="B36" s="21" t="s">
        <v>110</v>
      </c>
      <c r="C36" s="21" t="s">
        <v>127</v>
      </c>
      <c r="D36" s="21" t="s">
        <v>135</v>
      </c>
      <c r="E36" s="21" t="s">
        <v>38</v>
      </c>
      <c r="F36" s="26" t="s">
        <v>129</v>
      </c>
      <c r="G36" s="21" t="s">
        <v>113</v>
      </c>
      <c r="H36" s="21" t="s">
        <v>136</v>
      </c>
      <c r="I36" s="21" t="s">
        <v>137</v>
      </c>
      <c r="J36" s="21" t="s">
        <v>43</v>
      </c>
      <c r="K36" s="21" t="s">
        <v>10</v>
      </c>
      <c r="L36" s="27" t="s">
        <v>138</v>
      </c>
      <c r="M36" s="30"/>
      <c r="N36" s="30"/>
      <c r="O36" s="30"/>
      <c r="P36" s="21"/>
      <c r="Q36" s="24"/>
      <c r="R36" s="24"/>
      <c r="S36" s="24"/>
      <c r="T36" s="24"/>
      <c r="U36" s="24"/>
      <c r="V36" s="24"/>
      <c r="W36" s="24"/>
      <c r="X36" s="24"/>
      <c r="Y36" s="24"/>
    </row>
    <row r="37">
      <c r="A37" s="24"/>
      <c r="B37" s="24"/>
      <c r="C37" s="24"/>
      <c r="D37" s="24"/>
      <c r="E37" s="24"/>
      <c r="F37" s="25"/>
      <c r="G37" s="24"/>
      <c r="H37" s="24"/>
      <c r="I37" s="24"/>
      <c r="J37" s="24"/>
      <c r="K37" s="24"/>
      <c r="L37" s="24"/>
      <c r="M37" s="24"/>
      <c r="N37" s="24"/>
      <c r="O37" s="24"/>
      <c r="P37" s="24"/>
      <c r="Q37" s="24"/>
      <c r="R37" s="24"/>
      <c r="S37" s="24"/>
      <c r="T37" s="24"/>
      <c r="U37" s="24"/>
      <c r="V37" s="24"/>
      <c r="W37" s="24"/>
      <c r="X37" s="24"/>
      <c r="Y37" s="24"/>
    </row>
    <row r="38">
      <c r="A38" s="21" t="s">
        <v>139</v>
      </c>
      <c r="B38" s="21" t="s">
        <v>35</v>
      </c>
      <c r="C38" s="21" t="s">
        <v>140</v>
      </c>
      <c r="D38" s="21" t="s">
        <v>141</v>
      </c>
      <c r="E38" s="21" t="s">
        <v>38</v>
      </c>
      <c r="F38" s="26" t="s">
        <v>142</v>
      </c>
      <c r="G38" s="21" t="s">
        <v>40</v>
      </c>
      <c r="H38" s="21" t="s">
        <v>143</v>
      </c>
      <c r="I38" s="21" t="s">
        <v>144</v>
      </c>
      <c r="J38" s="21" t="s">
        <v>43</v>
      </c>
      <c r="K38" s="21" t="s">
        <v>6</v>
      </c>
      <c r="L38" s="27" t="s">
        <v>145</v>
      </c>
      <c r="M38" s="30"/>
      <c r="N38" s="30"/>
      <c r="O38" s="30"/>
      <c r="P38" s="21"/>
      <c r="Q38" s="24"/>
      <c r="R38" s="24"/>
      <c r="S38" s="24"/>
      <c r="T38" s="24"/>
      <c r="U38" s="24"/>
      <c r="V38" s="24"/>
      <c r="W38" s="24"/>
      <c r="X38" s="24"/>
      <c r="Y38" s="24"/>
    </row>
    <row r="39">
      <c r="A39" s="24"/>
      <c r="B39" s="24"/>
      <c r="C39" s="24"/>
      <c r="D39" s="24"/>
      <c r="E39" s="24"/>
      <c r="F39" s="25"/>
      <c r="G39" s="24"/>
      <c r="H39" s="24"/>
      <c r="I39" s="24"/>
      <c r="J39" s="24"/>
      <c r="K39" s="24"/>
      <c r="L39" s="24"/>
      <c r="M39" s="24"/>
      <c r="N39" s="24"/>
      <c r="O39" s="24"/>
      <c r="P39" s="24"/>
      <c r="Q39" s="24"/>
      <c r="R39" s="24"/>
      <c r="S39" s="24"/>
      <c r="T39" s="24"/>
      <c r="U39" s="24"/>
      <c r="V39" s="24"/>
      <c r="W39" s="24"/>
      <c r="X39" s="24"/>
      <c r="Y39" s="24"/>
    </row>
    <row r="40">
      <c r="A40" s="21" t="s">
        <v>146</v>
      </c>
      <c r="B40" s="21" t="s">
        <v>110</v>
      </c>
      <c r="C40" s="21" t="s">
        <v>147</v>
      </c>
      <c r="D40" s="21" t="s">
        <v>148</v>
      </c>
      <c r="E40" s="21" t="s">
        <v>38</v>
      </c>
      <c r="F40" s="26" t="s">
        <v>149</v>
      </c>
      <c r="G40" s="21" t="s">
        <v>113</v>
      </c>
      <c r="H40" s="21" t="s">
        <v>150</v>
      </c>
      <c r="I40" s="21" t="s">
        <v>148</v>
      </c>
      <c r="J40" s="21" t="s">
        <v>43</v>
      </c>
      <c r="K40" s="21" t="s">
        <v>6</v>
      </c>
      <c r="L40" s="27" t="s">
        <v>151</v>
      </c>
      <c r="M40" s="30"/>
      <c r="N40" s="30"/>
      <c r="O40" s="30"/>
      <c r="P40" s="21"/>
      <c r="Q40" s="24"/>
      <c r="R40" s="24"/>
      <c r="S40" s="24"/>
      <c r="T40" s="24"/>
      <c r="U40" s="24"/>
      <c r="V40" s="24"/>
      <c r="W40" s="24"/>
      <c r="X40" s="24"/>
      <c r="Y40" s="24"/>
    </row>
    <row r="41">
      <c r="A41" s="24"/>
      <c r="B41" s="24"/>
      <c r="C41" s="24"/>
      <c r="D41" s="24"/>
      <c r="E41" s="24"/>
      <c r="F41" s="25"/>
      <c r="G41" s="24"/>
      <c r="H41" s="24"/>
      <c r="I41" s="24"/>
      <c r="J41" s="24"/>
      <c r="K41" s="24"/>
      <c r="L41" s="24"/>
      <c r="M41" s="24"/>
      <c r="N41" s="24"/>
      <c r="O41" s="24"/>
      <c r="P41" s="24"/>
      <c r="Q41" s="24"/>
      <c r="R41" s="24"/>
      <c r="S41" s="24"/>
      <c r="T41" s="24"/>
      <c r="U41" s="24"/>
      <c r="V41" s="24"/>
      <c r="W41" s="24"/>
      <c r="X41" s="24"/>
      <c r="Y41" s="24"/>
    </row>
    <row r="42">
      <c r="A42" s="21" t="s">
        <v>152</v>
      </c>
      <c r="B42" s="21" t="s">
        <v>110</v>
      </c>
      <c r="C42" s="21" t="s">
        <v>147</v>
      </c>
      <c r="D42" s="21" t="s">
        <v>153</v>
      </c>
      <c r="E42" s="21" t="s">
        <v>38</v>
      </c>
      <c r="F42" s="26" t="s">
        <v>154</v>
      </c>
      <c r="G42" s="21" t="s">
        <v>113</v>
      </c>
      <c r="H42" s="21" t="s">
        <v>155</v>
      </c>
      <c r="I42" s="21" t="s">
        <v>156</v>
      </c>
      <c r="J42" s="21" t="s">
        <v>43</v>
      </c>
      <c r="K42" s="21" t="s">
        <v>6</v>
      </c>
      <c r="L42" s="27" t="s">
        <v>157</v>
      </c>
      <c r="M42" s="30"/>
      <c r="N42" s="30"/>
      <c r="O42" s="30"/>
      <c r="P42" s="21"/>
      <c r="Q42" s="24"/>
      <c r="R42" s="24"/>
      <c r="S42" s="24"/>
      <c r="T42" s="24"/>
      <c r="U42" s="24"/>
      <c r="V42" s="24"/>
      <c r="W42" s="24"/>
      <c r="X42" s="24"/>
      <c r="Y42" s="24"/>
    </row>
    <row r="43">
      <c r="A43" s="24"/>
      <c r="B43" s="24"/>
      <c r="C43" s="24"/>
      <c r="D43" s="24"/>
      <c r="E43" s="24"/>
      <c r="F43" s="25"/>
      <c r="G43" s="24"/>
      <c r="H43" s="24"/>
      <c r="I43" s="24"/>
      <c r="J43" s="24"/>
      <c r="K43" s="24"/>
      <c r="L43" s="24"/>
      <c r="M43" s="24"/>
      <c r="N43" s="24"/>
      <c r="O43" s="24"/>
      <c r="P43" s="24"/>
      <c r="Q43" s="24"/>
      <c r="R43" s="24"/>
      <c r="S43" s="24"/>
      <c r="T43" s="24"/>
      <c r="U43" s="24"/>
      <c r="V43" s="24"/>
      <c r="W43" s="24"/>
      <c r="X43" s="24"/>
      <c r="Y43" s="24"/>
    </row>
    <row r="44">
      <c r="A44" s="21" t="s">
        <v>158</v>
      </c>
      <c r="B44" s="21" t="s">
        <v>110</v>
      </c>
      <c r="C44" s="21" t="s">
        <v>159</v>
      </c>
      <c r="D44" s="21" t="s">
        <v>160</v>
      </c>
      <c r="E44" s="21" t="s">
        <v>38</v>
      </c>
      <c r="F44" s="26" t="s">
        <v>161</v>
      </c>
      <c r="G44" s="21" t="s">
        <v>113</v>
      </c>
      <c r="H44" s="21" t="s">
        <v>162</v>
      </c>
      <c r="I44" s="21" t="s">
        <v>163</v>
      </c>
      <c r="J44" s="21" t="s">
        <v>43</v>
      </c>
      <c r="K44" s="21" t="s">
        <v>6</v>
      </c>
      <c r="L44" s="27" t="s">
        <v>164</v>
      </c>
      <c r="M44" s="30"/>
      <c r="N44" s="30"/>
      <c r="O44" s="30"/>
      <c r="P44" s="21"/>
      <c r="Q44" s="24"/>
      <c r="R44" s="24"/>
      <c r="S44" s="24"/>
      <c r="T44" s="24"/>
      <c r="U44" s="24"/>
      <c r="V44" s="24"/>
      <c r="W44" s="24"/>
      <c r="X44" s="24"/>
      <c r="Y44" s="24"/>
    </row>
    <row r="45">
      <c r="A45" s="24"/>
      <c r="B45" s="24"/>
      <c r="C45" s="24"/>
      <c r="D45" s="24"/>
      <c r="E45" s="24"/>
      <c r="F45" s="25"/>
      <c r="G45" s="24"/>
      <c r="H45" s="24"/>
      <c r="I45" s="24"/>
      <c r="J45" s="24"/>
      <c r="K45" s="24"/>
      <c r="L45" s="24"/>
      <c r="M45" s="24"/>
      <c r="N45" s="24"/>
      <c r="O45" s="24"/>
      <c r="P45" s="24"/>
      <c r="Q45" s="24"/>
      <c r="R45" s="24"/>
      <c r="S45" s="24"/>
      <c r="T45" s="24"/>
      <c r="U45" s="24"/>
      <c r="V45" s="24"/>
      <c r="W45" s="24"/>
      <c r="X45" s="24"/>
      <c r="Y45" s="24"/>
    </row>
    <row r="46">
      <c r="A46" s="21" t="s">
        <v>165</v>
      </c>
      <c r="B46" s="21" t="s">
        <v>35</v>
      </c>
      <c r="C46" s="21" t="s">
        <v>166</v>
      </c>
      <c r="D46" s="21" t="s">
        <v>167</v>
      </c>
      <c r="E46" s="21" t="s">
        <v>38</v>
      </c>
      <c r="F46" s="26" t="s">
        <v>168</v>
      </c>
      <c r="G46" s="21" t="s">
        <v>40</v>
      </c>
      <c r="H46" s="21" t="s">
        <v>169</v>
      </c>
      <c r="I46" s="21" t="s">
        <v>170</v>
      </c>
      <c r="J46" s="21" t="s">
        <v>43</v>
      </c>
      <c r="K46" s="21" t="s">
        <v>6</v>
      </c>
      <c r="L46" s="27" t="s">
        <v>171</v>
      </c>
      <c r="M46" s="30"/>
      <c r="N46" s="30"/>
      <c r="O46" s="30"/>
      <c r="P46" s="21"/>
      <c r="Q46" s="24"/>
      <c r="R46" s="24"/>
      <c r="S46" s="24"/>
      <c r="T46" s="24"/>
      <c r="U46" s="24"/>
      <c r="V46" s="24"/>
      <c r="W46" s="24"/>
      <c r="X46" s="24"/>
      <c r="Y46" s="24"/>
    </row>
    <row r="47">
      <c r="A47" s="24"/>
      <c r="B47" s="24"/>
      <c r="C47" s="24"/>
      <c r="D47" s="24"/>
      <c r="E47" s="24"/>
      <c r="F47" s="25"/>
      <c r="G47" s="24"/>
      <c r="H47" s="24"/>
      <c r="I47" s="24"/>
      <c r="J47" s="24"/>
      <c r="K47" s="24"/>
      <c r="L47" s="24"/>
      <c r="M47" s="24"/>
      <c r="N47" s="24"/>
      <c r="O47" s="24"/>
      <c r="P47" s="24"/>
      <c r="Q47" s="24"/>
      <c r="R47" s="24"/>
      <c r="S47" s="24"/>
      <c r="T47" s="24"/>
      <c r="U47" s="24"/>
      <c r="V47" s="24"/>
      <c r="W47" s="24"/>
      <c r="X47" s="24"/>
      <c r="Y47" s="24"/>
    </row>
    <row r="48">
      <c r="A48" s="21" t="s">
        <v>172</v>
      </c>
      <c r="B48" s="21" t="s">
        <v>110</v>
      </c>
      <c r="C48" s="21" t="s">
        <v>166</v>
      </c>
      <c r="D48" s="21" t="s">
        <v>173</v>
      </c>
      <c r="E48" s="21" t="s">
        <v>38</v>
      </c>
      <c r="F48" s="26" t="s">
        <v>174</v>
      </c>
      <c r="G48" s="21" t="s">
        <v>113</v>
      </c>
      <c r="H48" s="21" t="s">
        <v>175</v>
      </c>
      <c r="I48" s="21" t="s">
        <v>170</v>
      </c>
      <c r="J48" s="21" t="s">
        <v>43</v>
      </c>
      <c r="K48" s="21" t="s">
        <v>6</v>
      </c>
      <c r="L48" s="27" t="s">
        <v>176</v>
      </c>
      <c r="M48" s="21"/>
      <c r="N48" s="30"/>
      <c r="O48" s="30"/>
      <c r="P48" s="21"/>
      <c r="Q48" s="24"/>
      <c r="R48" s="24"/>
      <c r="S48" s="24"/>
      <c r="T48" s="24"/>
      <c r="U48" s="24"/>
      <c r="V48" s="24"/>
      <c r="W48" s="24"/>
      <c r="X48" s="24"/>
      <c r="Y48" s="24"/>
    </row>
    <row r="49">
      <c r="A49" s="24"/>
      <c r="B49" s="24"/>
      <c r="C49" s="24"/>
      <c r="D49" s="24"/>
      <c r="E49" s="24"/>
      <c r="F49" s="25"/>
      <c r="G49" s="24"/>
      <c r="H49" s="24"/>
      <c r="I49" s="24"/>
      <c r="J49" s="24"/>
      <c r="K49" s="24"/>
      <c r="L49" s="24"/>
      <c r="M49" s="24"/>
      <c r="N49" s="24"/>
      <c r="O49" s="24"/>
      <c r="P49" s="24"/>
      <c r="Q49" s="24"/>
      <c r="R49" s="24"/>
      <c r="S49" s="24"/>
      <c r="T49" s="24"/>
      <c r="U49" s="24"/>
      <c r="V49" s="24"/>
      <c r="W49" s="24"/>
      <c r="X49" s="24"/>
      <c r="Y49" s="24"/>
    </row>
    <row r="50">
      <c r="A50" s="21" t="s">
        <v>177</v>
      </c>
      <c r="B50" s="21" t="s">
        <v>35</v>
      </c>
      <c r="C50" s="21" t="s">
        <v>166</v>
      </c>
      <c r="D50" s="21" t="s">
        <v>178</v>
      </c>
      <c r="E50" s="21" t="s">
        <v>38</v>
      </c>
      <c r="F50" s="26" t="s">
        <v>168</v>
      </c>
      <c r="G50" s="21" t="s">
        <v>40</v>
      </c>
      <c r="H50" s="21" t="s">
        <v>179</v>
      </c>
      <c r="I50" s="21" t="s">
        <v>180</v>
      </c>
      <c r="J50" s="21" t="s">
        <v>43</v>
      </c>
      <c r="K50" s="21" t="s">
        <v>6</v>
      </c>
      <c r="L50" s="27" t="s">
        <v>181</v>
      </c>
      <c r="M50" s="30"/>
      <c r="N50" s="30"/>
      <c r="O50" s="30"/>
      <c r="P50" s="21"/>
      <c r="Q50" s="24"/>
      <c r="R50" s="24"/>
      <c r="S50" s="24"/>
      <c r="T50" s="24"/>
      <c r="U50" s="24"/>
      <c r="V50" s="24"/>
      <c r="W50" s="24"/>
      <c r="X50" s="24"/>
      <c r="Y50" s="24"/>
    </row>
    <row r="51">
      <c r="A51" s="24"/>
      <c r="B51" s="24"/>
      <c r="C51" s="24"/>
      <c r="D51" s="24"/>
      <c r="E51" s="24"/>
      <c r="F51" s="25"/>
      <c r="G51" s="24"/>
      <c r="H51" s="24"/>
      <c r="I51" s="24"/>
      <c r="J51" s="24"/>
      <c r="K51" s="24"/>
      <c r="L51" s="24"/>
      <c r="M51" s="24"/>
      <c r="N51" s="24"/>
      <c r="O51" s="24"/>
      <c r="P51" s="24"/>
      <c r="Q51" s="24"/>
      <c r="R51" s="24"/>
      <c r="S51" s="24"/>
      <c r="T51" s="24"/>
      <c r="U51" s="24"/>
      <c r="V51" s="24"/>
      <c r="W51" s="24"/>
      <c r="X51" s="24"/>
      <c r="Y51" s="24"/>
    </row>
    <row r="52">
      <c r="A52" s="21" t="s">
        <v>182</v>
      </c>
      <c r="B52" s="21" t="s">
        <v>35</v>
      </c>
      <c r="C52" s="21" t="s">
        <v>166</v>
      </c>
      <c r="D52" s="21" t="s">
        <v>183</v>
      </c>
      <c r="E52" s="21" t="s">
        <v>38</v>
      </c>
      <c r="F52" s="26" t="s">
        <v>168</v>
      </c>
      <c r="G52" s="21" t="s">
        <v>40</v>
      </c>
      <c r="H52" s="21" t="s">
        <v>184</v>
      </c>
      <c r="I52" s="21" t="s">
        <v>185</v>
      </c>
      <c r="J52" s="21" t="s">
        <v>43</v>
      </c>
      <c r="K52" s="21" t="s">
        <v>6</v>
      </c>
      <c r="L52" s="28" t="s">
        <v>186</v>
      </c>
      <c r="M52" s="30"/>
      <c r="N52" s="30"/>
      <c r="O52" s="30"/>
      <c r="P52" s="21"/>
      <c r="Q52" s="24"/>
      <c r="R52" s="24"/>
      <c r="S52" s="24"/>
      <c r="T52" s="24"/>
      <c r="U52" s="24"/>
      <c r="V52" s="24"/>
      <c r="W52" s="24"/>
      <c r="X52" s="24"/>
      <c r="Y52" s="24"/>
    </row>
    <row r="53">
      <c r="A53" s="24"/>
      <c r="B53" s="24"/>
      <c r="C53" s="24"/>
      <c r="D53" s="24"/>
      <c r="E53" s="24"/>
      <c r="F53" s="25"/>
      <c r="G53" s="24"/>
      <c r="H53" s="24"/>
      <c r="I53" s="24"/>
      <c r="J53" s="24"/>
      <c r="K53" s="24"/>
      <c r="L53" s="24"/>
      <c r="M53" s="24"/>
      <c r="N53" s="24"/>
      <c r="O53" s="24"/>
      <c r="P53" s="24"/>
      <c r="Q53" s="24"/>
      <c r="R53" s="24"/>
      <c r="S53" s="24"/>
      <c r="T53" s="24"/>
      <c r="U53" s="24"/>
      <c r="V53" s="24"/>
      <c r="W53" s="24"/>
      <c r="X53" s="24"/>
      <c r="Y53" s="24"/>
    </row>
    <row r="54">
      <c r="A54" s="21" t="s">
        <v>187</v>
      </c>
      <c r="B54" s="21" t="s">
        <v>35</v>
      </c>
      <c r="C54" s="21" t="s">
        <v>166</v>
      </c>
      <c r="D54" s="21" t="s">
        <v>188</v>
      </c>
      <c r="E54" s="21" t="s">
        <v>38</v>
      </c>
      <c r="F54" s="26" t="s">
        <v>168</v>
      </c>
      <c r="G54" s="21" t="s">
        <v>40</v>
      </c>
      <c r="H54" s="21" t="s">
        <v>189</v>
      </c>
      <c r="I54" s="21" t="s">
        <v>190</v>
      </c>
      <c r="J54" s="21" t="s">
        <v>43</v>
      </c>
      <c r="K54" s="21" t="s">
        <v>6</v>
      </c>
      <c r="L54" s="27" t="s">
        <v>191</v>
      </c>
      <c r="M54" s="30"/>
      <c r="N54" s="30"/>
      <c r="O54" s="30"/>
      <c r="P54" s="21"/>
      <c r="Q54" s="24"/>
      <c r="R54" s="24"/>
      <c r="S54" s="24"/>
      <c r="T54" s="24"/>
      <c r="U54" s="24"/>
      <c r="V54" s="24"/>
      <c r="W54" s="24"/>
      <c r="X54" s="24"/>
      <c r="Y54" s="24"/>
    </row>
    <row r="55">
      <c r="A55" s="24"/>
      <c r="B55" s="24"/>
      <c r="C55" s="24"/>
      <c r="D55" s="24"/>
      <c r="E55" s="24"/>
      <c r="F55" s="25"/>
      <c r="G55" s="24"/>
      <c r="H55" s="24"/>
      <c r="I55" s="24"/>
      <c r="J55" s="24"/>
      <c r="K55" s="24"/>
      <c r="L55" s="24"/>
      <c r="M55" s="24"/>
      <c r="N55" s="24"/>
      <c r="O55" s="24"/>
      <c r="P55" s="24"/>
      <c r="Q55" s="24"/>
      <c r="R55" s="24"/>
      <c r="S55" s="24"/>
      <c r="T55" s="24"/>
      <c r="U55" s="24"/>
      <c r="V55" s="24"/>
      <c r="W55" s="24"/>
      <c r="X55" s="24"/>
      <c r="Y55" s="24"/>
    </row>
    <row r="56">
      <c r="A56" s="21" t="s">
        <v>192</v>
      </c>
      <c r="B56" s="21" t="s">
        <v>35</v>
      </c>
      <c r="C56" s="21" t="s">
        <v>166</v>
      </c>
      <c r="D56" s="21" t="s">
        <v>193</v>
      </c>
      <c r="E56" s="21" t="s">
        <v>38</v>
      </c>
      <c r="F56" s="26" t="s">
        <v>168</v>
      </c>
      <c r="G56" s="21" t="s">
        <v>40</v>
      </c>
      <c r="H56" s="21" t="s">
        <v>194</v>
      </c>
      <c r="I56" s="21" t="s">
        <v>195</v>
      </c>
      <c r="J56" s="21" t="s">
        <v>43</v>
      </c>
      <c r="K56" s="21" t="s">
        <v>6</v>
      </c>
      <c r="L56" s="27" t="s">
        <v>196</v>
      </c>
      <c r="M56" s="30"/>
      <c r="N56" s="30"/>
      <c r="O56" s="30"/>
      <c r="P56" s="21"/>
      <c r="Q56" s="24"/>
      <c r="R56" s="24"/>
      <c r="S56" s="24"/>
      <c r="T56" s="24"/>
      <c r="U56" s="24"/>
      <c r="V56" s="24"/>
      <c r="W56" s="24"/>
      <c r="X56" s="24"/>
      <c r="Y56" s="24"/>
    </row>
    <row r="57">
      <c r="A57" s="24"/>
      <c r="B57" s="24"/>
      <c r="C57" s="24"/>
      <c r="D57" s="24"/>
      <c r="E57" s="24"/>
      <c r="F57" s="25"/>
      <c r="G57" s="24"/>
      <c r="H57" s="24"/>
      <c r="I57" s="24"/>
      <c r="J57" s="24"/>
      <c r="K57" s="24"/>
      <c r="L57" s="24"/>
      <c r="M57" s="24"/>
      <c r="N57" s="24"/>
      <c r="O57" s="24"/>
      <c r="P57" s="24"/>
      <c r="Q57" s="24"/>
      <c r="R57" s="24"/>
      <c r="S57" s="24"/>
      <c r="T57" s="24"/>
      <c r="U57" s="24"/>
      <c r="V57" s="24"/>
      <c r="W57" s="24"/>
      <c r="X57" s="24"/>
      <c r="Y57" s="24"/>
    </row>
    <row r="58">
      <c r="A58" s="21" t="s">
        <v>197</v>
      </c>
      <c r="B58" s="21" t="s">
        <v>35</v>
      </c>
      <c r="C58" s="21" t="s">
        <v>166</v>
      </c>
      <c r="D58" s="21" t="s">
        <v>198</v>
      </c>
      <c r="E58" s="21" t="s">
        <v>38</v>
      </c>
      <c r="F58" s="26" t="s">
        <v>168</v>
      </c>
      <c r="G58" s="21" t="s">
        <v>40</v>
      </c>
      <c r="H58" s="21" t="s">
        <v>199</v>
      </c>
      <c r="I58" s="21" t="s">
        <v>200</v>
      </c>
      <c r="J58" s="21" t="s">
        <v>43</v>
      </c>
      <c r="K58" s="21" t="s">
        <v>6</v>
      </c>
      <c r="L58" s="27" t="s">
        <v>201</v>
      </c>
      <c r="M58" s="30"/>
      <c r="N58" s="30"/>
      <c r="O58" s="30"/>
      <c r="P58" s="21"/>
      <c r="Q58" s="24"/>
      <c r="R58" s="24"/>
      <c r="S58" s="24"/>
      <c r="T58" s="24"/>
      <c r="U58" s="24"/>
      <c r="V58" s="24"/>
      <c r="W58" s="24"/>
      <c r="X58" s="24"/>
      <c r="Y58" s="24"/>
    </row>
    <row r="59">
      <c r="A59" s="24"/>
      <c r="B59" s="24"/>
      <c r="C59" s="24"/>
      <c r="D59" s="24"/>
      <c r="E59" s="24"/>
      <c r="F59" s="25"/>
      <c r="G59" s="24"/>
      <c r="H59" s="24"/>
      <c r="I59" s="24"/>
      <c r="J59" s="24"/>
      <c r="K59" s="24"/>
      <c r="L59" s="24"/>
      <c r="M59" s="24"/>
      <c r="N59" s="24"/>
      <c r="O59" s="24"/>
      <c r="P59" s="24"/>
      <c r="Q59" s="24"/>
      <c r="R59" s="24"/>
      <c r="S59" s="24"/>
      <c r="T59" s="24"/>
      <c r="U59" s="24"/>
      <c r="V59" s="24"/>
      <c r="W59" s="24"/>
      <c r="X59" s="24"/>
      <c r="Y59" s="24"/>
    </row>
    <row r="60">
      <c r="A60" s="21" t="s">
        <v>202</v>
      </c>
      <c r="B60" s="21" t="s">
        <v>35</v>
      </c>
      <c r="C60" s="21" t="s">
        <v>53</v>
      </c>
      <c r="D60" s="21" t="s">
        <v>203</v>
      </c>
      <c r="E60" s="21" t="s">
        <v>38</v>
      </c>
      <c r="F60" s="26" t="s">
        <v>204</v>
      </c>
      <c r="G60" s="21" t="s">
        <v>40</v>
      </c>
      <c r="H60" s="21" t="s">
        <v>205</v>
      </c>
      <c r="I60" s="21" t="s">
        <v>206</v>
      </c>
      <c r="J60" s="21" t="s">
        <v>43</v>
      </c>
      <c r="K60" s="21" t="s">
        <v>6</v>
      </c>
      <c r="L60" s="27" t="s">
        <v>207</v>
      </c>
      <c r="M60" s="30"/>
      <c r="N60" s="30"/>
      <c r="O60" s="30"/>
      <c r="P60" s="21"/>
      <c r="Q60" s="24"/>
      <c r="R60" s="24"/>
      <c r="S60" s="24"/>
      <c r="T60" s="24"/>
      <c r="U60" s="24"/>
      <c r="V60" s="24"/>
      <c r="W60" s="24"/>
      <c r="X60" s="24"/>
      <c r="Y60" s="24"/>
    </row>
    <row r="61">
      <c r="A61" s="24"/>
      <c r="B61" s="24"/>
      <c r="C61" s="24"/>
      <c r="D61" s="24"/>
      <c r="E61" s="24"/>
      <c r="F61" s="25"/>
      <c r="G61" s="24"/>
      <c r="H61" s="24"/>
      <c r="I61" s="24"/>
      <c r="J61" s="24"/>
      <c r="K61" s="24"/>
      <c r="L61" s="24"/>
      <c r="M61" s="24"/>
      <c r="N61" s="24"/>
      <c r="O61" s="24"/>
      <c r="P61" s="24"/>
      <c r="Q61" s="24"/>
      <c r="R61" s="24"/>
      <c r="S61" s="24"/>
      <c r="T61" s="24"/>
      <c r="U61" s="24"/>
      <c r="V61" s="24"/>
      <c r="W61" s="24"/>
      <c r="X61" s="24"/>
      <c r="Y61" s="24"/>
    </row>
    <row r="62">
      <c r="A62" s="21" t="s">
        <v>208</v>
      </c>
      <c r="B62" s="21" t="s">
        <v>35</v>
      </c>
      <c r="C62" s="21" t="s">
        <v>166</v>
      </c>
      <c r="D62" s="21" t="s">
        <v>209</v>
      </c>
      <c r="E62" s="21" t="s">
        <v>38</v>
      </c>
      <c r="F62" s="26" t="s">
        <v>168</v>
      </c>
      <c r="G62" s="21" t="s">
        <v>40</v>
      </c>
      <c r="H62" s="21" t="s">
        <v>210</v>
      </c>
      <c r="I62" s="21" t="s">
        <v>211</v>
      </c>
      <c r="J62" s="21" t="s">
        <v>43</v>
      </c>
      <c r="K62" s="21" t="s">
        <v>6</v>
      </c>
      <c r="L62" s="27" t="s">
        <v>212</v>
      </c>
      <c r="M62" s="30"/>
      <c r="N62" s="30"/>
      <c r="O62" s="30"/>
      <c r="P62" s="21"/>
      <c r="Q62" s="24"/>
      <c r="R62" s="24"/>
      <c r="S62" s="24"/>
      <c r="T62" s="24"/>
      <c r="U62" s="24"/>
      <c r="V62" s="24"/>
      <c r="W62" s="24"/>
      <c r="X62" s="24"/>
      <c r="Y62" s="24"/>
    </row>
    <row r="63">
      <c r="A63" s="24"/>
      <c r="B63" s="24"/>
      <c r="C63" s="24"/>
      <c r="D63" s="24"/>
      <c r="E63" s="24"/>
      <c r="F63" s="25"/>
      <c r="G63" s="24"/>
      <c r="H63" s="24"/>
      <c r="I63" s="24"/>
      <c r="J63" s="24"/>
      <c r="K63" s="24"/>
      <c r="L63" s="24"/>
      <c r="M63" s="24"/>
      <c r="N63" s="24"/>
      <c r="O63" s="24"/>
      <c r="P63" s="24"/>
      <c r="Q63" s="24"/>
      <c r="R63" s="24"/>
      <c r="S63" s="24"/>
      <c r="T63" s="24"/>
      <c r="U63" s="24"/>
      <c r="V63" s="24"/>
      <c r="W63" s="24"/>
      <c r="X63" s="24"/>
      <c r="Y63" s="24"/>
    </row>
    <row r="64">
      <c r="A64" s="21" t="s">
        <v>213</v>
      </c>
      <c r="B64" s="21" t="s">
        <v>110</v>
      </c>
      <c r="C64" s="21" t="s">
        <v>166</v>
      </c>
      <c r="D64" s="21" t="s">
        <v>214</v>
      </c>
      <c r="E64" s="21" t="s">
        <v>38</v>
      </c>
      <c r="F64" s="26" t="s">
        <v>174</v>
      </c>
      <c r="G64" s="21" t="s">
        <v>113</v>
      </c>
      <c r="H64" s="21" t="s">
        <v>215</v>
      </c>
      <c r="I64" s="21" t="s">
        <v>216</v>
      </c>
      <c r="J64" s="21" t="s">
        <v>43</v>
      </c>
      <c r="K64" s="21" t="s">
        <v>6</v>
      </c>
      <c r="L64" s="27" t="s">
        <v>217</v>
      </c>
      <c r="M64" s="30"/>
      <c r="N64" s="30"/>
      <c r="O64" s="30"/>
      <c r="P64" s="21"/>
      <c r="Q64" s="24"/>
      <c r="R64" s="24"/>
      <c r="S64" s="24"/>
      <c r="T64" s="24"/>
      <c r="U64" s="24"/>
      <c r="V64" s="24"/>
      <c r="W64" s="24"/>
      <c r="X64" s="24"/>
      <c r="Y64" s="24"/>
    </row>
    <row r="65">
      <c r="A65" s="24"/>
      <c r="B65" s="24"/>
      <c r="C65" s="24"/>
      <c r="D65" s="24"/>
      <c r="E65" s="24"/>
      <c r="F65" s="25"/>
      <c r="G65" s="24"/>
      <c r="H65" s="24"/>
      <c r="I65" s="24"/>
      <c r="J65" s="24"/>
      <c r="K65" s="24"/>
      <c r="L65" s="24"/>
      <c r="M65" s="24"/>
      <c r="N65" s="24"/>
      <c r="O65" s="24"/>
      <c r="P65" s="24"/>
      <c r="Q65" s="24"/>
      <c r="R65" s="24"/>
      <c r="S65" s="24"/>
      <c r="T65" s="24"/>
      <c r="U65" s="24"/>
      <c r="V65" s="24"/>
      <c r="W65" s="24"/>
      <c r="X65" s="24"/>
      <c r="Y65" s="24"/>
    </row>
    <row r="66">
      <c r="A66" s="21" t="s">
        <v>218</v>
      </c>
      <c r="B66" s="21" t="s">
        <v>110</v>
      </c>
      <c r="C66" s="21" t="s">
        <v>219</v>
      </c>
      <c r="D66" s="21" t="s">
        <v>220</v>
      </c>
      <c r="E66" s="21" t="s">
        <v>38</v>
      </c>
      <c r="F66" s="26" t="s">
        <v>221</v>
      </c>
      <c r="G66" s="21" t="s">
        <v>113</v>
      </c>
      <c r="H66" s="21" t="s">
        <v>222</v>
      </c>
      <c r="I66" s="21" t="s">
        <v>223</v>
      </c>
      <c r="J66" s="21" t="s">
        <v>43</v>
      </c>
      <c r="K66" s="21" t="s">
        <v>6</v>
      </c>
      <c r="L66" s="27" t="s">
        <v>224</v>
      </c>
      <c r="M66" s="30"/>
      <c r="N66" s="30"/>
      <c r="O66" s="30"/>
      <c r="P66" s="21"/>
      <c r="Q66" s="24"/>
      <c r="R66" s="24"/>
      <c r="S66" s="24"/>
      <c r="T66" s="24"/>
      <c r="U66" s="24"/>
      <c r="V66" s="24"/>
      <c r="W66" s="24"/>
      <c r="X66" s="24"/>
      <c r="Y66" s="24"/>
    </row>
    <row r="67">
      <c r="A67" s="24"/>
      <c r="B67" s="24"/>
      <c r="C67" s="24"/>
      <c r="D67" s="24"/>
      <c r="E67" s="24"/>
      <c r="F67" s="25"/>
      <c r="G67" s="24"/>
      <c r="H67" s="24"/>
      <c r="I67" s="24"/>
      <c r="J67" s="24"/>
      <c r="K67" s="24"/>
      <c r="L67" s="24"/>
      <c r="M67" s="24"/>
      <c r="N67" s="24"/>
      <c r="O67" s="24"/>
      <c r="P67" s="24"/>
      <c r="Q67" s="24"/>
      <c r="R67" s="24"/>
      <c r="S67" s="24"/>
      <c r="T67" s="24"/>
      <c r="U67" s="24"/>
      <c r="V67" s="24"/>
      <c r="W67" s="24"/>
      <c r="X67" s="24"/>
      <c r="Y67" s="24"/>
    </row>
    <row r="68">
      <c r="A68" s="21" t="s">
        <v>225</v>
      </c>
      <c r="B68" s="21" t="s">
        <v>110</v>
      </c>
      <c r="C68" s="21" t="s">
        <v>166</v>
      </c>
      <c r="D68" s="21" t="s">
        <v>226</v>
      </c>
      <c r="E68" s="21" t="s">
        <v>38</v>
      </c>
      <c r="F68" s="26" t="s">
        <v>174</v>
      </c>
      <c r="G68" s="21" t="s">
        <v>113</v>
      </c>
      <c r="H68" s="21" t="s">
        <v>227</v>
      </c>
      <c r="I68" s="21" t="s">
        <v>228</v>
      </c>
      <c r="J68" s="21" t="s">
        <v>43</v>
      </c>
      <c r="K68" s="21" t="s">
        <v>6</v>
      </c>
      <c r="L68" s="27" t="s">
        <v>229</v>
      </c>
      <c r="M68" s="30"/>
      <c r="N68" s="30"/>
      <c r="O68" s="30"/>
      <c r="P68" s="21"/>
      <c r="Q68" s="24"/>
      <c r="R68" s="24"/>
      <c r="S68" s="24"/>
      <c r="T68" s="24"/>
      <c r="U68" s="24"/>
      <c r="V68" s="24"/>
      <c r="W68" s="24"/>
      <c r="X68" s="24"/>
      <c r="Y68" s="24"/>
    </row>
    <row r="69">
      <c r="A69" s="24"/>
      <c r="B69" s="24"/>
      <c r="C69" s="24"/>
      <c r="D69" s="24"/>
      <c r="E69" s="24"/>
      <c r="F69" s="25"/>
      <c r="G69" s="24"/>
      <c r="H69" s="24"/>
      <c r="I69" s="24"/>
      <c r="J69" s="24"/>
      <c r="K69" s="24"/>
      <c r="L69" s="24"/>
      <c r="M69" s="24"/>
      <c r="N69" s="24"/>
      <c r="O69" s="24"/>
      <c r="P69" s="24"/>
      <c r="Q69" s="24"/>
      <c r="R69" s="24"/>
      <c r="S69" s="24"/>
      <c r="T69" s="24"/>
      <c r="U69" s="24"/>
      <c r="V69" s="24"/>
      <c r="W69" s="24"/>
      <c r="X69" s="24"/>
      <c r="Y69" s="24"/>
    </row>
    <row r="70">
      <c r="A70" s="21" t="s">
        <v>230</v>
      </c>
      <c r="B70" s="21" t="s">
        <v>35</v>
      </c>
      <c r="C70" s="21" t="s">
        <v>166</v>
      </c>
      <c r="D70" s="21" t="s">
        <v>231</v>
      </c>
      <c r="E70" s="21" t="s">
        <v>38</v>
      </c>
      <c r="F70" s="26" t="s">
        <v>232</v>
      </c>
      <c r="G70" s="21" t="s">
        <v>40</v>
      </c>
      <c r="H70" s="21" t="s">
        <v>233</v>
      </c>
      <c r="I70" s="21" t="s">
        <v>234</v>
      </c>
      <c r="J70" s="21" t="s">
        <v>43</v>
      </c>
      <c r="K70" s="21" t="s">
        <v>6</v>
      </c>
      <c r="L70" s="27" t="s">
        <v>235</v>
      </c>
      <c r="M70" s="30"/>
      <c r="N70" s="30"/>
      <c r="O70" s="30"/>
      <c r="P70" s="21"/>
      <c r="Q70" s="24"/>
      <c r="R70" s="24"/>
      <c r="S70" s="24"/>
      <c r="T70" s="24"/>
      <c r="U70" s="24"/>
      <c r="V70" s="24"/>
      <c r="W70" s="24"/>
      <c r="X70" s="24"/>
      <c r="Y70" s="24"/>
    </row>
    <row r="71">
      <c r="A71" s="24"/>
      <c r="B71" s="24"/>
      <c r="C71" s="24"/>
      <c r="D71" s="24"/>
      <c r="E71" s="24"/>
      <c r="F71" s="25"/>
      <c r="G71" s="24"/>
      <c r="H71" s="24"/>
      <c r="I71" s="24"/>
      <c r="J71" s="24"/>
      <c r="K71" s="24"/>
      <c r="L71" s="24"/>
      <c r="M71" s="24"/>
      <c r="N71" s="24"/>
      <c r="O71" s="24"/>
      <c r="P71" s="24"/>
      <c r="Q71" s="24"/>
      <c r="R71" s="24"/>
      <c r="S71" s="24"/>
      <c r="T71" s="24"/>
      <c r="U71" s="24"/>
      <c r="V71" s="24"/>
      <c r="W71" s="24"/>
      <c r="X71" s="24"/>
      <c r="Y71" s="24"/>
    </row>
    <row r="72">
      <c r="A72" s="21" t="s">
        <v>236</v>
      </c>
      <c r="B72" s="21" t="s">
        <v>110</v>
      </c>
      <c r="C72" s="21" t="s">
        <v>237</v>
      </c>
      <c r="D72" s="21" t="s">
        <v>238</v>
      </c>
      <c r="E72" s="21" t="s">
        <v>38</v>
      </c>
      <c r="F72" s="26" t="s">
        <v>239</v>
      </c>
      <c r="G72" s="21" t="s">
        <v>113</v>
      </c>
      <c r="H72" s="21" t="s">
        <v>240</v>
      </c>
      <c r="I72" s="21" t="s">
        <v>241</v>
      </c>
      <c r="J72" s="21" t="s">
        <v>43</v>
      </c>
      <c r="K72" s="21" t="s">
        <v>10</v>
      </c>
      <c r="L72" s="27" t="s">
        <v>242</v>
      </c>
      <c r="M72" s="30"/>
      <c r="N72" s="30"/>
      <c r="O72" s="30"/>
      <c r="P72" s="21"/>
      <c r="Q72" s="24"/>
      <c r="R72" s="24"/>
      <c r="S72" s="24"/>
      <c r="T72" s="24"/>
      <c r="U72" s="24"/>
      <c r="V72" s="24"/>
      <c r="W72" s="24"/>
      <c r="X72" s="24"/>
      <c r="Y72" s="24"/>
    </row>
    <row r="73">
      <c r="A73" s="24"/>
      <c r="B73" s="24"/>
      <c r="C73" s="24"/>
      <c r="D73" s="24"/>
      <c r="E73" s="24"/>
      <c r="F73" s="25"/>
      <c r="G73" s="24"/>
      <c r="H73" s="24"/>
      <c r="I73" s="24"/>
      <c r="J73" s="24"/>
      <c r="K73" s="24"/>
      <c r="L73" s="24"/>
      <c r="M73" s="24"/>
      <c r="N73" s="24"/>
      <c r="O73" s="24"/>
      <c r="P73" s="24"/>
      <c r="Q73" s="24"/>
      <c r="R73" s="24"/>
      <c r="S73" s="24"/>
      <c r="T73" s="24"/>
      <c r="U73" s="24"/>
      <c r="V73" s="24"/>
      <c r="W73" s="24"/>
      <c r="X73" s="24"/>
      <c r="Y73" s="24"/>
    </row>
    <row r="74">
      <c r="A74" s="21" t="s">
        <v>243</v>
      </c>
      <c r="B74" s="21" t="s">
        <v>35</v>
      </c>
      <c r="C74" s="21" t="s">
        <v>140</v>
      </c>
      <c r="D74" s="21" t="s">
        <v>244</v>
      </c>
      <c r="E74" s="21" t="s">
        <v>38</v>
      </c>
      <c r="F74" s="26" t="s">
        <v>142</v>
      </c>
      <c r="G74" s="21" t="s">
        <v>40</v>
      </c>
      <c r="H74" s="21" t="s">
        <v>245</v>
      </c>
      <c r="I74" s="21" t="s">
        <v>246</v>
      </c>
      <c r="J74" s="21" t="s">
        <v>43</v>
      </c>
      <c r="K74" s="21" t="s">
        <v>10</v>
      </c>
      <c r="L74" s="27" t="s">
        <v>247</v>
      </c>
      <c r="M74" s="30"/>
      <c r="N74" s="30"/>
      <c r="O74" s="30"/>
      <c r="P74" s="21"/>
      <c r="Q74" s="24"/>
      <c r="R74" s="24"/>
      <c r="S74" s="24"/>
      <c r="T74" s="24"/>
      <c r="U74" s="24"/>
      <c r="V74" s="24"/>
      <c r="W74" s="24"/>
      <c r="X74" s="24"/>
      <c r="Y74" s="24"/>
    </row>
    <row r="75">
      <c r="A75" s="24"/>
      <c r="B75" s="24"/>
      <c r="C75" s="24"/>
      <c r="D75" s="24"/>
      <c r="E75" s="24"/>
      <c r="F75" s="25"/>
      <c r="G75" s="24"/>
      <c r="H75" s="24"/>
      <c r="I75" s="24"/>
      <c r="J75" s="24"/>
      <c r="K75" s="24"/>
      <c r="L75" s="24"/>
      <c r="M75" s="24"/>
      <c r="N75" s="24"/>
      <c r="O75" s="24"/>
      <c r="P75" s="24"/>
      <c r="Q75" s="24"/>
      <c r="R75" s="24"/>
      <c r="S75" s="24"/>
      <c r="T75" s="24"/>
      <c r="U75" s="24"/>
      <c r="V75" s="24"/>
      <c r="W75" s="24"/>
      <c r="X75" s="24"/>
      <c r="Y75" s="24"/>
    </row>
    <row r="76">
      <c r="A76" s="21" t="s">
        <v>248</v>
      </c>
      <c r="B76" s="21" t="s">
        <v>35</v>
      </c>
      <c r="C76" s="21" t="s">
        <v>166</v>
      </c>
      <c r="D76" s="21" t="s">
        <v>249</v>
      </c>
      <c r="E76" s="21" t="s">
        <v>38</v>
      </c>
      <c r="F76" s="26" t="s">
        <v>232</v>
      </c>
      <c r="G76" s="21" t="s">
        <v>40</v>
      </c>
      <c r="H76" s="21" t="s">
        <v>250</v>
      </c>
      <c r="I76" s="21" t="s">
        <v>251</v>
      </c>
      <c r="J76" s="21" t="s">
        <v>43</v>
      </c>
      <c r="K76" s="21" t="s">
        <v>10</v>
      </c>
      <c r="L76" s="27" t="s">
        <v>252</v>
      </c>
      <c r="M76" s="30"/>
      <c r="N76" s="30"/>
      <c r="O76" s="30"/>
      <c r="P76" s="21"/>
      <c r="Q76" s="24"/>
      <c r="R76" s="24"/>
      <c r="S76" s="24"/>
      <c r="T76" s="24"/>
      <c r="U76" s="24"/>
      <c r="V76" s="24"/>
      <c r="W76" s="24"/>
      <c r="X76" s="24"/>
      <c r="Y76" s="24"/>
    </row>
    <row r="77">
      <c r="A77" s="24"/>
      <c r="B77" s="24"/>
      <c r="C77" s="24"/>
      <c r="D77" s="24"/>
      <c r="E77" s="24"/>
      <c r="F77" s="25"/>
      <c r="G77" s="24"/>
      <c r="H77" s="24"/>
      <c r="I77" s="24"/>
      <c r="J77" s="24"/>
      <c r="K77" s="24"/>
      <c r="L77" s="24"/>
      <c r="M77" s="24"/>
      <c r="N77" s="24"/>
      <c r="O77" s="24"/>
      <c r="P77" s="24"/>
      <c r="Q77" s="24"/>
      <c r="R77" s="24"/>
      <c r="S77" s="24"/>
      <c r="T77" s="24"/>
      <c r="U77" s="24"/>
      <c r="V77" s="24"/>
      <c r="W77" s="24"/>
      <c r="X77" s="24"/>
      <c r="Y77" s="24"/>
    </row>
    <row r="78">
      <c r="A78" s="21" t="s">
        <v>253</v>
      </c>
      <c r="B78" s="21" t="s">
        <v>35</v>
      </c>
      <c r="C78" s="21" t="s">
        <v>140</v>
      </c>
      <c r="D78" s="21" t="s">
        <v>254</v>
      </c>
      <c r="E78" s="21" t="s">
        <v>38</v>
      </c>
      <c r="F78" s="26" t="s">
        <v>255</v>
      </c>
      <c r="G78" s="21" t="s">
        <v>40</v>
      </c>
      <c r="H78" s="21" t="s">
        <v>256</v>
      </c>
      <c r="I78" s="21" t="s">
        <v>257</v>
      </c>
      <c r="J78" s="21" t="s">
        <v>43</v>
      </c>
      <c r="K78" s="21" t="s">
        <v>10</v>
      </c>
      <c r="L78" s="27" t="s">
        <v>258</v>
      </c>
      <c r="M78" s="30"/>
      <c r="N78" s="30"/>
      <c r="O78" s="30"/>
      <c r="P78" s="21"/>
      <c r="Q78" s="24"/>
      <c r="R78" s="24"/>
      <c r="S78" s="24"/>
      <c r="T78" s="24"/>
      <c r="U78" s="24"/>
      <c r="V78" s="24"/>
      <c r="W78" s="24"/>
      <c r="X78" s="24"/>
      <c r="Y78" s="24"/>
    </row>
    <row r="79">
      <c r="A79" s="24"/>
      <c r="B79" s="24"/>
      <c r="C79" s="24"/>
      <c r="D79" s="24"/>
      <c r="E79" s="24"/>
      <c r="F79" s="25"/>
      <c r="G79" s="24"/>
      <c r="H79" s="24"/>
      <c r="I79" s="24"/>
      <c r="J79" s="24"/>
      <c r="K79" s="24"/>
      <c r="L79" s="24"/>
      <c r="M79" s="24"/>
      <c r="N79" s="24"/>
      <c r="O79" s="24"/>
      <c r="P79" s="24"/>
      <c r="Q79" s="24"/>
      <c r="R79" s="24"/>
      <c r="S79" s="24"/>
      <c r="T79" s="24"/>
      <c r="U79" s="24"/>
      <c r="V79" s="24"/>
      <c r="W79" s="24"/>
      <c r="X79" s="24"/>
      <c r="Y79" s="24"/>
    </row>
    <row r="80">
      <c r="A80" s="21" t="s">
        <v>259</v>
      </c>
      <c r="B80" s="21" t="s">
        <v>110</v>
      </c>
      <c r="C80" s="21" t="s">
        <v>147</v>
      </c>
      <c r="D80" s="21" t="s">
        <v>260</v>
      </c>
      <c r="E80" s="21" t="s">
        <v>38</v>
      </c>
      <c r="F80" s="32" t="s">
        <v>154</v>
      </c>
      <c r="G80" s="21" t="s">
        <v>261</v>
      </c>
      <c r="H80" s="21" t="s">
        <v>262</v>
      </c>
      <c r="I80" s="21" t="s">
        <v>263</v>
      </c>
      <c r="J80" s="21" t="s">
        <v>43</v>
      </c>
      <c r="K80" s="21" t="s">
        <v>10</v>
      </c>
      <c r="L80" s="27" t="s">
        <v>264</v>
      </c>
      <c r="M80" s="30"/>
      <c r="N80" s="30"/>
      <c r="O80" s="30"/>
      <c r="P80" s="21"/>
      <c r="Q80" s="24"/>
      <c r="R80" s="24"/>
      <c r="S80" s="24"/>
      <c r="T80" s="24"/>
      <c r="U80" s="24"/>
      <c r="V80" s="24"/>
      <c r="W80" s="24"/>
      <c r="X80" s="24"/>
      <c r="Y80" s="24"/>
    </row>
    <row r="81">
      <c r="A81" s="24"/>
      <c r="B81" s="24"/>
      <c r="C81" s="24"/>
      <c r="D81" s="24"/>
      <c r="E81" s="24"/>
      <c r="F81" s="25"/>
      <c r="G81" s="24"/>
      <c r="H81" s="24"/>
      <c r="I81" s="24"/>
      <c r="J81" s="24"/>
      <c r="K81" s="24"/>
      <c r="L81" s="24"/>
      <c r="M81" s="24"/>
      <c r="N81" s="24"/>
      <c r="O81" s="24"/>
      <c r="P81" s="24"/>
      <c r="Q81" s="24"/>
      <c r="R81" s="24"/>
      <c r="S81" s="24"/>
      <c r="T81" s="24"/>
      <c r="U81" s="24"/>
      <c r="V81" s="24"/>
      <c r="W81" s="24"/>
      <c r="X81" s="24"/>
      <c r="Y81" s="24"/>
    </row>
    <row r="82">
      <c r="A82" s="21" t="s">
        <v>265</v>
      </c>
      <c r="B82" s="21" t="s">
        <v>266</v>
      </c>
      <c r="C82" s="21" t="s">
        <v>67</v>
      </c>
      <c r="D82" s="21" t="s">
        <v>267</v>
      </c>
      <c r="E82" s="21" t="s">
        <v>38</v>
      </c>
      <c r="F82" s="26" t="s">
        <v>81</v>
      </c>
      <c r="G82" s="21" t="s">
        <v>40</v>
      </c>
      <c r="H82" s="21" t="s">
        <v>268</v>
      </c>
      <c r="I82" s="21" t="s">
        <v>269</v>
      </c>
      <c r="J82" s="21" t="s">
        <v>43</v>
      </c>
      <c r="K82" s="21" t="s">
        <v>6</v>
      </c>
      <c r="L82" s="27" t="s">
        <v>270</v>
      </c>
      <c r="M82" s="30"/>
      <c r="N82" s="30"/>
      <c r="O82" s="30"/>
      <c r="P82" s="21"/>
      <c r="Q82" s="24"/>
      <c r="R82" s="24"/>
      <c r="S82" s="24"/>
      <c r="T82" s="24"/>
      <c r="U82" s="24"/>
      <c r="V82" s="24"/>
      <c r="W82" s="24"/>
      <c r="X82" s="24"/>
      <c r="Y82" s="24"/>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21" t="s">
        <v>271</v>
      </c>
      <c r="B84" s="30" t="s">
        <v>35</v>
      </c>
      <c r="C84" s="30" t="s">
        <v>166</v>
      </c>
      <c r="D84" s="21" t="s">
        <v>272</v>
      </c>
      <c r="E84" s="21" t="s">
        <v>38</v>
      </c>
      <c r="F84" s="26" t="s">
        <v>232</v>
      </c>
      <c r="G84" s="21" t="s">
        <v>40</v>
      </c>
      <c r="H84" s="21" t="s">
        <v>273</v>
      </c>
      <c r="I84" s="21" t="s">
        <v>274</v>
      </c>
      <c r="J84" s="21" t="s">
        <v>43</v>
      </c>
      <c r="K84" s="21" t="s">
        <v>6</v>
      </c>
      <c r="L84" s="27" t="s">
        <v>275</v>
      </c>
      <c r="M84" s="30"/>
      <c r="N84" s="30"/>
      <c r="O84" s="30"/>
      <c r="P84" s="21"/>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21" t="s">
        <v>276</v>
      </c>
      <c r="B86" s="21" t="s">
        <v>110</v>
      </c>
      <c r="C86" s="30" t="s">
        <v>103</v>
      </c>
      <c r="D86" s="21" t="s">
        <v>277</v>
      </c>
      <c r="E86" s="21" t="s">
        <v>38</v>
      </c>
      <c r="F86" s="26" t="s">
        <v>278</v>
      </c>
      <c r="G86" s="21" t="s">
        <v>113</v>
      </c>
      <c r="H86" s="21" t="s">
        <v>279</v>
      </c>
      <c r="I86" s="21" t="s">
        <v>280</v>
      </c>
      <c r="J86" s="21" t="s">
        <v>43</v>
      </c>
      <c r="K86" s="21" t="s">
        <v>6</v>
      </c>
      <c r="L86" s="27" t="s">
        <v>281</v>
      </c>
      <c r="M86" s="30"/>
      <c r="N86" s="30"/>
      <c r="O86" s="30"/>
      <c r="P86" s="21"/>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21" t="s">
        <v>282</v>
      </c>
      <c r="B88" s="21" t="s">
        <v>110</v>
      </c>
      <c r="C88" s="30" t="s">
        <v>103</v>
      </c>
      <c r="D88" s="21" t="s">
        <v>283</v>
      </c>
      <c r="E88" s="21" t="s">
        <v>38</v>
      </c>
      <c r="F88" s="26" t="s">
        <v>278</v>
      </c>
      <c r="G88" s="21" t="s">
        <v>113</v>
      </c>
      <c r="H88" s="21" t="s">
        <v>284</v>
      </c>
      <c r="I88" s="21" t="s">
        <v>285</v>
      </c>
      <c r="J88" s="21" t="s">
        <v>43</v>
      </c>
      <c r="K88" s="21" t="s">
        <v>10</v>
      </c>
      <c r="L88" s="27" t="s">
        <v>286</v>
      </c>
      <c r="M88" s="30"/>
      <c r="N88" s="30"/>
      <c r="O88" s="30"/>
      <c r="P88" s="21"/>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21" t="s">
        <v>287</v>
      </c>
      <c r="B90" s="30" t="s">
        <v>35</v>
      </c>
      <c r="C90" s="30" t="s">
        <v>36</v>
      </c>
      <c r="D90" s="21" t="s">
        <v>288</v>
      </c>
      <c r="E90" s="21" t="s">
        <v>38</v>
      </c>
      <c r="F90" s="21" t="s">
        <v>48</v>
      </c>
      <c r="G90" s="21" t="s">
        <v>40</v>
      </c>
      <c r="H90" s="21" t="s">
        <v>289</v>
      </c>
      <c r="I90" s="21" t="s">
        <v>290</v>
      </c>
      <c r="J90" s="21" t="s">
        <v>43</v>
      </c>
      <c r="K90" s="21" t="s">
        <v>10</v>
      </c>
      <c r="L90" s="27" t="s">
        <v>291</v>
      </c>
      <c r="M90" s="30"/>
      <c r="N90" s="30"/>
      <c r="O90" s="30"/>
      <c r="P90" s="21"/>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21" t="s">
        <v>292</v>
      </c>
      <c r="B92" s="30"/>
      <c r="C92" s="30"/>
      <c r="D92" s="30"/>
      <c r="E92" s="30"/>
      <c r="F92" s="30"/>
      <c r="G92" s="30"/>
      <c r="H92" s="30"/>
      <c r="I92" s="30"/>
      <c r="J92" s="30"/>
      <c r="K92" s="30"/>
      <c r="L92" s="33"/>
      <c r="M92" s="30"/>
      <c r="N92" s="30"/>
      <c r="O92" s="30"/>
      <c r="P92" s="21"/>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21" t="s">
        <v>293</v>
      </c>
      <c r="B94" s="30"/>
      <c r="C94" s="30"/>
      <c r="D94" s="30"/>
      <c r="E94" s="30"/>
      <c r="F94" s="30"/>
      <c r="G94" s="30"/>
      <c r="H94" s="30"/>
      <c r="I94" s="30"/>
      <c r="J94" s="30"/>
      <c r="K94" s="30"/>
      <c r="L94" s="33"/>
      <c r="M94" s="30"/>
      <c r="N94" s="30"/>
      <c r="O94" s="30"/>
      <c r="P94" s="21"/>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21" t="s">
        <v>294</v>
      </c>
      <c r="B96" s="30"/>
      <c r="C96" s="30"/>
      <c r="D96" s="30"/>
      <c r="E96" s="30"/>
      <c r="F96" s="30"/>
      <c r="G96" s="30"/>
      <c r="H96" s="30"/>
      <c r="I96" s="30"/>
      <c r="J96" s="30"/>
      <c r="K96" s="30"/>
      <c r="L96" s="33"/>
      <c r="M96" s="30"/>
      <c r="N96" s="30"/>
      <c r="O96" s="30"/>
      <c r="P96" s="21"/>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21" t="s">
        <v>295</v>
      </c>
      <c r="B98" s="30"/>
      <c r="C98" s="30"/>
      <c r="D98" s="30"/>
      <c r="E98" s="30"/>
      <c r="F98" s="30"/>
      <c r="G98" s="30"/>
      <c r="H98" s="30"/>
      <c r="I98" s="30"/>
      <c r="J98" s="30"/>
      <c r="K98" s="30"/>
      <c r="L98" s="33"/>
      <c r="M98" s="30"/>
      <c r="N98" s="30"/>
      <c r="O98" s="30"/>
      <c r="P98" s="21"/>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21" t="s">
        <v>296</v>
      </c>
      <c r="B100" s="30"/>
      <c r="C100" s="30"/>
      <c r="D100" s="30"/>
      <c r="E100" s="30"/>
      <c r="F100" s="30"/>
      <c r="G100" s="30"/>
      <c r="H100" s="30"/>
      <c r="I100" s="30"/>
      <c r="J100" s="30"/>
      <c r="K100" s="30"/>
      <c r="L100" s="33"/>
      <c r="M100" s="30"/>
      <c r="N100" s="30"/>
      <c r="O100" s="30"/>
      <c r="P100" s="21"/>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21" t="s">
        <v>297</v>
      </c>
      <c r="B102" s="30"/>
      <c r="C102" s="30"/>
      <c r="D102" s="30"/>
      <c r="E102" s="30"/>
      <c r="F102" s="30"/>
      <c r="G102" s="30"/>
      <c r="H102" s="30"/>
      <c r="I102" s="30"/>
      <c r="J102" s="30"/>
      <c r="K102" s="30"/>
      <c r="L102" s="33"/>
      <c r="M102" s="30"/>
      <c r="N102" s="30"/>
      <c r="O102" s="30"/>
      <c r="P102" s="21"/>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row>
  </sheetData>
  <mergeCells count="2">
    <mergeCell ref="N5:N6"/>
    <mergeCell ref="O5:O6"/>
  </mergeCells>
  <conditionalFormatting sqref="E5">
    <cfRule type="notContainsBlanks" dxfId="0" priority="1">
      <formula>LEN(TRIM(E5))&gt;0</formula>
    </cfRule>
  </conditionalFormatting>
  <dataValidations>
    <dataValidation type="list" allowBlank="1" showErrorMessage="1" sqref="N8 N10 N12 N14 N16 N18 N20 N22 N24 N26 N28 N30 N32 N34 N36 N38 N40 N42 N44 N46 N48 N50 N52 N54 N56 N58 N60 N62 N64 N66 N68 N70 N72 N74 N76 N78 N80 N82 N84 N86 N88 N90 N92 N94 N96 N98 N100 N102">
      <formula1>"Solved,Unsolved,Already Working"</formula1>
    </dataValidation>
    <dataValidation type="list" allowBlank="1" showErrorMessage="1" sqref="J8 J10 J12 J14 J16 J18 J20 J22 J24 J26 J28 J30 J32 J34 J36 J38 J40 J42 J44 J46 J48 J50 J52 J54 J56 J58 J60 J62 J64 J66 J68 J70 J72 J74 J76 J78 J80 J82 J84 J86 J88 J90 J92 J94 J96 J98 J100 J102">
      <formula1>"Pass,Fail"</formula1>
    </dataValidation>
    <dataValidation type="list" allowBlank="1" showErrorMessage="1" sqref="K8 K10 K12 K14 K16 K18 K20 K22 K24 K26 K28 K30 K32 K34 K36 K38 K40 K42 K44 K46 K48 K50 K52 K54 K56 K58 K60 K62 K64 K66 K68 K70 K72 K74 K76 K78 K80 K82 K84 K86 K88 K90 K92 K94 K96 K98 K100 K102">
      <formula1>"High,Medium,Low"</formula1>
    </dataValidation>
    <dataValidation type="list" allowBlank="1" showErrorMessage="1" sqref="O8 O10 O12 O14 O16 O18 O20 O22 O24 O26 O28 O30 O32 O34 O36 O38 O40 O42 O44 O46 O48 O50 O52 O54 O56 O58 O60 O62 O64 O66 O68 O70 O72 O74 O76 O78 O80 O82 O84 O86 O88 O90 O92 O94 O96 O98 O100 O102">
      <formula1>"Front-End,Back-End,AI,UI/UX"</formula1>
    </dataValidation>
  </dataValidations>
  <hyperlinks>
    <hyperlink r:id="rId1" ref="L8"/>
    <hyperlink r:id="rId2" ref="L10"/>
    <hyperlink r:id="rId3" ref="L12"/>
    <hyperlink r:id="rId4" ref="L14"/>
    <hyperlink r:id="rId5" ref="L16"/>
    <hyperlink r:id="rId6" ref="L18"/>
    <hyperlink r:id="rId7" ref="L20"/>
    <hyperlink r:id="rId8" ref="L22"/>
    <hyperlink r:id="rId9" ref="L24"/>
    <hyperlink r:id="rId10" ref="L26"/>
    <hyperlink r:id="rId11" ref="L28"/>
    <hyperlink r:id="rId12" ref="L30"/>
    <hyperlink r:id="rId13" ref="L32"/>
    <hyperlink r:id="rId14" ref="L34"/>
    <hyperlink r:id="rId15" ref="L36"/>
    <hyperlink r:id="rId16" ref="L38"/>
    <hyperlink r:id="rId17" ref="L40"/>
    <hyperlink r:id="rId18" ref="L42"/>
    <hyperlink r:id="rId19" ref="L44"/>
    <hyperlink r:id="rId20" ref="L46"/>
    <hyperlink r:id="rId21" ref="L48"/>
    <hyperlink r:id="rId22" ref="L50"/>
    <hyperlink r:id="rId23" ref="L52"/>
    <hyperlink r:id="rId24" ref="L54"/>
    <hyperlink r:id="rId25" ref="L56"/>
    <hyperlink r:id="rId26" ref="L58"/>
    <hyperlink r:id="rId27" ref="L60"/>
    <hyperlink r:id="rId28" ref="L62"/>
    <hyperlink r:id="rId29" ref="L64"/>
    <hyperlink r:id="rId30" ref="L66"/>
    <hyperlink r:id="rId31" ref="L68"/>
    <hyperlink r:id="rId32" ref="L70"/>
    <hyperlink r:id="rId33" ref="L72"/>
    <hyperlink r:id="rId34" ref="L74"/>
    <hyperlink r:id="rId35" ref="L76"/>
    <hyperlink r:id="rId36" ref="L78"/>
    <hyperlink r:id="rId37" ref="L80"/>
    <hyperlink r:id="rId38" ref="L82"/>
    <hyperlink r:id="rId39" ref="L84"/>
    <hyperlink r:id="rId40" ref="L86"/>
    <hyperlink r:id="rId41" ref="L88"/>
    <hyperlink r:id="rId42" ref="L90"/>
  </hyperlinks>
  <drawing r:id="rId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0"/>
    <col customWidth="1" min="15" max="15" width="14.13"/>
  </cols>
  <sheetData>
    <row r="1">
      <c r="A1" s="34"/>
      <c r="B1" s="34"/>
      <c r="C1" s="34"/>
      <c r="D1" s="34"/>
      <c r="E1" s="35"/>
      <c r="F1" s="35"/>
      <c r="G1" s="34"/>
      <c r="H1" s="34"/>
      <c r="I1" s="34"/>
      <c r="J1" s="34"/>
      <c r="K1" s="34"/>
      <c r="L1" s="34"/>
      <c r="M1" s="34"/>
      <c r="N1" s="34"/>
      <c r="O1" s="34"/>
    </row>
    <row r="2">
      <c r="A2" s="36" t="s">
        <v>0</v>
      </c>
      <c r="B2" s="37"/>
      <c r="C2" s="34"/>
      <c r="D2" s="38" t="s">
        <v>2</v>
      </c>
      <c r="E2" s="38" t="s">
        <v>3</v>
      </c>
      <c r="F2" s="34"/>
      <c r="G2" s="34"/>
      <c r="H2" s="34"/>
      <c r="I2" s="34"/>
      <c r="J2" s="34"/>
      <c r="K2" s="34"/>
      <c r="L2" s="34"/>
      <c r="M2" s="34"/>
      <c r="N2" s="34"/>
      <c r="O2" s="34"/>
    </row>
    <row r="3">
      <c r="A3" s="36" t="s">
        <v>4</v>
      </c>
      <c r="B3" s="39"/>
      <c r="C3" s="34"/>
      <c r="D3" s="40" t="s">
        <v>6</v>
      </c>
      <c r="E3" s="41">
        <f>COUNTIF(K14:K897, "High")</f>
        <v>0</v>
      </c>
      <c r="F3" s="34"/>
      <c r="G3" s="34"/>
      <c r="H3" s="34"/>
      <c r="I3" s="34"/>
      <c r="J3" s="34"/>
      <c r="K3" s="34"/>
      <c r="L3" s="34"/>
      <c r="M3" s="34"/>
      <c r="N3" s="34"/>
      <c r="O3" s="34"/>
    </row>
    <row r="4">
      <c r="A4" s="36" t="s">
        <v>298</v>
      </c>
      <c r="B4" s="42"/>
      <c r="C4" s="34"/>
      <c r="D4" s="40" t="s">
        <v>10</v>
      </c>
      <c r="E4" s="41">
        <f>COUNTIF(K14:K898, "Medium")</f>
        <v>0</v>
      </c>
      <c r="F4" s="34"/>
      <c r="G4" s="34"/>
      <c r="H4" s="34"/>
      <c r="I4" s="34"/>
      <c r="J4" s="34"/>
      <c r="K4" s="34"/>
      <c r="L4" s="34"/>
      <c r="M4" s="34"/>
      <c r="N4" s="34"/>
      <c r="O4" s="34"/>
    </row>
    <row r="5">
      <c r="A5" s="36" t="s">
        <v>8</v>
      </c>
      <c r="B5" s="43"/>
      <c r="C5" s="34"/>
      <c r="D5" s="40" t="s">
        <v>14</v>
      </c>
      <c r="E5" s="41">
        <f>COUNTIF(K14:K899, "Low") </f>
        <v>0</v>
      </c>
      <c r="F5" s="34"/>
      <c r="G5" s="34"/>
      <c r="H5" s="34"/>
      <c r="I5" s="34"/>
      <c r="J5" s="34"/>
      <c r="K5" s="34"/>
      <c r="L5" s="34"/>
      <c r="M5" s="34"/>
      <c r="N5" s="34"/>
      <c r="O5" s="34"/>
    </row>
    <row r="6">
      <c r="A6" s="36" t="s">
        <v>12</v>
      </c>
      <c r="B6" s="43"/>
      <c r="C6" s="34"/>
      <c r="D6" s="34"/>
      <c r="E6" s="34"/>
      <c r="F6" s="34"/>
      <c r="G6" s="34"/>
      <c r="H6" s="34"/>
      <c r="I6" s="34"/>
      <c r="J6" s="34"/>
      <c r="K6" s="34"/>
      <c r="L6" s="34"/>
      <c r="M6" s="34"/>
      <c r="N6" s="34"/>
      <c r="O6" s="34"/>
    </row>
    <row r="7">
      <c r="A7" s="44" t="s">
        <v>299</v>
      </c>
      <c r="B7" s="43"/>
      <c r="C7" s="34"/>
      <c r="D7" s="45" t="s">
        <v>7</v>
      </c>
      <c r="E7" s="46">
        <f>SUM(E3:E5)</f>
        <v>0</v>
      </c>
      <c r="F7" s="34"/>
      <c r="G7" s="34"/>
      <c r="H7" s="34"/>
      <c r="I7" s="34"/>
      <c r="J7" s="34"/>
      <c r="K7" s="34"/>
      <c r="L7" s="34"/>
      <c r="M7" s="34"/>
      <c r="N7" s="34"/>
      <c r="O7" s="34"/>
    </row>
    <row r="8">
      <c r="A8" s="34"/>
      <c r="B8" s="34"/>
      <c r="C8" s="34"/>
      <c r="D8" s="45" t="s">
        <v>11</v>
      </c>
      <c r="E8" s="43"/>
      <c r="F8" s="34"/>
      <c r="G8" s="34"/>
      <c r="H8" s="34"/>
      <c r="I8" s="34"/>
      <c r="J8" s="34"/>
      <c r="K8" s="34"/>
      <c r="L8" s="34"/>
      <c r="M8" s="34"/>
      <c r="N8" s="34"/>
      <c r="O8" s="34"/>
    </row>
    <row r="9">
      <c r="A9" s="34"/>
      <c r="B9" s="34"/>
      <c r="C9" s="34"/>
      <c r="D9" s="34"/>
      <c r="E9" s="34"/>
      <c r="F9" s="34"/>
      <c r="G9" s="34"/>
      <c r="H9" s="34"/>
      <c r="I9" s="34"/>
      <c r="J9" s="34"/>
      <c r="K9" s="34"/>
      <c r="L9" s="34"/>
      <c r="M9" s="34"/>
      <c r="N9" s="34"/>
      <c r="O9" s="34"/>
    </row>
    <row r="10">
      <c r="A10" s="47" t="s">
        <v>19</v>
      </c>
      <c r="B10" s="47" t="s">
        <v>20</v>
      </c>
      <c r="C10" s="47" t="s">
        <v>21</v>
      </c>
      <c r="D10" s="47" t="s">
        <v>22</v>
      </c>
      <c r="E10" s="47" t="s">
        <v>23</v>
      </c>
      <c r="F10" s="47" t="s">
        <v>24</v>
      </c>
      <c r="G10" s="47" t="s">
        <v>25</v>
      </c>
      <c r="H10" s="47" t="s">
        <v>26</v>
      </c>
      <c r="I10" s="47" t="s">
        <v>27</v>
      </c>
      <c r="J10" s="47" t="s">
        <v>28</v>
      </c>
      <c r="K10" s="47" t="s">
        <v>2</v>
      </c>
      <c r="L10" s="47" t="s">
        <v>29</v>
      </c>
      <c r="M10" s="47" t="s">
        <v>30</v>
      </c>
      <c r="N10" s="48" t="s">
        <v>31</v>
      </c>
      <c r="O10" s="48" t="s">
        <v>32</v>
      </c>
      <c r="P10" s="49" t="s">
        <v>33</v>
      </c>
    </row>
    <row r="11">
      <c r="A11" s="20"/>
      <c r="B11" s="21"/>
      <c r="C11" s="21"/>
      <c r="D11" s="20"/>
      <c r="E11" s="20"/>
      <c r="F11" s="22"/>
      <c r="G11" s="50"/>
      <c r="H11" s="20"/>
      <c r="I11" s="20"/>
      <c r="J11" s="20"/>
      <c r="K11" s="20"/>
      <c r="L11" s="51"/>
      <c r="M11" s="50"/>
      <c r="N11" s="50"/>
      <c r="O11" s="50"/>
      <c r="P11" s="52"/>
    </row>
    <row r="12">
      <c r="A12" s="53"/>
      <c r="B12" s="53"/>
      <c r="C12" s="53"/>
      <c r="D12" s="53"/>
      <c r="E12" s="53"/>
      <c r="F12" s="54"/>
      <c r="G12" s="53"/>
      <c r="H12" s="53"/>
      <c r="I12" s="53"/>
      <c r="J12" s="53"/>
      <c r="K12" s="53"/>
      <c r="L12" s="53"/>
      <c r="M12" s="53"/>
      <c r="N12" s="55"/>
      <c r="O12" s="55"/>
      <c r="P12" s="53"/>
    </row>
    <row r="13">
      <c r="A13" s="21"/>
      <c r="B13" s="21"/>
      <c r="C13" s="21"/>
      <c r="D13" s="21"/>
      <c r="E13" s="21"/>
      <c r="F13" s="26"/>
      <c r="G13" s="52"/>
      <c r="H13" s="21"/>
      <c r="I13" s="21"/>
      <c r="J13" s="21"/>
      <c r="K13" s="21"/>
      <c r="L13" s="56"/>
      <c r="M13" s="57"/>
      <c r="N13" s="57"/>
      <c r="O13" s="57"/>
      <c r="P13" s="52"/>
    </row>
  </sheetData>
  <dataValidations>
    <dataValidation type="list" allowBlank="1" showErrorMessage="1" sqref="N11 N13">
      <formula1>"Solved,Unsolved"</formula1>
    </dataValidation>
    <dataValidation type="list" allowBlank="1" showErrorMessage="1" sqref="J11 J13">
      <formula1>"Pass,Fail"</formula1>
    </dataValidation>
    <dataValidation type="list" allowBlank="1" showErrorMessage="1" sqref="K11 K13">
      <formula1>"High,Medium,Low"</formula1>
    </dataValidation>
    <dataValidation type="list" allowBlank="1" showErrorMessage="1" sqref="O11 O13">
      <formula1>"Front-End,Back-End,AI,UI/UX"</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58" t="s">
        <v>20</v>
      </c>
      <c r="B1" s="58" t="s">
        <v>21</v>
      </c>
      <c r="C1" s="59" t="s">
        <v>300</v>
      </c>
      <c r="D1" s="58" t="s">
        <v>301</v>
      </c>
      <c r="E1" s="58" t="s">
        <v>302</v>
      </c>
      <c r="F1" s="47" t="s">
        <v>303</v>
      </c>
      <c r="G1" s="55"/>
      <c r="H1" s="55"/>
      <c r="I1" s="55"/>
      <c r="J1" s="55"/>
      <c r="K1" s="55"/>
      <c r="L1" s="55"/>
      <c r="M1" s="55"/>
      <c r="N1" s="55"/>
      <c r="O1" s="55"/>
      <c r="P1" s="55"/>
      <c r="Q1" s="55"/>
      <c r="R1" s="55"/>
      <c r="S1" s="55"/>
      <c r="T1" s="55"/>
      <c r="U1" s="55"/>
      <c r="V1" s="55"/>
      <c r="W1" s="55"/>
      <c r="X1" s="55"/>
      <c r="Y1" s="55"/>
      <c r="Z1" s="55"/>
      <c r="AA1" s="55"/>
    </row>
    <row r="2">
      <c r="A2" s="60" t="str">
        <f>IFERROR(__xludf.DUMMYFUNCTION("SORT(
  SPLIT(
    UNIQUE(
      FILTER('Main Report'!B11:B100 &amp; ""♦"" &amp; 'Main Report'!C11:C100, LEN('Main Report'!C11:C100))
    ),
    ""♦""
  ),
  1, TRUE, 2, TRUE
)
"),"Recruiter")</f>
        <v>Recruiter</v>
      </c>
      <c r="B2" s="60" t="str">
        <f>IFERROR(__xludf.DUMMYFUNCTION("""COMPUTED_VALUE"""),"Applicant Details")</f>
        <v>Applicant Details</v>
      </c>
      <c r="C2" s="60" t="str">
        <f>IFERROR(__xludf.DUMMYFUNCTION("TEXTJOIN("", "", TRUE, 
  FILTER('Main Report'!A11:A100, 
    ('Main Report'!B11:B100=A2) * ('Main Report'!C11:C100=B2)
  )
)
"),"BR-001")</f>
        <v>BR-001</v>
      </c>
      <c r="D2" s="60">
        <f>IFERROR(__xludf.DUMMYFUNCTION("COUNTA(UNIQUE(TRANSPOSE(SPLIT(C2, "", ""))))
"),1.0)</f>
        <v>1</v>
      </c>
      <c r="E2" s="60" t="str">
        <f>IF(D2="", "", TEXT((D2 / 'Main Report'!$E$7), "0.00%"))
</f>
        <v>2.38%</v>
      </c>
      <c r="F2" s="61"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0
Medium: 1
Low: 0")</f>
        <v>High: 0
Medium: 1
Low: 0</v>
      </c>
      <c r="G2" s="55"/>
      <c r="H2" s="55"/>
      <c r="I2" s="55"/>
      <c r="J2" s="55"/>
      <c r="K2" s="55"/>
      <c r="L2" s="55"/>
      <c r="M2" s="55"/>
      <c r="N2" s="55"/>
      <c r="O2" s="55"/>
      <c r="P2" s="55"/>
      <c r="Q2" s="55"/>
      <c r="R2" s="55"/>
      <c r="S2" s="55"/>
      <c r="T2" s="55"/>
      <c r="U2" s="55"/>
      <c r="V2" s="55"/>
      <c r="W2" s="55"/>
      <c r="X2" s="55"/>
      <c r="Y2" s="55"/>
      <c r="Z2" s="55"/>
      <c r="AA2" s="55"/>
    </row>
    <row r="3">
      <c r="A3" s="57" t="str">
        <f>IFERROR(__xludf.DUMMYFUNCTION("""COMPUTED_VALUE"""),"Recruiter")</f>
        <v>Recruiter</v>
      </c>
      <c r="B3" s="57" t="str">
        <f>IFERROR(__xludf.DUMMYFUNCTION("""COMPUTED_VALUE"""),"Certificate")</f>
        <v>Certificate</v>
      </c>
      <c r="C3" s="57" t="str">
        <f>IFERROR(__xludf.DUMMYFUNCTION("TEXTJOIN("", "", TRUE, 
  FILTER('Main Report'!A12:A101, 
    ('Main Report'!B12:B101=A3) * ('Main Report'!C12:C101=B3)
  )
)
"),"BR-002")</f>
        <v>BR-002</v>
      </c>
      <c r="D3" s="60">
        <f>IFERROR(__xludf.DUMMYFUNCTION("COUNTA(UNIQUE(TRANSPOSE(SPLIT(C3, "", ""))))
"),1.0)</f>
        <v>1</v>
      </c>
      <c r="E3" s="57" t="str">
        <f>IF(D3="", "", TEXT((D3 / 'Main Report'!$E$7), "0.00%"))
</f>
        <v>2.38%</v>
      </c>
      <c r="F3" s="62"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1
Medium: 0
Low: 0")</f>
        <v>High: 1
Medium: 0
Low: 0</v>
      </c>
      <c r="G3" s="55"/>
      <c r="H3" s="55"/>
      <c r="I3" s="55"/>
      <c r="J3" s="55"/>
      <c r="K3" s="55"/>
      <c r="L3" s="55"/>
      <c r="M3" s="55"/>
      <c r="N3" s="55"/>
      <c r="O3" s="55"/>
      <c r="P3" s="55"/>
      <c r="Q3" s="55"/>
      <c r="R3" s="55"/>
      <c r="S3" s="55"/>
      <c r="T3" s="55"/>
      <c r="U3" s="55"/>
      <c r="V3" s="55"/>
      <c r="W3" s="55"/>
      <c r="X3" s="55"/>
      <c r="Y3" s="55"/>
      <c r="Z3" s="55"/>
      <c r="AA3" s="55"/>
    </row>
    <row r="4">
      <c r="A4" s="57" t="str">
        <f>IFERROR(__xludf.DUMMYFUNCTION("""COMPUTED_VALUE"""),"Recruiter")</f>
        <v>Recruiter</v>
      </c>
      <c r="B4" s="57" t="str">
        <f>IFERROR(__xludf.DUMMYFUNCTION("""COMPUTED_VALUE"""),"Chat")</f>
        <v>Chat</v>
      </c>
      <c r="C4" s="57" t="str">
        <f>IFERROR(__xludf.DUMMYFUNCTION("TEXTJOIN("", "", TRUE, 
  FILTER('Main Report'!A13:A102, 
    ('Main Report'!B13:B102=A4) * ('Main Report'!C13:C102=B4)
  )
)
"),"BR-003")</f>
        <v>BR-003</v>
      </c>
      <c r="D4" s="60">
        <f>IFERROR(__xludf.DUMMYFUNCTION("COUNTA(UNIQUE(TRANSPOSE(SPLIT(C4, "", ""))))
"),1.0)</f>
        <v>1</v>
      </c>
      <c r="E4" s="57" t="str">
        <f>IF(D4="", "", TEXT((D4 / 'Main Report'!$E$7), "0.00%"))
</f>
        <v>2.38%</v>
      </c>
      <c r="F4" s="62"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1
Medium: 0
Low: 0")</f>
        <v>High: 1
Medium: 0
Low: 0</v>
      </c>
      <c r="G4" s="55"/>
      <c r="H4" s="55"/>
      <c r="I4" s="55"/>
      <c r="J4" s="55"/>
      <c r="K4" s="55"/>
      <c r="L4" s="55"/>
      <c r="M4" s="55"/>
      <c r="N4" s="55"/>
      <c r="O4" s="55"/>
      <c r="P4" s="55"/>
      <c r="Q4" s="55"/>
      <c r="R4" s="55"/>
      <c r="S4" s="55"/>
      <c r="T4" s="55"/>
      <c r="U4" s="55"/>
      <c r="V4" s="55"/>
      <c r="W4" s="55"/>
      <c r="X4" s="55"/>
      <c r="Y4" s="55"/>
      <c r="Z4" s="55"/>
      <c r="AA4" s="55"/>
    </row>
    <row r="5">
      <c r="A5" s="57" t="str">
        <f>IFERROR(__xludf.DUMMYFUNCTION("""COMPUTED_VALUE"""),"Recruiter")</f>
        <v>Recruiter</v>
      </c>
      <c r="B5" s="57" t="str">
        <f>IFERROR(__xludf.DUMMYFUNCTION("""COMPUTED_VALUE"""),"Document")</f>
        <v>Document</v>
      </c>
      <c r="C5" s="57" t="str">
        <f>IFERROR(__xludf.DUMMYFUNCTION("TEXTJOIN("", "", TRUE, 
  FILTER('Main Report'!A14:A103, 
    ('Main Report'!B14:B103=A5) * ('Main Report'!C14:C103=B5)
  )
)
"),"BR-004")</f>
        <v>BR-004</v>
      </c>
      <c r="D5" s="60">
        <f>IFERROR(__xludf.DUMMYFUNCTION("COUNTA(UNIQUE(TRANSPOSE(SPLIT(C5, "", ""))))
"),1.0)</f>
        <v>1</v>
      </c>
      <c r="E5" s="57" t="str">
        <f>IF(D5="", "", TEXT((D5 / 'Main Report'!$E$7), "0.00%"))
</f>
        <v>2.38%</v>
      </c>
      <c r="F5" s="62"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0
Medium: 0
Low: 1")</f>
        <v>High: 0
Medium: 0
Low: 1</v>
      </c>
      <c r="G5" s="55"/>
      <c r="H5" s="55"/>
      <c r="I5" s="55"/>
      <c r="J5" s="55"/>
      <c r="K5" s="55"/>
      <c r="L5" s="55"/>
      <c r="M5" s="55"/>
      <c r="N5" s="55"/>
      <c r="O5" s="55"/>
      <c r="P5" s="55"/>
      <c r="Q5" s="55"/>
      <c r="R5" s="55"/>
      <c r="S5" s="55"/>
      <c r="T5" s="55"/>
      <c r="U5" s="55"/>
      <c r="V5" s="55"/>
      <c r="W5" s="55"/>
      <c r="X5" s="55"/>
      <c r="Y5" s="55"/>
      <c r="Z5" s="55"/>
      <c r="AA5" s="55"/>
    </row>
    <row r="6">
      <c r="A6" s="57" t="str">
        <f>IFERROR(__xludf.DUMMYFUNCTION("""COMPUTED_VALUE"""),"Recruiter")</f>
        <v>Recruiter</v>
      </c>
      <c r="B6" s="57" t="str">
        <f>IFERROR(__xludf.DUMMYFUNCTION("""COMPUTED_VALUE"""),"Forget Password")</f>
        <v>Forget Password</v>
      </c>
      <c r="C6" s="57" t="str">
        <f>IFERROR(__xludf.DUMMYFUNCTION("TEXTJOIN("", "", TRUE, 
  FILTER('Main Report'!A15:A104, 
    ('Main Report'!B15:B104=A6) * ('Main Report'!C15:C104=B6)
  )
)
"),"BR-005, BR-006")</f>
        <v>BR-005, BR-006</v>
      </c>
      <c r="D6" s="60">
        <f>IFERROR(__xludf.DUMMYFUNCTION("COUNTA(UNIQUE(TRANSPOSE(SPLIT(C6, "", ""))))
"),2.0)</f>
        <v>2</v>
      </c>
      <c r="E6" s="57" t="str">
        <f>IF(D6="", "", TEXT((D6 / 'Main Report'!$E$7), "0.00%"))
</f>
        <v>4.76%</v>
      </c>
      <c r="F6" s="62"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1
Medium: 1
Low: 0")</f>
        <v>High: 1
Medium: 1
Low: 0</v>
      </c>
      <c r="G6" s="55"/>
      <c r="H6" s="55"/>
      <c r="I6" s="55"/>
      <c r="J6" s="55"/>
      <c r="K6" s="55"/>
      <c r="L6" s="55"/>
      <c r="M6" s="55"/>
      <c r="N6" s="55"/>
      <c r="O6" s="55"/>
      <c r="P6" s="55"/>
      <c r="Q6" s="55"/>
      <c r="R6" s="55"/>
      <c r="S6" s="55"/>
      <c r="T6" s="55"/>
      <c r="U6" s="55"/>
      <c r="V6" s="55"/>
      <c r="W6" s="55"/>
      <c r="X6" s="55"/>
      <c r="Y6" s="55"/>
      <c r="Z6" s="55"/>
      <c r="AA6" s="55"/>
    </row>
    <row r="7">
      <c r="A7" s="57" t="str">
        <f>IFERROR(__xludf.DUMMYFUNCTION("""COMPUTED_VALUE"""),"Recruiter")</f>
        <v>Recruiter</v>
      </c>
      <c r="B7" s="57" t="str">
        <f>IFERROR(__xludf.DUMMYFUNCTION("""COMPUTED_VALUE"""),"Job Details")</f>
        <v>Job Details</v>
      </c>
      <c r="C7" s="57" t="str">
        <f>IFERROR(__xludf.DUMMYFUNCTION("TEXTJOIN("", "", TRUE, 
  FILTER('Main Report'!A16:A105, 
    ('Main Report'!B16:B105=A7) * ('Main Report'!C16:C105=B7)
  )
)
"),"BR-007, BR-008, BR-009")</f>
        <v>BR-007, BR-008, BR-009</v>
      </c>
      <c r="D7" s="60">
        <f>IFERROR(__xludf.DUMMYFUNCTION("COUNTA(UNIQUE(TRANSPOSE(SPLIT(C7, "", ""))))
"),3.0)</f>
        <v>3</v>
      </c>
      <c r="E7" s="57" t="str">
        <f>IF(D7="", "", TEXT((D7 / 'Main Report'!$E$7), "0.00%"))
</f>
        <v>7.14%</v>
      </c>
      <c r="F7" s="62"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3
Medium: 0
Low: 0")</f>
        <v>High: 3
Medium: 0
Low: 0</v>
      </c>
      <c r="G7" s="55"/>
      <c r="H7" s="55"/>
      <c r="I7" s="55"/>
      <c r="J7" s="55"/>
      <c r="K7" s="55"/>
      <c r="L7" s="55"/>
      <c r="M7" s="55"/>
      <c r="N7" s="55"/>
      <c r="O7" s="55"/>
      <c r="P7" s="55"/>
      <c r="Q7" s="55"/>
      <c r="R7" s="55"/>
      <c r="S7" s="55"/>
      <c r="T7" s="55"/>
      <c r="U7" s="55"/>
      <c r="V7" s="55"/>
      <c r="W7" s="55"/>
      <c r="X7" s="55"/>
      <c r="Y7" s="55"/>
      <c r="Z7" s="55"/>
      <c r="AA7" s="55"/>
    </row>
    <row r="8">
      <c r="A8" s="57" t="str">
        <f>IFERROR(__xludf.DUMMYFUNCTION("""COMPUTED_VALUE"""),"Recruiter")</f>
        <v>Recruiter</v>
      </c>
      <c r="B8" s="57" t="str">
        <f>IFERROR(__xludf.DUMMYFUNCTION("""COMPUTED_VALUE"""),"Login")</f>
        <v>Login</v>
      </c>
      <c r="C8" s="57" t="str">
        <f>IFERROR(__xludf.DUMMYFUNCTION("TEXTJOIN("", "", TRUE, 
  FILTER('Main Report'!A17:A106, 
    ('Main Report'!B17:B106=A8) * ('Main Report'!C17:C106=B8)
  )
)
"),"BR-010, BR-011, BR-012")</f>
        <v>BR-010, BR-011, BR-012</v>
      </c>
      <c r="D8" s="60">
        <f>IFERROR(__xludf.DUMMYFUNCTION("COUNTA(UNIQUE(TRANSPOSE(SPLIT(C8, "", ""))))
"),3.0)</f>
        <v>3</v>
      </c>
      <c r="E8" s="57" t="str">
        <f>IF(D8="", "", TEXT((D8 / 'Main Report'!$E$7), "0.00%"))
</f>
        <v>7.14%</v>
      </c>
      <c r="F8" s="62"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2
Medium: 1
Low: 0")</f>
        <v>High: 2
Medium: 1
Low: 0</v>
      </c>
      <c r="G8" s="55"/>
      <c r="H8" s="55"/>
      <c r="I8" s="55"/>
      <c r="J8" s="55"/>
      <c r="K8" s="55"/>
      <c r="L8" s="55"/>
      <c r="M8" s="55"/>
      <c r="N8" s="55"/>
      <c r="O8" s="55"/>
      <c r="P8" s="55"/>
      <c r="Q8" s="55"/>
      <c r="R8" s="55"/>
      <c r="S8" s="55"/>
      <c r="T8" s="55"/>
      <c r="U8" s="55"/>
      <c r="V8" s="55"/>
      <c r="W8" s="55"/>
      <c r="X8" s="55"/>
      <c r="Y8" s="55"/>
      <c r="Z8" s="55"/>
      <c r="AA8" s="55"/>
    </row>
    <row r="9">
      <c r="A9" s="57" t="str">
        <f>IFERROR(__xludf.DUMMYFUNCTION("""COMPUTED_VALUE"""),"Recruiter")</f>
        <v>Recruiter</v>
      </c>
      <c r="B9" s="57" t="str">
        <f>IFERROR(__xludf.DUMMYFUNCTION("""COMPUTED_VALUE"""),"OTP")</f>
        <v>OTP</v>
      </c>
      <c r="C9" s="57" t="str">
        <f>IFERROR(__xludf.DUMMYFUNCTION("TEXTJOIN("", "", TRUE, 
  FILTER('Main Report'!A18:A107, 
    ('Main Report'!B18:B107=A9) * ('Main Report'!C18:C107=B9)
  )
)
"),"BR-013")</f>
        <v>BR-013</v>
      </c>
      <c r="D9" s="60">
        <f>IFERROR(__xludf.DUMMYFUNCTION("COUNTA(UNIQUE(TRANSPOSE(SPLIT(C9, "", ""))))
"),1.0)</f>
        <v>1</v>
      </c>
      <c r="E9" s="57" t="str">
        <f>IF(D9="", "", TEXT((D9 / 'Main Report'!$E$7), "0.00%"))
</f>
        <v>2.38%</v>
      </c>
      <c r="F9" s="62"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1
Medium: 0
Low: 0")</f>
        <v>High: 1
Medium: 0
Low: 0</v>
      </c>
      <c r="G9" s="55"/>
      <c r="H9" s="55"/>
      <c r="I9" s="55"/>
      <c r="J9" s="55"/>
      <c r="K9" s="55"/>
      <c r="L9" s="55"/>
      <c r="M9" s="55"/>
      <c r="N9" s="55"/>
      <c r="O9" s="55"/>
      <c r="P9" s="55"/>
      <c r="Q9" s="55"/>
      <c r="R9" s="55"/>
      <c r="S9" s="55"/>
      <c r="T9" s="55"/>
      <c r="U9" s="55"/>
      <c r="V9" s="55"/>
      <c r="W9" s="55"/>
      <c r="X9" s="55"/>
      <c r="Y9" s="55"/>
      <c r="Z9" s="55"/>
      <c r="AA9" s="55"/>
    </row>
    <row r="10">
      <c r="A10" s="57" t="str">
        <f>IFERROR(__xludf.DUMMYFUNCTION("""COMPUTED_VALUE"""),"Recruiter")</f>
        <v>Recruiter</v>
      </c>
      <c r="B10" s="57" t="str">
        <f>IFERROR(__xludf.DUMMYFUNCTION("""COMPUTED_VALUE"""),"Search")</f>
        <v>Search</v>
      </c>
      <c r="C10" s="57" t="str">
        <f>IFERROR(__xludf.DUMMYFUNCTION("TEXTJOIN("", "", TRUE, 
  FILTER('Main Report'!A19:A108, 
    ('Main Report'!B19:B108=A10) * ('Main Report'!C19:C108=B10)
  )
)
"),"BR-014, BR-015")</f>
        <v>BR-014, BR-015</v>
      </c>
      <c r="D10" s="60">
        <f>IFERROR(__xludf.DUMMYFUNCTION("COUNTA(UNIQUE(TRANSPOSE(SPLIT(C10, "", ""))))
"),2.0)</f>
        <v>2</v>
      </c>
      <c r="E10" s="57" t="str">
        <f>IF(D10="", "", TEXT((D10 / 'Main Report'!$E$7), "0.00%"))
</f>
        <v>4.76%</v>
      </c>
      <c r="F10" s="62"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1
Medium: 1
Low: 0")</f>
        <v>High: 1
Medium: 1
Low: 0</v>
      </c>
      <c r="G10" s="55"/>
      <c r="H10" s="55"/>
      <c r="I10" s="55"/>
      <c r="J10" s="55"/>
      <c r="K10" s="55"/>
      <c r="L10" s="55"/>
      <c r="M10" s="55"/>
      <c r="N10" s="55"/>
      <c r="O10" s="55"/>
      <c r="P10" s="55"/>
      <c r="Q10" s="55"/>
      <c r="R10" s="55"/>
      <c r="S10" s="55"/>
      <c r="T10" s="55"/>
      <c r="U10" s="55"/>
      <c r="V10" s="55"/>
      <c r="W10" s="55"/>
      <c r="X10" s="55"/>
      <c r="Y10" s="55"/>
      <c r="Z10" s="55"/>
      <c r="AA10" s="55"/>
    </row>
    <row r="11">
      <c r="A11" s="57" t="str">
        <f>IFERROR(__xludf.DUMMYFUNCTION("""COMPUTED_VALUE"""),"Worker")</f>
        <v>Worker</v>
      </c>
      <c r="B11" s="57" t="str">
        <f>IFERROR(__xludf.DUMMYFUNCTION("""COMPUTED_VALUE"""),"Certificate")</f>
        <v>Certificate</v>
      </c>
      <c r="C11" s="57" t="str">
        <f>IFERROR(__xludf.DUMMYFUNCTION("TEXTJOIN("", "", TRUE, 
  FILTER('Main Report'!A20:A109, 
    ('Main Report'!B20:B109=A11) * ('Main Report'!C20:C109=B11)
  )
)
"),"BR-016, BR-017, BR-018, BR-019, BR-020, BR-021")</f>
        <v>BR-016, BR-017, BR-018, BR-019, BR-020, BR-021</v>
      </c>
      <c r="D11" s="60">
        <f>IFERROR(__xludf.DUMMYFUNCTION("COUNTA(UNIQUE(TRANSPOSE(SPLIT(C11, "", ""))))
"),6.0)</f>
        <v>6</v>
      </c>
      <c r="E11" s="57" t="str">
        <f>IF(D11="", "", TEXT((D11 / 'Main Report'!$E$7), "0.00%"))
</f>
        <v>14.29%</v>
      </c>
      <c r="F11" s="62"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"),"High: 4
Medium: 1
Low: 1")</f>
        <v>High: 4
Medium: 1
Low: 1</v>
      </c>
      <c r="G11" s="55"/>
      <c r="H11" s="55"/>
      <c r="I11" s="55"/>
      <c r="J11" s="55"/>
      <c r="K11" s="55"/>
      <c r="L11" s="55"/>
      <c r="M11" s="55"/>
      <c r="N11" s="55"/>
      <c r="O11" s="55"/>
      <c r="P11" s="55"/>
      <c r="Q11" s="55"/>
      <c r="R11" s="55"/>
      <c r="S11" s="55"/>
      <c r="T11" s="55"/>
      <c r="U11" s="55"/>
      <c r="V11" s="55"/>
      <c r="W11" s="55"/>
      <c r="X11" s="55"/>
      <c r="Y11" s="55"/>
      <c r="Z11" s="55"/>
      <c r="AA11" s="55"/>
    </row>
    <row r="12">
      <c r="A12" s="57" t="str">
        <f>IFERROR(__xludf.DUMMYFUNCTION("""COMPUTED_VALUE"""),"Worker")</f>
        <v>Worker</v>
      </c>
      <c r="B12" s="57" t="str">
        <f>IFERROR(__xludf.DUMMYFUNCTION("""COMPUTED_VALUE"""),"Forget Password")</f>
        <v>Forget Password</v>
      </c>
      <c r="C12" s="57" t="str">
        <f>IFERROR(__xludf.DUMMYFUNCTION("TEXTJOIN("", "", TRUE, 
  FILTER('Main Report'!A21:A110, 
    ('Main Report'!B21:B110=A12) * ('Main Report'!C21:C110=B12)
  )
)
"),"BR-022")</f>
        <v>BR-022</v>
      </c>
      <c r="D12" s="60">
        <f>IFERROR(__xludf.DUMMYFUNCTION("COUNTA(UNIQUE(TRANSPOSE(SPLIT(C12, "", ""))))
"),1.0)</f>
        <v>1</v>
      </c>
      <c r="E12" s="57" t="str">
        <f>IF(D12="", "", TEXT((D12 / 'Main Report'!$E$7), "0.00%"))
</f>
        <v>2.38%</v>
      </c>
      <c r="F12" s="62"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"),"High: 1
Medium: 0
Low: 0")</f>
        <v>High: 1
Medium: 0
Low: 0</v>
      </c>
      <c r="G12" s="55"/>
      <c r="H12" s="55"/>
      <c r="I12" s="55"/>
      <c r="J12" s="55"/>
      <c r="K12" s="55"/>
      <c r="L12" s="55"/>
      <c r="M12" s="55"/>
      <c r="N12" s="55"/>
      <c r="O12" s="55"/>
      <c r="P12" s="55"/>
      <c r="Q12" s="55"/>
      <c r="R12" s="55"/>
      <c r="S12" s="55"/>
      <c r="T12" s="55"/>
      <c r="U12" s="55"/>
      <c r="V12" s="55"/>
      <c r="W12" s="55"/>
      <c r="X12" s="55"/>
      <c r="Y12" s="55"/>
      <c r="Z12" s="55"/>
      <c r="AA12" s="55"/>
    </row>
    <row r="13">
      <c r="A13" s="57" t="str">
        <f>IFERROR(__xludf.DUMMYFUNCTION("""COMPUTED_VALUE"""),"Worker")</f>
        <v>Worker</v>
      </c>
      <c r="B13" s="57" t="str">
        <f>IFERROR(__xludf.DUMMYFUNCTION("""COMPUTED_VALUE"""),"Home")</f>
        <v>Home</v>
      </c>
      <c r="C13" s="57" t="str">
        <f>IFERROR(__xludf.DUMMYFUNCTION("TEXTJOIN("", "", TRUE, 
  FILTER('Main Report'!A22:A111, 
    ('Main Report'!B22:B111=A13) * ('Main Report'!C22:C111=B13)
  )
)
"),"BR-023, BR-024, BR-025")</f>
        <v>BR-023, BR-024, BR-025</v>
      </c>
      <c r="D13" s="60">
        <f>IFERROR(__xludf.DUMMYFUNCTION("COUNTA(UNIQUE(TRANSPOSE(SPLIT(C13, "", ""))))
"),3.0)</f>
        <v>3</v>
      </c>
      <c r="E13" s="57" t="str">
        <f>IF(D13="", "", TEXT((D13 / 'Main Report'!$E$7), "0.00%"))
</f>
        <v>7.14%</v>
      </c>
      <c r="F13" s="62"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"),"High: 2
Medium: 1
Low: 0")</f>
        <v>High: 2
Medium: 1
Low: 0</v>
      </c>
      <c r="G13" s="55"/>
      <c r="H13" s="55"/>
      <c r="I13" s="55"/>
      <c r="J13" s="55"/>
      <c r="K13" s="55"/>
      <c r="L13" s="55"/>
      <c r="M13" s="55"/>
      <c r="N13" s="55"/>
      <c r="O13" s="55"/>
      <c r="P13" s="55"/>
      <c r="Q13" s="55"/>
      <c r="R13" s="55"/>
      <c r="S13" s="55"/>
      <c r="T13" s="55"/>
      <c r="U13" s="55"/>
      <c r="V13" s="55"/>
      <c r="W13" s="55"/>
      <c r="X13" s="55"/>
      <c r="Y13" s="55"/>
      <c r="Z13" s="55"/>
      <c r="AA13" s="55"/>
    </row>
    <row r="14">
      <c r="A14" s="57" t="str">
        <f>IFERROR(__xludf.DUMMYFUNCTION("""COMPUTED_VALUE"""),"Worker")</f>
        <v>Worker</v>
      </c>
      <c r="B14" s="57" t="str">
        <f>IFERROR(__xludf.DUMMYFUNCTION("""COMPUTED_VALUE"""),"Job Details")</f>
        <v>Job Details</v>
      </c>
      <c r="C14" s="57" t="str">
        <f>IFERROR(__xludf.DUMMYFUNCTION("TEXTJOIN("", "", TRUE, 
  FILTER('Main Report'!A23:A112, 
    ('Main Report'!B23:B112=A14) * ('Main Report'!C23:C112=B14)
  )
)
"),"BR-026, BR-027, BR-028, BR-029, BR-030, BR-031, BR-032, BR-033, BR-034, BR-035")</f>
        <v>BR-026, BR-027, BR-028, BR-029, BR-030, BR-031, BR-032, BR-033, BR-034, BR-035</v>
      </c>
      <c r="D14" s="60">
        <f>IFERROR(__xludf.DUMMYFUNCTION("COUNTA(UNIQUE(TRANSPOSE(SPLIT(C14, "", ""))))
"),10.0)</f>
        <v>10</v>
      </c>
      <c r="E14" s="57" t="str">
        <f>IF(D14="", "", TEXT((D14 / 'Main Report'!$E$7), "0.00%"))
</f>
        <v>23.81%</v>
      </c>
      <c r="F14" s="62"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"),"High: 9
Medium: 1
Low: 0")</f>
        <v>High: 9
Medium: 1
Low: 0</v>
      </c>
      <c r="G14" s="55"/>
      <c r="H14" s="55"/>
      <c r="I14" s="55"/>
      <c r="J14" s="55"/>
      <c r="K14" s="55"/>
      <c r="L14" s="55"/>
      <c r="M14" s="55"/>
      <c r="N14" s="55"/>
      <c r="O14" s="55"/>
      <c r="P14" s="55"/>
      <c r="Q14" s="55"/>
      <c r="R14" s="55"/>
      <c r="S14" s="55"/>
      <c r="T14" s="55"/>
      <c r="U14" s="55"/>
      <c r="V14" s="55"/>
      <c r="W14" s="55"/>
      <c r="X14" s="55"/>
      <c r="Y14" s="55"/>
      <c r="Z14" s="55"/>
      <c r="AA14" s="55"/>
    </row>
    <row r="15">
      <c r="A15" s="57" t="str">
        <f>IFERROR(__xludf.DUMMYFUNCTION("""COMPUTED_VALUE"""),"Worker")</f>
        <v>Worker</v>
      </c>
      <c r="B15" s="57" t="str">
        <f>IFERROR(__xludf.DUMMYFUNCTION("""COMPUTED_VALUE"""),"Mail")</f>
        <v>Mail</v>
      </c>
      <c r="C15" s="57" t="str">
        <f>IFERROR(__xludf.DUMMYFUNCTION("TEXTJOIN("", "", TRUE, 
  FILTER('Main Report'!A24:A113, 
    ('Main Report'!B24:B113=A15) * ('Main Report'!C24:C113=B15)
  )
)
"),"BR-036, BR-037, BR-038")</f>
        <v>BR-036, BR-037, BR-038</v>
      </c>
      <c r="D15" s="60">
        <f>IFERROR(__xludf.DUMMYFUNCTION("COUNTA(UNIQUE(TRANSPOSE(SPLIT(C15, "", ""))))
"),3.0)</f>
        <v>3</v>
      </c>
      <c r="E15" s="57" t="str">
        <f>IF(D15="", "", TEXT((D15 / 'Main Report'!$E$7), "0.00%"))
</f>
        <v>7.14%</v>
      </c>
      <c r="F15" s="62"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"),"High: 0
Medium: 2
Low: 1")</f>
        <v>High: 0
Medium: 2
Low: 1</v>
      </c>
      <c r="G15" s="55"/>
      <c r="H15" s="55"/>
      <c r="I15" s="55"/>
      <c r="J15" s="55"/>
      <c r="K15" s="55"/>
      <c r="L15" s="55"/>
      <c r="M15" s="55"/>
      <c r="N15" s="55"/>
      <c r="O15" s="55"/>
      <c r="P15" s="55"/>
      <c r="Q15" s="55"/>
      <c r="R15" s="55"/>
      <c r="S15" s="55"/>
      <c r="T15" s="55"/>
      <c r="U15" s="55"/>
      <c r="V15" s="55"/>
      <c r="W15" s="55"/>
      <c r="X15" s="55"/>
      <c r="Y15" s="55"/>
      <c r="Z15" s="55"/>
      <c r="AA15" s="55"/>
    </row>
    <row r="16">
      <c r="A16" s="57" t="str">
        <f>IFERROR(__xludf.DUMMYFUNCTION("""COMPUTED_VALUE"""),"Worker")</f>
        <v>Worker</v>
      </c>
      <c r="B16" s="57" t="str">
        <f>IFERROR(__xludf.DUMMYFUNCTION("""COMPUTED_VALUE"""),"Notification")</f>
        <v>Notification</v>
      </c>
      <c r="C16" s="57" t="str">
        <f>IFERROR(__xludf.DUMMYFUNCTION("TEXTJOIN("", "", TRUE, 
  FILTER('Main Report'!A25:A114, 
    ('Main Report'!B25:B114=A16) * ('Main Report'!C25:C114=B16)
  )
)
"),"BR-039, BR-040, BR-041")</f>
        <v>BR-039, BR-040, BR-041</v>
      </c>
      <c r="D16" s="60">
        <f>IFERROR(__xludf.DUMMYFUNCTION("COUNTA(UNIQUE(TRANSPOSE(SPLIT(C16, "", ""))))
"),3.0)</f>
        <v>3</v>
      </c>
      <c r="E16" s="57" t="str">
        <f>IF(D16="", "", TEXT((D16 / 'Main Report'!$E$7), "0.00%"))
</f>
        <v>7.14%</v>
      </c>
      <c r="F16" s="62"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"),"High: 1
Medium: 2
Low: 0")</f>
        <v>High: 1
Medium: 2
Low: 0</v>
      </c>
      <c r="G16" s="55"/>
      <c r="H16" s="55"/>
      <c r="I16" s="55"/>
      <c r="J16" s="55"/>
      <c r="K16" s="55"/>
      <c r="L16" s="55"/>
      <c r="M16" s="55"/>
      <c r="N16" s="55"/>
      <c r="O16" s="55"/>
      <c r="P16" s="55"/>
      <c r="Q16" s="55"/>
      <c r="R16" s="55"/>
      <c r="S16" s="55"/>
      <c r="T16" s="55"/>
      <c r="U16" s="55"/>
      <c r="V16" s="55"/>
      <c r="W16" s="55"/>
      <c r="X16" s="55"/>
      <c r="Y16" s="55"/>
      <c r="Z16" s="55"/>
      <c r="AA16" s="55"/>
    </row>
    <row r="17">
      <c r="A17" s="57" t="str">
        <f>IFERROR(__xludf.DUMMYFUNCTION("""COMPUTED_VALUE"""),"Worker")</f>
        <v>Worker</v>
      </c>
      <c r="B17" s="57" t="str">
        <f>IFERROR(__xludf.DUMMYFUNCTION("""COMPUTED_VALUE"""),"Profile")</f>
        <v>Profile</v>
      </c>
      <c r="C17" s="57" t="str">
        <f>IFERROR(__xludf.DUMMYFUNCTION("TEXTJOIN("", "", TRUE, 
  FILTER('Main Report'!A26:A115, 
    ('Main Report'!B26:B115=A17) * ('Main Report'!C26:C115=B17)
  )
)
"),"BR-042")</f>
        <v>BR-042</v>
      </c>
      <c r="D17" s="60">
        <f>IFERROR(__xludf.DUMMYFUNCTION("COUNTA(UNIQUE(TRANSPOSE(SPLIT(C17, "", ""))))
"),1.0)</f>
        <v>1</v>
      </c>
      <c r="E17" s="57" t="str">
        <f>IF(D17="", "", TEXT((D17 / 'Main Report'!$E$7), "0.00%"))
</f>
        <v>2.38%</v>
      </c>
      <c r="F17" s="62"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"),"High: 1
Medium: 0
Low: 0")</f>
        <v>High: 1
Medium: 0
Low: 0</v>
      </c>
      <c r="G17" s="55"/>
      <c r="H17" s="55"/>
      <c r="I17" s="55"/>
      <c r="J17" s="55"/>
      <c r="K17" s="55"/>
      <c r="L17" s="55"/>
      <c r="M17" s="55"/>
      <c r="N17" s="55"/>
      <c r="O17" s="55"/>
      <c r="P17" s="55"/>
      <c r="Q17" s="55"/>
      <c r="R17" s="55"/>
      <c r="S17" s="55"/>
      <c r="T17" s="55"/>
      <c r="U17" s="55"/>
      <c r="V17" s="55"/>
      <c r="W17" s="55"/>
      <c r="X17" s="55"/>
      <c r="Y17" s="55"/>
      <c r="Z17" s="55"/>
      <c r="AA17" s="55"/>
    </row>
    <row r="18">
      <c r="A18" s="57"/>
      <c r="B18" s="57"/>
      <c r="C18" s="57" t="str">
        <f>IFERROR(__xludf.DUMMYFUNCTION("TEXTJOIN("", "", TRUE, 
  FILTER('Main Report'!A27:A116, 
    ('Main Report'!B27:B116=A18) * ('Main Report'!C27:C116=B18)
  )
)
"),"")</f>
        <v/>
      </c>
      <c r="D18" s="57"/>
      <c r="E18" s="57" t="str">
        <f>IF(D18="", "", TEXT((D18 / 'Main Report'!$E$7), "0.00%"))
</f>
        <v/>
      </c>
      <c r="F18" s="62"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55"/>
      <c r="H18" s="55"/>
      <c r="I18" s="55"/>
      <c r="J18" s="55"/>
      <c r="K18" s="55"/>
      <c r="L18" s="55"/>
      <c r="M18" s="55"/>
      <c r="N18" s="55"/>
      <c r="O18" s="55"/>
      <c r="P18" s="55"/>
      <c r="Q18" s="55"/>
      <c r="R18" s="55"/>
      <c r="S18" s="55"/>
      <c r="T18" s="55"/>
      <c r="U18" s="55"/>
      <c r="V18" s="55"/>
      <c r="W18" s="55"/>
      <c r="X18" s="55"/>
      <c r="Y18" s="55"/>
      <c r="Z18" s="55"/>
      <c r="AA18" s="55"/>
    </row>
    <row r="19">
      <c r="A19" s="57"/>
      <c r="B19" s="57"/>
      <c r="C19" s="57" t="str">
        <f>IFERROR(__xludf.DUMMYFUNCTION("TEXTJOIN("", "", TRUE, 
  FILTER('Main Report'!A28:A117, 
    ('Main Report'!B28:B117=A19) * ('Main Report'!C28:C117=B19)
  )
)
"),"")</f>
        <v/>
      </c>
      <c r="D19" s="57"/>
      <c r="E19" s="57" t="str">
        <f>IF(D19="", "", TEXT((D19 / 'Main Report'!$E$7), "0.00%"))
</f>
        <v/>
      </c>
      <c r="F19" s="62"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55"/>
      <c r="H19" s="55"/>
      <c r="I19" s="55"/>
      <c r="J19" s="55"/>
      <c r="K19" s="55"/>
      <c r="L19" s="55"/>
      <c r="M19" s="55"/>
      <c r="N19" s="55"/>
      <c r="O19" s="55"/>
      <c r="P19" s="55"/>
      <c r="Q19" s="55"/>
      <c r="R19" s="55"/>
      <c r="S19" s="55"/>
      <c r="T19" s="55"/>
      <c r="U19" s="55"/>
      <c r="V19" s="55"/>
      <c r="W19" s="55"/>
      <c r="X19" s="55"/>
      <c r="Y19" s="55"/>
      <c r="Z19" s="55"/>
      <c r="AA19" s="55"/>
    </row>
    <row r="20">
      <c r="A20" s="60"/>
      <c r="B20" s="60"/>
      <c r="C20" s="57" t="str">
        <f>IFERROR(__xludf.DUMMYFUNCTION("TEXTJOIN("", "", TRUE, 
  FILTER('Main Report'!A29:A118, 
    ('Main Report'!B29:B118=A20) * ('Main Report'!C29:C118=B20)
  )
)
"),"")</f>
        <v/>
      </c>
      <c r="D20" s="57"/>
      <c r="E20" s="57" t="str">
        <f>IF(D20="", "", TEXT((D20 / 'Main Report'!$E$7), "0.00%"))
</f>
        <v/>
      </c>
      <c r="F20" s="62"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55"/>
      <c r="H20" s="55"/>
      <c r="I20" s="55"/>
      <c r="J20" s="55"/>
      <c r="K20" s="55"/>
      <c r="L20" s="55"/>
      <c r="M20" s="55"/>
      <c r="N20" s="55"/>
      <c r="O20" s="55"/>
      <c r="P20" s="55"/>
      <c r="Q20" s="55"/>
      <c r="R20" s="55"/>
      <c r="S20" s="55"/>
      <c r="T20" s="55"/>
      <c r="U20" s="55"/>
      <c r="V20" s="55"/>
      <c r="W20" s="55"/>
      <c r="X20" s="55"/>
      <c r="Y20" s="55"/>
      <c r="Z20" s="55"/>
      <c r="AA20" s="55"/>
    </row>
    <row r="21">
      <c r="A21" s="57"/>
      <c r="B21" s="57"/>
      <c r="C21" s="57" t="str">
        <f>IFERROR(__xludf.DUMMYFUNCTION("TEXTJOIN("", "", TRUE, 
  FILTER('Main Report'!A30:A119, 
    ('Main Report'!B30:B119=A21) * ('Main Report'!C30:C119=B21)
  )
)
"),"")</f>
        <v/>
      </c>
      <c r="D21" s="57"/>
      <c r="E21" s="57" t="str">
        <f>IF(D21="", "", TEXT((D21 / 'Main Report'!$E$7), "0.00%"))
</f>
        <v/>
      </c>
      <c r="F21" s="62"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55"/>
      <c r="H21" s="55"/>
      <c r="I21" s="55"/>
      <c r="J21" s="55"/>
      <c r="K21" s="55"/>
      <c r="L21" s="55"/>
      <c r="M21" s="55"/>
      <c r="N21" s="55"/>
      <c r="O21" s="55"/>
      <c r="P21" s="55"/>
      <c r="Q21" s="55"/>
      <c r="R21" s="55"/>
      <c r="S21" s="55"/>
      <c r="T21" s="55"/>
      <c r="U21" s="55"/>
      <c r="V21" s="55"/>
      <c r="W21" s="55"/>
      <c r="X21" s="55"/>
      <c r="Y21" s="55"/>
      <c r="Z21" s="55"/>
      <c r="AA21" s="55"/>
    </row>
    <row r="22">
      <c r="A22" s="57"/>
      <c r="B22" s="57"/>
      <c r="C22" s="57"/>
      <c r="D22" s="57"/>
      <c r="E22" s="57"/>
      <c r="F22" s="57"/>
      <c r="G22" s="55"/>
      <c r="H22" s="55"/>
      <c r="I22" s="55"/>
      <c r="J22" s="55"/>
      <c r="K22" s="55"/>
      <c r="L22" s="55"/>
      <c r="M22" s="55"/>
      <c r="N22" s="55"/>
      <c r="O22" s="55"/>
      <c r="P22" s="55"/>
      <c r="Q22" s="55"/>
      <c r="R22" s="55"/>
      <c r="S22" s="55"/>
      <c r="T22" s="55"/>
      <c r="U22" s="55"/>
      <c r="V22" s="55"/>
      <c r="W22" s="55"/>
      <c r="X22" s="55"/>
      <c r="Y22" s="55"/>
      <c r="Z22" s="55"/>
      <c r="AA22" s="55"/>
    </row>
    <row r="23">
      <c r="A23" s="57"/>
      <c r="B23" s="57"/>
      <c r="C23" s="57"/>
      <c r="D23" s="57"/>
      <c r="E23" s="57"/>
      <c r="F23" s="57"/>
      <c r="G23" s="55"/>
      <c r="H23" s="55"/>
      <c r="I23" s="55"/>
      <c r="J23" s="55"/>
      <c r="K23" s="55"/>
      <c r="L23" s="55"/>
      <c r="M23" s="55"/>
      <c r="N23" s="55"/>
      <c r="O23" s="55"/>
      <c r="P23" s="55"/>
      <c r="Q23" s="55"/>
      <c r="R23" s="55"/>
      <c r="S23" s="55"/>
      <c r="T23" s="55"/>
      <c r="U23" s="55"/>
      <c r="V23" s="55"/>
      <c r="W23" s="55"/>
      <c r="X23" s="55"/>
      <c r="Y23" s="55"/>
      <c r="Z23" s="55"/>
      <c r="AA23" s="55"/>
    </row>
    <row r="24">
      <c r="A24" s="57"/>
      <c r="B24" s="57"/>
      <c r="C24" s="57"/>
      <c r="D24" s="57"/>
      <c r="E24" s="57"/>
      <c r="F24" s="57"/>
      <c r="G24" s="55"/>
      <c r="H24" s="55"/>
      <c r="I24" s="55"/>
      <c r="J24" s="55"/>
      <c r="K24" s="55"/>
      <c r="L24" s="55"/>
      <c r="M24" s="55"/>
      <c r="N24" s="55"/>
      <c r="O24" s="55"/>
      <c r="P24" s="55"/>
      <c r="Q24" s="55"/>
      <c r="R24" s="55"/>
      <c r="S24" s="55"/>
      <c r="T24" s="55"/>
      <c r="U24" s="55"/>
      <c r="V24" s="55"/>
      <c r="W24" s="55"/>
      <c r="X24" s="55"/>
      <c r="Y24" s="55"/>
      <c r="Z24" s="55"/>
      <c r="AA24" s="55"/>
    </row>
    <row r="25">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row>
    <row r="26">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row>
    <row r="27">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row>
    <row r="28">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c r="AA28" s="55"/>
    </row>
    <row r="29">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row>
    <row r="30">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row>
    <row r="3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row>
    <row r="32">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c r="AA32" s="55"/>
    </row>
    <row r="33">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row>
    <row r="34">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row>
    <row r="35">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row>
    <row r="36">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row>
    <row r="37">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row>
    <row r="38">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row>
    <row r="39">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row>
    <row r="40">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row>
    <row r="4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row>
    <row r="42">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row>
    <row r="43">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row>
    <row r="44">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row>
    <row r="45">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row>
    <row r="46">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row>
    <row r="47">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row>
    <row r="48">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row>
    <row r="49">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row>
    <row r="50">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row>
    <row r="5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c r="AA51" s="55"/>
    </row>
    <row r="52">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row>
    <row r="53">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row>
    <row r="54">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row>
    <row r="5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row>
    <row r="56">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row>
    <row r="57">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row>
    <row r="58">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row>
    <row r="59">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row>
    <row r="60">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row>
    <row r="6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row>
    <row r="62">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row>
    <row r="63">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row>
    <row r="64">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row>
    <row r="65">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row>
    <row r="66">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row>
    <row r="67">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row>
    <row r="68">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row>
    <row r="69">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row>
    <row r="70">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row>
    <row r="7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row>
    <row r="72">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row>
    <row r="73">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row>
    <row r="74">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row>
    <row r="7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row>
    <row r="76">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row>
    <row r="77">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row>
    <row r="78">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row>
    <row r="79">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row>
    <row r="80">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row>
    <row r="8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row>
    <row r="82">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row>
    <row r="83">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row>
    <row r="84">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row>
    <row r="85">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row>
    <row r="86">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row>
    <row r="87">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row>
    <row r="88">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row>
    <row r="89">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row>
    <row r="90">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row>
    <row r="9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row>
    <row r="92">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row>
    <row r="93">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row>
    <row r="94">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row>
    <row r="95">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row>
    <row r="96">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row>
    <row r="97">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row>
    <row r="98">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row>
    <row r="99">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row>
    <row r="100">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row>
    <row r="10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row>
    <row r="102">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row>
    <row r="103">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row>
    <row r="104">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row>
    <row r="10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row>
    <row r="106">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row>
    <row r="107">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row>
    <row r="108">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row>
    <row r="109">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row>
    <row r="110">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row>
    <row r="11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row>
    <row r="112">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row>
    <row r="113">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row>
    <row r="114">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row>
    <row r="11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row>
    <row r="116">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row>
    <row r="117">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row>
    <row r="118">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row>
    <row r="119">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row>
    <row r="120">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row>
    <row r="12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row>
    <row r="122">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row>
    <row r="123">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row>
    <row r="124">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row>
    <row r="12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row>
    <row r="126">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row>
    <row r="127">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row>
    <row r="128">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row>
    <row r="129">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row>
    <row r="130">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row>
    <row r="13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row>
    <row r="132">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row>
    <row r="133">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row>
    <row r="134">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row>
    <row r="1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row>
    <row r="136">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row>
    <row r="137">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row>
    <row r="138">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row>
    <row r="139">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row>
    <row r="140">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row>
    <row r="14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row>
    <row r="142">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row>
    <row r="143">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row>
    <row r="144">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row>
    <row r="14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row>
    <row r="146">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row>
    <row r="147">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row>
    <row r="148">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row>
    <row r="149">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row>
    <row r="150">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row>
    <row r="15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row>
    <row r="152">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row>
    <row r="153">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row>
    <row r="154">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row>
    <row r="15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row>
    <row r="156">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row>
    <row r="157">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row>
    <row r="158">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row>
    <row r="159">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row>
    <row r="160">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row>
    <row r="16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row>
    <row r="162">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row>
    <row r="163">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row>
    <row r="164">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row>
    <row r="16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row>
    <row r="166">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row>
    <row r="167">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row>
    <row r="168">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row>
    <row r="169">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row>
    <row r="170">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row>
    <row r="17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row>
    <row r="172">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row>
    <row r="173">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row>
    <row r="174">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row>
    <row r="17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row>
    <row r="176">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row>
    <row r="177">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row>
    <row r="178">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row>
    <row r="179">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row>
    <row r="180">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row>
    <row r="18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row>
    <row r="182">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row>
    <row r="183">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row>
    <row r="184">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row>
    <row r="18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row>
    <row r="186">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row>
    <row r="187">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row>
    <row r="188">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row>
    <row r="189">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row>
    <row r="190">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row>
    <row r="19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row>
    <row r="192">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row>
    <row r="193">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row>
    <row r="194">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row>
    <row r="19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row>
    <row r="196">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row>
    <row r="197">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row>
    <row r="198">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row>
    <row r="199">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row>
    <row r="200">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row>
    <row r="20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row>
    <row r="202">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row>
    <row r="203">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row>
    <row r="204">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row>
    <row r="20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row>
    <row r="206">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row>
    <row r="207">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row>
    <row r="208">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row>
    <row r="209">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row>
    <row r="210">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row>
    <row r="21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row>
    <row r="212">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row>
    <row r="213">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row>
    <row r="214">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row>
    <row r="21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row>
    <row r="216">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row>
    <row r="217">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row>
    <row r="218">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row>
    <row r="219">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row>
    <row r="220">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row>
    <row r="22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row>
    <row r="222">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row>
    <row r="223">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row>
    <row r="224">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row>
    <row r="22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row>
    <row r="226">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row>
    <row r="227">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row>
    <row r="228">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row>
    <row r="229">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row>
    <row r="230">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row>
    <row r="23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row>
    <row r="232">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row>
    <row r="233">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row>
    <row r="234">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row>
    <row r="2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row>
    <row r="236">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row>
    <row r="237">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row>
    <row r="238">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row>
    <row r="239">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row>
    <row r="240">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row>
    <row r="24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row>
    <row r="242">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row>
    <row r="243">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row>
    <row r="244">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row>
    <row r="24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row>
    <row r="246">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row>
    <row r="247">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row>
    <row r="248">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row>
    <row r="249">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row>
    <row r="250">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row>
    <row r="25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row>
    <row r="252">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row>
    <row r="253">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row>
    <row r="254">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row>
    <row r="25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row>
    <row r="256">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row>
    <row r="257">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row>
    <row r="258">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row>
    <row r="259">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row>
    <row r="260">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row>
    <row r="26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row>
    <row r="262">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row>
    <row r="263">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row>
    <row r="264">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row>
    <row r="26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row>
    <row r="266">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row>
    <row r="267">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row>
    <row r="268">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row>
    <row r="269">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row>
    <row r="270">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row>
    <row r="27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row>
    <row r="272">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row>
    <row r="273">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row>
    <row r="274">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row>
    <row r="27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row>
    <row r="276">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row>
    <row r="277">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row>
    <row r="278">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row>
    <row r="279">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row>
    <row r="280">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row>
    <row r="28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row>
    <row r="282">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row>
    <row r="283">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row>
    <row r="284">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row>
    <row r="28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row>
    <row r="286">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row>
    <row r="287">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row>
    <row r="288">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row>
    <row r="289">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row>
    <row r="290">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row>
    <row r="29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row>
    <row r="292">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row>
    <row r="293">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row>
    <row r="294">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row>
    <row r="29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row>
    <row r="296">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row>
    <row r="297">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row>
    <row r="298">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row>
    <row r="299">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row>
    <row r="300">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row>
    <row r="30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row>
    <row r="302">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row>
    <row r="303">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row>
    <row r="304">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row>
    <row r="30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row>
    <row r="306">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row>
    <row r="307">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row>
    <row r="308">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row>
    <row r="309">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row>
    <row r="310">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row>
    <row r="31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row>
    <row r="312">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row>
    <row r="313">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row>
    <row r="314">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row>
    <row r="31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row>
    <row r="316">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row>
    <row r="317">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row>
    <row r="318">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row>
    <row r="319">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row>
    <row r="320">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row>
    <row r="32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row>
    <row r="322">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row>
    <row r="323">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row>
    <row r="324">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row>
    <row r="32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row>
    <row r="326">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row>
    <row r="327">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row>
    <row r="328">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row>
    <row r="329">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row>
    <row r="330">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row>
    <row r="33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row>
    <row r="332">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row>
    <row r="333">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row>
    <row r="334">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row>
    <row r="3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row>
    <row r="336">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row>
    <row r="337">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row>
    <row r="338">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row>
    <row r="339">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row>
    <row r="340">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row>
    <row r="34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row>
    <row r="342">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row>
    <row r="343">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row>
    <row r="344">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row>
    <row r="34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row>
    <row r="346">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row>
    <row r="347">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row>
    <row r="348">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row>
    <row r="349">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row>
    <row r="350">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row>
    <row r="35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row>
    <row r="352">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row>
    <row r="353">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row>
    <row r="354">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row>
    <row r="35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row>
    <row r="356">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row>
    <row r="357">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row>
    <row r="358">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row>
    <row r="359">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row>
    <row r="360">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row>
    <row r="36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row>
    <row r="362">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row>
    <row r="363">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row>
    <row r="364">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row>
    <row r="36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row>
    <row r="366">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row>
    <row r="367">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row>
    <row r="368">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row>
    <row r="369">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row>
    <row r="370">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row>
    <row r="37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row>
    <row r="372">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row>
    <row r="373">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row>
    <row r="374">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row>
    <row r="37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row>
    <row r="376">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row>
    <row r="377">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row>
    <row r="378">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row>
    <row r="379">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row>
    <row r="380">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row>
    <row r="38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row>
    <row r="382">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row>
    <row r="383">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row>
    <row r="384">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row>
    <row r="38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row>
    <row r="386">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row>
    <row r="387">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row>
    <row r="388">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row>
    <row r="389">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row>
    <row r="390">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row>
    <row r="39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row>
    <row r="392">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row>
    <row r="393">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row>
    <row r="394">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row>
    <row r="39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row>
    <row r="396">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row>
    <row r="397">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row>
    <row r="398">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row>
    <row r="399">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row>
    <row r="400">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row>
    <row r="40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row>
    <row r="402">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row>
    <row r="403">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row>
    <row r="404">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row>
    <row r="40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row>
    <row r="406">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row>
    <row r="407">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row>
    <row r="408">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row>
    <row r="409">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row>
    <row r="410">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row>
    <row r="41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row>
    <row r="412">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row>
    <row r="413">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row>
    <row r="414">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row>
    <row r="41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row>
    <row r="416">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row>
    <row r="417">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row>
    <row r="418">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row>
    <row r="419">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row>
    <row r="420">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row>
    <row r="42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row>
    <row r="422">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row>
    <row r="423">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row>
    <row r="424">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row>
    <row r="42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row>
    <row r="426">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row>
    <row r="427">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row>
    <row r="428">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row>
    <row r="429">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row>
    <row r="430">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row>
    <row r="43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row>
    <row r="432">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row>
    <row r="433">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row>
    <row r="434">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row>
    <row r="4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row>
    <row r="436">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row>
    <row r="437">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row>
    <row r="438">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row>
    <row r="439">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row>
    <row r="440">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row>
    <row r="44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row>
    <row r="442">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row>
    <row r="443">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row>
    <row r="444">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row>
    <row r="44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row>
    <row r="446">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row>
    <row r="447">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row>
    <row r="448">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row>
    <row r="449">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row>
    <row r="450">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row>
    <row r="45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row>
    <row r="452">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row>
    <row r="453">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row>
    <row r="454">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row>
    <row r="45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row>
    <row r="456">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row>
    <row r="457">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row>
    <row r="458">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row>
    <row r="459">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row>
    <row r="460">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row>
    <row r="46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row>
    <row r="462">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row>
    <row r="463">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row>
    <row r="464">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row>
    <row r="46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row>
    <row r="466">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row>
    <row r="467">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row>
    <row r="468">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row>
    <row r="469">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row>
    <row r="470">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row>
    <row r="47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row>
    <row r="472">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row>
    <row r="473">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row>
    <row r="474">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row>
    <row r="47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row>
    <row r="476">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row>
    <row r="477">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row>
    <row r="478">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row>
    <row r="479">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row>
    <row r="480">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row>
    <row r="48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row>
    <row r="482">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row>
    <row r="48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row>
    <row r="484">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row>
    <row r="48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row>
    <row r="486">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row>
    <row r="487">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row>
    <row r="488">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row>
    <row r="489">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row>
    <row r="490">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row>
    <row r="49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row>
    <row r="492">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row>
    <row r="49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row>
    <row r="494">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row>
    <row r="49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row>
    <row r="496">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row>
    <row r="497">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row>
    <row r="498">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row>
    <row r="499">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row>
    <row r="500">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row>
    <row r="50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row>
    <row r="502">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row>
    <row r="50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row>
    <row r="504">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row>
    <row r="50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row>
    <row r="506">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row>
    <row r="507">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row>
    <row r="508">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row>
    <row r="509">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row>
    <row r="510">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row>
    <row r="51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row>
    <row r="512">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row>
    <row r="51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row>
    <row r="514">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row>
    <row r="51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row>
    <row r="516">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row>
    <row r="517">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row>
    <row r="518">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row>
    <row r="519">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row>
    <row r="520">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row>
    <row r="52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row>
    <row r="522">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row>
    <row r="52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row>
    <row r="524">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row>
    <row r="52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row>
    <row r="526">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row>
    <row r="527">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row>
    <row r="528">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row>
    <row r="529">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row>
    <row r="530">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row>
    <row r="53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row>
    <row r="532">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row>
    <row r="53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row>
    <row r="534">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row>
    <row r="5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row>
    <row r="536">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row>
    <row r="537">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row>
    <row r="538">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row>
    <row r="539">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row>
    <row r="540">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row>
    <row r="54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row>
    <row r="542">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row>
    <row r="54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row>
    <row r="544">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row>
    <row r="54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row>
    <row r="546">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row>
    <row r="547">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row>
    <row r="548">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row>
    <row r="549">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row>
    <row r="550">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row>
    <row r="55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row>
    <row r="552">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row>
    <row r="55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row>
    <row r="554">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row>
    <row r="55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row>
    <row r="556">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row>
    <row r="557">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row>
    <row r="558">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row>
    <row r="559">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row>
    <row r="560">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row>
    <row r="56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row>
    <row r="562">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row>
    <row r="56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row>
    <row r="564">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row>
    <row r="56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row>
    <row r="566">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row>
    <row r="567">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row>
    <row r="568">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row>
    <row r="569">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row>
    <row r="570">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row>
    <row r="57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row>
    <row r="572">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row>
    <row r="57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row>
    <row r="574">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row>
    <row r="57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row>
    <row r="576">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row>
    <row r="577">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row>
    <row r="578">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row>
    <row r="579">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row>
    <row r="580">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row>
    <row r="58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row>
    <row r="582">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row>
    <row r="58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row>
    <row r="584">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row>
    <row r="58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row>
    <row r="586">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row>
    <row r="587">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row>
    <row r="588">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row>
    <row r="589">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row>
    <row r="590">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row>
    <row r="59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row>
    <row r="592">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row>
    <row r="59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row>
    <row r="594">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row>
    <row r="59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row>
    <row r="596">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row>
    <row r="597">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row>
    <row r="598">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row>
    <row r="599">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row>
    <row r="600">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row>
    <row r="60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row>
    <row r="602">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row>
    <row r="60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row>
    <row r="604">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row>
    <row r="60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row>
    <row r="606">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row>
    <row r="607">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row>
    <row r="608">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row>
    <row r="609">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row>
    <row r="610">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row>
    <row r="61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row>
    <row r="612">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row>
    <row r="61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row>
    <row r="614">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row>
    <row r="61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row>
    <row r="616">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row>
    <row r="617">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row>
    <row r="618">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row>
    <row r="619">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row>
    <row r="620">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row>
    <row r="62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row>
    <row r="622">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row>
    <row r="62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row>
    <row r="624">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row>
    <row r="62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row>
    <row r="626">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row>
    <row r="627">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row>
    <row r="628">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row>
    <row r="629">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row>
    <row r="630">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row>
    <row r="63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row>
    <row r="632">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row>
    <row r="63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row>
    <row r="634">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row>
    <row r="6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row>
    <row r="636">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row>
    <row r="637">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row>
    <row r="638">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row>
    <row r="639">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row>
    <row r="640">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row>
    <row r="64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row>
    <row r="642">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row>
    <row r="64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row>
    <row r="644">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row>
    <row r="64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row>
    <row r="646">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row>
    <row r="647">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row>
    <row r="648">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row>
    <row r="649">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row>
    <row r="650">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row>
    <row r="65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row>
    <row r="652">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row>
    <row r="65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row>
    <row r="654">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row>
    <row r="65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row>
    <row r="656">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row>
    <row r="657">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row>
    <row r="658">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row>
    <row r="659">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row>
    <row r="660">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row>
    <row r="66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row>
    <row r="662">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row>
    <row r="66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row>
    <row r="664">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row>
    <row r="66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row>
    <row r="666">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row>
    <row r="667">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row>
    <row r="668">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row>
    <row r="669">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row>
    <row r="670">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row>
    <row r="67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row>
    <row r="672">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row>
    <row r="67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row>
    <row r="674">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row>
    <row r="67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row>
    <row r="676">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row>
    <row r="677">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row>
    <row r="678">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row>
    <row r="679">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row>
    <row r="680">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row>
    <row r="68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row>
    <row r="682">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row>
    <row r="68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row>
    <row r="684">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row>
    <row r="68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row>
    <row r="686">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row>
    <row r="687">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row>
    <row r="688">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row>
    <row r="689">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row>
    <row r="690">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row>
    <row r="69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row>
    <row r="692">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row>
    <row r="69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row>
    <row r="694">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row>
    <row r="69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row>
    <row r="696">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row>
    <row r="697">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row>
    <row r="698">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row>
    <row r="699">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row>
    <row r="700">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row>
    <row r="70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row>
    <row r="702">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row>
    <row r="70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row>
    <row r="704">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row>
    <row r="70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row>
    <row r="706">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row>
    <row r="707">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row>
    <row r="708">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row>
    <row r="709">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row>
    <row r="710">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row>
    <row r="71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row>
    <row r="712">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row>
    <row r="71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row>
    <row r="714">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row>
    <row r="71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row>
    <row r="716">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row>
    <row r="717">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row>
    <row r="718">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row>
    <row r="719">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row>
    <row r="720">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row>
    <row r="72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row>
    <row r="722">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row>
    <row r="72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row>
    <row r="724">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row>
    <row r="72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row>
    <row r="726">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row>
    <row r="727">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row>
    <row r="728">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row>
    <row r="729">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row>
    <row r="730">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row>
    <row r="73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row>
    <row r="732">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row>
    <row r="73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row>
    <row r="734">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row>
    <row r="7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row>
    <row r="736">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row>
    <row r="737">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row>
    <row r="738">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row>
    <row r="739">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row>
    <row r="740">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row>
    <row r="74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row>
    <row r="742">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row>
    <row r="74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row>
    <row r="744">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row>
    <row r="74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row>
    <row r="746">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row>
    <row r="747">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row>
    <row r="748">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row>
    <row r="749">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row>
    <row r="750">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row>
    <row r="75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row>
    <row r="752">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row>
    <row r="75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row>
    <row r="754">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row>
    <row r="75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row>
    <row r="756">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row>
    <row r="757">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row>
    <row r="758">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row>
    <row r="759">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row>
    <row r="760">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row>
    <row r="76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row>
    <row r="762">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row>
    <row r="76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row>
    <row r="764">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row>
    <row r="76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row>
    <row r="766">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row>
    <row r="767">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row>
    <row r="768">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row>
    <row r="769">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row>
    <row r="770">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row>
    <row r="77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row>
    <row r="772">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row>
    <row r="77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row>
    <row r="774">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row>
    <row r="77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row>
    <row r="776">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row>
    <row r="777">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row>
    <row r="778">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row>
    <row r="779">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row>
    <row r="780">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row>
    <row r="78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row>
    <row r="782">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row>
    <row r="78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row>
    <row r="784">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row>
    <row r="78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row>
    <row r="786">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row>
    <row r="787">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row>
    <row r="788">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row>
    <row r="789">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row>
    <row r="790">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row>
    <row r="79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row>
    <row r="792">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row>
    <row r="79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row>
    <row r="794">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row>
    <row r="79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row>
    <row r="796">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row>
    <row r="797">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row>
    <row r="798">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row>
    <row r="799">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row>
    <row r="800">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row>
    <row r="80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row>
    <row r="802">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row>
    <row r="80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row>
    <row r="804">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row>
    <row r="80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row>
    <row r="806">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row>
    <row r="807">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row>
    <row r="808">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row>
    <row r="809">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row>
    <row r="810">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row>
    <row r="81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row>
    <row r="812">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row>
    <row r="81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row>
    <row r="814">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row>
    <row r="81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row>
    <row r="816">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row>
    <row r="817">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row>
    <row r="818">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row>
    <row r="819">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row>
    <row r="820">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row>
    <row r="82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row>
    <row r="822">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row>
    <row r="82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row>
    <row r="824">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row>
    <row r="82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row>
    <row r="826">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row>
    <row r="827">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row>
    <row r="828">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row>
    <row r="829">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row>
    <row r="830">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row>
    <row r="83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row>
    <row r="832">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row>
    <row r="83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row>
    <row r="834">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row>
    <row r="8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row>
    <row r="836">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row>
    <row r="837">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row>
    <row r="838">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row>
    <row r="839">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row>
    <row r="840">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row>
    <row r="84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row>
    <row r="842">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row>
    <row r="84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row>
    <row r="844">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row>
    <row r="84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row>
    <row r="846">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row>
    <row r="847">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row>
    <row r="848">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row>
    <row r="849">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row>
    <row r="850">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row>
    <row r="85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row>
    <row r="852">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row>
    <row r="85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row>
    <row r="854">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row>
    <row r="85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row>
    <row r="856">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row>
    <row r="857">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row>
    <row r="858">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row>
    <row r="859">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row>
    <row r="860">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row>
    <row r="86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row>
    <row r="862">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row>
    <row r="86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row>
    <row r="864">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row>
    <row r="86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row>
    <row r="866">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row>
    <row r="867">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row>
    <row r="868">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row>
    <row r="869">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row>
    <row r="870">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row>
    <row r="87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row>
    <row r="872">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row>
    <row r="87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row>
    <row r="874">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row>
    <row r="87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row>
    <row r="876">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row>
    <row r="877">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row>
    <row r="878">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row>
    <row r="879">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row>
    <row r="880">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row>
    <row r="88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row>
    <row r="882">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row>
    <row r="88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row>
    <row r="884">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row>
    <row r="88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row>
    <row r="886">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row>
    <row r="887">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row>
    <row r="888">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row>
    <row r="889">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row>
    <row r="890">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row>
    <row r="89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row>
    <row r="892">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row>
    <row r="89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row>
    <row r="894">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row>
    <row r="89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row>
    <row r="896">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row>
    <row r="897">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row>
    <row r="898">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row>
    <row r="899">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row>
    <row r="900">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row>
    <row r="90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row>
    <row r="902">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row>
    <row r="90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row>
    <row r="904">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row>
    <row r="90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row>
    <row r="906">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row>
    <row r="907">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row>
    <row r="908">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row>
    <row r="909">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row>
    <row r="910">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row>
    <row r="91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row>
    <row r="912">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row>
    <row r="91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row>
    <row r="914">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row>
    <row r="91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row>
    <row r="916">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row>
    <row r="917">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row>
    <row r="918">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row>
    <row r="919">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row>
    <row r="920">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row>
    <row r="92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row>
    <row r="922">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row>
    <row r="92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row>
    <row r="924">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row>
    <row r="92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row>
    <row r="926">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row>
    <row r="927">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row>
    <row r="928">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row>
    <row r="929">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row>
    <row r="930">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row>
    <row r="93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row>
    <row r="932">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row>
    <row r="933">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row>
    <row r="934">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row>
    <row r="9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row>
    <row r="936">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row>
    <row r="937">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row>
    <row r="938">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row>
    <row r="939">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row>
    <row r="940">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row>
    <row r="94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row>
    <row r="942">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row>
    <row r="943">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row>
    <row r="944">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row>
    <row r="94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row>
    <row r="946">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row>
    <row r="947">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row>
    <row r="948">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row>
    <row r="949">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row>
    <row r="950">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row>
    <row r="95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row>
    <row r="952">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row>
    <row r="953">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row>
    <row r="954">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row>
    <row r="95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row>
    <row r="956">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row>
    <row r="957">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row>
    <row r="958">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row>
    <row r="959">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row>
    <row r="960">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row>
    <row r="96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row>
    <row r="962">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row>
    <row r="963">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row>
    <row r="964">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row>
    <row r="96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row>
    <row r="966">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row>
    <row r="967">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row>
    <row r="968">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row>
    <row r="969">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row>
    <row r="970">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row>
    <row r="97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row>
    <row r="972">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row>
    <row r="973">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row>
    <row r="974">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row>
    <row r="97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row>
    <row r="976">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row>
    <row r="977">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row>
    <row r="978">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row>
    <row r="979">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row>
    <row r="980">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row>
    <row r="98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row>
    <row r="982">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row>
    <row r="983">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row>
    <row r="984">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row>
    <row r="98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row>
    <row r="986">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row>
    <row r="987">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row>
    <row r="988">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row>
    <row r="989">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row>
    <row r="990">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row>
    <row r="99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row>
    <row r="992">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row>
    <row r="993">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row>
    <row r="994">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row>
    <row r="995">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row>
    <row r="996">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row>
    <row r="997">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row>
    <row r="998">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row>
    <row r="999">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row>
    <row r="1000">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4" width="15.25"/>
    <col customWidth="1" min="15" max="16" width="17.25"/>
    <col customWidth="1" min="17" max="17" width="15.25"/>
  </cols>
  <sheetData>
    <row r="1">
      <c r="A1" s="35"/>
      <c r="B1" s="35"/>
      <c r="C1" s="35"/>
      <c r="D1" s="35"/>
      <c r="E1" s="35"/>
      <c r="F1" s="35"/>
      <c r="G1" s="35"/>
      <c r="H1" s="35"/>
      <c r="I1" s="35"/>
      <c r="J1" s="35"/>
      <c r="K1" s="35"/>
      <c r="L1" s="35"/>
      <c r="M1" s="35"/>
      <c r="N1" s="35"/>
      <c r="Q1" s="35"/>
    </row>
    <row r="2">
      <c r="A2" s="63" t="s">
        <v>0</v>
      </c>
      <c r="B2" s="64" t="s">
        <v>1</v>
      </c>
      <c r="C2" s="35"/>
      <c r="D2" s="38" t="s">
        <v>2</v>
      </c>
      <c r="E2" s="38" t="s">
        <v>3</v>
      </c>
      <c r="F2" s="35"/>
      <c r="G2" s="35"/>
      <c r="H2" s="65"/>
      <c r="I2" s="65"/>
      <c r="J2" s="65"/>
      <c r="K2" s="65"/>
      <c r="L2" s="65"/>
      <c r="M2" s="65"/>
      <c r="N2" s="35"/>
      <c r="Q2" s="35"/>
    </row>
    <row r="3">
      <c r="A3" s="63" t="s">
        <v>4</v>
      </c>
      <c r="B3" s="66" t="s">
        <v>304</v>
      </c>
      <c r="C3" s="35"/>
      <c r="D3" s="67" t="s">
        <v>6</v>
      </c>
      <c r="E3" s="68">
        <f>COUNTIF(Tahsin!K14:K897, "High") + COUNTIF(Fahad!K8:K1004, "High")</f>
        <v>28</v>
      </c>
      <c r="F3" s="35"/>
      <c r="G3" s="35"/>
      <c r="H3" s="35"/>
      <c r="I3" s="35"/>
      <c r="J3" s="35"/>
      <c r="K3" s="35"/>
      <c r="L3" s="35"/>
      <c r="M3" s="35"/>
      <c r="N3" s="35"/>
      <c r="Q3" s="35"/>
    </row>
    <row r="4">
      <c r="A4" s="63" t="s">
        <v>298</v>
      </c>
      <c r="B4" s="69"/>
      <c r="C4" s="35"/>
      <c r="D4" s="70" t="s">
        <v>10</v>
      </c>
      <c r="E4" s="68">
        <f>COUNTIF(Tahsin!K14:K898, "Medium") + COUNTIF(Fahad!K8:K1005, "Medium")</f>
        <v>11</v>
      </c>
      <c r="F4" s="35"/>
      <c r="G4" s="35"/>
      <c r="H4" s="35"/>
      <c r="I4" s="35"/>
      <c r="J4" s="35"/>
      <c r="K4" s="35"/>
      <c r="L4" s="35"/>
      <c r="M4" s="35"/>
      <c r="N4" s="35"/>
      <c r="Q4" s="35"/>
    </row>
    <row r="5">
      <c r="A5" s="63" t="s">
        <v>8</v>
      </c>
      <c r="B5" s="52" t="s">
        <v>9</v>
      </c>
      <c r="C5" s="35"/>
      <c r="D5" s="71" t="s">
        <v>14</v>
      </c>
      <c r="E5" s="68">
        <f>COUNTIF(Fahad!K8:K1006, "Low") + COUNTIF(Tahsin!K14:K901, "Low")</f>
        <v>3</v>
      </c>
      <c r="F5" s="35"/>
      <c r="G5" s="35"/>
      <c r="H5" s="35"/>
      <c r="I5" s="35"/>
      <c r="J5" s="35"/>
      <c r="K5" s="35"/>
      <c r="L5" s="35"/>
      <c r="M5" s="35"/>
      <c r="N5" s="35"/>
      <c r="Q5" s="35"/>
    </row>
    <row r="6">
      <c r="A6" s="63" t="s">
        <v>12</v>
      </c>
      <c r="B6" s="72"/>
      <c r="C6" s="35"/>
      <c r="D6" s="73"/>
      <c r="E6" s="73"/>
      <c r="F6" s="35"/>
      <c r="G6" s="35"/>
      <c r="H6" s="35"/>
      <c r="I6" s="35"/>
      <c r="J6" s="35"/>
      <c r="K6" s="35"/>
      <c r="L6" s="35"/>
      <c r="M6" s="35"/>
      <c r="N6" s="35"/>
      <c r="Q6" s="35"/>
    </row>
    <row r="7">
      <c r="A7" s="63" t="s">
        <v>299</v>
      </c>
      <c r="B7" s="72"/>
      <c r="C7" s="35"/>
      <c r="D7" s="74" t="s">
        <v>7</v>
      </c>
      <c r="E7" s="75">
        <f>SUM(E3:E5)</f>
        <v>42</v>
      </c>
      <c r="F7" s="35"/>
      <c r="G7" s="35"/>
      <c r="H7" s="35"/>
      <c r="I7" s="35"/>
      <c r="J7" s="35"/>
      <c r="K7" s="35"/>
      <c r="L7" s="35"/>
      <c r="M7" s="35"/>
      <c r="N7" s="76"/>
      <c r="O7" s="76"/>
      <c r="Q7" s="35"/>
    </row>
    <row r="8">
      <c r="A8" s="35"/>
      <c r="B8" s="35"/>
      <c r="C8" s="35"/>
      <c r="D8" s="74" t="s">
        <v>11</v>
      </c>
      <c r="E8" s="75">
        <f>COUNTIF(N11:N2387, "Solved")</f>
        <v>11</v>
      </c>
      <c r="F8" s="35"/>
      <c r="G8" s="35"/>
      <c r="H8" s="35"/>
      <c r="I8" s="35"/>
      <c r="J8" s="35"/>
      <c r="K8" s="35"/>
      <c r="L8" s="35"/>
      <c r="M8" s="35"/>
      <c r="N8" s="76"/>
      <c r="O8" s="76"/>
      <c r="Q8" s="35"/>
    </row>
    <row r="9">
      <c r="A9" s="35"/>
      <c r="B9" s="35"/>
      <c r="C9" s="35"/>
      <c r="D9" s="35"/>
      <c r="E9" s="35"/>
      <c r="F9" s="35"/>
      <c r="G9" s="35"/>
      <c r="H9" s="35"/>
      <c r="I9" s="35"/>
      <c r="J9" s="35"/>
      <c r="K9" s="35"/>
      <c r="L9" s="35"/>
      <c r="M9" s="35"/>
      <c r="N9" s="76"/>
      <c r="O9" s="76"/>
      <c r="Q9" s="35"/>
    </row>
    <row r="10">
      <c r="A10" s="77" t="s">
        <v>300</v>
      </c>
      <c r="B10" s="77" t="s">
        <v>20</v>
      </c>
      <c r="C10" s="77" t="s">
        <v>21</v>
      </c>
      <c r="D10" s="77" t="s">
        <v>22</v>
      </c>
      <c r="E10" s="77" t="s">
        <v>23</v>
      </c>
      <c r="F10" s="77" t="s">
        <v>24</v>
      </c>
      <c r="G10" s="77" t="s">
        <v>25</v>
      </c>
      <c r="H10" s="77" t="s">
        <v>26</v>
      </c>
      <c r="I10" s="77" t="s">
        <v>27</v>
      </c>
      <c r="J10" s="77" t="s">
        <v>28</v>
      </c>
      <c r="K10" s="77" t="s">
        <v>2</v>
      </c>
      <c r="L10" s="77" t="s">
        <v>29</v>
      </c>
      <c r="M10" s="77" t="s">
        <v>30</v>
      </c>
      <c r="N10" s="78" t="s">
        <v>31</v>
      </c>
      <c r="O10" s="78" t="s">
        <v>32</v>
      </c>
      <c r="P10" s="78" t="s">
        <v>33</v>
      </c>
      <c r="Q10" s="78" t="s">
        <v>305</v>
      </c>
      <c r="R10" s="79"/>
      <c r="S10" s="79"/>
      <c r="T10" s="79"/>
      <c r="U10" s="79"/>
      <c r="V10" s="79"/>
      <c r="W10" s="79"/>
      <c r="X10" s="79"/>
      <c r="Y10" s="79"/>
      <c r="Z10" s="79"/>
      <c r="AA10" s="79"/>
    </row>
    <row r="11">
      <c r="A11" s="80" t="str">
        <f t="array" ref="A11:A100">IF((LEN(B11:B100)+LEN(C11:C100))&gt;0, "BR-" &amp; TEXT(ROW(B11:B100)-ROW(B11)+1,"000"), "")
</f>
        <v>BR-001</v>
      </c>
      <c r="B11" s="81" t="str">
        <f>IFERROR(__xludf.DUMMYFUNCTION("QUERY(
  {
    ARRAYFORMULA({
      TRIM(Fahad!B8:B2383), 
      Fahad!C8:P2383, 
      IF(LEN(Fahad!B8:B2383), ""Fahad"", """")
    });
    ARRAYFORMULA({
      TRIM(Tahsin!B15:B2383), 
      Tahsin!C15:P2383, 
      IF(LEN(Tahsin!B15:B2383), ""Tahsin"","&amp;" """")
    })
  },
  ""SELECT * WHERE Col1 IS NOT NULL ORDER BY Col1 ASC, Col2 ASC"",
  0
)"),"Recruiter")</f>
        <v>Recruiter</v>
      </c>
      <c r="C11" s="81" t="str">
        <f>IFERROR(__xludf.DUMMYFUNCTION("""COMPUTED_VALUE"""),"Applicant Details")</f>
        <v>Applicant Details</v>
      </c>
      <c r="D11" s="81" t="str">
        <f>IFERROR(__xludf.DUMMYFUNCTION("""COMPUTED_VALUE"""),"All applicant certificate expiry dates are shown in red, which can be confusing for recruiters, especially since the Figma design specifies that three colors should be used.")</f>
        <v>All applicant certificate expiry dates are shown in red, which can be confusing for recruiters, especially since the Figma design specifies that three colors should be used.</v>
      </c>
      <c r="E11" s="81" t="str">
        <f>IFERROR(__xludf.DUMMYFUNCTION("""COMPUTED_VALUE"""),"User need to install app on their mobile device")</f>
        <v>User need to install app on their mobile device</v>
      </c>
      <c r="F11" s="81" t="str">
        <f>IFERROR(__xludf.DUMMYFUNCTION("""COMPUTED_VALUE"""),"1. Open app
2. Goto Login Page
3. Click on job details
4. Click on applicant details")</f>
        <v>1. Open app
2. Goto Login Page
3. Click on job details
4. Click on applicant details</v>
      </c>
      <c r="G11" s="81" t="str">
        <f>IFERROR(__xludf.DUMMYFUNCTION("""COMPUTED_VALUE"""),"Recruiter CREDENTIAL")</f>
        <v>Recruiter CREDENTIAL</v>
      </c>
      <c r="H11" s="81" t="str">
        <f>IFERROR(__xludf.DUMMYFUNCTION("""COMPUTED_VALUE"""),"According to the Figma design, there should be three colors (Green, Amber, Red) for certificates in the categories Up to Date, Expire Soon, and Expired.")</f>
        <v>According to the Figma design, there should be three colors (Green, Amber, Red) for certificates in the categories Up to Date, Expire Soon, and Expired.</v>
      </c>
      <c r="I11" s="81" t="str">
        <f>IFERROR(__xludf.DUMMYFUNCTION("""COMPUTED_VALUE"""),"All are marked in red, which can cause confusion between expired and up-to-date certificates.")</f>
        <v>All are marked in red, which can cause confusion between expired and up-to-date certificates.</v>
      </c>
      <c r="J11" s="81" t="str">
        <f>IFERROR(__xludf.DUMMYFUNCTION("""COMPUTED_VALUE"""),"Fail")</f>
        <v>Fail</v>
      </c>
      <c r="K11" s="81" t="str">
        <f>IFERROR(__xludf.DUMMYFUNCTION("""COMPUTED_VALUE"""),"Medium")</f>
        <v>Medium</v>
      </c>
      <c r="L11" s="82" t="str">
        <f>IFERROR(__xludf.DUMMYFUNCTION("""COMPUTED_VALUE"""),"033.jpg")</f>
        <v>033.jpg</v>
      </c>
      <c r="M11" s="81"/>
      <c r="N11" s="83"/>
      <c r="O11" s="83"/>
      <c r="P11" s="83"/>
      <c r="Q11" s="83" t="str">
        <f>IFERROR(__xludf.DUMMYFUNCTION("""COMPUTED_VALUE"""),"Fahad")</f>
        <v>Fahad</v>
      </c>
      <c r="R11" s="53"/>
      <c r="S11" s="53"/>
      <c r="T11" s="53"/>
      <c r="U11" s="53"/>
      <c r="V11" s="53"/>
      <c r="W11" s="53"/>
      <c r="X11" s="53"/>
      <c r="Y11" s="53"/>
      <c r="Z11" s="53"/>
      <c r="AA11" s="53"/>
    </row>
    <row r="12">
      <c r="A12" s="56" t="s">
        <v>306</v>
      </c>
      <c r="B12" s="84" t="str">
        <f>IFERROR(__xludf.DUMMYFUNCTION("""COMPUTED_VALUE"""),"Recruiter")</f>
        <v>Recruiter</v>
      </c>
      <c r="C12" s="84" t="str">
        <f>IFERROR(__xludf.DUMMYFUNCTION("""COMPUTED_VALUE"""),"Certificate")</f>
        <v>Certificate</v>
      </c>
      <c r="D12" s="84" t="str">
        <f>IFERROR(__xludf.DUMMYFUNCTION("""COMPUTED_VALUE"""),"Unable to download the worker certificate")</f>
        <v>Unable to download the worker certificate</v>
      </c>
      <c r="E12" s="84" t="str">
        <f>IFERROR(__xludf.DUMMYFUNCTION("""COMPUTED_VALUE"""),"User need to install app on their mobile device")</f>
        <v>User need to install app on their mobile device</v>
      </c>
      <c r="F12" s="84" t="str">
        <f>IFERROR(__xludf.DUMMYFUNCTION("""COMPUTED_VALUE"""),"1. Open app
2. Login by recruiter credential
3. Download worker certificate")</f>
        <v>1. Open app
2. Login by recruiter credential
3. Download worker certificate</v>
      </c>
      <c r="G12" s="84" t="str">
        <f>IFERROR(__xludf.DUMMYFUNCTION("""COMPUTED_VALUE"""),"Recruiter CREDENTIAL")</f>
        <v>Recruiter CREDENTIAL</v>
      </c>
      <c r="H12" s="84" t="str">
        <f>IFERROR(__xludf.DUMMYFUNCTION("""COMPUTED_VALUE"""),"Recruiter should be able to download worker cert")</f>
        <v>Recruiter should be able to download worker cert</v>
      </c>
      <c r="I12" s="84" t="str">
        <f>IFERROR(__xludf.DUMMYFUNCTION("""COMPUTED_VALUE"""),"Failed to download worker cert")</f>
        <v>Failed to download worker cert</v>
      </c>
      <c r="J12" s="84" t="str">
        <f>IFERROR(__xludf.DUMMYFUNCTION("""COMPUTED_VALUE"""),"Fail")</f>
        <v>Fail</v>
      </c>
      <c r="K12" s="84" t="str">
        <f>IFERROR(__xludf.DUMMYFUNCTION("""COMPUTED_VALUE"""),"High")</f>
        <v>High</v>
      </c>
      <c r="L12" s="85" t="str">
        <f>IFERROR(__xludf.DUMMYFUNCTION("""COMPUTED_VALUE"""),"012.jpg")</f>
        <v>012.jpg</v>
      </c>
      <c r="M12" s="84"/>
      <c r="N12" s="84" t="str">
        <f>IFERROR(__xludf.DUMMYFUNCTION("""COMPUTED_VALUE"""),"Solved")</f>
        <v>Solved</v>
      </c>
      <c r="O12" s="84"/>
      <c r="P12" s="84" t="str">
        <f>IFERROR(__xludf.DUMMYFUNCTION("""COMPUTED_VALUE"""),"This feature wasn't mentioned by the client in the meeting")</f>
        <v>This feature wasn't mentioned by the client in the meeting</v>
      </c>
      <c r="Q12" s="84" t="str">
        <f>IFERROR(__xludf.DUMMYFUNCTION("""COMPUTED_VALUE"""),"Fahad")</f>
        <v>Fahad</v>
      </c>
      <c r="R12" s="53"/>
      <c r="S12" s="53"/>
      <c r="T12" s="53"/>
      <c r="U12" s="53"/>
      <c r="V12" s="53"/>
      <c r="W12" s="53"/>
      <c r="X12" s="53"/>
      <c r="Y12" s="53"/>
      <c r="Z12" s="53"/>
      <c r="AA12" s="53"/>
    </row>
    <row r="13">
      <c r="A13" s="56" t="s">
        <v>307</v>
      </c>
      <c r="B13" s="84" t="str">
        <f>IFERROR(__xludf.DUMMYFUNCTION("""COMPUTED_VALUE"""),"Recruiter")</f>
        <v>Recruiter</v>
      </c>
      <c r="C13" s="84" t="str">
        <f>IFERROR(__xludf.DUMMYFUNCTION("""COMPUTED_VALUE"""),"Chat")</f>
        <v>Chat</v>
      </c>
      <c r="D13" s="84" t="str">
        <f>IFERROR(__xludf.DUMMYFUNCTION("""COMPUTED_VALUE"""),"Should display last message time")</f>
        <v>Should display last message time</v>
      </c>
      <c r="E13" s="84" t="str">
        <f>IFERROR(__xludf.DUMMYFUNCTION("""COMPUTED_VALUE"""),"User need to install app on their mobile device")</f>
        <v>User need to install app on their mobile device</v>
      </c>
      <c r="F13" s="84" t="str">
        <f>IFERROR(__xludf.DUMMYFUNCTION("""COMPUTED_VALUE"""),"1. Open app
2. Goto Login Page
3. Click on Chat")</f>
        <v>1. Open app
2. Goto Login Page
3. Click on Chat</v>
      </c>
      <c r="G13" s="84" t="str">
        <f>IFERROR(__xludf.DUMMYFUNCTION("""COMPUTED_VALUE"""),"Recruiter CREDENTIAL")</f>
        <v>Recruiter CREDENTIAL</v>
      </c>
      <c r="H13" s="84" t="str">
        <f>IFERROR(__xludf.DUMMYFUNCTION("""COMPUTED_VALUE"""),"The message time should be shown in the message bar on the right side.")</f>
        <v>The message time should be shown in the message bar on the right side.</v>
      </c>
      <c r="I13" s="84" t="str">
        <f>IFERROR(__xludf.DUMMYFUNCTION("""COMPUTED_VALUE"""),"Unable to show the message time on the message bar.")</f>
        <v>Unable to show the message time on the message bar.</v>
      </c>
      <c r="J13" s="84" t="str">
        <f>IFERROR(__xludf.DUMMYFUNCTION("""COMPUTED_VALUE"""),"Fail")</f>
        <v>Fail</v>
      </c>
      <c r="K13" s="84" t="str">
        <f>IFERROR(__xludf.DUMMYFUNCTION("""COMPUTED_VALUE"""),"High")</f>
        <v>High</v>
      </c>
      <c r="L13" s="85" t="str">
        <f>IFERROR(__xludf.DUMMYFUNCTION("""COMPUTED_VALUE"""),"030.jpg")</f>
        <v>030.jpg</v>
      </c>
      <c r="M13" s="84"/>
      <c r="N13" s="84"/>
      <c r="O13" s="84"/>
      <c r="P13" s="84"/>
      <c r="Q13" s="84" t="str">
        <f>IFERROR(__xludf.DUMMYFUNCTION("""COMPUTED_VALUE"""),"Fahad")</f>
        <v>Fahad</v>
      </c>
      <c r="R13" s="53"/>
      <c r="S13" s="53"/>
      <c r="T13" s="53"/>
      <c r="U13" s="53"/>
      <c r="V13" s="53"/>
      <c r="W13" s="53"/>
      <c r="X13" s="53"/>
      <c r="Y13" s="53"/>
      <c r="Z13" s="53"/>
      <c r="AA13" s="53"/>
    </row>
    <row r="14">
      <c r="A14" s="56" t="s">
        <v>308</v>
      </c>
      <c r="B14" s="84" t="str">
        <f>IFERROR(__xludf.DUMMYFUNCTION("""COMPUTED_VALUE"""),"Recruiter")</f>
        <v>Recruiter</v>
      </c>
      <c r="C14" s="84" t="str">
        <f>IFERROR(__xludf.DUMMYFUNCTION("""COMPUTED_VALUE"""),"Document")</f>
        <v>Document</v>
      </c>
      <c r="D14" s="84" t="str">
        <f>IFERROR(__xludf.DUMMYFUNCTION("""COMPUTED_VALUE"""),"Placeholder should be named as ""Document Name""")</f>
        <v>Placeholder should be named as "Document Name"</v>
      </c>
      <c r="E14" s="84" t="str">
        <f>IFERROR(__xludf.DUMMYFUNCTION("""COMPUTED_VALUE"""),"User need to install app on their mobile device")</f>
        <v>User need to install app on their mobile device</v>
      </c>
      <c r="F14" s="84" t="str">
        <f>IFERROR(__xludf.DUMMYFUNCTION("""COMPUTED_VALUE"""),"1. Open app
2. Login by recruiter credential
3. Goto Settings
4. Click on document")</f>
        <v>1. Open app
2. Login by recruiter credential
3. Goto Settings
4. Click on document</v>
      </c>
      <c r="G14" s="84" t="str">
        <f>IFERROR(__xludf.DUMMYFUNCTION("""COMPUTED_VALUE"""),"Recruiter CREDENTIAL")</f>
        <v>Recruiter CREDENTIAL</v>
      </c>
      <c r="H14" s="84" t="str">
        <f>IFERROR(__xludf.DUMMYFUNCTION("""COMPUTED_VALUE"""),"Recruiters should be able to submit different types of documents, so the placeholder name should reflect the document name.")</f>
        <v>Recruiters should be able to submit different types of documents, so the placeholder name should reflect the document name.</v>
      </c>
      <c r="I14" s="84" t="str">
        <f>IFERROR(__xludf.DUMMYFUNCTION("""COMPUTED_VALUE"""),"Placeholder name used as certificate name")</f>
        <v>Placeholder name used as certificate name</v>
      </c>
      <c r="J14" s="84" t="str">
        <f>IFERROR(__xludf.DUMMYFUNCTION("""COMPUTED_VALUE"""),"Fail")</f>
        <v>Fail</v>
      </c>
      <c r="K14" s="84" t="str">
        <f>IFERROR(__xludf.DUMMYFUNCTION("""COMPUTED_VALUE"""),"Low")</f>
        <v>Low</v>
      </c>
      <c r="L14" s="85" t="str">
        <f>IFERROR(__xludf.DUMMYFUNCTION("""COMPUTED_VALUE"""),"013.jpg")</f>
        <v>013.jpg</v>
      </c>
      <c r="M14" s="84"/>
      <c r="N14" s="84"/>
      <c r="O14" s="84"/>
      <c r="P14" s="84"/>
      <c r="Q14" s="84" t="str">
        <f>IFERROR(__xludf.DUMMYFUNCTION("""COMPUTED_VALUE"""),"Fahad")</f>
        <v>Fahad</v>
      </c>
      <c r="R14" s="53"/>
      <c r="S14" s="53"/>
      <c r="T14" s="53"/>
      <c r="U14" s="53"/>
      <c r="V14" s="53"/>
      <c r="W14" s="53"/>
      <c r="X14" s="53"/>
      <c r="Y14" s="53"/>
      <c r="Z14" s="53"/>
      <c r="AA14" s="53"/>
    </row>
    <row r="15">
      <c r="A15" s="56" t="s">
        <v>309</v>
      </c>
      <c r="B15" s="84" t="str">
        <f>IFERROR(__xludf.DUMMYFUNCTION("""COMPUTED_VALUE"""),"Recruiter")</f>
        <v>Recruiter</v>
      </c>
      <c r="C15" s="84" t="str">
        <f>IFERROR(__xludf.DUMMYFUNCTION("""COMPUTED_VALUE"""),"Forget Password")</f>
        <v>Forget Password</v>
      </c>
      <c r="D15" s="84" t="str">
        <f>IFERROR(__xludf.DUMMYFUNCTION("""COMPUTED_VALUE"""),"Received OTP, but it showed as invalid.")</f>
        <v>Received OTP, but it showed as invalid.</v>
      </c>
      <c r="E15" s="84" t="str">
        <f>IFERROR(__xludf.DUMMYFUNCTION("""COMPUTED_VALUE"""),"User need to install app on their mobile device")</f>
        <v>User need to install app on their mobile device</v>
      </c>
      <c r="F15" s="84" t="str">
        <f>IFERROR(__xludf.DUMMYFUNCTION("""COMPUTED_VALUE"""),"1. Open app
2. Goto Login Page
3. Click on forget password")</f>
        <v>1. Open app
2. Goto Login Page
3. Click on forget password</v>
      </c>
      <c r="G15" s="84" t="str">
        <f>IFERROR(__xludf.DUMMYFUNCTION("""COMPUTED_VALUE"""),"Recruiter CREDENTIAL")</f>
        <v>Recruiter CREDENTIAL</v>
      </c>
      <c r="H15" s="84" t="str">
        <f>IFERROR(__xludf.DUMMYFUNCTION("""COMPUTED_VALUE"""),"The user should be able to receive an OTP and submit it for verification.")</f>
        <v>The user should be able to receive an OTP and submit it for verification.</v>
      </c>
      <c r="I15" s="84" t="str">
        <f>IFERROR(__xludf.DUMMYFUNCTION("""COMPUTED_VALUE"""),"Unable to submit the OTP after receiving it via email.")</f>
        <v>Unable to submit the OTP after receiving it via email.</v>
      </c>
      <c r="J15" s="84" t="str">
        <f>IFERROR(__xludf.DUMMYFUNCTION("""COMPUTED_VALUE"""),"Fail")</f>
        <v>Fail</v>
      </c>
      <c r="K15" s="84" t="str">
        <f>IFERROR(__xludf.DUMMYFUNCTION("""COMPUTED_VALUE"""),"High")</f>
        <v>High</v>
      </c>
      <c r="L15" s="85" t="str">
        <f>IFERROR(__xludf.DUMMYFUNCTION("""COMPUTED_VALUE"""),"040.png")</f>
        <v>040.png</v>
      </c>
      <c r="M15" s="84"/>
      <c r="N15" s="84"/>
      <c r="O15" s="84"/>
      <c r="P15" s="84"/>
      <c r="Q15" s="84" t="str">
        <f>IFERROR(__xludf.DUMMYFUNCTION("""COMPUTED_VALUE"""),"Fahad")</f>
        <v>Fahad</v>
      </c>
      <c r="R15" s="53"/>
      <c r="S15" s="53"/>
      <c r="T15" s="53"/>
      <c r="U15" s="53"/>
      <c r="V15" s="53"/>
      <c r="W15" s="53"/>
      <c r="X15" s="53"/>
      <c r="Y15" s="53"/>
      <c r="Z15" s="53"/>
      <c r="AA15" s="53"/>
    </row>
    <row r="16">
      <c r="A16" s="56" t="s">
        <v>310</v>
      </c>
      <c r="B16" s="84" t="str">
        <f>IFERROR(__xludf.DUMMYFUNCTION("""COMPUTED_VALUE"""),"Recruiter")</f>
        <v>Recruiter</v>
      </c>
      <c r="C16" s="84" t="str">
        <f>IFERROR(__xludf.DUMMYFUNCTION("""COMPUTED_VALUE"""),"Forget Password")</f>
        <v>Forget Password</v>
      </c>
      <c r="D16" s="84" t="str">
        <f>IFERROR(__xludf.DUMMYFUNCTION("""COMPUTED_VALUE"""),"Can't navigate to the login page from the OTP submission page.")</f>
        <v>Can't navigate to the login page from the OTP submission page.</v>
      </c>
      <c r="E16" s="84" t="str">
        <f>IFERROR(__xludf.DUMMYFUNCTION("""COMPUTED_VALUE"""),"User need to install app on their mobile device")</f>
        <v>User need to install app on their mobile device</v>
      </c>
      <c r="F16" s="84" t="str">
        <f>IFERROR(__xludf.DUMMYFUNCTION("""COMPUTED_VALUE"""),"1. Open app
2. Goto Login Page
3. Click on forget password")</f>
        <v>1. Open app
2. Goto Login Page
3. Click on forget password</v>
      </c>
      <c r="G16" s="84" t="str">
        <f>IFERROR(__xludf.DUMMYFUNCTION("""COMPUTED_VALUE"""),"Recruiter CREDENTIAL")</f>
        <v>Recruiter CREDENTIAL</v>
      </c>
      <c r="H16" s="84" t="str">
        <f>IFERROR(__xludf.DUMMYFUNCTION("""COMPUTED_VALUE"""),"Users should be able to backtrack.")</f>
        <v>Users should be able to backtrack.</v>
      </c>
      <c r="I16" s="84" t="str">
        <f>IFERROR(__xludf.DUMMYFUNCTION("""COMPUTED_VALUE"""),"Failed to backtrack and navigate to the desired page.")</f>
        <v>Failed to backtrack and navigate to the desired page.</v>
      </c>
      <c r="J16" s="84" t="str">
        <f>IFERROR(__xludf.DUMMYFUNCTION("""COMPUTED_VALUE"""),"Fail")</f>
        <v>Fail</v>
      </c>
      <c r="K16" s="84" t="str">
        <f>IFERROR(__xludf.DUMMYFUNCTION("""COMPUTED_VALUE"""),"Medium")</f>
        <v>Medium</v>
      </c>
      <c r="L16" s="85" t="str">
        <f>IFERROR(__xludf.DUMMYFUNCTION("""COMPUTED_VALUE"""),"041.mp4")</f>
        <v>041.mp4</v>
      </c>
      <c r="M16" s="84"/>
      <c r="N16" s="84"/>
      <c r="O16" s="84"/>
      <c r="P16" s="84"/>
      <c r="Q16" s="84" t="str">
        <f>IFERROR(__xludf.DUMMYFUNCTION("""COMPUTED_VALUE"""),"Fahad")</f>
        <v>Fahad</v>
      </c>
      <c r="R16" s="53"/>
      <c r="S16" s="53"/>
      <c r="T16" s="53"/>
      <c r="U16" s="53"/>
      <c r="V16" s="53"/>
      <c r="W16" s="53"/>
      <c r="X16" s="53"/>
      <c r="Y16" s="53"/>
      <c r="Z16" s="53"/>
      <c r="AA16" s="53"/>
    </row>
    <row r="17">
      <c r="A17" s="56" t="s">
        <v>311</v>
      </c>
      <c r="B17" s="84" t="str">
        <f>IFERROR(__xludf.DUMMYFUNCTION("""COMPUTED_VALUE"""),"Recruiter")</f>
        <v>Recruiter</v>
      </c>
      <c r="C17" s="84" t="str">
        <f>IFERROR(__xludf.DUMMYFUNCTION("""COMPUTED_VALUE"""),"Job Details")</f>
        <v>Job Details</v>
      </c>
      <c r="D17" s="84" t="str">
        <f>IFERROR(__xludf.DUMMYFUNCTION("""COMPUTED_VALUE"""),"The progress mark is not set correctly in the recruiter dashboard.")</f>
        <v>The progress mark is not set correctly in the recruiter dashboard.</v>
      </c>
      <c r="E17" s="84" t="str">
        <f>IFERROR(__xludf.DUMMYFUNCTION("""COMPUTED_VALUE"""),"User need to install app on their mobile device")</f>
        <v>User need to install app on their mobile device</v>
      </c>
      <c r="F17" s="84" t="str">
        <f>IFERROR(__xludf.DUMMYFUNCTION("""COMPUTED_VALUE"""),"1. Open app
2. Goto Login Page
3. Click on job details")</f>
        <v>1. Open app
2. Goto Login Page
3. Click on job details</v>
      </c>
      <c r="G17" s="84" t="str">
        <f>IFERROR(__xludf.DUMMYFUNCTION("""COMPUTED_VALUE"""),"Recruiter CREDENTIAL")</f>
        <v>Recruiter CREDENTIAL</v>
      </c>
      <c r="H17" s="84" t="str">
        <f>IFERROR(__xludf.DUMMYFUNCTION("""COMPUTED_VALUE"""),"Progress steps should properly displayed on recruiter job details")</f>
        <v>Progress steps should properly displayed on recruiter job details</v>
      </c>
      <c r="I17" s="84" t="str">
        <f>IFERROR(__xludf.DUMMYFUNCTION("""COMPUTED_VALUE"""),"Progress failed to show properly on the worker side.")</f>
        <v>Progress failed to show properly on the worker side.</v>
      </c>
      <c r="J17" s="84" t="str">
        <f>IFERROR(__xludf.DUMMYFUNCTION("""COMPUTED_VALUE"""),"Fail")</f>
        <v>Fail</v>
      </c>
      <c r="K17" s="84" t="str">
        <f>IFERROR(__xludf.DUMMYFUNCTION("""COMPUTED_VALUE"""),"High")</f>
        <v>High</v>
      </c>
      <c r="L17" s="85" t="str">
        <f>IFERROR(__xludf.DUMMYFUNCTION("""COMPUTED_VALUE"""),"021.jpg")</f>
        <v>021.jpg</v>
      </c>
      <c r="M17" s="84"/>
      <c r="N17" s="84"/>
      <c r="O17" s="84"/>
      <c r="P17" s="84"/>
      <c r="Q17" s="84" t="str">
        <f>IFERROR(__xludf.DUMMYFUNCTION("""COMPUTED_VALUE"""),"Fahad")</f>
        <v>Fahad</v>
      </c>
      <c r="R17" s="53"/>
      <c r="S17" s="53"/>
      <c r="T17" s="53"/>
      <c r="U17" s="53"/>
      <c r="V17" s="53"/>
      <c r="W17" s="53"/>
      <c r="X17" s="53"/>
      <c r="Y17" s="53"/>
      <c r="Z17" s="53"/>
      <c r="AA17" s="53"/>
    </row>
    <row r="18">
      <c r="A18" s="56" t="s">
        <v>312</v>
      </c>
      <c r="B18" s="84" t="str">
        <f>IFERROR(__xludf.DUMMYFUNCTION("""COMPUTED_VALUE"""),"Recruiter")</f>
        <v>Recruiter</v>
      </c>
      <c r="C18" s="84" t="str">
        <f>IFERROR(__xludf.DUMMYFUNCTION("""COMPUTED_VALUE"""),"Job Details")</f>
        <v>Job Details</v>
      </c>
      <c r="D18" s="84" t="str">
        <f>IFERROR(__xludf.DUMMYFUNCTION("""COMPUTED_VALUE"""),"Location picker needs to be integrated.")</f>
        <v>Location picker needs to be integrated.</v>
      </c>
      <c r="E18" s="84" t="str">
        <f>IFERROR(__xludf.DUMMYFUNCTION("""COMPUTED_VALUE"""),"User need to install app on their mobile device")</f>
        <v>User need to install app on their mobile device</v>
      </c>
      <c r="F18" s="84" t="str">
        <f>IFERROR(__xludf.DUMMYFUNCTION("""COMPUTED_VALUE"""),"1. Open app
2. Goto Login Page
3. Click on job details")</f>
        <v>1. Open app
2. Goto Login Page
3. Click on job details</v>
      </c>
      <c r="G18" s="84" t="str">
        <f>IFERROR(__xludf.DUMMYFUNCTION("""COMPUTED_VALUE"""),"Recruiter CREDENTIAL")</f>
        <v>Recruiter CREDENTIAL</v>
      </c>
      <c r="H18" s="84" t="str">
        <f>IFERROR(__xludf.DUMMYFUNCTION("""COMPUTED_VALUE"""),"Location picker should be integrated into the location input.")</f>
        <v>Location picker should be integrated into the location input.</v>
      </c>
      <c r="I18" s="84" t="str">
        <f>IFERROR(__xludf.DUMMYFUNCTION("""COMPUTED_VALUE"""),"The absence of a location picker in the job section can cause confusion about the exact workplace.")</f>
        <v>The absence of a location picker in the job section can cause confusion about the exact workplace.</v>
      </c>
      <c r="J18" s="84" t="str">
        <f>IFERROR(__xludf.DUMMYFUNCTION("""COMPUTED_VALUE"""),"Fail")</f>
        <v>Fail</v>
      </c>
      <c r="K18" s="84" t="str">
        <f>IFERROR(__xludf.DUMMYFUNCTION("""COMPUTED_VALUE"""),"High")</f>
        <v>High</v>
      </c>
      <c r="L18" s="85" t="str">
        <f>IFERROR(__xludf.DUMMYFUNCTION("""COMPUTED_VALUE"""),"029.jpg")</f>
        <v>029.jpg</v>
      </c>
      <c r="M18" s="84"/>
      <c r="N18" s="84"/>
      <c r="O18" s="84"/>
      <c r="P18" s="84"/>
      <c r="Q18" s="84" t="str">
        <f>IFERROR(__xludf.DUMMYFUNCTION("""COMPUTED_VALUE"""),"Fahad")</f>
        <v>Fahad</v>
      </c>
      <c r="R18" s="53"/>
      <c r="S18" s="53"/>
      <c r="T18" s="53"/>
      <c r="U18" s="53"/>
      <c r="V18" s="53"/>
      <c r="W18" s="53"/>
      <c r="X18" s="53"/>
      <c r="Y18" s="53"/>
      <c r="Z18" s="53"/>
      <c r="AA18" s="53"/>
    </row>
    <row r="19">
      <c r="A19" s="56" t="s">
        <v>313</v>
      </c>
      <c r="B19" s="84" t="str">
        <f>IFERROR(__xludf.DUMMYFUNCTION("""COMPUTED_VALUE"""),"Recruiter")</f>
        <v>Recruiter</v>
      </c>
      <c r="C19" s="84" t="str">
        <f>IFERROR(__xludf.DUMMYFUNCTION("""COMPUTED_VALUE"""),"Job Details")</f>
        <v>Job Details</v>
      </c>
      <c r="D19" s="84" t="str">
        <f>IFERROR(__xludf.DUMMYFUNCTION("""COMPUTED_VALUE"""),"Certificate list is not integrated into the job details.")</f>
        <v>Certificate list is not integrated into the job details.</v>
      </c>
      <c r="E19" s="84" t="str">
        <f>IFERROR(__xludf.DUMMYFUNCTION("""COMPUTED_VALUE"""),"User need to install app on their mobile device")</f>
        <v>User need to install app on their mobile device</v>
      </c>
      <c r="F19" s="84" t="str">
        <f>IFERROR(__xludf.DUMMYFUNCTION("""COMPUTED_VALUE"""),"1. Open app
2. Goto Login Page
3. Click on job details")</f>
        <v>1. Open app
2. Goto Login Page
3. Click on job details</v>
      </c>
      <c r="G19" s="84" t="str">
        <f>IFERROR(__xludf.DUMMYFUNCTION("""COMPUTED_VALUE"""),"Recruiter CREDENTIAL")</f>
        <v>Recruiter CREDENTIAL</v>
      </c>
      <c r="H19" s="84" t="str">
        <f>IFERROR(__xludf.DUMMYFUNCTION("""COMPUTED_VALUE"""),"The required cert input field should integrate a cert list that displays cert names in a dropdown or search format.")</f>
        <v>The required cert input field should integrate a cert list that displays cert names in a dropdown or search format.</v>
      </c>
      <c r="I19" s="84" t="str">
        <f>IFERROR(__xludf.DUMMYFUNCTION("""COMPUTED_VALUE"""),"Missing certificate data in the required field can lead to workers not applying for a job due to a certificate mismatch.")</f>
        <v>Missing certificate data in the required field can lead to workers not applying for a job due to a certificate mismatch.</v>
      </c>
      <c r="J19" s="84" t="str">
        <f>IFERROR(__xludf.DUMMYFUNCTION("""COMPUTED_VALUE"""),"Fail")</f>
        <v>Fail</v>
      </c>
      <c r="K19" s="84" t="str">
        <f>IFERROR(__xludf.DUMMYFUNCTION("""COMPUTED_VALUE"""),"High")</f>
        <v>High</v>
      </c>
      <c r="L19" s="85" t="str">
        <f>IFERROR(__xludf.DUMMYFUNCTION("""COMPUTED_VALUE"""),"031.jpg")</f>
        <v>031.jpg</v>
      </c>
      <c r="M19" s="84"/>
      <c r="N19" s="84"/>
      <c r="O19" s="84"/>
      <c r="P19" s="84"/>
      <c r="Q19" s="84" t="str">
        <f>IFERROR(__xludf.DUMMYFUNCTION("""COMPUTED_VALUE"""),"Fahad")</f>
        <v>Fahad</v>
      </c>
      <c r="R19" s="53"/>
      <c r="S19" s="53"/>
      <c r="T19" s="53"/>
      <c r="U19" s="53"/>
      <c r="V19" s="53"/>
      <c r="W19" s="53"/>
      <c r="X19" s="53"/>
      <c r="Y19" s="53"/>
      <c r="Z19" s="53"/>
      <c r="AA19" s="53"/>
    </row>
    <row r="20">
      <c r="A20" s="56" t="s">
        <v>314</v>
      </c>
      <c r="B20" s="84" t="str">
        <f>IFERROR(__xludf.DUMMYFUNCTION("""COMPUTED_VALUE"""),"Recruiter")</f>
        <v>Recruiter</v>
      </c>
      <c r="C20" s="84" t="str">
        <f>IFERROR(__xludf.DUMMYFUNCTION("""COMPUTED_VALUE"""),"Login")</f>
        <v>Login</v>
      </c>
      <c r="D20" s="84" t="str">
        <f>IFERROR(__xludf.DUMMYFUNCTION("""COMPUTED_VALUE"""),"Failed to login using google login")</f>
        <v>Failed to login using google login</v>
      </c>
      <c r="E20" s="84" t="str">
        <f>IFERROR(__xludf.DUMMYFUNCTION("""COMPUTED_VALUE"""),"User need to install app on their mobile device")</f>
        <v>User need to install app on their mobile device</v>
      </c>
      <c r="F20" s="84" t="str">
        <f>IFERROR(__xludf.DUMMYFUNCTION("""COMPUTED_VALUE"""),"1. Open app
2. Login using google ")</f>
        <v>1. Open app
2. Login using google </v>
      </c>
      <c r="G20" s="84" t="str">
        <f>IFERROR(__xludf.DUMMYFUNCTION("""COMPUTED_VALUE"""),"Recruiter CREDENTIAL")</f>
        <v>Recruiter CREDENTIAL</v>
      </c>
      <c r="H20" s="84" t="str">
        <f>IFERROR(__xludf.DUMMYFUNCTION("""COMPUTED_VALUE"""),"Should be able to login with google login feature")</f>
        <v>Should be able to login with google login feature</v>
      </c>
      <c r="I20" s="84" t="str">
        <f>IFERROR(__xludf.DUMMYFUNCTION("""COMPUTED_VALUE"""),"Failed to login using google login")</f>
        <v>Failed to login using google login</v>
      </c>
      <c r="J20" s="84" t="str">
        <f>IFERROR(__xludf.DUMMYFUNCTION("""COMPUTED_VALUE"""),"Fail")</f>
        <v>Fail</v>
      </c>
      <c r="K20" s="84" t="str">
        <f>IFERROR(__xludf.DUMMYFUNCTION("""COMPUTED_VALUE"""),"High")</f>
        <v>High</v>
      </c>
      <c r="L20" s="85" t="str">
        <f>IFERROR(__xludf.DUMMYFUNCTION("""COMPUTED_VALUE"""),"017.jpg")</f>
        <v>017.jpg</v>
      </c>
      <c r="M20" s="84"/>
      <c r="N20" s="84"/>
      <c r="O20" s="84"/>
      <c r="P20" s="84"/>
      <c r="Q20" s="84" t="str">
        <f>IFERROR(__xludf.DUMMYFUNCTION("""COMPUTED_VALUE"""),"Fahad")</f>
        <v>Fahad</v>
      </c>
      <c r="R20" s="53"/>
      <c r="S20" s="53"/>
      <c r="T20" s="53"/>
      <c r="U20" s="53"/>
      <c r="V20" s="53"/>
      <c r="W20" s="53"/>
      <c r="X20" s="53"/>
      <c r="Y20" s="53"/>
      <c r="Z20" s="53"/>
      <c r="AA20" s="53"/>
    </row>
    <row r="21">
      <c r="A21" s="56" t="s">
        <v>315</v>
      </c>
      <c r="B21" s="84" t="str">
        <f>IFERROR(__xludf.DUMMYFUNCTION("""COMPUTED_VALUE"""),"Recruiter")</f>
        <v>Recruiter</v>
      </c>
      <c r="C21" s="84" t="str">
        <f>IFERROR(__xludf.DUMMYFUNCTION("""COMPUTED_VALUE"""),"Login")</f>
        <v>Login</v>
      </c>
      <c r="D21" s="84" t="str">
        <f>IFERROR(__xludf.DUMMYFUNCTION("""COMPUTED_VALUE"""),"Remember me operation failed")</f>
        <v>Remember me operation failed</v>
      </c>
      <c r="E21" s="84" t="str">
        <f>IFERROR(__xludf.DUMMYFUNCTION("""COMPUTED_VALUE"""),"User need to install app on their mobile device")</f>
        <v>User need to install app on their mobile device</v>
      </c>
      <c r="F21" s="84" t="str">
        <f>IFERROR(__xludf.DUMMYFUNCTION("""COMPUTED_VALUE"""),"1. Open app
2. Goto Login Page")</f>
        <v>1. Open app
2. Goto Login Page</v>
      </c>
      <c r="G21" s="84" t="str">
        <f>IFERROR(__xludf.DUMMYFUNCTION("""COMPUTED_VALUE"""),"Recruiter CREDENTIAL")</f>
        <v>Recruiter CREDENTIAL</v>
      </c>
      <c r="H21" s="84" t="str">
        <f>IFERROR(__xludf.DUMMYFUNCTION("""COMPUTED_VALUE"""),"App should remember user credentials if they select the ""remember me"" option during login.")</f>
        <v>App should remember user credentials if they select the "remember me" option during login.</v>
      </c>
      <c r="I21" s="84" t="str">
        <f>IFERROR(__xludf.DUMMYFUNCTION("""COMPUTED_VALUE"""),"The “Remember Me” option didn’t save the user credentials.")</f>
        <v>The “Remember Me” option didn’t save the user credentials.</v>
      </c>
      <c r="J21" s="84" t="str">
        <f>IFERROR(__xludf.DUMMYFUNCTION("""COMPUTED_VALUE"""),"Fail")</f>
        <v>Fail</v>
      </c>
      <c r="K21" s="84" t="str">
        <f>IFERROR(__xludf.DUMMYFUNCTION("""COMPUTED_VALUE"""),"High")</f>
        <v>High</v>
      </c>
      <c r="L21" s="85" t="str">
        <f>IFERROR(__xludf.DUMMYFUNCTION("""COMPUTED_VALUE"""),"018.jpg")</f>
        <v>018.jpg</v>
      </c>
      <c r="M21" s="84"/>
      <c r="N21" s="84"/>
      <c r="O21" s="84"/>
      <c r="P21" s="84"/>
      <c r="Q21" s="84" t="str">
        <f>IFERROR(__xludf.DUMMYFUNCTION("""COMPUTED_VALUE"""),"Fahad")</f>
        <v>Fahad</v>
      </c>
      <c r="R21" s="53"/>
      <c r="S21" s="53"/>
      <c r="T21" s="53"/>
      <c r="U21" s="53"/>
      <c r="V21" s="53"/>
      <c r="W21" s="53"/>
      <c r="X21" s="53"/>
      <c r="Y21" s="53"/>
      <c r="Z21" s="53"/>
      <c r="AA21" s="53"/>
    </row>
    <row r="22">
      <c r="A22" s="56" t="s">
        <v>316</v>
      </c>
      <c r="B22" s="84" t="str">
        <f>IFERROR(__xludf.DUMMYFUNCTION("""COMPUTED_VALUE"""),"Recruiter")</f>
        <v>Recruiter</v>
      </c>
      <c r="C22" s="84" t="str">
        <f>IFERROR(__xludf.DUMMYFUNCTION("""COMPUTED_VALUE"""),"Login")</f>
        <v>Login</v>
      </c>
      <c r="D22" s="84" t="str">
        <f>IFERROR(__xludf.DUMMYFUNCTION("""COMPUTED_VALUE"""),"Need to set up Apple Sign-In.")</f>
        <v>Need to set up Apple Sign-In.</v>
      </c>
      <c r="E22" s="84" t="str">
        <f>IFERROR(__xludf.DUMMYFUNCTION("""COMPUTED_VALUE"""),"User need to install app on their mobile device")</f>
        <v>User need to install app on their mobile device</v>
      </c>
      <c r="F22" s="84" t="str">
        <f>IFERROR(__xludf.DUMMYFUNCTION("""COMPUTED_VALUE"""),"1. Open app
2. Goto Login Page")</f>
        <v>1. Open app
2. Goto Login Page</v>
      </c>
      <c r="G22" s="84" t="str">
        <f>IFERROR(__xludf.DUMMYFUNCTION("""COMPUTED_VALUE"""),"N/A")</f>
        <v>N/A</v>
      </c>
      <c r="H22" s="84" t="str">
        <f>IFERROR(__xludf.DUMMYFUNCTION("""COMPUTED_VALUE"""),"The app should include Apple login integration.")</f>
        <v>The app should include Apple login integration.</v>
      </c>
      <c r="I22" s="84" t="str">
        <f>IFERROR(__xludf.DUMMYFUNCTION("""COMPUTED_VALUE"""),"Missing apple login")</f>
        <v>Missing apple login</v>
      </c>
      <c r="J22" s="84" t="str">
        <f>IFERROR(__xludf.DUMMYFUNCTION("""COMPUTED_VALUE"""),"Fail")</f>
        <v>Fail</v>
      </c>
      <c r="K22" s="84" t="str">
        <f>IFERROR(__xludf.DUMMYFUNCTION("""COMPUTED_VALUE"""),"Medium")</f>
        <v>Medium</v>
      </c>
      <c r="L22" s="85" t="str">
        <f>IFERROR(__xludf.DUMMYFUNCTION("""COMPUTED_VALUE"""),"037.jpg")</f>
        <v>037.jpg</v>
      </c>
      <c r="M22" s="84"/>
      <c r="N22" s="84"/>
      <c r="O22" s="84"/>
      <c r="P22" s="84"/>
      <c r="Q22" s="84" t="str">
        <f>IFERROR(__xludf.DUMMYFUNCTION("""COMPUTED_VALUE"""),"Fahad")</f>
        <v>Fahad</v>
      </c>
      <c r="R22" s="53"/>
      <c r="S22" s="53"/>
      <c r="T22" s="53"/>
      <c r="U22" s="53"/>
      <c r="V22" s="53"/>
      <c r="W22" s="53"/>
      <c r="X22" s="53"/>
      <c r="Y22" s="53"/>
      <c r="Z22" s="53"/>
      <c r="AA22" s="53"/>
    </row>
    <row r="23">
      <c r="A23" s="56" t="s">
        <v>317</v>
      </c>
      <c r="B23" s="84" t="str">
        <f>IFERROR(__xludf.DUMMYFUNCTION("""COMPUTED_VALUE"""),"Recruiter")</f>
        <v>Recruiter</v>
      </c>
      <c r="C23" s="84" t="str">
        <f>IFERROR(__xludf.DUMMYFUNCTION("""COMPUTED_VALUE"""),"OTP")</f>
        <v>OTP</v>
      </c>
      <c r="D23" s="84" t="str">
        <f>IFERROR(__xludf.DUMMYFUNCTION("""COMPUTED_VALUE"""),"Clicking the back button closes the app instead of taking users to the login page.")</f>
        <v>Clicking the back button closes the app instead of taking users to the login page.</v>
      </c>
      <c r="E23" s="84" t="str">
        <f>IFERROR(__xludf.DUMMYFUNCTION("""COMPUTED_VALUE"""),"User need to install app on their mobile device")</f>
        <v>User need to install app on their mobile device</v>
      </c>
      <c r="F23" s="84" t="str">
        <f>IFERROR(__xludf.DUMMYFUNCTION("""COMPUTED_VALUE"""),"1. Open app
2. Goto Login Page
3. Click on forget password
4. provide email and goto OTP page")</f>
        <v>1. Open app
2. Goto Login Page
3. Click on forget password
4. provide email and goto OTP page</v>
      </c>
      <c r="G23" s="84" t="str">
        <f>IFERROR(__xludf.DUMMYFUNCTION("""COMPUTED_VALUE"""),"Recruiter CREDENTIAL")</f>
        <v>Recruiter CREDENTIAL</v>
      </c>
      <c r="H23" s="84" t="str">
        <f>IFERROR(__xludf.DUMMYFUNCTION("""COMPUTED_VALUE"""),"The back button should take the user to the home or login screen, and on the second click, it should either prompt them to quit the app or close it automatically.")</f>
        <v>The back button should take the user to the home or login screen, and on the second click, it should either prompt them to quit the app or close it automatically.</v>
      </c>
      <c r="I23" s="84" t="str">
        <f>IFERROR(__xludf.DUMMYFUNCTION("""COMPUTED_VALUE"""),"Close the app without prompting for confirmation")</f>
        <v>Close the app without prompting for confirmation</v>
      </c>
      <c r="J23" s="84" t="str">
        <f>IFERROR(__xludf.DUMMYFUNCTION("""COMPUTED_VALUE"""),"Fail")</f>
        <v>Fail</v>
      </c>
      <c r="K23" s="84" t="str">
        <f>IFERROR(__xludf.DUMMYFUNCTION("""COMPUTED_VALUE"""),"High")</f>
        <v>High</v>
      </c>
      <c r="L23" s="85" t="str">
        <f>IFERROR(__xludf.DUMMYFUNCTION("""COMPUTED_VALUE"""),"019.mp4")</f>
        <v>019.mp4</v>
      </c>
      <c r="M23" s="84"/>
      <c r="N23" s="84"/>
      <c r="O23" s="84"/>
      <c r="P23" s="84"/>
      <c r="Q23" s="84" t="str">
        <f>IFERROR(__xludf.DUMMYFUNCTION("""COMPUTED_VALUE"""),"Fahad")</f>
        <v>Fahad</v>
      </c>
      <c r="R23" s="53"/>
      <c r="S23" s="53"/>
      <c r="T23" s="53"/>
      <c r="U23" s="53"/>
      <c r="V23" s="53"/>
      <c r="W23" s="53"/>
      <c r="X23" s="53"/>
      <c r="Y23" s="53"/>
      <c r="Z23" s="53"/>
      <c r="AA23" s="53"/>
    </row>
    <row r="24">
      <c r="A24" s="56" t="s">
        <v>318</v>
      </c>
      <c r="B24" s="84" t="str">
        <f>IFERROR(__xludf.DUMMYFUNCTION("""COMPUTED_VALUE"""),"Recruiter")</f>
        <v>Recruiter</v>
      </c>
      <c r="C24" s="84" t="str">
        <f>IFERROR(__xludf.DUMMYFUNCTION("""COMPUTED_VALUE"""),"Search")</f>
        <v>Search</v>
      </c>
      <c r="D24" s="84" t="str">
        <f>IFERROR(__xludf.DUMMYFUNCTION("""COMPUTED_VALUE"""),"Unable to search by category as mentioned in the requirement.")</f>
        <v>Unable to search by category as mentioned in the requirement.</v>
      </c>
      <c r="E24" s="84" t="str">
        <f>IFERROR(__xludf.DUMMYFUNCTION("""COMPUTED_VALUE"""),"User need to install app on their mobile device")</f>
        <v>User need to install app on their mobile device</v>
      </c>
      <c r="F24" s="84" t="str">
        <f>IFERROR(__xludf.DUMMYFUNCTION("""COMPUTED_VALUE"""),"1. Open app
2. Login by recruiter credential
3. Goto Search")</f>
        <v>1. Open app
2. Login by recruiter credential
3. Goto Search</v>
      </c>
      <c r="G24" s="84" t="str">
        <f>IFERROR(__xludf.DUMMYFUNCTION("""COMPUTED_VALUE"""),"Recruiter CREDENTIAL")</f>
        <v>Recruiter CREDENTIAL</v>
      </c>
      <c r="H24" s="84" t="str">
        <f>IFERROR(__xludf.DUMMYFUNCTION("""COMPUTED_VALUE"""),"Recruiters should be able to search for workers by trade or discipline, availability, and location as outlined in the requirements.")</f>
        <v>Recruiters should be able to search for workers by trade or discipline, availability, and location as outlined in the requirements.</v>
      </c>
      <c r="I24" s="84" t="str">
        <f>IFERROR(__xludf.DUMMYFUNCTION("""COMPUTED_VALUE"""),"A recruiter can search for a worker using their name or ID.")</f>
        <v>A recruiter can search for a worker using their name or ID.</v>
      </c>
      <c r="J24" s="84" t="str">
        <f>IFERROR(__xludf.DUMMYFUNCTION("""COMPUTED_VALUE"""),"Fail")</f>
        <v>Fail</v>
      </c>
      <c r="K24" s="84" t="str">
        <f>IFERROR(__xludf.DUMMYFUNCTION("""COMPUTED_VALUE"""),"High")</f>
        <v>High</v>
      </c>
      <c r="L24" s="85" t="str">
        <f>IFERROR(__xludf.DUMMYFUNCTION("""COMPUTED_VALUE"""),"014.jpg")</f>
        <v>014.jpg</v>
      </c>
      <c r="M24" s="84"/>
      <c r="N24" s="84" t="str">
        <f>IFERROR(__xludf.DUMMYFUNCTION("""COMPUTED_VALUE"""),"Solved")</f>
        <v>Solved</v>
      </c>
      <c r="O24" s="84"/>
      <c r="P24" s="84" t="str">
        <f>IFERROR(__xludf.DUMMYFUNCTION("""COMPUTED_VALUE"""),"It's Already Working")</f>
        <v>It's Already Working</v>
      </c>
      <c r="Q24" s="84" t="str">
        <f>IFERROR(__xludf.DUMMYFUNCTION("""COMPUTED_VALUE"""),"Fahad")</f>
        <v>Fahad</v>
      </c>
      <c r="R24" s="53"/>
      <c r="S24" s="53"/>
      <c r="T24" s="53"/>
      <c r="U24" s="53"/>
      <c r="V24" s="53"/>
      <c r="W24" s="53"/>
      <c r="X24" s="53"/>
      <c r="Y24" s="53"/>
      <c r="Z24" s="53"/>
      <c r="AA24" s="53"/>
    </row>
    <row r="25">
      <c r="A25" s="56" t="s">
        <v>319</v>
      </c>
      <c r="B25" s="84" t="str">
        <f>IFERROR(__xludf.DUMMYFUNCTION("""COMPUTED_VALUE"""),"Recruiter")</f>
        <v>Recruiter</v>
      </c>
      <c r="C25" s="84" t="str">
        <f>IFERROR(__xludf.DUMMYFUNCTION("""COMPUTED_VALUE"""),"Search")</f>
        <v>Search</v>
      </c>
      <c r="D25" s="84" t="str">
        <f>IFERROR(__xludf.DUMMYFUNCTION("""COMPUTED_VALUE"""),"Random number appears on the worker's tag.")</f>
        <v>Random number appears on the worker's tag.</v>
      </c>
      <c r="E25" s="84" t="str">
        <f>IFERROR(__xludf.DUMMYFUNCTION("""COMPUTED_VALUE"""),"User need to install app on their mobile device")</f>
        <v>User need to install app on their mobile device</v>
      </c>
      <c r="F25" s="84" t="str">
        <f>IFERROR(__xludf.DUMMYFUNCTION("""COMPUTED_VALUE"""),"1. Open app
2. Login by recruiter credential
3. Goto Search")</f>
        <v>1. Open app
2. Login by recruiter credential
3. Goto Search</v>
      </c>
      <c r="G25" s="84" t="str">
        <f>IFERROR(__xludf.DUMMYFUNCTION("""COMPUTED_VALUE"""),"Recruiter CREDENTIAL")</f>
        <v>Recruiter CREDENTIAL</v>
      </c>
      <c r="H25" s="84" t="str">
        <f>IFERROR(__xludf.DUMMYFUNCTION("""COMPUTED_VALUE"""),"The worker's tag should be displayed correctly on the search page.")</f>
        <v>The worker's tag should be displayed correctly on the search page.</v>
      </c>
      <c r="I25" s="84" t="str">
        <f>IFERROR(__xludf.DUMMYFUNCTION("""COMPUTED_VALUE"""),"Random numbers are displayed on the worker's tag.")</f>
        <v>Random numbers are displayed on the worker's tag.</v>
      </c>
      <c r="J25" s="84" t="str">
        <f>IFERROR(__xludf.DUMMYFUNCTION("""COMPUTED_VALUE"""),"Fail")</f>
        <v>Fail</v>
      </c>
      <c r="K25" s="84" t="str">
        <f>IFERROR(__xludf.DUMMYFUNCTION("""COMPUTED_VALUE"""),"Medium")</f>
        <v>Medium</v>
      </c>
      <c r="L25" s="85" t="str">
        <f>IFERROR(__xludf.DUMMYFUNCTION("""COMPUTED_VALUE"""),"015.jpg")</f>
        <v>015.jpg</v>
      </c>
      <c r="M25" s="84"/>
      <c r="N25" s="84"/>
      <c r="O25" s="84"/>
      <c r="P25" s="84"/>
      <c r="Q25" s="84" t="str">
        <f>IFERROR(__xludf.DUMMYFUNCTION("""COMPUTED_VALUE"""),"Fahad")</f>
        <v>Fahad</v>
      </c>
      <c r="R25" s="53"/>
      <c r="S25" s="53"/>
      <c r="T25" s="53"/>
      <c r="U25" s="53"/>
      <c r="V25" s="53"/>
      <c r="W25" s="53"/>
      <c r="X25" s="53"/>
      <c r="Y25" s="53"/>
      <c r="Z25" s="53"/>
      <c r="AA25" s="53"/>
    </row>
    <row r="26">
      <c r="A26" s="56" t="s">
        <v>320</v>
      </c>
      <c r="B26" s="84" t="str">
        <f>IFERROR(__xludf.DUMMYFUNCTION("""COMPUTED_VALUE"""),"Worker")</f>
        <v>Worker</v>
      </c>
      <c r="C26" s="84" t="str">
        <f>IFERROR(__xludf.DUMMYFUNCTION("""COMPUTED_VALUE"""),"Certificate")</f>
        <v>Certificate</v>
      </c>
      <c r="D26" s="84" t="str">
        <f>IFERROR(__xludf.DUMMYFUNCTION("""COMPUTED_VALUE"""),"Failed to display Status in certificate")</f>
        <v>Failed to display Status in certificate</v>
      </c>
      <c r="E26" s="84" t="str">
        <f>IFERROR(__xludf.DUMMYFUNCTION("""COMPUTED_VALUE"""),"User need to install app on their mobile device")</f>
        <v>User need to install app on their mobile device</v>
      </c>
      <c r="F26" s="84" t="str">
        <f>IFERROR(__xludf.DUMMYFUNCTION("""COMPUTED_VALUE"""),"1. Open app
2. Login using valid credentials
3. Goto Settings
4. Click on certificates")</f>
        <v>1. Open app
2. Login using valid credentials
3. Goto Settings
4. Click on certificates</v>
      </c>
      <c r="G26" s="84" t="str">
        <f>IFERROR(__xludf.DUMMYFUNCTION("""COMPUTED_VALUE"""),"Worker CREDENTIAL")</f>
        <v>Worker CREDENTIAL</v>
      </c>
      <c r="H26" s="84" t="str">
        <f>IFERROR(__xludf.DUMMYFUNCTION("""COMPUTED_VALUE"""),"The certificate status should be properly displayed in the certificate list.")</f>
        <v>The certificate status should be properly displayed in the certificate list.</v>
      </c>
      <c r="I26" s="84" t="str">
        <f>IFERROR(__xludf.DUMMYFUNCTION("""COMPUTED_VALUE"""),"Unable to display the certificate status")</f>
        <v>Unable to display the certificate status</v>
      </c>
      <c r="J26" s="84" t="str">
        <f>IFERROR(__xludf.DUMMYFUNCTION("""COMPUTED_VALUE"""),"Fail")</f>
        <v>Fail</v>
      </c>
      <c r="K26" s="84" t="str">
        <f>IFERROR(__xludf.DUMMYFUNCTION("""COMPUTED_VALUE"""),"High")</f>
        <v>High</v>
      </c>
      <c r="L26" s="85" t="str">
        <f>IFERROR(__xludf.DUMMYFUNCTION("""COMPUTED_VALUE"""),"003.jpg")</f>
        <v>003.jpg</v>
      </c>
      <c r="M26" s="84"/>
      <c r="N26" s="84" t="str">
        <f>IFERROR(__xludf.DUMMYFUNCTION("""COMPUTED_VALUE"""),"Solved")</f>
        <v>Solved</v>
      </c>
      <c r="O26" s="84"/>
      <c r="P26" s="84"/>
      <c r="Q26" s="84" t="str">
        <f>IFERROR(__xludf.DUMMYFUNCTION("""COMPUTED_VALUE"""),"Fahad")</f>
        <v>Fahad</v>
      </c>
      <c r="R26" s="53"/>
      <c r="S26" s="53"/>
      <c r="T26" s="53"/>
      <c r="U26" s="53"/>
      <c r="V26" s="53"/>
      <c r="W26" s="53"/>
      <c r="X26" s="53"/>
      <c r="Y26" s="53"/>
      <c r="Z26" s="53"/>
      <c r="AA26" s="53"/>
    </row>
    <row r="27">
      <c r="A27" s="56" t="s">
        <v>321</v>
      </c>
      <c r="B27" s="84" t="str">
        <f>IFERROR(__xludf.DUMMYFUNCTION("""COMPUTED_VALUE"""),"Worker")</f>
        <v>Worker</v>
      </c>
      <c r="C27" s="84" t="str">
        <f>IFERROR(__xludf.DUMMYFUNCTION("""COMPUTED_VALUE"""),"Certificate")</f>
        <v>Certificate</v>
      </c>
      <c r="D27" s="84" t="str">
        <f>IFERROR(__xludf.DUMMYFUNCTION("""COMPUTED_VALUE"""),"Failed to display the notification for a certificate set to expire within one month.")</f>
        <v>Failed to display the notification for a certificate set to expire within one month.</v>
      </c>
      <c r="E27" s="84" t="str">
        <f>IFERROR(__xludf.DUMMYFUNCTION("""COMPUTED_VALUE"""),"User need to install app on their mobile device")</f>
        <v>User need to install app on their mobile device</v>
      </c>
      <c r="F27" s="84" t="str">
        <f>IFERROR(__xludf.DUMMYFUNCTION("""COMPUTED_VALUE"""),"1. Open app
2. Login using valid credentials
3. Goto Certificate
4. Click on notification")</f>
        <v>1. Open app
2. Login using valid credentials
3. Goto Certificate
4. Click on notification</v>
      </c>
      <c r="G27" s="84" t="str">
        <f>IFERROR(__xludf.DUMMYFUNCTION("""COMPUTED_VALUE"""),"Worker CREDENTIAL")</f>
        <v>Worker CREDENTIAL</v>
      </c>
      <c r="H27" s="84" t="str">
        <f>IFERROR(__xludf.DUMMYFUNCTION("""COMPUTED_VALUE"""),"Workers should receive push alerts 6 months, 3 months, and 1 month before cert expiry.")</f>
        <v>Workers should receive push alerts 6 months, 3 months, and 1 month before cert expiry.</v>
      </c>
      <c r="I27" s="84" t="str">
        <f>IFERROR(__xludf.DUMMYFUNCTION("""COMPUTED_VALUE"""),"Failed to receive push alert notification for certificate expiry.")</f>
        <v>Failed to receive push alert notification for certificate expiry.</v>
      </c>
      <c r="J27" s="84" t="str">
        <f>IFERROR(__xludf.DUMMYFUNCTION("""COMPUTED_VALUE"""),"Fail")</f>
        <v>Fail</v>
      </c>
      <c r="K27" s="84" t="str">
        <f>IFERROR(__xludf.DUMMYFUNCTION("""COMPUTED_VALUE"""),"High")</f>
        <v>High</v>
      </c>
      <c r="L27" s="85" t="str">
        <f>IFERROR(__xludf.DUMMYFUNCTION("""COMPUTED_VALUE"""),"006.mp4")</f>
        <v>006.mp4</v>
      </c>
      <c r="M27" s="84"/>
      <c r="N27" s="84" t="str">
        <f>IFERROR(__xludf.DUMMYFUNCTION("""COMPUTED_VALUE"""),"Solved")</f>
        <v>Solved</v>
      </c>
      <c r="O27" s="84"/>
      <c r="P27" s="84"/>
      <c r="Q27" s="84" t="str">
        <f>IFERROR(__xludf.DUMMYFUNCTION("""COMPUTED_VALUE"""),"Fahad")</f>
        <v>Fahad</v>
      </c>
      <c r="R27" s="53"/>
      <c r="S27" s="53"/>
      <c r="T27" s="53"/>
      <c r="U27" s="53"/>
      <c r="V27" s="53"/>
      <c r="W27" s="53"/>
      <c r="X27" s="53"/>
      <c r="Y27" s="53"/>
      <c r="Z27" s="53"/>
      <c r="AA27" s="53"/>
    </row>
    <row r="28">
      <c r="A28" s="56" t="s">
        <v>322</v>
      </c>
      <c r="B28" s="84" t="str">
        <f>IFERROR(__xludf.DUMMYFUNCTION("""COMPUTED_VALUE"""),"Worker")</f>
        <v>Worker</v>
      </c>
      <c r="C28" s="84" t="str">
        <f>IFERROR(__xludf.DUMMYFUNCTION("""COMPUTED_VALUE"""),"Certificate")</f>
        <v>Certificate</v>
      </c>
      <c r="D28" s="84" t="str">
        <f>IFERROR(__xludf.DUMMYFUNCTION("""COMPUTED_VALUE"""),"Unable to remove/update expired certificate ")</f>
        <v>Unable to remove/update expired certificate </v>
      </c>
      <c r="E28" s="84" t="str">
        <f>IFERROR(__xludf.DUMMYFUNCTION("""COMPUTED_VALUE"""),"User need to install app on their mobile device")</f>
        <v>User need to install app on their mobile device</v>
      </c>
      <c r="F28" s="84" t="str">
        <f>IFERROR(__xludf.DUMMYFUNCTION("""COMPUTED_VALUE"""),"1. Open app
2. Login using valid credentials
3. Goto Certificate")</f>
        <v>1. Open app
2. Login using valid credentials
3. Goto Certificate</v>
      </c>
      <c r="G28" s="84" t="str">
        <f>IFERROR(__xludf.DUMMYFUNCTION("""COMPUTED_VALUE"""),"Worker CREDENTIAL")</f>
        <v>Worker CREDENTIAL</v>
      </c>
      <c r="H28" s="84" t="str">
        <f>IFERROR(__xludf.DUMMYFUNCTION("""COMPUTED_VALUE"""),"Users should be able to remove expired certificates or update them.")</f>
        <v>Users should be able to remove expired certificates or update them.</v>
      </c>
      <c r="I28" s="84" t="str">
        <f>IFERROR(__xludf.DUMMYFUNCTION("""COMPUTED_VALUE"""),"Failed to replace/remove expire cert")</f>
        <v>Failed to replace/remove expire cert</v>
      </c>
      <c r="J28" s="84" t="str">
        <f>IFERROR(__xludf.DUMMYFUNCTION("""COMPUTED_VALUE"""),"Fail")</f>
        <v>Fail</v>
      </c>
      <c r="K28" s="84" t="str">
        <f>IFERROR(__xludf.DUMMYFUNCTION("""COMPUTED_VALUE"""),"High")</f>
        <v>High</v>
      </c>
      <c r="L28" s="85" t="str">
        <f>IFERROR(__xludf.DUMMYFUNCTION("""COMPUTED_VALUE"""),"008.jpg")</f>
        <v>008.jpg</v>
      </c>
      <c r="M28" s="84"/>
      <c r="N28" s="84" t="str">
        <f>IFERROR(__xludf.DUMMYFUNCTION("""COMPUTED_VALUE"""),"Solved")</f>
        <v>Solved</v>
      </c>
      <c r="O28" s="84"/>
      <c r="P28" s="84"/>
      <c r="Q28" s="84" t="str">
        <f>IFERROR(__xludf.DUMMYFUNCTION("""COMPUTED_VALUE"""),"Fahad")</f>
        <v>Fahad</v>
      </c>
      <c r="R28" s="53"/>
      <c r="S28" s="53"/>
      <c r="T28" s="53"/>
      <c r="U28" s="53"/>
      <c r="V28" s="53"/>
      <c r="W28" s="53"/>
      <c r="X28" s="53"/>
      <c r="Y28" s="53"/>
      <c r="Z28" s="53"/>
      <c r="AA28" s="53"/>
    </row>
    <row r="29">
      <c r="A29" s="56" t="s">
        <v>323</v>
      </c>
      <c r="B29" s="84" t="str">
        <f>IFERROR(__xludf.DUMMYFUNCTION("""COMPUTED_VALUE"""),"Worker")</f>
        <v>Worker</v>
      </c>
      <c r="C29" s="84" t="str">
        <f>IFERROR(__xludf.DUMMYFUNCTION("""COMPUTED_VALUE"""),"Certificate")</f>
        <v>Certificate</v>
      </c>
      <c r="D29" s="84" t="str">
        <f>IFERROR(__xludf.DUMMYFUNCTION("""COMPUTED_VALUE"""),"Using ""EXP."" before the date doesn’t make sense when the field is already labeled for the expiration date.")</f>
        <v>Using "EXP." before the date doesn’t make sense when the field is already labeled for the expiration date.</v>
      </c>
      <c r="E29" s="84" t="str">
        <f>IFERROR(__xludf.DUMMYFUNCTION("""COMPUTED_VALUE"""),"User need to install app on their mobile device")</f>
        <v>User need to install app on their mobile device</v>
      </c>
      <c r="F29" s="84" t="str">
        <f>IFERROR(__xludf.DUMMYFUNCTION("""COMPUTED_VALUE"""),"1. Open app
2. Login using valid credentials
3. Goto Certificate
4. Open Certificate")</f>
        <v>1. Open app
2. Login using valid credentials
3. Goto Certificate
4. Open Certificate</v>
      </c>
      <c r="G29" s="84" t="str">
        <f>IFERROR(__xludf.DUMMYFUNCTION("""COMPUTED_VALUE"""),"Worker CREDENTIAL")</f>
        <v>Worker CREDENTIAL</v>
      </c>
      <c r="H29" s="84" t="str">
        <f>IFERROR(__xludf.DUMMYFUNCTION("""COMPUTED_VALUE"""),"Only the date should be shown in the expiry section.")</f>
        <v>Only the date should be shown in the expiry section.</v>
      </c>
      <c r="I29" s="84" t="str">
        <f>IFERROR(__xludf.DUMMYFUNCTION("""COMPUTED_VALUE"""),"""EXP."" before the date isn’t relevant because the section is already for the expiration date.")</f>
        <v>"EXP." before the date isn’t relevant because the section is already for the expiration date.</v>
      </c>
      <c r="J29" s="84" t="str">
        <f>IFERROR(__xludf.DUMMYFUNCTION("""COMPUTED_VALUE"""),"Fail")</f>
        <v>Fail</v>
      </c>
      <c r="K29" s="84" t="str">
        <f>IFERROR(__xludf.DUMMYFUNCTION("""COMPUTED_VALUE"""),"Low")</f>
        <v>Low</v>
      </c>
      <c r="L29" s="85" t="str">
        <f>IFERROR(__xludf.DUMMYFUNCTION("""COMPUTED_VALUE"""),"009.jpg")</f>
        <v>009.jpg</v>
      </c>
      <c r="M29" s="84"/>
      <c r="N29" s="84" t="str">
        <f>IFERROR(__xludf.DUMMYFUNCTION("""COMPUTED_VALUE"""),"Solved")</f>
        <v>Solved</v>
      </c>
      <c r="O29" s="84"/>
      <c r="P29" s="84"/>
      <c r="Q29" s="84" t="str">
        <f>IFERROR(__xludf.DUMMYFUNCTION("""COMPUTED_VALUE"""),"Fahad")</f>
        <v>Fahad</v>
      </c>
      <c r="R29" s="53"/>
      <c r="S29" s="53"/>
      <c r="T29" s="53"/>
      <c r="U29" s="53"/>
      <c r="V29" s="53"/>
      <c r="W29" s="53"/>
      <c r="X29" s="53"/>
      <c r="Y29" s="53"/>
      <c r="Z29" s="53"/>
      <c r="AA29" s="53"/>
    </row>
    <row r="30">
      <c r="A30" s="56" t="s">
        <v>324</v>
      </c>
      <c r="B30" s="84" t="str">
        <f>IFERROR(__xludf.DUMMYFUNCTION("""COMPUTED_VALUE"""),"Worker")</f>
        <v>Worker</v>
      </c>
      <c r="C30" s="84" t="str">
        <f>IFERROR(__xludf.DUMMYFUNCTION("""COMPUTED_VALUE"""),"Certificate")</f>
        <v>Certificate</v>
      </c>
      <c r="D30" s="84" t="str">
        <f>IFERROR(__xludf.DUMMYFUNCTION("""COMPUTED_VALUE"""),"Should be the certificate issuer's name.")</f>
        <v>Should be the certificate issuer's name.</v>
      </c>
      <c r="E30" s="84" t="str">
        <f>IFERROR(__xludf.DUMMYFUNCTION("""COMPUTED_VALUE"""),"User need to install app on their mobile device")</f>
        <v>User need to install app on their mobile device</v>
      </c>
      <c r="F30" s="84" t="str">
        <f>IFERROR(__xludf.DUMMYFUNCTION("""COMPUTED_VALUE"""),"1. Open app
2. Login using valid credentials
3. Goto Certificate
4. Open Certificate")</f>
        <v>1. Open app
2. Login using valid credentials
3. Goto Certificate
4. Open Certificate</v>
      </c>
      <c r="G30" s="84" t="str">
        <f>IFERROR(__xludf.DUMMYFUNCTION("""COMPUTED_VALUE"""),"Worker CREDENTIAL")</f>
        <v>Worker CREDENTIAL</v>
      </c>
      <c r="H30" s="84" t="str">
        <f>IFERROR(__xludf.DUMMYFUNCTION("""COMPUTED_VALUE"""),"Certificate data should be arranged according to the specified requirements.")</f>
        <v>Certificate data should be arranged according to the specified requirements.</v>
      </c>
      <c r="I30" s="84" t="str">
        <f>IFERROR(__xludf.DUMMYFUNCTION("""COMPUTED_VALUE"""),"The issuer's name should go in the Last Name field.")</f>
        <v>The issuer's name should go in the Last Name field.</v>
      </c>
      <c r="J30" s="84" t="str">
        <f>IFERROR(__xludf.DUMMYFUNCTION("""COMPUTED_VALUE"""),"Fail")</f>
        <v>Fail</v>
      </c>
      <c r="K30" s="84" t="str">
        <f>IFERROR(__xludf.DUMMYFUNCTION("""COMPUTED_VALUE"""),"Medium")</f>
        <v>Medium</v>
      </c>
      <c r="L30" s="85" t="str">
        <f>IFERROR(__xludf.DUMMYFUNCTION("""COMPUTED_VALUE"""),"010.jpg")</f>
        <v>010.jpg</v>
      </c>
      <c r="M30" s="84"/>
      <c r="N30" s="84" t="str">
        <f>IFERROR(__xludf.DUMMYFUNCTION("""COMPUTED_VALUE"""),"Solved")</f>
        <v>Solved</v>
      </c>
      <c r="O30" s="84"/>
      <c r="P30" s="84"/>
      <c r="Q30" s="84" t="str">
        <f>IFERROR(__xludf.DUMMYFUNCTION("""COMPUTED_VALUE"""),"Fahad")</f>
        <v>Fahad</v>
      </c>
      <c r="R30" s="53"/>
      <c r="S30" s="53"/>
      <c r="T30" s="53"/>
      <c r="U30" s="53"/>
      <c r="V30" s="53"/>
      <c r="W30" s="53"/>
      <c r="X30" s="53"/>
      <c r="Y30" s="53"/>
      <c r="Z30" s="53"/>
      <c r="AA30" s="53"/>
    </row>
    <row r="31">
      <c r="A31" s="56" t="s">
        <v>325</v>
      </c>
      <c r="B31" s="84" t="str">
        <f>IFERROR(__xludf.DUMMYFUNCTION("""COMPUTED_VALUE"""),"Worker")</f>
        <v>Worker</v>
      </c>
      <c r="C31" s="84" t="str">
        <f>IFERROR(__xludf.DUMMYFUNCTION("""COMPUTED_VALUE"""),"Certificate")</f>
        <v>Certificate</v>
      </c>
      <c r="D31" s="84" t="str">
        <f>IFERROR(__xludf.DUMMYFUNCTION("""COMPUTED_VALUE"""),"The certificate names are missing on the frontend.")</f>
        <v>The certificate names are missing on the frontend.</v>
      </c>
      <c r="E31" s="84" t="str">
        <f>IFERROR(__xludf.DUMMYFUNCTION("""COMPUTED_VALUE"""),"User need to install app on their mobile device")</f>
        <v>User need to install app on their mobile device</v>
      </c>
      <c r="F31" s="84" t="str">
        <f>IFERROR(__xludf.DUMMYFUNCTION("""COMPUTED_VALUE"""),"1. Open app
2. Login by worker credential
3. Add a certificate")</f>
        <v>1. Open app
2. Login by worker credential
3. Add a certificate</v>
      </c>
      <c r="G31" s="84" t="str">
        <f>IFERROR(__xludf.DUMMYFUNCTION("""COMPUTED_VALUE"""),"Worker CREDENTIAL")</f>
        <v>Worker CREDENTIAL</v>
      </c>
      <c r="H31" s="84" t="str">
        <f>IFERROR(__xludf.DUMMYFUNCTION("""COMPUTED_VALUE"""),"Certificate name should be displayed correctly in the certificate list.")</f>
        <v>Certificate name should be displayed correctly in the certificate list.</v>
      </c>
      <c r="I31" s="84" t="str">
        <f>IFERROR(__xludf.DUMMYFUNCTION("""COMPUTED_VALUE"""),"The certificate name is missing in the frontend, and it’s showing as ""Certificate"" instead.")</f>
        <v>The certificate name is missing in the frontend, and it’s showing as "Certificate" instead.</v>
      </c>
      <c r="J31" s="84" t="str">
        <f>IFERROR(__xludf.DUMMYFUNCTION("""COMPUTED_VALUE"""),"Fail")</f>
        <v>Fail</v>
      </c>
      <c r="K31" s="84" t="str">
        <f>IFERROR(__xludf.DUMMYFUNCTION("""COMPUTED_VALUE"""),"High")</f>
        <v>High</v>
      </c>
      <c r="L31" s="85" t="str">
        <f>IFERROR(__xludf.DUMMYFUNCTION("""COMPUTED_VALUE"""),"027.jpg")</f>
        <v>027.jpg</v>
      </c>
      <c r="M31" s="84"/>
      <c r="N31" s="84"/>
      <c r="O31" s="84"/>
      <c r="P31" s="84"/>
      <c r="Q31" s="84" t="str">
        <f>IFERROR(__xludf.DUMMYFUNCTION("""COMPUTED_VALUE"""),"Fahad")</f>
        <v>Fahad</v>
      </c>
      <c r="R31" s="53"/>
      <c r="S31" s="53"/>
      <c r="T31" s="53"/>
      <c r="U31" s="53"/>
      <c r="V31" s="53"/>
      <c r="W31" s="53"/>
      <c r="X31" s="53"/>
      <c r="Y31" s="53"/>
      <c r="Z31" s="53"/>
      <c r="AA31" s="53"/>
    </row>
    <row r="32">
      <c r="A32" s="56" t="s">
        <v>326</v>
      </c>
      <c r="B32" s="84" t="str">
        <f>IFERROR(__xludf.DUMMYFUNCTION("""COMPUTED_VALUE"""),"Worker")</f>
        <v>Worker</v>
      </c>
      <c r="C32" s="84" t="str">
        <f>IFERROR(__xludf.DUMMYFUNCTION("""COMPUTED_VALUE"""),"Forget Password")</f>
        <v>Forget Password</v>
      </c>
      <c r="D32" s="84" t="str">
        <f>IFERROR(__xludf.DUMMYFUNCTION("""COMPUTED_VALUE"""),"Login should be required after resetting the password.")</f>
        <v>Login should be required after resetting the password.</v>
      </c>
      <c r="E32" s="84" t="str">
        <f>IFERROR(__xludf.DUMMYFUNCTION("""COMPUTED_VALUE"""),"User need to install app on their mobile device")</f>
        <v>User need to install app on their mobile device</v>
      </c>
      <c r="F32" s="84" t="str">
        <f>IFERROR(__xludf.DUMMYFUNCTION("""COMPUTED_VALUE"""),"1. Open app
2. Open Login page
3. Click on Forget Password
4. reset password")</f>
        <v>1. Open app
2. Open Login page
3. Click on Forget Password
4. reset password</v>
      </c>
      <c r="G32" s="84" t="str">
        <f>IFERROR(__xludf.DUMMYFUNCTION("""COMPUTED_VALUE"""),"Worker CREDENTIAL")</f>
        <v>Worker CREDENTIAL</v>
      </c>
      <c r="H32" s="84" t="str">
        <f>IFERROR(__xludf.DUMMYFUNCTION("""COMPUTED_VALUE"""),"User should be redirect to login page after they reset their password")</f>
        <v>User should be redirect to login page after they reset their password</v>
      </c>
      <c r="I32" s="84" t="str">
        <f>IFERROR(__xludf.DUMMYFUNCTION("""COMPUTED_VALUE"""),"Failed to redirect, but a login popup appeared after it logged in automatically.")</f>
        <v>Failed to redirect, but a login popup appeared after it logged in automatically.</v>
      </c>
      <c r="J32" s="84" t="str">
        <f>IFERROR(__xludf.DUMMYFUNCTION("""COMPUTED_VALUE"""),"Fail")</f>
        <v>Fail</v>
      </c>
      <c r="K32" s="84" t="str">
        <f>IFERROR(__xludf.DUMMYFUNCTION("""COMPUTED_VALUE"""),"High")</f>
        <v>High</v>
      </c>
      <c r="L32" s="85" t="str">
        <f>IFERROR(__xludf.DUMMYFUNCTION("""COMPUTED_VALUE"""),"011.jpg")</f>
        <v>011.jpg</v>
      </c>
      <c r="M32" s="84"/>
      <c r="N32" s="84"/>
      <c r="O32" s="84"/>
      <c r="P32" s="84"/>
      <c r="Q32" s="84" t="str">
        <f>IFERROR(__xludf.DUMMYFUNCTION("""COMPUTED_VALUE"""),"Fahad")</f>
        <v>Fahad</v>
      </c>
      <c r="R32" s="53"/>
      <c r="S32" s="53"/>
      <c r="T32" s="53"/>
      <c r="U32" s="53"/>
      <c r="V32" s="53"/>
      <c r="W32" s="53"/>
      <c r="X32" s="53"/>
      <c r="Y32" s="53"/>
      <c r="Z32" s="53"/>
      <c r="AA32" s="53"/>
    </row>
    <row r="33">
      <c r="A33" s="56" t="s">
        <v>327</v>
      </c>
      <c r="B33" s="84" t="str">
        <f>IFERROR(__xludf.DUMMYFUNCTION("""COMPUTED_VALUE"""),"Worker")</f>
        <v>Worker</v>
      </c>
      <c r="C33" s="84" t="str">
        <f>IFERROR(__xludf.DUMMYFUNCTION("""COMPUTED_VALUE"""),"Home")</f>
        <v>Home</v>
      </c>
      <c r="D33" s="84" t="str">
        <f>IFERROR(__xludf.DUMMYFUNCTION("""COMPUTED_VALUE"""),"Worker is available according to the calendar, but the display shows them as unavailable.")</f>
        <v>Worker is available according to the calendar, but the display shows them as unavailable.</v>
      </c>
      <c r="E33" s="84" t="str">
        <f>IFERROR(__xludf.DUMMYFUNCTION("""COMPUTED_VALUE"""),"User need to install app on their mobile device")</f>
        <v>User need to install app on their mobile device</v>
      </c>
      <c r="F33" s="84" t="str">
        <f>IFERROR(__xludf.DUMMYFUNCTION("""COMPUTED_VALUE"""),"1. Open app
2. Login using valid credentials
3. Goto Calender and set as available
4. Click on Home")</f>
        <v>1. Open app
2. Login using valid credentials
3. Goto Calender and set as available
4. Click on Home</v>
      </c>
      <c r="G33" s="84" t="str">
        <f>IFERROR(__xludf.DUMMYFUNCTION("""COMPUTED_VALUE"""),"Worker CREDENTIAL")</f>
        <v>Worker CREDENTIAL</v>
      </c>
      <c r="H33" s="84" t="str">
        <f>IFERROR(__xludf.DUMMYFUNCTION("""COMPUTED_VALUE"""),"Worker availability should be shown based on their calendar.")</f>
        <v>Worker availability should be shown based on their calendar.</v>
      </c>
      <c r="I33" s="84" t="str">
        <f>IFERROR(__xludf.DUMMYFUNCTION("""COMPUTED_VALUE"""),"Could not display the correct data")</f>
        <v>Could not display the correct data</v>
      </c>
      <c r="J33" s="84" t="str">
        <f>IFERROR(__xludf.DUMMYFUNCTION("""COMPUTED_VALUE"""),"Fail")</f>
        <v>Fail</v>
      </c>
      <c r="K33" s="84" t="str">
        <f>IFERROR(__xludf.DUMMYFUNCTION("""COMPUTED_VALUE"""),"High")</f>
        <v>High</v>
      </c>
      <c r="L33" s="85" t="str">
        <f>IFERROR(__xludf.DUMMYFUNCTION("""COMPUTED_VALUE"""),"005.mp4")</f>
        <v>005.mp4</v>
      </c>
      <c r="M33" s="84"/>
      <c r="N33" s="84" t="str">
        <f>IFERROR(__xludf.DUMMYFUNCTION("""COMPUTED_VALUE"""),"Solved")</f>
        <v>Solved</v>
      </c>
      <c r="O33" s="84"/>
      <c r="P33" s="84"/>
      <c r="Q33" s="84" t="str">
        <f>IFERROR(__xludf.DUMMYFUNCTION("""COMPUTED_VALUE"""),"Fahad")</f>
        <v>Fahad</v>
      </c>
      <c r="R33" s="53"/>
      <c r="S33" s="53"/>
      <c r="T33" s="53"/>
      <c r="U33" s="53"/>
      <c r="V33" s="53"/>
      <c r="W33" s="53"/>
      <c r="X33" s="53"/>
      <c r="Y33" s="53"/>
      <c r="Z33" s="53"/>
      <c r="AA33" s="53"/>
    </row>
    <row r="34">
      <c r="A34" s="56" t="s">
        <v>328</v>
      </c>
      <c r="B34" s="84" t="str">
        <f>IFERROR(__xludf.DUMMYFUNCTION("""COMPUTED_VALUE"""),"Worker")</f>
        <v>Worker</v>
      </c>
      <c r="C34" s="84" t="str">
        <f>IFERROR(__xludf.DUMMYFUNCTION("""COMPUTED_VALUE"""),"Home")</f>
        <v>Home</v>
      </c>
      <c r="D34" s="84" t="str">
        <f>IFERROR(__xludf.DUMMYFUNCTION("""COMPUTED_VALUE"""),"App keeps showing the network error message multiple times.")</f>
        <v>App keeps showing the network error message multiple times.</v>
      </c>
      <c r="E34" s="84" t="str">
        <f>IFERROR(__xludf.DUMMYFUNCTION("""COMPUTED_VALUE"""),"User need to install app on their mobile device")</f>
        <v>User need to install app on their mobile device</v>
      </c>
      <c r="F34" s="84" t="str">
        <f>IFERROR(__xludf.DUMMYFUNCTION("""COMPUTED_VALUE"""),"1. Open app
2. Login using valid credentials
3. Close app and reopen again")</f>
        <v>1. Open app
2. Login using valid credentials
3. Close app and reopen again</v>
      </c>
      <c r="G34" s="84" t="str">
        <f>IFERROR(__xludf.DUMMYFUNCTION("""COMPUTED_VALUE"""),"Worker CREDENTIAL")</f>
        <v>Worker CREDENTIAL</v>
      </c>
      <c r="H34" s="84" t="str">
        <f>IFERROR(__xludf.DUMMYFUNCTION("""COMPUTED_VALUE"""),"Frontend should display the appropriate error message.")</f>
        <v>Frontend should display the appropriate error message.</v>
      </c>
      <c r="I34" s="84" t="str">
        <f>IFERROR(__xludf.DUMMYFUNCTION("""COMPUTED_VALUE"""),"A network error message appears at random times.")</f>
        <v>A network error message appears at random times.</v>
      </c>
      <c r="J34" s="84" t="str">
        <f>IFERROR(__xludf.DUMMYFUNCTION("""COMPUTED_VALUE"""),"Fail")</f>
        <v>Fail</v>
      </c>
      <c r="K34" s="84" t="str">
        <f>IFERROR(__xludf.DUMMYFUNCTION("""COMPUTED_VALUE"""),"Medium")</f>
        <v>Medium</v>
      </c>
      <c r="L34" s="85" t="str">
        <f>IFERROR(__xludf.DUMMYFUNCTION("""COMPUTED_VALUE"""),"007.jpg")</f>
        <v>007.jpg</v>
      </c>
      <c r="M34" s="84"/>
      <c r="N34" s="84" t="str">
        <f>IFERROR(__xludf.DUMMYFUNCTION("""COMPUTED_VALUE"""),"Solved")</f>
        <v>Solved</v>
      </c>
      <c r="O34" s="84"/>
      <c r="P34" s="84"/>
      <c r="Q34" s="84" t="str">
        <f>IFERROR(__xludf.DUMMYFUNCTION("""COMPUTED_VALUE"""),"Fahad")</f>
        <v>Fahad</v>
      </c>
      <c r="R34" s="53"/>
      <c r="S34" s="53"/>
      <c r="T34" s="53"/>
      <c r="U34" s="53"/>
      <c r="V34" s="53"/>
      <c r="W34" s="53"/>
      <c r="X34" s="53"/>
      <c r="Y34" s="53"/>
      <c r="Z34" s="53"/>
      <c r="AA34" s="53"/>
    </row>
    <row r="35">
      <c r="A35" s="56" t="s">
        <v>329</v>
      </c>
      <c r="B35" s="84" t="str">
        <f>IFERROR(__xludf.DUMMYFUNCTION("""COMPUTED_VALUE"""),"Worker")</f>
        <v>Worker</v>
      </c>
      <c r="C35" s="84" t="str">
        <f>IFERROR(__xludf.DUMMYFUNCTION("""COMPUTED_VALUE"""),"Home")</f>
        <v>Home</v>
      </c>
      <c r="D35" s="84" t="str">
        <f>IFERROR(__xludf.DUMMYFUNCTION("""COMPUTED_VALUE"""),"Expired jobs are shown in the best match category, and workers can still apply for them.")</f>
        <v>Expired jobs are shown in the best match category, and workers can still apply for them.</v>
      </c>
      <c r="E35" s="84" t="str">
        <f>IFERROR(__xludf.DUMMYFUNCTION("""COMPUTED_VALUE"""),"User need to install app on their mobile device")</f>
        <v>User need to install app on their mobile device</v>
      </c>
      <c r="F35" s="84" t="str">
        <f>IFERROR(__xludf.DUMMYFUNCTION("""COMPUTED_VALUE"""),"1. Open app
2. Login using valid credentials
3. Close app and reopen again")</f>
        <v>1. Open app
2. Login using valid credentials
3. Close app and reopen again</v>
      </c>
      <c r="G35" s="84" t="str">
        <f>IFERROR(__xludf.DUMMYFUNCTION("""COMPUTED_VALUE"""),"Worker CREDENTIAL")</f>
        <v>Worker CREDENTIAL</v>
      </c>
      <c r="H35" s="84" t="str">
        <f>IFERROR(__xludf.DUMMYFUNCTION("""COMPUTED_VALUE"""),"A worker can not apply for expired jobs")</f>
        <v>A worker can not apply for expired jobs</v>
      </c>
      <c r="I35" s="84" t="str">
        <f>IFERROR(__xludf.DUMMYFUNCTION("""COMPUTED_VALUE"""),"Expired jobs are listed in the best match category, and workers can still apply for them.")</f>
        <v>Expired jobs are listed in the best match category, and workers can still apply for them.</v>
      </c>
      <c r="J35" s="84" t="str">
        <f>IFERROR(__xludf.DUMMYFUNCTION("""COMPUTED_VALUE"""),"Fail")</f>
        <v>Fail</v>
      </c>
      <c r="K35" s="84" t="str">
        <f>IFERROR(__xludf.DUMMYFUNCTION("""COMPUTED_VALUE"""),"High")</f>
        <v>High</v>
      </c>
      <c r="L35" s="85" t="str">
        <f>IFERROR(__xludf.DUMMYFUNCTION("""COMPUTED_VALUE"""),"038.jpg")</f>
        <v>038.jpg</v>
      </c>
      <c r="M35" s="84"/>
      <c r="N35" s="84"/>
      <c r="O35" s="84"/>
      <c r="P35" s="84"/>
      <c r="Q35" s="84" t="str">
        <f>IFERROR(__xludf.DUMMYFUNCTION("""COMPUTED_VALUE"""),"Fahad")</f>
        <v>Fahad</v>
      </c>
      <c r="R35" s="53"/>
      <c r="S35" s="53"/>
      <c r="T35" s="53"/>
      <c r="U35" s="53"/>
      <c r="V35" s="53"/>
      <c r="W35" s="53"/>
      <c r="X35" s="53"/>
      <c r="Y35" s="53"/>
      <c r="Z35" s="53"/>
      <c r="AA35" s="53"/>
    </row>
    <row r="36">
      <c r="A36" s="56" t="s">
        <v>330</v>
      </c>
      <c r="B36" s="84" t="str">
        <f>IFERROR(__xludf.DUMMYFUNCTION("""COMPUTED_VALUE"""),"Worker")</f>
        <v>Worker</v>
      </c>
      <c r="C36" s="84" t="str">
        <f>IFERROR(__xludf.DUMMYFUNCTION("""COMPUTED_VALUE"""),"Job Details")</f>
        <v>Job Details</v>
      </c>
      <c r="D36" s="84" t="str">
        <f>IFERROR(__xludf.DUMMYFUNCTION("""COMPUTED_VALUE"""),"Failed to display proper progress steps")</f>
        <v>Failed to display proper progress steps</v>
      </c>
      <c r="E36" s="84" t="str">
        <f>IFERROR(__xludf.DUMMYFUNCTION("""COMPUTED_VALUE"""),"User need to install app on their mobile device")</f>
        <v>User need to install app on their mobile device</v>
      </c>
      <c r="F36" s="84" t="str">
        <f>IFERROR(__xludf.DUMMYFUNCTION("""COMPUTED_VALUE"""),"1. Open app
2. Login using worker credentials
3. Click on Jobs
4. Click on job details")</f>
        <v>1. Open app
2. Login using worker credentials
3. Click on Jobs
4. Click on job details</v>
      </c>
      <c r="G36" s="84" t="str">
        <f>IFERROR(__xludf.DUMMYFUNCTION("""COMPUTED_VALUE"""),"Worker CREDENTIAL")</f>
        <v>Worker CREDENTIAL</v>
      </c>
      <c r="H36" s="84" t="str">
        <f>IFERROR(__xludf.DUMMYFUNCTION("""COMPUTED_VALUE"""),"Progress steps should properly displayed on workers job details")</f>
        <v>Progress steps should properly displayed on workers job details</v>
      </c>
      <c r="I36" s="84" t="str">
        <f>IFERROR(__xludf.DUMMYFUNCTION("""COMPUTED_VALUE"""),"Progress failed to show properly on the worker side.")</f>
        <v>Progress failed to show properly on the worker side.</v>
      </c>
      <c r="J36" s="84" t="str">
        <f>IFERROR(__xludf.DUMMYFUNCTION("""COMPUTED_VALUE"""),"Fail")</f>
        <v>Fail</v>
      </c>
      <c r="K36" s="84" t="str">
        <f>IFERROR(__xludf.DUMMYFUNCTION("""COMPUTED_VALUE"""),"High")</f>
        <v>High</v>
      </c>
      <c r="L36" s="85" t="str">
        <f>IFERROR(__xludf.DUMMYFUNCTION("""COMPUTED_VALUE"""),"020.jpg")</f>
        <v>020.jpg</v>
      </c>
      <c r="M36" s="84"/>
      <c r="N36" s="84"/>
      <c r="O36" s="84"/>
      <c r="P36" s="84"/>
      <c r="Q36" s="84" t="str">
        <f>IFERROR(__xludf.DUMMYFUNCTION("""COMPUTED_VALUE"""),"Fahad")</f>
        <v>Fahad</v>
      </c>
      <c r="R36" s="53"/>
      <c r="S36" s="53"/>
      <c r="T36" s="53"/>
      <c r="U36" s="53"/>
      <c r="V36" s="53"/>
      <c r="W36" s="53"/>
      <c r="X36" s="53"/>
      <c r="Y36" s="53"/>
      <c r="Z36" s="53"/>
      <c r="AA36" s="53"/>
    </row>
    <row r="37">
      <c r="A37" s="56" t="s">
        <v>331</v>
      </c>
      <c r="B37" s="84" t="str">
        <f>IFERROR(__xludf.DUMMYFUNCTION("""COMPUTED_VALUE"""),"Worker")</f>
        <v>Worker</v>
      </c>
      <c r="C37" s="84" t="str">
        <f>IFERROR(__xludf.DUMMYFUNCTION("""COMPUTED_VALUE"""),"Job Details")</f>
        <v>Job Details</v>
      </c>
      <c r="D37" s="84" t="str">
        <f>IFERROR(__xludf.DUMMYFUNCTION("""COMPUTED_VALUE"""),"Completed the job but still being asked to apply")</f>
        <v>Completed the job but still being asked to apply</v>
      </c>
      <c r="E37" s="84" t="str">
        <f>IFERROR(__xludf.DUMMYFUNCTION("""COMPUTED_VALUE"""),"User need to install app on their mobile device")</f>
        <v>User need to install app on their mobile device</v>
      </c>
      <c r="F37" s="84" t="str">
        <f>IFERROR(__xludf.DUMMYFUNCTION("""COMPUTED_VALUE"""),"1. Open app
2. Login using worker credentials
3. Click on Jobs
4. Click on job details")</f>
        <v>1. Open app
2. Login using worker credentials
3. Click on Jobs
4. Click on job details</v>
      </c>
      <c r="G37" s="84" t="str">
        <f>IFERROR(__xludf.DUMMYFUNCTION("""COMPUTED_VALUE"""),"Worker CREDENTIAL")</f>
        <v>Worker CREDENTIAL</v>
      </c>
      <c r="H37" s="84" t="str">
        <f>IFERROR(__xludf.DUMMYFUNCTION("""COMPUTED_VALUE"""),"Once a job is finished, it should be marked as complete and no longer available for applications.")</f>
        <v>Once a job is finished, it should be marked as complete and no longer available for applications.</v>
      </c>
      <c r="I37" s="84" t="str">
        <f>IFERROR(__xludf.DUMMYFUNCTION("""COMPUTED_VALUE"""),"Can apply to expired job")</f>
        <v>Can apply to expired job</v>
      </c>
      <c r="J37" s="84" t="str">
        <f>IFERROR(__xludf.DUMMYFUNCTION("""COMPUTED_VALUE"""),"Fail")</f>
        <v>Fail</v>
      </c>
      <c r="K37" s="84" t="str">
        <f>IFERROR(__xludf.DUMMYFUNCTION("""COMPUTED_VALUE"""),"High")</f>
        <v>High</v>
      </c>
      <c r="L37" s="85" t="str">
        <f>IFERROR(__xludf.DUMMYFUNCTION("""COMPUTED_VALUE"""),"022.jpg")</f>
        <v>022.jpg</v>
      </c>
      <c r="M37" s="84"/>
      <c r="N37" s="84"/>
      <c r="O37" s="84"/>
      <c r="P37" s="84"/>
      <c r="Q37" s="84" t="str">
        <f>IFERROR(__xludf.DUMMYFUNCTION("""COMPUTED_VALUE"""),"Fahad")</f>
        <v>Fahad</v>
      </c>
      <c r="R37" s="53"/>
      <c r="S37" s="53"/>
      <c r="T37" s="53"/>
      <c r="U37" s="53"/>
      <c r="V37" s="53"/>
      <c r="W37" s="53"/>
      <c r="X37" s="53"/>
      <c r="Y37" s="53"/>
      <c r="Z37" s="53"/>
      <c r="AA37" s="53"/>
    </row>
    <row r="38">
      <c r="A38" s="56" t="s">
        <v>332</v>
      </c>
      <c r="B38" s="84" t="str">
        <f>IFERROR(__xludf.DUMMYFUNCTION("""COMPUTED_VALUE"""),"Worker")</f>
        <v>Worker</v>
      </c>
      <c r="C38" s="84" t="str">
        <f>IFERROR(__xludf.DUMMYFUNCTION("""COMPUTED_VALUE"""),"Job Details")</f>
        <v>Job Details</v>
      </c>
      <c r="D38" s="84" t="str">
        <f>IFERROR(__xludf.DUMMYFUNCTION("""COMPUTED_VALUE"""),"Unable to give a rating or review for a completed job from the worker's side.")</f>
        <v>Unable to give a rating or review for a completed job from the worker's side.</v>
      </c>
      <c r="E38" s="84" t="str">
        <f>IFERROR(__xludf.DUMMYFUNCTION("""COMPUTED_VALUE"""),"User need to install app on their mobile device")</f>
        <v>User need to install app on their mobile device</v>
      </c>
      <c r="F38" s="84" t="str">
        <f>IFERROR(__xludf.DUMMYFUNCTION("""COMPUTED_VALUE"""),"1. Open app
2. Login using worker credentials
3. Click on Jobs
4. Click on job details")</f>
        <v>1. Open app
2. Login using worker credentials
3. Click on Jobs
4. Click on job details</v>
      </c>
      <c r="G38" s="84" t="str">
        <f>IFERROR(__xludf.DUMMYFUNCTION("""COMPUTED_VALUE"""),"Worker CREDENTIAL")</f>
        <v>Worker CREDENTIAL</v>
      </c>
      <c r="H38" s="84" t="str">
        <f>IFERROR(__xludf.DUMMYFUNCTION("""COMPUTED_VALUE"""),"Workers should be able to review(Food,Gym,Accommodation,Internet,Work environment) the job once it’s completed.")</f>
        <v>Workers should be able to review(Food,Gym,Accommodation,Internet,Work environment) the job once it’s completed.</v>
      </c>
      <c r="I38" s="84" t="str">
        <f>IFERROR(__xludf.DUMMYFUNCTION("""COMPUTED_VALUE"""),"Unable to review the job after it was completed on the worker's side.")</f>
        <v>Unable to review the job after it was completed on the worker's side.</v>
      </c>
      <c r="J38" s="84" t="str">
        <f>IFERROR(__xludf.DUMMYFUNCTION("""COMPUTED_VALUE"""),"Fail")</f>
        <v>Fail</v>
      </c>
      <c r="K38" s="84" t="str">
        <f>IFERROR(__xludf.DUMMYFUNCTION("""COMPUTED_VALUE"""),"High")</f>
        <v>High</v>
      </c>
      <c r="L38" s="85" t="str">
        <f>IFERROR(__xludf.DUMMYFUNCTION("""COMPUTED_VALUE"""),"023.jpg")</f>
        <v>023.jpg</v>
      </c>
      <c r="M38" s="84"/>
      <c r="N38" s="84"/>
      <c r="O38" s="84"/>
      <c r="P38" s="84"/>
      <c r="Q38" s="84" t="str">
        <f>IFERROR(__xludf.DUMMYFUNCTION("""COMPUTED_VALUE"""),"Fahad")</f>
        <v>Fahad</v>
      </c>
      <c r="R38" s="53"/>
      <c r="S38" s="53"/>
      <c r="T38" s="53"/>
      <c r="U38" s="53"/>
      <c r="V38" s="53"/>
      <c r="W38" s="53"/>
      <c r="X38" s="53"/>
      <c r="Y38" s="53"/>
      <c r="Z38" s="53"/>
      <c r="AA38" s="53"/>
    </row>
    <row r="39">
      <c r="A39" s="56" t="s">
        <v>333</v>
      </c>
      <c r="B39" s="84" t="str">
        <f>IFERROR(__xludf.DUMMYFUNCTION("""COMPUTED_VALUE"""),"Worker")</f>
        <v>Worker</v>
      </c>
      <c r="C39" s="84" t="str">
        <f>IFERROR(__xludf.DUMMYFUNCTION("""COMPUTED_VALUE"""),"Job Details")</f>
        <v>Job Details</v>
      </c>
      <c r="D39" s="84" t="str">
        <f>IFERROR(__xludf.DUMMYFUNCTION("""COMPUTED_VALUE"""),"The 1-5 star rating is missing on the frontend.")</f>
        <v>The 1-5 star rating is missing on the frontend.</v>
      </c>
      <c r="E39" s="84" t="str">
        <f>IFERROR(__xludf.DUMMYFUNCTION("""COMPUTED_VALUE"""),"User need to install app on their mobile device")</f>
        <v>User need to install app on their mobile device</v>
      </c>
      <c r="F39" s="84" t="str">
        <f>IFERROR(__xludf.DUMMYFUNCTION("""COMPUTED_VALUE"""),"1. Open app
2. Login using worker credentials
3. Click on Jobs
4. Click on job details")</f>
        <v>1. Open app
2. Login using worker credentials
3. Click on Jobs
4. Click on job details</v>
      </c>
      <c r="G39" s="84" t="str">
        <f>IFERROR(__xludf.DUMMYFUNCTION("""COMPUTED_VALUE"""),"Worker CREDENTIAL")</f>
        <v>Worker CREDENTIAL</v>
      </c>
      <c r="H39" s="84" t="str">
        <f>IFERROR(__xludf.DUMMYFUNCTION("""COMPUTED_VALUE"""),"Workers should be able to rate a job after completing it, and the rating should be displayed in the job details immediately.")</f>
        <v>Workers should be able to rate a job after completing it, and the rating should be displayed in the job details immediately.</v>
      </c>
      <c r="I39" s="84" t="str">
        <f>IFERROR(__xludf.DUMMYFUNCTION("""COMPUTED_VALUE"""),"The rating system is missing from the job details once it’s completed.")</f>
        <v>The rating system is missing from the job details once it’s completed.</v>
      </c>
      <c r="J39" s="84" t="str">
        <f>IFERROR(__xludf.DUMMYFUNCTION("""COMPUTED_VALUE"""),"Fail")</f>
        <v>Fail</v>
      </c>
      <c r="K39" s="84" t="str">
        <f>IFERROR(__xludf.DUMMYFUNCTION("""COMPUTED_VALUE"""),"High")</f>
        <v>High</v>
      </c>
      <c r="L39" s="85" t="str">
        <f>IFERROR(__xludf.DUMMYFUNCTION("""COMPUTED_VALUE"""),"024.jpg")</f>
        <v>024.jpg</v>
      </c>
      <c r="M39" s="84"/>
      <c r="N39" s="84"/>
      <c r="O39" s="84"/>
      <c r="P39" s="84"/>
      <c r="Q39" s="84" t="str">
        <f>IFERROR(__xludf.DUMMYFUNCTION("""COMPUTED_VALUE"""),"Fahad")</f>
        <v>Fahad</v>
      </c>
      <c r="R39" s="53"/>
      <c r="S39" s="53"/>
      <c r="T39" s="53"/>
      <c r="U39" s="53"/>
      <c r="V39" s="53"/>
      <c r="W39" s="53"/>
      <c r="X39" s="53"/>
      <c r="Y39" s="53"/>
      <c r="Z39" s="53"/>
      <c r="AA39" s="53"/>
    </row>
    <row r="40">
      <c r="A40" s="56" t="s">
        <v>334</v>
      </c>
      <c r="B40" s="84" t="str">
        <f>IFERROR(__xludf.DUMMYFUNCTION("""COMPUTED_VALUE"""),"Worker")</f>
        <v>Worker</v>
      </c>
      <c r="C40" s="84" t="str">
        <f>IFERROR(__xludf.DUMMYFUNCTION("""COMPUTED_VALUE"""),"Job Details")</f>
        <v>Job Details</v>
      </c>
      <c r="D40" s="84" t="str">
        <f>IFERROR(__xludf.DUMMYFUNCTION("""COMPUTED_VALUE"""),"Unable to save job details once the job is completed.")</f>
        <v>Unable to save job details once the job is completed.</v>
      </c>
      <c r="E40" s="84" t="str">
        <f>IFERROR(__xludf.DUMMYFUNCTION("""COMPUTED_VALUE"""),"User need to install app on their mobile device")</f>
        <v>User need to install app on their mobile device</v>
      </c>
      <c r="F40" s="84" t="str">
        <f>IFERROR(__xludf.DUMMYFUNCTION("""COMPUTED_VALUE"""),"1. Open app
2. Login using worker credentials
3. Click on Jobs
4. Click on job details")</f>
        <v>1. Open app
2. Login using worker credentials
3. Click on Jobs
4. Click on job details</v>
      </c>
      <c r="G40" s="84" t="str">
        <f>IFERROR(__xludf.DUMMYFUNCTION("""COMPUTED_VALUE"""),"Worker CREDENTIAL")</f>
        <v>Worker CREDENTIAL</v>
      </c>
      <c r="H40" s="84" t="str">
        <f>IFERROR(__xludf.DUMMYFUNCTION("""COMPUTED_VALUE"""),"Saved job should be displayed in save tag section")</f>
        <v>Saved job should be displayed in save tag section</v>
      </c>
      <c r="I40" s="84" t="str">
        <f>IFERROR(__xludf.DUMMYFUNCTION("""COMPUTED_VALUE"""),"Failed to display saved jobs ")</f>
        <v>Failed to display saved jobs </v>
      </c>
      <c r="J40" s="84" t="str">
        <f>IFERROR(__xludf.DUMMYFUNCTION("""COMPUTED_VALUE"""),"Fail")</f>
        <v>Fail</v>
      </c>
      <c r="K40" s="84" t="str">
        <f>IFERROR(__xludf.DUMMYFUNCTION("""COMPUTED_VALUE"""),"High")</f>
        <v>High</v>
      </c>
      <c r="L40" s="85" t="str">
        <f>IFERROR(__xludf.DUMMYFUNCTION("""COMPUTED_VALUE"""),"025.mp4")</f>
        <v>025.mp4</v>
      </c>
      <c r="M40" s="84"/>
      <c r="N40" s="84"/>
      <c r="O40" s="84"/>
      <c r="P40" s="84"/>
      <c r="Q40" s="84" t="str">
        <f>IFERROR(__xludf.DUMMYFUNCTION("""COMPUTED_VALUE"""),"Fahad")</f>
        <v>Fahad</v>
      </c>
      <c r="R40" s="53"/>
      <c r="S40" s="53"/>
      <c r="T40" s="53"/>
      <c r="U40" s="53"/>
      <c r="V40" s="53"/>
      <c r="W40" s="53"/>
      <c r="X40" s="53"/>
      <c r="Y40" s="53"/>
      <c r="Z40" s="53"/>
      <c r="AA40" s="53"/>
    </row>
    <row r="41">
      <c r="A41" s="56" t="s">
        <v>335</v>
      </c>
      <c r="B41" s="84" t="str">
        <f>IFERROR(__xludf.DUMMYFUNCTION("""COMPUTED_VALUE"""),"Worker")</f>
        <v>Worker</v>
      </c>
      <c r="C41" s="84" t="str">
        <f>IFERROR(__xludf.DUMMYFUNCTION("""COMPUTED_VALUE"""),"Job Details")</f>
        <v>Job Details</v>
      </c>
      <c r="D41" s="84" t="str">
        <f>IFERROR(__xludf.DUMMYFUNCTION("""COMPUTED_VALUE"""),"Unable to comment on finished job")</f>
        <v>Unable to comment on finished job</v>
      </c>
      <c r="E41" s="84" t="str">
        <f>IFERROR(__xludf.DUMMYFUNCTION("""COMPUTED_VALUE"""),"User need to install app on their mobile device")</f>
        <v>User need to install app on their mobile device</v>
      </c>
      <c r="F41" s="84" t="str">
        <f>IFERROR(__xludf.DUMMYFUNCTION("""COMPUTED_VALUE"""),"1. Open app
2. Login using worker credentials
3. Click on Jobs
4. Click on job details")</f>
        <v>1. Open app
2. Login using worker credentials
3. Click on Jobs
4. Click on job details</v>
      </c>
      <c r="G41" s="84" t="str">
        <f>IFERROR(__xludf.DUMMYFUNCTION("""COMPUTED_VALUE"""),"Worker CREDENTIAL")</f>
        <v>Worker CREDENTIAL</v>
      </c>
      <c r="H41" s="84" t="str">
        <f>IFERROR(__xludf.DUMMYFUNCTION("""COMPUTED_VALUE"""),"Workers should be able to leave a comment on a job after it’s finished, and it will be displayed in the job banner once approved by the admin.")</f>
        <v>Workers should be able to leave a comment on a job after it’s finished, and it will be displayed in the job banner once approved by the admin.</v>
      </c>
      <c r="I41" s="84" t="str">
        <f>IFERROR(__xludf.DUMMYFUNCTION("""COMPUTED_VALUE"""),"Missing comment section in job banner")</f>
        <v>Missing comment section in job banner</v>
      </c>
      <c r="J41" s="84" t="str">
        <f>IFERROR(__xludf.DUMMYFUNCTION("""COMPUTED_VALUE"""),"Fail")</f>
        <v>Fail</v>
      </c>
      <c r="K41" s="84" t="str">
        <f>IFERROR(__xludf.DUMMYFUNCTION("""COMPUTED_VALUE"""),"High")</f>
        <v>High</v>
      </c>
      <c r="L41" s="85" t="str">
        <f>IFERROR(__xludf.DUMMYFUNCTION("""COMPUTED_VALUE"""),"026.jpg")</f>
        <v>026.jpg</v>
      </c>
      <c r="M41" s="84"/>
      <c r="N41" s="84"/>
      <c r="O41" s="84"/>
      <c r="P41" s="84"/>
      <c r="Q41" s="84" t="str">
        <f>IFERROR(__xludf.DUMMYFUNCTION("""COMPUTED_VALUE"""),"Fahad")</f>
        <v>Fahad</v>
      </c>
      <c r="R41" s="53"/>
      <c r="S41" s="53"/>
      <c r="T41" s="53"/>
      <c r="U41" s="53"/>
      <c r="V41" s="53"/>
      <c r="W41" s="53"/>
      <c r="X41" s="53"/>
      <c r="Y41" s="53"/>
      <c r="Z41" s="53"/>
      <c r="AA41" s="53"/>
    </row>
    <row r="42">
      <c r="A42" s="56" t="s">
        <v>336</v>
      </c>
      <c r="B42" s="84" t="str">
        <f>IFERROR(__xludf.DUMMYFUNCTION("""COMPUTED_VALUE"""),"Worker")</f>
        <v>Worker</v>
      </c>
      <c r="C42" s="84" t="str">
        <f>IFERROR(__xludf.DUMMYFUNCTION("""COMPUTED_VALUE"""),"Job Details")</f>
        <v>Job Details</v>
      </c>
      <c r="D42" s="84" t="str">
        <f>IFERROR(__xludf.DUMMYFUNCTION("""COMPUTED_VALUE"""),"Recruiter’s name is missing and should be linked to their profile.")</f>
        <v>Recruiter’s name is missing and should be linked to their profile.</v>
      </c>
      <c r="E42" s="84" t="str">
        <f>IFERROR(__xludf.DUMMYFUNCTION("""COMPUTED_VALUE"""),"User need to install app on their mobile device")</f>
        <v>User need to install app on their mobile device</v>
      </c>
      <c r="F42" s="84" t="str">
        <f>IFERROR(__xludf.DUMMYFUNCTION("""COMPUTED_VALUE"""),"1. Open app
2. Login using worker credentials
3. Click on Jobs
4. Click on job details")</f>
        <v>1. Open app
2. Login using worker credentials
3. Click on Jobs
4. Click on job details</v>
      </c>
      <c r="G42" s="84" t="str">
        <f>IFERROR(__xludf.DUMMYFUNCTION("""COMPUTED_VALUE"""),"Worker CREDENTIAL")</f>
        <v>Worker CREDENTIAL</v>
      </c>
      <c r="H42" s="84" t="str">
        <f>IFERROR(__xludf.DUMMYFUNCTION("""COMPUTED_VALUE"""),"In the job details, the recruiter’s name should be shown, and the worker should be able to view their profile along with their certificates.")</f>
        <v>In the job details, the recruiter’s name should be shown, and the worker should be able to view their profile along with their certificates.</v>
      </c>
      <c r="I42" s="84" t="str">
        <f>IFERROR(__xludf.DUMMYFUNCTION("""COMPUTED_VALUE"""),"Missing recruiter name in job details ")</f>
        <v>Missing recruiter name in job details </v>
      </c>
      <c r="J42" s="84" t="str">
        <f>IFERROR(__xludf.DUMMYFUNCTION("""COMPUTED_VALUE"""),"Fail")</f>
        <v>Fail</v>
      </c>
      <c r="K42" s="84" t="str">
        <f>IFERROR(__xludf.DUMMYFUNCTION("""COMPUTED_VALUE"""),"High")</f>
        <v>High</v>
      </c>
      <c r="L42" s="85" t="str">
        <f>IFERROR(__xludf.DUMMYFUNCTION("""COMPUTED_VALUE"""),"028.jpg")</f>
        <v>028.jpg</v>
      </c>
      <c r="M42" s="84"/>
      <c r="N42" s="84"/>
      <c r="O42" s="84"/>
      <c r="P42" s="84"/>
      <c r="Q42" s="84" t="str">
        <f>IFERROR(__xludf.DUMMYFUNCTION("""COMPUTED_VALUE"""),"Fahad")</f>
        <v>Fahad</v>
      </c>
      <c r="R42" s="53"/>
      <c r="S42" s="53"/>
      <c r="T42" s="53"/>
      <c r="U42" s="53"/>
      <c r="V42" s="53"/>
      <c r="W42" s="53"/>
      <c r="X42" s="53"/>
      <c r="Y42" s="53"/>
      <c r="Z42" s="53"/>
      <c r="AA42" s="53"/>
    </row>
    <row r="43">
      <c r="A43" s="56" t="s">
        <v>337</v>
      </c>
      <c r="B43" s="84" t="str">
        <f>IFERROR(__xludf.DUMMYFUNCTION("""COMPUTED_VALUE"""),"Worker")</f>
        <v>Worker</v>
      </c>
      <c r="C43" s="84" t="str">
        <f>IFERROR(__xludf.DUMMYFUNCTION("""COMPUTED_VALUE"""),"Job Details")</f>
        <v>Job Details</v>
      </c>
      <c r="D43" s="84" t="str">
        <f>IFERROR(__xludf.DUMMYFUNCTION("""COMPUTED_VALUE"""),"Active jobs aren’t listed under the active tag.")</f>
        <v>Active jobs aren’t listed under the active tag.</v>
      </c>
      <c r="E43" s="84" t="str">
        <f>IFERROR(__xludf.DUMMYFUNCTION("""COMPUTED_VALUE"""),"User need to install app on their mobile device")</f>
        <v>User need to install app on their mobile device</v>
      </c>
      <c r="F43" s="84" t="str">
        <f>IFERROR(__xludf.DUMMYFUNCTION("""COMPUTED_VALUE"""),"1. Open app
2. Login using worker credentials
3. Click on Jobs")</f>
        <v>1. Open app
2. Login using worker credentials
3. Click on Jobs</v>
      </c>
      <c r="G43" s="84" t="str">
        <f>IFERROR(__xludf.DUMMYFUNCTION("""COMPUTED_VALUE"""),"Worker CREDENTIAL")</f>
        <v>Worker CREDENTIAL</v>
      </c>
      <c r="H43" s="84" t="str">
        <f>IFERROR(__xludf.DUMMYFUNCTION("""COMPUTED_VALUE"""),"Jobs that have been applied for and are still active should be listed under the active tag.")</f>
        <v>Jobs that have been applied for and are still active should be listed under the active tag.</v>
      </c>
      <c r="I43" s="84" t="str">
        <f>IFERROR(__xludf.DUMMYFUNCTION("""COMPUTED_VALUE"""),"Jobs that have already been applied for and are still active are not shown under active tags.")</f>
        <v>Jobs that have already been applied for and are still active are not shown under active tags.</v>
      </c>
      <c r="J43" s="84" t="str">
        <f>IFERROR(__xludf.DUMMYFUNCTION("""COMPUTED_VALUE"""),"Fail")</f>
        <v>Fail</v>
      </c>
      <c r="K43" s="84" t="str">
        <f>IFERROR(__xludf.DUMMYFUNCTION("""COMPUTED_VALUE"""),"High")</f>
        <v>High</v>
      </c>
      <c r="L43" s="85" t="str">
        <f>IFERROR(__xludf.DUMMYFUNCTION("""COMPUTED_VALUE"""),"032.mp4")</f>
        <v>032.mp4</v>
      </c>
      <c r="M43" s="84"/>
      <c r="N43" s="84"/>
      <c r="O43" s="84"/>
      <c r="P43" s="84"/>
      <c r="Q43" s="84" t="str">
        <f>IFERROR(__xludf.DUMMYFUNCTION("""COMPUTED_VALUE"""),"Fahad")</f>
        <v>Fahad</v>
      </c>
      <c r="R43" s="53"/>
      <c r="S43" s="53"/>
      <c r="T43" s="53"/>
      <c r="U43" s="53"/>
      <c r="V43" s="53"/>
      <c r="W43" s="53"/>
      <c r="X43" s="53"/>
      <c r="Y43" s="53"/>
      <c r="Z43" s="53"/>
      <c r="AA43" s="53"/>
    </row>
    <row r="44">
      <c r="A44" s="56" t="s">
        <v>338</v>
      </c>
      <c r="B44" s="84" t="str">
        <f>IFERROR(__xludf.DUMMYFUNCTION("""COMPUTED_VALUE"""),"Worker")</f>
        <v>Worker</v>
      </c>
      <c r="C44" s="84" t="str">
        <f>IFERROR(__xludf.DUMMYFUNCTION("""COMPUTED_VALUE"""),"Job Details")</f>
        <v>Job Details</v>
      </c>
      <c r="D44" s="84" t="str">
        <f>IFERROR(__xludf.DUMMYFUNCTION("""COMPUTED_VALUE"""),"The work progress color theme should be green instead of blue, based on the client’s comment on Figma.")</f>
        <v>The work progress color theme should be green instead of blue, based on the client’s comment on Figma.</v>
      </c>
      <c r="E44" s="84" t="str">
        <f>IFERROR(__xludf.DUMMYFUNCTION("""COMPUTED_VALUE"""),"User need to install app on their mobile device")</f>
        <v>User need to install app on their mobile device</v>
      </c>
      <c r="F44" s="84" t="str">
        <f>IFERROR(__xludf.DUMMYFUNCTION("""COMPUTED_VALUE"""),"1. Open app
2. Login using worker credentials
3. Click on Jobs")</f>
        <v>1. Open app
2. Login using worker credentials
3. Click on Jobs</v>
      </c>
      <c r="G44" s="84" t="str">
        <f>IFERROR(__xludf.DUMMYFUNCTION("""COMPUTED_VALUE"""),"Worker CREDENTIAL")</f>
        <v>Worker CREDENTIAL</v>
      </c>
      <c r="H44" s="84" t="str">
        <f>IFERROR(__xludf.DUMMYFUNCTION("""COMPUTED_VALUE"""),"When the steps are complete, the mark color should be green instead of blue, as specified by the client in Figma.")</f>
        <v>When the steps are complete, the mark color should be green instead of blue, as specified by the client in Figma.</v>
      </c>
      <c r="I44" s="84" t="str">
        <f>IFERROR(__xludf.DUMMYFUNCTION("""COMPUTED_VALUE"""),"Blue mark has been spotted.")</f>
        <v>Blue mark has been spotted.</v>
      </c>
      <c r="J44" s="84" t="str">
        <f>IFERROR(__xludf.DUMMYFUNCTION("""COMPUTED_VALUE"""),"Fail")</f>
        <v>Fail</v>
      </c>
      <c r="K44" s="84" t="str">
        <f>IFERROR(__xludf.DUMMYFUNCTION("""COMPUTED_VALUE"""),"Medium")</f>
        <v>Medium</v>
      </c>
      <c r="L44" s="85" t="str">
        <f>IFERROR(__xludf.DUMMYFUNCTION("""COMPUTED_VALUE"""),"035.jpg")</f>
        <v>035.jpg</v>
      </c>
      <c r="M44" s="84"/>
      <c r="N44" s="84"/>
      <c r="O44" s="84"/>
      <c r="P44" s="84"/>
      <c r="Q44" s="84" t="str">
        <f>IFERROR(__xludf.DUMMYFUNCTION("""COMPUTED_VALUE"""),"Fahad")</f>
        <v>Fahad</v>
      </c>
      <c r="R44" s="53"/>
      <c r="S44" s="53"/>
      <c r="T44" s="53"/>
      <c r="U44" s="53"/>
      <c r="V44" s="53"/>
      <c r="W44" s="53"/>
      <c r="X44" s="53"/>
      <c r="Y44" s="53"/>
      <c r="Z44" s="53"/>
      <c r="AA44" s="53"/>
    </row>
    <row r="45">
      <c r="A45" s="56" t="s">
        <v>339</v>
      </c>
      <c r="B45" s="84" t="str">
        <f>IFERROR(__xludf.DUMMYFUNCTION("""COMPUTED_VALUE"""),"Worker")</f>
        <v>Worker</v>
      </c>
      <c r="C45" s="84" t="str">
        <f>IFERROR(__xludf.DUMMYFUNCTION("""COMPUTED_VALUE"""),"Job Details")</f>
        <v>Job Details</v>
      </c>
      <c r="D45" s="84" t="str">
        <f>IFERROR(__xludf.DUMMYFUNCTION("""COMPUTED_VALUE"""),"Expired jobs are showing up as active jobs.")</f>
        <v>Expired jobs are showing up as active jobs.</v>
      </c>
      <c r="E45" s="84" t="str">
        <f>IFERROR(__xludf.DUMMYFUNCTION("""COMPUTED_VALUE"""),"User need to install app on their mobile device")</f>
        <v>User need to install app on their mobile device</v>
      </c>
      <c r="F45" s="84" t="str">
        <f>IFERROR(__xludf.DUMMYFUNCTION("""COMPUTED_VALUE"""),"1. Open app
2. Login using worker credentials
3. Click on Jobs")</f>
        <v>1. Open app
2. Login using worker credentials
3. Click on Jobs</v>
      </c>
      <c r="G45" s="84" t="str">
        <f>IFERROR(__xludf.DUMMYFUNCTION("""COMPUTED_VALUE"""),"Worker CREDENTIAL")</f>
        <v>Worker CREDENTIAL</v>
      </c>
      <c r="H45" s="84" t="str">
        <f>IFERROR(__xludf.DUMMYFUNCTION("""COMPUTED_VALUE"""),"After expiration, jobs should be listed under the expired category.")</f>
        <v>After expiration, jobs should be listed under the expired category.</v>
      </c>
      <c r="I45" s="84" t="str">
        <f>IFERROR(__xludf.DUMMYFUNCTION("""COMPUTED_VALUE"""),"Expired jobs appear in the active jobs section.")</f>
        <v>Expired jobs appear in the active jobs section.</v>
      </c>
      <c r="J45" s="84" t="str">
        <f>IFERROR(__xludf.DUMMYFUNCTION("""COMPUTED_VALUE"""),"Fail")</f>
        <v>Fail</v>
      </c>
      <c r="K45" s="84" t="str">
        <f>IFERROR(__xludf.DUMMYFUNCTION("""COMPUTED_VALUE"""),"High")</f>
        <v>High</v>
      </c>
      <c r="L45" s="85" t="str">
        <f>IFERROR(__xludf.DUMMYFUNCTION("""COMPUTED_VALUE"""),"039.jpg")</f>
        <v>039.jpg</v>
      </c>
      <c r="M45" s="84"/>
      <c r="N45" s="84"/>
      <c r="O45" s="84"/>
      <c r="P45" s="84"/>
      <c r="Q45" s="84" t="str">
        <f>IFERROR(__xludf.DUMMYFUNCTION("""COMPUTED_VALUE"""),"Fahad")</f>
        <v>Fahad</v>
      </c>
      <c r="R45" s="53"/>
      <c r="S45" s="53"/>
      <c r="T45" s="53"/>
      <c r="U45" s="53"/>
      <c r="V45" s="53"/>
      <c r="W45" s="53"/>
      <c r="X45" s="53"/>
      <c r="Y45" s="53"/>
      <c r="Z45" s="53"/>
      <c r="AA45" s="53"/>
    </row>
    <row r="46">
      <c r="A46" s="56" t="s">
        <v>340</v>
      </c>
      <c r="B46" s="84" t="str">
        <f>IFERROR(__xludf.DUMMYFUNCTION("""COMPUTED_VALUE"""),"Worker")</f>
        <v>Worker</v>
      </c>
      <c r="C46" s="84" t="str">
        <f>IFERROR(__xludf.DUMMYFUNCTION("""COMPUTED_VALUE"""),"Mail")</f>
        <v>Mail</v>
      </c>
      <c r="D46" s="84" t="str">
        <f>IFERROR(__xludf.DUMMYFUNCTION("""COMPUTED_VALUE"""),"Alignment issue in Mail body")</f>
        <v>Alignment issue in Mail body</v>
      </c>
      <c r="E46" s="84" t="str">
        <f>IFERROR(__xludf.DUMMYFUNCTION("""COMPUTED_VALUE"""),"User need to install app on their mobile device")</f>
        <v>User need to install app on their mobile device</v>
      </c>
      <c r="F46" s="84" t="str">
        <f>IFERROR(__xludf.DUMMYFUNCTION("""COMPUTED_VALUE"""),"1. Open app
2. Register using necessary data")</f>
        <v>1. Open app
2. Register using necessary data</v>
      </c>
      <c r="G46" s="84" t="str">
        <f>IFERROR(__xludf.DUMMYFUNCTION("""COMPUTED_VALUE"""),"Worker CREDENTIAL")</f>
        <v>Worker CREDENTIAL</v>
      </c>
      <c r="H46" s="84" t="str">
        <f>IFERROR(__xludf.DUMMYFUNCTION("""COMPUTED_VALUE"""),"Alignment should be accurate in email body")</f>
        <v>Alignment should be accurate in email body</v>
      </c>
      <c r="I46" s="84" t="str">
        <f>IFERROR(__xludf.DUMMYFUNCTION("""COMPUTED_VALUE"""),"Alignment issue has been noticed")</f>
        <v>Alignment issue has been noticed</v>
      </c>
      <c r="J46" s="84" t="str">
        <f>IFERROR(__xludf.DUMMYFUNCTION("""COMPUTED_VALUE"""),"Fail")</f>
        <v>Fail</v>
      </c>
      <c r="K46" s="84" t="str">
        <f>IFERROR(__xludf.DUMMYFUNCTION("""COMPUTED_VALUE"""),"Low")</f>
        <v>Low</v>
      </c>
      <c r="L46" s="85" t="str">
        <f>IFERROR(__xludf.DUMMYFUNCTION("""COMPUTED_VALUE"""),"001.png")</f>
        <v>001.png</v>
      </c>
      <c r="M46" s="84"/>
      <c r="N46" s="84" t="str">
        <f>IFERROR(__xludf.DUMMYFUNCTION("""COMPUTED_VALUE"""),"Solved")</f>
        <v>Solved</v>
      </c>
      <c r="O46" s="84"/>
      <c r="P46" s="84"/>
      <c r="Q46" s="84" t="str">
        <f>IFERROR(__xludf.DUMMYFUNCTION("""COMPUTED_VALUE"""),"Fahad")</f>
        <v>Fahad</v>
      </c>
      <c r="R46" s="53"/>
      <c r="S46" s="53"/>
      <c r="T46" s="53"/>
      <c r="U46" s="53"/>
      <c r="V46" s="53"/>
      <c r="W46" s="53"/>
      <c r="X46" s="53"/>
      <c r="Y46" s="53"/>
      <c r="Z46" s="53"/>
      <c r="AA46" s="53"/>
    </row>
    <row r="47">
      <c r="A47" s="56" t="s">
        <v>341</v>
      </c>
      <c r="B47" s="84" t="str">
        <f>IFERROR(__xludf.DUMMYFUNCTION("""COMPUTED_VALUE"""),"Worker")</f>
        <v>Worker</v>
      </c>
      <c r="C47" s="84" t="str">
        <f>IFERROR(__xludf.DUMMYFUNCTION("""COMPUTED_VALUE"""),"Mail")</f>
        <v>Mail</v>
      </c>
      <c r="D47" s="84" t="str">
        <f>IFERROR(__xludf.DUMMYFUNCTION("""COMPUTED_VALUE"""),"Mail is redirecting to localhost:3000, which isn’t accessible.")</f>
        <v>Mail is redirecting to localhost:3000, which isn’t accessible.</v>
      </c>
      <c r="E47" s="84" t="str">
        <f>IFERROR(__xludf.DUMMYFUNCTION("""COMPUTED_VALUE"""),"User need to install app on their mobile device")</f>
        <v>User need to install app on their mobile device</v>
      </c>
      <c r="F47" s="84" t="str">
        <f>IFERROR(__xludf.DUMMYFUNCTION("""COMPUTED_VALUE"""),"1. Open app
2. Register using necessary data
3. Open mail body")</f>
        <v>1. Open app
2. Register using necessary data
3. Open mail body</v>
      </c>
      <c r="G47" s="84" t="str">
        <f>IFERROR(__xludf.DUMMYFUNCTION("""COMPUTED_VALUE"""),"Worker CREDENTIAL")</f>
        <v>Worker CREDENTIAL</v>
      </c>
      <c r="H47" s="84" t="str">
        <f>IFERROR(__xludf.DUMMYFUNCTION("""COMPUTED_VALUE"""),"Mail button redirect URL should be valid")</f>
        <v>Mail button redirect URL should be valid</v>
      </c>
      <c r="I47" s="84" t="str">
        <f>IFERROR(__xludf.DUMMYFUNCTION("""COMPUTED_VALUE"""),"Redirecting to localhost port 3000 which is not accessible")</f>
        <v>Redirecting to localhost port 3000 which is not accessible</v>
      </c>
      <c r="J47" s="84" t="str">
        <f>IFERROR(__xludf.DUMMYFUNCTION("""COMPUTED_VALUE"""),"Fail")</f>
        <v>Fail</v>
      </c>
      <c r="K47" s="84" t="str">
        <f>IFERROR(__xludf.DUMMYFUNCTION("""COMPUTED_VALUE"""),"Medium")</f>
        <v>Medium</v>
      </c>
      <c r="L47" s="85" t="str">
        <f>IFERROR(__xludf.DUMMYFUNCTION("""COMPUTED_VALUE"""),"002.png")</f>
        <v>002.png</v>
      </c>
      <c r="M47" s="84"/>
      <c r="N47" s="84"/>
      <c r="O47" s="84"/>
      <c r="P47" s="84"/>
      <c r="Q47" s="84" t="str">
        <f>IFERROR(__xludf.DUMMYFUNCTION("""COMPUTED_VALUE"""),"Fahad")</f>
        <v>Fahad</v>
      </c>
      <c r="R47" s="53"/>
      <c r="S47" s="53"/>
      <c r="T47" s="53"/>
      <c r="U47" s="53"/>
      <c r="V47" s="53"/>
      <c r="W47" s="53"/>
      <c r="X47" s="53"/>
      <c r="Y47" s="53"/>
      <c r="Z47" s="53"/>
      <c r="AA47" s="53"/>
    </row>
    <row r="48">
      <c r="A48" s="56" t="s">
        <v>342</v>
      </c>
      <c r="B48" s="84" t="str">
        <f>IFERROR(__xludf.DUMMYFUNCTION("""COMPUTED_VALUE"""),"Worker")</f>
        <v>Worker</v>
      </c>
      <c r="C48" s="84" t="str">
        <f>IFERROR(__xludf.DUMMYFUNCTION("""COMPUTED_VALUE"""),"Mail")</f>
        <v>Mail</v>
      </c>
      <c r="D48" s="84" t="str">
        <f>IFERROR(__xludf.DUMMYFUNCTION("""COMPUTED_VALUE"""),"OTP alignment problem in the email body")</f>
        <v>OTP alignment problem in the email body</v>
      </c>
      <c r="E48" s="84" t="str">
        <f>IFERROR(__xludf.DUMMYFUNCTION("""COMPUTED_VALUE"""),"User need to install app on their mobile device")</f>
        <v>User need to install app on their mobile device</v>
      </c>
      <c r="F48" s="84" t="str">
        <f>IFERROR(__xludf.DUMMYFUNCTION("""COMPUTED_VALUE"""),"1. Open app
2. Register using necessary data
3. Open mail body")</f>
        <v>1. Open app
2. Register using necessary data
3. Open mail body</v>
      </c>
      <c r="G48" s="84" t="str">
        <f>IFERROR(__xludf.DUMMYFUNCTION("""COMPUTED_VALUE"""),"Worker CREDENTIAL")</f>
        <v>Worker CREDENTIAL</v>
      </c>
      <c r="H48" s="84" t="str">
        <f>IFERROR(__xludf.DUMMYFUNCTION("""COMPUTED_VALUE"""),"The alignment and design should be precise.")</f>
        <v>The alignment and design should be precise.</v>
      </c>
      <c r="I48" s="84" t="str">
        <f>IFERROR(__xludf.DUMMYFUNCTION("""COMPUTED_VALUE"""),"An alignment issue has been spotted.")</f>
        <v>An alignment issue has been spotted.</v>
      </c>
      <c r="J48" s="84" t="str">
        <f>IFERROR(__xludf.DUMMYFUNCTION("""COMPUTED_VALUE"""),"Fail")</f>
        <v>Fail</v>
      </c>
      <c r="K48" s="84" t="str">
        <f>IFERROR(__xludf.DUMMYFUNCTION("""COMPUTED_VALUE"""),"Medium")</f>
        <v>Medium</v>
      </c>
      <c r="L48" s="85" t="str">
        <f>IFERROR(__xludf.DUMMYFUNCTION("""COMPUTED_VALUE"""),"042.jpg")</f>
        <v>042.jpg</v>
      </c>
      <c r="M48" s="84"/>
      <c r="N48" s="84"/>
      <c r="O48" s="84"/>
      <c r="P48" s="84"/>
      <c r="Q48" s="84" t="str">
        <f>IFERROR(__xludf.DUMMYFUNCTION("""COMPUTED_VALUE"""),"Fahad")</f>
        <v>Fahad</v>
      </c>
      <c r="R48" s="53"/>
      <c r="S48" s="53"/>
      <c r="T48" s="53"/>
      <c r="U48" s="53"/>
      <c r="V48" s="53"/>
      <c r="W48" s="53"/>
      <c r="X48" s="53"/>
      <c r="Y48" s="53"/>
      <c r="Z48" s="53"/>
      <c r="AA48" s="53"/>
    </row>
    <row r="49">
      <c r="A49" s="56" t="s">
        <v>343</v>
      </c>
      <c r="B49" s="84" t="str">
        <f>IFERROR(__xludf.DUMMYFUNCTION("""COMPUTED_VALUE"""),"Worker")</f>
        <v>Worker</v>
      </c>
      <c r="C49" s="84" t="str">
        <f>IFERROR(__xludf.DUMMYFUNCTION("""COMPUTED_VALUE"""),"Notification")</f>
        <v>Notification</v>
      </c>
      <c r="D49" s="84" t="str">
        <f>IFERROR(__xludf.DUMMYFUNCTION("""COMPUTED_VALUE"""),"Failed to receive message notification ")</f>
        <v>Failed to receive message notification </v>
      </c>
      <c r="E49" s="84" t="str">
        <f>IFERROR(__xludf.DUMMYFUNCTION("""COMPUTED_VALUE"""),"User need to install app on their mobile device")</f>
        <v>User need to install app on their mobile device</v>
      </c>
      <c r="F49" s="84" t="str">
        <f>IFERROR(__xludf.DUMMYFUNCTION("""COMPUTED_VALUE"""),"1. Open app
2. Login using worker credentials
3. Goto notification / message")</f>
        <v>1. Open app
2. Login using worker credentials
3. Goto notification / message</v>
      </c>
      <c r="G49" s="84" t="str">
        <f>IFERROR(__xludf.DUMMYFUNCTION("""COMPUTED_VALUE"""),"Worker CREDENTIAL")</f>
        <v>Worker CREDENTIAL</v>
      </c>
      <c r="H49" s="84" t="str">
        <f>IFERROR(__xludf.DUMMYFUNCTION("""COMPUTED_VALUE"""),"A message notification should appear when a worker logs in to the app or receives a message.")</f>
        <v>A message notification should appear when a worker logs in to the app or receives a message.</v>
      </c>
      <c r="I49" s="84" t="str">
        <f>IFERROR(__xludf.DUMMYFUNCTION("""COMPUTED_VALUE"""),"Message notifications fail to appear when a worker logs in or is using the app.")</f>
        <v>Message notifications fail to appear when a worker logs in or is using the app.</v>
      </c>
      <c r="J49" s="84" t="str">
        <f>IFERROR(__xludf.DUMMYFUNCTION("""COMPUTED_VALUE"""),"Fail")</f>
        <v>Fail</v>
      </c>
      <c r="K49" s="84" t="str">
        <f>IFERROR(__xludf.DUMMYFUNCTION("""COMPUTED_VALUE"""),"High")</f>
        <v>High</v>
      </c>
      <c r="L49" s="85" t="str">
        <f>IFERROR(__xludf.DUMMYFUNCTION("""COMPUTED_VALUE"""),"016.jpg")</f>
        <v>016.jpg</v>
      </c>
      <c r="M49" s="84"/>
      <c r="N49" s="84"/>
      <c r="O49" s="84"/>
      <c r="P49" s="84"/>
      <c r="Q49" s="84" t="str">
        <f>IFERROR(__xludf.DUMMYFUNCTION("""COMPUTED_VALUE"""),"Fahad")</f>
        <v>Fahad</v>
      </c>
      <c r="R49" s="53"/>
      <c r="S49" s="53"/>
      <c r="T49" s="53"/>
      <c r="U49" s="53"/>
      <c r="V49" s="53"/>
      <c r="W49" s="53"/>
      <c r="X49" s="53"/>
      <c r="Y49" s="53"/>
      <c r="Z49" s="53"/>
      <c r="AA49" s="53"/>
    </row>
    <row r="50">
      <c r="A50" s="56" t="s">
        <v>344</v>
      </c>
      <c r="B50" s="84" t="str">
        <f>IFERROR(__xludf.DUMMYFUNCTION("""COMPUTED_VALUE"""),"Worker")</f>
        <v>Worker</v>
      </c>
      <c r="C50" s="84" t="str">
        <f>IFERROR(__xludf.DUMMYFUNCTION("""COMPUTED_VALUE"""),"Notification")</f>
        <v>Notification</v>
      </c>
      <c r="D50" s="84" t="str">
        <f>IFERROR(__xludf.DUMMYFUNCTION("""COMPUTED_VALUE"""),"Notifications are not dynamic and are not redirecting to the actual page.")</f>
        <v>Notifications are not dynamic and are not redirecting to the actual page.</v>
      </c>
      <c r="E50" s="84" t="str">
        <f>IFERROR(__xludf.DUMMYFUNCTION("""COMPUTED_VALUE"""),"User need to install app on their mobile device")</f>
        <v>User need to install app on their mobile device</v>
      </c>
      <c r="F50" s="84" t="str">
        <f>IFERROR(__xludf.DUMMYFUNCTION("""COMPUTED_VALUE"""),"1. Open app
2. Login using worker credentials
3. Goto notification / message")</f>
        <v>1. Open app
2. Login using worker credentials
3. Goto notification / message</v>
      </c>
      <c r="G50" s="84" t="str">
        <f>IFERROR(__xludf.DUMMYFUNCTION("""COMPUTED_VALUE"""),"Worker CREDENTIAL")</f>
        <v>Worker CREDENTIAL</v>
      </c>
      <c r="H50" s="84" t="str">
        <f>IFERROR(__xludf.DUMMYFUNCTION("""COMPUTED_VALUE"""),"Notification should take the user directly to the intended location.")</f>
        <v>Notification should take the user directly to the intended location.</v>
      </c>
      <c r="I50" s="84" t="str">
        <f>IFERROR(__xludf.DUMMYFUNCTION("""COMPUTED_VALUE"""),"Notifications stay the same. Static")</f>
        <v>Notifications stay the same. Static</v>
      </c>
      <c r="J50" s="84" t="str">
        <f>IFERROR(__xludf.DUMMYFUNCTION("""COMPUTED_VALUE"""),"Fail")</f>
        <v>Fail</v>
      </c>
      <c r="K50" s="84" t="str">
        <f>IFERROR(__xludf.DUMMYFUNCTION("""COMPUTED_VALUE"""),"Medium")</f>
        <v>Medium</v>
      </c>
      <c r="L50" s="85" t="str">
        <f>IFERROR(__xludf.DUMMYFUNCTION("""COMPUTED_VALUE"""),"034.jpg")</f>
        <v>034.jpg</v>
      </c>
      <c r="M50" s="84"/>
      <c r="N50" s="84"/>
      <c r="O50" s="84"/>
      <c r="P50" s="84"/>
      <c r="Q50" s="84" t="str">
        <f>IFERROR(__xludf.DUMMYFUNCTION("""COMPUTED_VALUE"""),"Fahad")</f>
        <v>Fahad</v>
      </c>
      <c r="R50" s="53"/>
      <c r="S50" s="53"/>
      <c r="T50" s="53"/>
      <c r="U50" s="53"/>
      <c r="V50" s="53"/>
      <c r="W50" s="53"/>
      <c r="X50" s="53"/>
      <c r="Y50" s="53"/>
      <c r="Z50" s="53"/>
      <c r="AA50" s="53"/>
    </row>
    <row r="51">
      <c r="A51" s="56" t="s">
        <v>345</v>
      </c>
      <c r="B51" s="84" t="str">
        <f>IFERROR(__xludf.DUMMYFUNCTION("""COMPUTED_VALUE"""),"Worker")</f>
        <v>Worker</v>
      </c>
      <c r="C51" s="84" t="str">
        <f>IFERROR(__xludf.DUMMYFUNCTION("""COMPUTED_VALUE"""),"Notification")</f>
        <v>Notification</v>
      </c>
      <c r="D51" s="84" t="str">
        <f>IFERROR(__xludf.DUMMYFUNCTION("""COMPUTED_VALUE"""),"Notifications from the 16th may still be showing up in the worker's email.")</f>
        <v>Notifications from the 16th may still be showing up in the worker's email.</v>
      </c>
      <c r="E51" s="84" t="str">
        <f>IFERROR(__xludf.DUMMYFUNCTION("""COMPUTED_VALUE"""),"User need to install app on their mobile device")</f>
        <v>User need to install app on their mobile device</v>
      </c>
      <c r="F51" s="84" t="str">
        <f>IFERROR(__xludf.DUMMYFUNCTION("""COMPUTED_VALUE"""),"1. Open app
2. Login using worker credentials
3. Goto email notification / message")</f>
        <v>1. Open app
2. Login using worker credentials
3. Goto email notification / message</v>
      </c>
      <c r="G51" s="84" t="str">
        <f>IFERROR(__xludf.DUMMYFUNCTION("""COMPUTED_VALUE"""),"Worker CREDENTIAL")</f>
        <v>Worker CREDENTIAL</v>
      </c>
      <c r="H51" s="84" t="str">
        <f>IFERROR(__xludf.DUMMYFUNCTION("""COMPUTED_VALUE"""),"Notifications should be sent to email only once, not multiple times.")</f>
        <v>Notifications should be sent to email only once, not multiple times.</v>
      </c>
      <c r="I51" s="84" t="str">
        <f>IFERROR(__xludf.DUMMYFUNCTION("""COMPUTED_VALUE"""),"The same email notification is being sent multiple times from the backend to the workers' emails.")</f>
        <v>The same email notification is being sent multiple times from the backend to the workers' emails.</v>
      </c>
      <c r="J51" s="84" t="str">
        <f>IFERROR(__xludf.DUMMYFUNCTION("""COMPUTED_VALUE"""),"Fail")</f>
        <v>Fail</v>
      </c>
      <c r="K51" s="84" t="str">
        <f>IFERROR(__xludf.DUMMYFUNCTION("""COMPUTED_VALUE"""),"Medium")</f>
        <v>Medium</v>
      </c>
      <c r="L51" s="85" t="str">
        <f>IFERROR(__xludf.DUMMYFUNCTION("""COMPUTED_VALUE"""),"036.png")</f>
        <v>036.png</v>
      </c>
      <c r="M51" s="84"/>
      <c r="N51" s="84"/>
      <c r="O51" s="84"/>
      <c r="P51" s="84"/>
      <c r="Q51" s="84" t="str">
        <f>IFERROR(__xludf.DUMMYFUNCTION("""COMPUTED_VALUE"""),"Fahad")</f>
        <v>Fahad</v>
      </c>
      <c r="R51" s="53"/>
      <c r="S51" s="53"/>
      <c r="T51" s="53"/>
      <c r="U51" s="53"/>
      <c r="V51" s="53"/>
      <c r="W51" s="53"/>
      <c r="X51" s="53"/>
      <c r="Y51" s="53"/>
      <c r="Z51" s="53"/>
      <c r="AA51" s="53"/>
    </row>
    <row r="52">
      <c r="A52" s="56" t="s">
        <v>346</v>
      </c>
      <c r="B52" s="84" t="str">
        <f>IFERROR(__xludf.DUMMYFUNCTION("""COMPUTED_VALUE"""),"Worker")</f>
        <v>Worker</v>
      </c>
      <c r="C52" s="84" t="str">
        <f>IFERROR(__xludf.DUMMYFUNCTION("""COMPUTED_VALUE"""),"Profile")</f>
        <v>Profile</v>
      </c>
      <c r="D52" s="84" t="str">
        <f>IFERROR(__xludf.DUMMYFUNCTION("""COMPUTED_VALUE"""),"Missing work experience data input in frontend")</f>
        <v>Missing work experience data input in frontend</v>
      </c>
      <c r="E52" s="84" t="str">
        <f>IFERROR(__xludf.DUMMYFUNCTION("""COMPUTED_VALUE"""),"User need to install app on their mobile device")</f>
        <v>User need to install app on their mobile device</v>
      </c>
      <c r="F52" s="84" t="str">
        <f>IFERROR(__xludf.DUMMYFUNCTION("""COMPUTED_VALUE"""),"1. Open app
2. Login using valid credentials
3. Goto Settings
4. Click on profile")</f>
        <v>1. Open app
2. Login using valid credentials
3. Goto Settings
4. Click on profile</v>
      </c>
      <c r="G52" s="84" t="str">
        <f>IFERROR(__xludf.DUMMYFUNCTION("""COMPUTED_VALUE"""),"Worker CREDENTIAL")</f>
        <v>Worker CREDENTIAL</v>
      </c>
      <c r="H52" s="84" t="str">
        <f>IFERROR(__xludf.DUMMYFUNCTION("""COMPUTED_VALUE"""),"App should include an input field as specified in the requirement.")</f>
        <v>App should include an input field as specified in the requirement.</v>
      </c>
      <c r="I52" s="84" t="str">
        <f>IFERROR(__xludf.DUMMYFUNCTION("""COMPUTED_VALUE"""),"Experience field is missing in the app, even though it was part of the requirements.")</f>
        <v>Experience field is missing in the app, even though it was part of the requirements.</v>
      </c>
      <c r="J52" s="84" t="str">
        <f>IFERROR(__xludf.DUMMYFUNCTION("""COMPUTED_VALUE"""),"Fail")</f>
        <v>Fail</v>
      </c>
      <c r="K52" s="84" t="str">
        <f>IFERROR(__xludf.DUMMYFUNCTION("""COMPUTED_VALUE"""),"High")</f>
        <v>High</v>
      </c>
      <c r="L52" s="85" t="str">
        <f>IFERROR(__xludf.DUMMYFUNCTION("""COMPUTED_VALUE"""),"004.jpg")</f>
        <v>004.jpg</v>
      </c>
      <c r="M52" s="84"/>
      <c r="N52" s="84" t="str">
        <f>IFERROR(__xludf.DUMMYFUNCTION("""COMPUTED_VALUE"""),"Solved")</f>
        <v>Solved</v>
      </c>
      <c r="O52" s="84"/>
      <c r="P52" s="84"/>
      <c r="Q52" s="84" t="str">
        <f>IFERROR(__xludf.DUMMYFUNCTION("""COMPUTED_VALUE"""),"Fahad")</f>
        <v>Fahad</v>
      </c>
      <c r="R52" s="53"/>
      <c r="S52" s="53"/>
      <c r="T52" s="53"/>
      <c r="U52" s="53"/>
      <c r="V52" s="53"/>
      <c r="W52" s="53"/>
      <c r="X52" s="53"/>
      <c r="Y52" s="53"/>
      <c r="Z52" s="53"/>
      <c r="AA52" s="53"/>
    </row>
    <row r="53">
      <c r="A53" s="56" t="s">
        <v>347</v>
      </c>
      <c r="B53" s="84"/>
      <c r="C53" s="84"/>
      <c r="D53" s="84"/>
      <c r="E53" s="84"/>
      <c r="F53" s="84"/>
      <c r="G53" s="84"/>
      <c r="H53" s="84"/>
      <c r="I53" s="84"/>
      <c r="J53" s="84"/>
      <c r="K53" s="84"/>
      <c r="L53" s="84"/>
      <c r="M53" s="84"/>
      <c r="N53" s="84"/>
      <c r="O53" s="84"/>
      <c r="P53" s="84"/>
      <c r="Q53" s="84"/>
      <c r="R53" s="53"/>
      <c r="S53" s="53"/>
      <c r="T53" s="53"/>
      <c r="U53" s="53"/>
      <c r="V53" s="53"/>
      <c r="W53" s="53"/>
      <c r="X53" s="53"/>
      <c r="Y53" s="53"/>
      <c r="Z53" s="53"/>
      <c r="AA53" s="53"/>
    </row>
    <row r="54">
      <c r="A54" s="56" t="s">
        <v>347</v>
      </c>
      <c r="B54" s="84"/>
      <c r="C54" s="84"/>
      <c r="D54" s="84"/>
      <c r="E54" s="84"/>
      <c r="F54" s="84"/>
      <c r="G54" s="84"/>
      <c r="H54" s="84"/>
      <c r="I54" s="84"/>
      <c r="J54" s="84"/>
      <c r="K54" s="84"/>
      <c r="L54" s="84"/>
      <c r="M54" s="84"/>
      <c r="N54" s="84"/>
      <c r="O54" s="84"/>
      <c r="P54" s="84"/>
      <c r="Q54" s="84"/>
      <c r="R54" s="53"/>
      <c r="S54" s="53"/>
      <c r="T54" s="53"/>
      <c r="U54" s="53"/>
      <c r="V54" s="53"/>
      <c r="W54" s="53"/>
      <c r="X54" s="53"/>
      <c r="Y54" s="53"/>
      <c r="Z54" s="53"/>
      <c r="AA54" s="53"/>
    </row>
    <row r="55">
      <c r="A55" s="56" t="s">
        <v>347</v>
      </c>
      <c r="B55" s="84"/>
      <c r="C55" s="84"/>
      <c r="D55" s="84"/>
      <c r="E55" s="84"/>
      <c r="F55" s="84"/>
      <c r="G55" s="84"/>
      <c r="H55" s="84"/>
      <c r="I55" s="84"/>
      <c r="J55" s="84"/>
      <c r="K55" s="84"/>
      <c r="L55" s="84"/>
      <c r="M55" s="84"/>
      <c r="N55" s="84"/>
      <c r="O55" s="84"/>
      <c r="P55" s="84"/>
      <c r="Q55" s="84"/>
      <c r="R55" s="53"/>
      <c r="S55" s="53"/>
      <c r="T55" s="53"/>
      <c r="U55" s="53"/>
      <c r="V55" s="53"/>
      <c r="W55" s="53"/>
      <c r="X55" s="53"/>
      <c r="Y55" s="53"/>
      <c r="Z55" s="53"/>
      <c r="AA55" s="53"/>
    </row>
    <row r="56">
      <c r="A56" s="56" t="s">
        <v>347</v>
      </c>
      <c r="B56" s="84"/>
      <c r="C56" s="84"/>
      <c r="D56" s="84"/>
      <c r="E56" s="84"/>
      <c r="F56" s="84"/>
      <c r="G56" s="84"/>
      <c r="H56" s="84"/>
      <c r="I56" s="84"/>
      <c r="J56" s="84"/>
      <c r="K56" s="84"/>
      <c r="L56" s="84"/>
      <c r="M56" s="84"/>
      <c r="N56" s="84"/>
      <c r="O56" s="84"/>
      <c r="P56" s="84"/>
      <c r="Q56" s="84"/>
      <c r="R56" s="53"/>
      <c r="S56" s="53"/>
      <c r="T56" s="53"/>
      <c r="U56" s="53"/>
      <c r="V56" s="53"/>
      <c r="W56" s="53"/>
      <c r="X56" s="53"/>
      <c r="Y56" s="53"/>
      <c r="Z56" s="53"/>
      <c r="AA56" s="53"/>
    </row>
    <row r="57">
      <c r="A57" s="56" t="s">
        <v>347</v>
      </c>
      <c r="B57" s="84"/>
      <c r="C57" s="84"/>
      <c r="D57" s="84"/>
      <c r="E57" s="84"/>
      <c r="F57" s="84"/>
      <c r="G57" s="84"/>
      <c r="H57" s="84"/>
      <c r="I57" s="84"/>
      <c r="J57" s="84"/>
      <c r="K57" s="84"/>
      <c r="L57" s="84"/>
      <c r="M57" s="84"/>
      <c r="N57" s="84"/>
      <c r="O57" s="84"/>
      <c r="P57" s="84"/>
      <c r="Q57" s="84"/>
      <c r="R57" s="53"/>
      <c r="S57" s="53"/>
      <c r="T57" s="53"/>
      <c r="U57" s="53"/>
      <c r="V57" s="53"/>
      <c r="W57" s="53"/>
      <c r="X57" s="53"/>
      <c r="Y57" s="53"/>
      <c r="Z57" s="53"/>
      <c r="AA57" s="53"/>
    </row>
    <row r="58">
      <c r="A58" s="56" t="s">
        <v>347</v>
      </c>
      <c r="B58" s="84"/>
      <c r="C58" s="84"/>
      <c r="D58" s="84"/>
      <c r="E58" s="84"/>
      <c r="F58" s="84"/>
      <c r="G58" s="84"/>
      <c r="H58" s="84"/>
      <c r="I58" s="84"/>
      <c r="J58" s="84"/>
      <c r="K58" s="84"/>
      <c r="L58" s="84"/>
      <c r="M58" s="84"/>
      <c r="N58" s="84"/>
      <c r="O58" s="84"/>
      <c r="P58" s="84"/>
      <c r="Q58" s="84"/>
      <c r="R58" s="53"/>
      <c r="S58" s="53"/>
      <c r="T58" s="53"/>
      <c r="U58" s="53"/>
      <c r="V58" s="53"/>
      <c r="W58" s="53"/>
      <c r="X58" s="53"/>
      <c r="Y58" s="53"/>
      <c r="Z58" s="53"/>
      <c r="AA58" s="53"/>
    </row>
    <row r="59">
      <c r="A59" s="56" t="s">
        <v>347</v>
      </c>
      <c r="B59" s="84"/>
      <c r="C59" s="84"/>
      <c r="D59" s="84"/>
      <c r="E59" s="84"/>
      <c r="F59" s="84"/>
      <c r="G59" s="84"/>
      <c r="H59" s="84"/>
      <c r="I59" s="84"/>
      <c r="J59" s="84"/>
      <c r="K59" s="84"/>
      <c r="L59" s="84"/>
      <c r="M59" s="84"/>
      <c r="N59" s="84"/>
      <c r="O59" s="84"/>
      <c r="P59" s="84"/>
      <c r="Q59" s="84"/>
      <c r="R59" s="53"/>
      <c r="S59" s="53"/>
      <c r="T59" s="53"/>
      <c r="U59" s="53"/>
      <c r="V59" s="53"/>
      <c r="W59" s="53"/>
      <c r="X59" s="53"/>
      <c r="Y59" s="53"/>
      <c r="Z59" s="53"/>
      <c r="AA59" s="53"/>
    </row>
    <row r="60">
      <c r="A60" s="56" t="s">
        <v>347</v>
      </c>
      <c r="B60" s="84"/>
      <c r="C60" s="84"/>
      <c r="D60" s="84"/>
      <c r="E60" s="84"/>
      <c r="F60" s="84"/>
      <c r="G60" s="84"/>
      <c r="H60" s="84"/>
      <c r="I60" s="84"/>
      <c r="J60" s="84"/>
      <c r="K60" s="84"/>
      <c r="L60" s="84"/>
      <c r="M60" s="84"/>
      <c r="N60" s="84"/>
      <c r="O60" s="84"/>
      <c r="P60" s="84"/>
      <c r="Q60" s="84"/>
      <c r="R60" s="53"/>
      <c r="S60" s="53"/>
      <c r="T60" s="53"/>
      <c r="U60" s="53"/>
      <c r="V60" s="53"/>
      <c r="W60" s="53"/>
      <c r="X60" s="53"/>
      <c r="Y60" s="53"/>
      <c r="Z60" s="53"/>
      <c r="AA60" s="53"/>
    </row>
    <row r="61">
      <c r="A61" s="56" t="s">
        <v>347</v>
      </c>
      <c r="B61" s="84"/>
      <c r="C61" s="84"/>
      <c r="D61" s="84"/>
      <c r="E61" s="84"/>
      <c r="F61" s="84"/>
      <c r="G61" s="84"/>
      <c r="H61" s="84"/>
      <c r="I61" s="84"/>
      <c r="J61" s="84"/>
      <c r="K61" s="84"/>
      <c r="L61" s="84"/>
      <c r="M61" s="84"/>
      <c r="N61" s="84"/>
      <c r="O61" s="84"/>
      <c r="P61" s="84"/>
      <c r="Q61" s="84"/>
      <c r="R61" s="53"/>
      <c r="S61" s="53"/>
      <c r="T61" s="53"/>
      <c r="U61" s="53"/>
      <c r="V61" s="53"/>
      <c r="W61" s="53"/>
      <c r="X61" s="53"/>
      <c r="Y61" s="53"/>
      <c r="Z61" s="53"/>
      <c r="AA61" s="53"/>
    </row>
    <row r="62">
      <c r="A62" s="56" t="s">
        <v>347</v>
      </c>
      <c r="B62" s="84"/>
      <c r="C62" s="84"/>
      <c r="D62" s="84"/>
      <c r="E62" s="84"/>
      <c r="F62" s="84"/>
      <c r="G62" s="84"/>
      <c r="H62" s="84"/>
      <c r="I62" s="84"/>
      <c r="J62" s="84"/>
      <c r="K62" s="84"/>
      <c r="L62" s="84"/>
      <c r="M62" s="84"/>
      <c r="N62" s="84"/>
      <c r="O62" s="84"/>
      <c r="P62" s="84"/>
      <c r="Q62" s="84"/>
      <c r="R62" s="53"/>
      <c r="S62" s="53"/>
      <c r="T62" s="53"/>
      <c r="U62" s="53"/>
      <c r="V62" s="53"/>
      <c r="W62" s="53"/>
      <c r="X62" s="53"/>
      <c r="Y62" s="53"/>
      <c r="Z62" s="53"/>
      <c r="AA62" s="53"/>
    </row>
    <row r="63">
      <c r="A63" s="56" t="s">
        <v>347</v>
      </c>
      <c r="B63" s="84"/>
      <c r="C63" s="84"/>
      <c r="D63" s="84"/>
      <c r="E63" s="84"/>
      <c r="F63" s="84"/>
      <c r="G63" s="84"/>
      <c r="H63" s="84"/>
      <c r="I63" s="84"/>
      <c r="J63" s="84"/>
      <c r="K63" s="84"/>
      <c r="L63" s="84"/>
      <c r="M63" s="84"/>
      <c r="N63" s="84"/>
      <c r="O63" s="84"/>
      <c r="P63" s="84"/>
      <c r="Q63" s="84"/>
      <c r="R63" s="53"/>
      <c r="S63" s="53"/>
      <c r="T63" s="53"/>
      <c r="U63" s="53"/>
      <c r="V63" s="53"/>
      <c r="W63" s="53"/>
      <c r="X63" s="53"/>
      <c r="Y63" s="53"/>
      <c r="Z63" s="53"/>
      <c r="AA63" s="53"/>
    </row>
    <row r="64">
      <c r="A64" s="56" t="s">
        <v>347</v>
      </c>
      <c r="B64" s="84"/>
      <c r="C64" s="84"/>
      <c r="D64" s="84"/>
      <c r="E64" s="84"/>
      <c r="F64" s="84"/>
      <c r="G64" s="84"/>
      <c r="H64" s="84"/>
      <c r="I64" s="84"/>
      <c r="J64" s="84"/>
      <c r="K64" s="84"/>
      <c r="L64" s="84"/>
      <c r="M64" s="84"/>
      <c r="N64" s="84"/>
      <c r="O64" s="84"/>
      <c r="P64" s="84"/>
      <c r="Q64" s="84"/>
      <c r="R64" s="53"/>
      <c r="S64" s="53"/>
      <c r="T64" s="53"/>
      <c r="U64" s="53"/>
      <c r="V64" s="53"/>
      <c r="W64" s="53"/>
      <c r="X64" s="53"/>
      <c r="Y64" s="53"/>
      <c r="Z64" s="53"/>
      <c r="AA64" s="53"/>
    </row>
    <row r="65">
      <c r="A65" s="86" t="s">
        <v>347</v>
      </c>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c r="A66" s="86" t="s">
        <v>347</v>
      </c>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c r="A67" s="86" t="s">
        <v>347</v>
      </c>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c r="A68" s="86" t="s">
        <v>347</v>
      </c>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c r="A69" s="86" t="s">
        <v>347</v>
      </c>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c r="A70" s="86" t="s">
        <v>347</v>
      </c>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c r="A71" s="86" t="s">
        <v>347</v>
      </c>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c r="A72" s="86" t="s">
        <v>347</v>
      </c>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c r="A73" s="86" t="s">
        <v>347</v>
      </c>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c r="A74" s="86" t="s">
        <v>347</v>
      </c>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c r="A75" s="86" t="s">
        <v>347</v>
      </c>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c r="A76" s="86" t="s">
        <v>347</v>
      </c>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c r="A77" s="86" t="s">
        <v>347</v>
      </c>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c r="A78" s="86" t="s">
        <v>347</v>
      </c>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c r="A79" s="86" t="s">
        <v>347</v>
      </c>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c r="A80" s="86" t="s">
        <v>347</v>
      </c>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c r="A81" s="86" t="s">
        <v>347</v>
      </c>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c r="A82" s="86" t="s">
        <v>347</v>
      </c>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c r="A83" s="86" t="s">
        <v>347</v>
      </c>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c r="A84" s="86" t="s">
        <v>347</v>
      </c>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c r="A85" s="86" t="s">
        <v>347</v>
      </c>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c r="A86" s="86" t="s">
        <v>347</v>
      </c>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c r="A87" s="86" t="s">
        <v>347</v>
      </c>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c r="A88" s="86" t="s">
        <v>347</v>
      </c>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c r="A89" s="86" t="s">
        <v>347</v>
      </c>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c r="A90" s="86" t="s">
        <v>347</v>
      </c>
    </row>
    <row r="91">
      <c r="A91" s="86" t="s">
        <v>347</v>
      </c>
    </row>
    <row r="92">
      <c r="A92" s="86" t="s">
        <v>347</v>
      </c>
    </row>
    <row r="93">
      <c r="A93" s="86" t="s">
        <v>347</v>
      </c>
    </row>
    <row r="94">
      <c r="A94" s="86" t="s">
        <v>347</v>
      </c>
    </row>
    <row r="95">
      <c r="A95" s="86" t="s">
        <v>347</v>
      </c>
    </row>
    <row r="96">
      <c r="A96" s="86" t="s">
        <v>347</v>
      </c>
    </row>
    <row r="97">
      <c r="A97" s="86" t="s">
        <v>347</v>
      </c>
    </row>
    <row r="98">
      <c r="A98" s="86" t="s">
        <v>347</v>
      </c>
    </row>
    <row r="99">
      <c r="A99" s="86" t="s">
        <v>347</v>
      </c>
    </row>
    <row r="100">
      <c r="A100" s="87" t="s">
        <v>347</v>
      </c>
    </row>
  </sheetData>
  <dataValidations>
    <dataValidation type="list" allowBlank="1" showErrorMessage="1" sqref="K11:K64">
      <formula1>"Low,Medium,High"</formula1>
    </dataValidation>
    <dataValidation type="list" allowBlank="1" showErrorMessage="1" sqref="J11:J64">
      <formula1>"Fail,Pass"</formula1>
    </dataValidation>
    <dataValidation type="list" allowBlank="1" showErrorMessage="1" sqref="N11:N64">
      <formula1>"Solved,Unsolved"</formula1>
    </dataValidation>
    <dataValidation type="list" allowBlank="1" showErrorMessage="1" sqref="O11:O64">
      <formula1>"Front-End,Back-End,AI,UI/UX"</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L38"/>
    <hyperlink r:id="rId29" ref="L39"/>
    <hyperlink r:id="rId30" ref="L40"/>
    <hyperlink r:id="rId31" ref="L41"/>
    <hyperlink r:id="rId32" ref="L42"/>
    <hyperlink r:id="rId33" ref="L43"/>
    <hyperlink r:id="rId34" ref="L44"/>
    <hyperlink r:id="rId35" ref="L45"/>
    <hyperlink r:id="rId36" ref="L46"/>
    <hyperlink r:id="rId37" ref="L47"/>
    <hyperlink r:id="rId38" ref="L48"/>
    <hyperlink r:id="rId39" ref="L49"/>
    <hyperlink r:id="rId40" ref="L50"/>
    <hyperlink r:id="rId41" ref="L51"/>
    <hyperlink r:id="rId42" ref="L52"/>
  </hyperlinks>
  <drawing r:id="rId43"/>
</worksheet>
</file>