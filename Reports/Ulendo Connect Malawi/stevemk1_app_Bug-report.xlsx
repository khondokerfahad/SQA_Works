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had" sheetId="1" r:id="rId5"/>
    <sheet state="visible" name="Main Report" sheetId="2" r:id="rId6"/>
    <sheet state="hidden" name="Tahsin" sheetId="3" r:id="rId7"/>
    <sheet state="visible" name="Summary Report" sheetId="4" r:id="rId8"/>
  </sheets>
  <definedNames/>
  <calcPr/>
</workbook>
</file>

<file path=xl/sharedStrings.xml><?xml version="1.0" encoding="utf-8"?>
<sst xmlns="http://schemas.openxmlformats.org/spreadsheetml/2006/main" count="627" uniqueCount="281">
  <si>
    <t xml:space="preserve">Tester : </t>
  </si>
  <si>
    <t>Module</t>
  </si>
  <si>
    <t>Mohammed Fahad Faisal</t>
  </si>
  <si>
    <t>Sub Module</t>
  </si>
  <si>
    <t>Test Case ID</t>
  </si>
  <si>
    <t>Bug Count</t>
  </si>
  <si>
    <t>Bug Rate %</t>
  </si>
  <si>
    <t>Bug Severity</t>
  </si>
  <si>
    <t>passenger : 
jvai57547@gmail.com || Password123#
Driver :
teamaithunder@gmail.com || Password123#</t>
  </si>
  <si>
    <t>driver : fahad.cseiiuc@gmail.com || pass : testdriver101
user : mdfahadfaisal7@gmail.com || pass : testuser101</t>
  </si>
  <si>
    <t>Project Name:</t>
  </si>
  <si>
    <t>Ulendo Connect</t>
  </si>
  <si>
    <t>Severity</t>
  </si>
  <si>
    <t>Developer:</t>
  </si>
  <si>
    <t>Issues</t>
  </si>
  <si>
    <t>AI Pulse</t>
  </si>
  <si>
    <t xml:space="preserve">OS: </t>
  </si>
  <si>
    <t>High</t>
  </si>
  <si>
    <t>Windows 11 Pro 
Version:24H2 
OS build:26100.4946</t>
  </si>
  <si>
    <t>Environment:</t>
  </si>
  <si>
    <t>Brave 1.81.135 
(Official Build) (64-bit)
Chromium: 139.0.7258.127</t>
  </si>
  <si>
    <t>Project URL:</t>
  </si>
  <si>
    <t>Place solve if the issue resolves 
|
\/</t>
  </si>
  <si>
    <t>Medium</t>
  </si>
  <si>
    <t>Mention which Stack solved the issue 
|
\/</t>
  </si>
  <si>
    <t>Test ID</t>
  </si>
  <si>
    <t>Test Case Description</t>
  </si>
  <si>
    <t>Low</t>
  </si>
  <si>
    <t>Preconditions</t>
  </si>
  <si>
    <t>Test Steps</t>
  </si>
  <si>
    <t>Test Data</t>
  </si>
  <si>
    <t>Expected Result</t>
  </si>
  <si>
    <t>Actual Result</t>
  </si>
  <si>
    <t>Status</t>
  </si>
  <si>
    <t>Screen Shots</t>
  </si>
  <si>
    <t>Suggestion</t>
  </si>
  <si>
    <t>Feedback</t>
  </si>
  <si>
    <t>Stack</t>
  </si>
  <si>
    <t>Comment</t>
  </si>
  <si>
    <t>Environment</t>
  </si>
  <si>
    <t>BR_001</t>
  </si>
  <si>
    <t>Total Test Cases:</t>
  </si>
  <si>
    <t>Onbording</t>
  </si>
  <si>
    <t>font alignment issue</t>
  </si>
  <si>
    <t>user need to install this app on their device</t>
  </si>
  <si>
    <t>1. Open app</t>
  </si>
  <si>
    <t>N/A</t>
  </si>
  <si>
    <t>Design and alignment should match the Figma file as confirmed by the client.</t>
  </si>
  <si>
    <t>Font alignment issue has been noticed</t>
  </si>
  <si>
    <t>Test Case Solved :</t>
  </si>
  <si>
    <t>Fail</t>
  </si>
  <si>
    <t>001.png</t>
  </si>
  <si>
    <t>Front-End</t>
  </si>
  <si>
    <t>changed</t>
  </si>
  <si>
    <t>BR_002</t>
  </si>
  <si>
    <t>002.png</t>
  </si>
  <si>
    <t>BR_003</t>
  </si>
  <si>
    <t>Icon needs to be bigger.</t>
  </si>
  <si>
    <t>003.png</t>
  </si>
  <si>
    <t>Taken whole as image..one will effect others</t>
  </si>
  <si>
    <t>BR_004</t>
  </si>
  <si>
    <t>Title looks different from the Figma design, and there’s a font alignment issue.</t>
  </si>
  <si>
    <t>004.png</t>
  </si>
  <si>
    <t>chnaged</t>
  </si>
  <si>
    <t>BR_005</t>
  </si>
  <si>
    <t>Role</t>
  </si>
  <si>
    <t>Should be under the driver, according to the Figma design.</t>
  </si>
  <si>
    <t>1. Open app
2. Select passenger role</t>
  </si>
  <si>
    <t>Message should be placed below the driver button as shown in Figma.</t>
  </si>
  <si>
    <t>005.png</t>
  </si>
  <si>
    <t>BR_006</t>
  </si>
  <si>
    <t>Passenger</t>
  </si>
  <si>
    <t>SignIn</t>
  </si>
  <si>
    <t>Should be slightly smaller, and the notification panel needs to be visible as per the Figma design.
Should be in center</t>
  </si>
  <si>
    <t>1. Open app
2. Select passenger role
3. Goto signin page</t>
  </si>
  <si>
    <t>Design should match the Figma layout, with the title centered and the notification panel clearly visible.</t>
  </si>
  <si>
    <t>Notification bar is missing, the header section is larger than in Figma, and the title is not centered.</t>
  </si>
  <si>
    <t>006.png</t>
  </si>
  <si>
    <t>Tester</t>
  </si>
  <si>
    <t>BR_007</t>
  </si>
  <si>
    <t>SignUp</t>
  </si>
  <si>
    <t>Need to set an input limit on the signup page.</t>
  </si>
  <si>
    <t>1. Open app
2. Select passenger role
3. Goto signup page</t>
  </si>
  <si>
    <t>Need to put input limit for users and driver</t>
  </si>
  <si>
    <t>Can take infinite input in the input field.</t>
  </si>
  <si>
    <t>007.jpg</t>
  </si>
  <si>
    <t>BR_008</t>
  </si>
  <si>
    <t>Non functional button</t>
  </si>
  <si>
    <t>Password visibility button should function as intended.</t>
  </si>
  <si>
    <t>Toggle function isn’t working as expected.</t>
  </si>
  <si>
    <t>008.jpg</t>
  </si>
  <si>
    <t xml:space="preserve">  MicrosoftTeams-video.mp4</t>
  </si>
  <si>
    <t>BR_009</t>
  </si>
  <si>
    <t>Failed to sign up using Google.</t>
  </si>
  <si>
    <t>Users should be able to sign up with their Google account through Google sign-up.</t>
  </si>
  <si>
    <t>Failed to signup by google signup</t>
  </si>
  <si>
    <t>009.png</t>
  </si>
  <si>
    <t>BR-002</t>
  </si>
  <si>
    <t>BR_010</t>
  </si>
  <si>
    <t>Encountered a server error during sign-up.</t>
  </si>
  <si>
    <t>User should not get server error while signup</t>
  </si>
  <si>
    <t>Server error message displayed while signup</t>
  </si>
  <si>
    <t>010.jpg</t>
  </si>
  <si>
    <t>number length problem
fixed</t>
  </si>
  <si>
    <t>BR_011</t>
  </si>
  <si>
    <t>OTP</t>
  </si>
  <si>
    <t>A jumping action has been observed when entering the OTP.</t>
  </si>
  <si>
    <t>1. Open app
2. Select passenger role
3. Goto signup page
4. Fillup necessary information and click next to get OTP</t>
  </si>
  <si>
    <t>User Credentials</t>
  </si>
  <si>
    <t>Should be stable when entering OTP</t>
  </si>
  <si>
    <t xml:space="preserve">Jumping action has been observed </t>
  </si>
  <si>
    <t>011.mp4</t>
  </si>
  <si>
    <t>BR-003</t>
  </si>
  <si>
    <t>Fixed</t>
  </si>
  <si>
    <t>BR_012</t>
  </si>
  <si>
    <t>Resend OTP failed</t>
  </si>
  <si>
    <t>Function should work as expected</t>
  </si>
  <si>
    <t xml:space="preserve">Failed to resend OTP </t>
  </si>
  <si>
    <t>012.png</t>
  </si>
  <si>
    <t>BR-004</t>
  </si>
  <si>
    <t>fixed</t>
  </si>
  <si>
    <t>BR_013</t>
  </si>
  <si>
    <t>Valid OTP is showing as invalid. Time is not expired</t>
  </si>
  <si>
    <t>OTP should remain valid based on its designated validity period.</t>
  </si>
  <si>
    <t>OTP shows as invalid, but it’s still within its validity period.</t>
  </si>
  <si>
    <t>013.png</t>
  </si>
  <si>
    <t>BR-005</t>
  </si>
  <si>
    <t>Validation time 10 min</t>
  </si>
  <si>
    <t>BR_014</t>
  </si>
  <si>
    <t>Server error occurred while signing up as a driver.</t>
  </si>
  <si>
    <t>014.png</t>
  </si>
  <si>
    <t>Same phone number and same email won't work</t>
  </si>
  <si>
    <t>BR-006</t>
  </si>
  <si>
    <t>BR_015</t>
  </si>
  <si>
    <t>Failed to store data when a user logs in with Google.</t>
  </si>
  <si>
    <t xml:space="preserve">User data should be visible when user signup by google </t>
  </si>
  <si>
    <t xml:space="preserve">Failed to </t>
  </si>
  <si>
    <t>015.png</t>
  </si>
  <si>
    <t>BR-007</t>
  </si>
  <si>
    <t>BR_016</t>
  </si>
  <si>
    <t>App name failed to display on Gmail which triggered during Google signup.</t>
  </si>
  <si>
    <t>App name should be displayed correctly in the email section.</t>
  </si>
  <si>
    <t>App name is missing, and it’s showing the project as a number instead.</t>
  </si>
  <si>
    <t>016.png</t>
  </si>
  <si>
    <t>BR-008</t>
  </si>
  <si>
    <t>BR_017</t>
  </si>
  <si>
    <t>Driver</t>
  </si>
  <si>
    <t>Backend shows the account as approved, but on the frontend, it’s still marked as under review.</t>
  </si>
  <si>
    <t>1. Open app
2. Select driver role
3. Goto signup page</t>
  </si>
  <si>
    <t>Driver Credentials</t>
  </si>
  <si>
    <t>Frontend should show the updated status once the user has been approved in the backend.</t>
  </si>
  <si>
    <t>Driver is still in review state even after they were approved from the backend.</t>
  </si>
  <si>
    <t>017.png</t>
  </si>
  <si>
    <t>use pull to refresh</t>
  </si>
  <si>
    <t>BR_018</t>
  </si>
  <si>
    <t>Backend</t>
  </si>
  <si>
    <t>Displays unauthorized on continuous API calls.</t>
  </si>
  <si>
    <t>1. Open app
2. Login in backend framework</t>
  </si>
  <si>
    <t>API calls fail rate should be reduce and should only call one time if it get 200 status</t>
  </si>
  <si>
    <t>API call should be control to reduce pressure on backend</t>
  </si>
  <si>
    <t>BR-009</t>
  </si>
  <si>
    <t>018.png</t>
  </si>
  <si>
    <t>BR_019</t>
  </si>
  <si>
    <t>Constant API calls on my trips and messages.</t>
  </si>
  <si>
    <t>BR-010</t>
  </si>
  <si>
    <t>API call should be handled with limit</t>
  </si>
  <si>
    <t>Non-stop api call has been noticed on backed</t>
  </si>
  <si>
    <t>019.mp4</t>
  </si>
  <si>
    <t>BR_020</t>
  </si>
  <si>
    <t>Notification</t>
  </si>
  <si>
    <t>Notification panel is empty, yet it still displays the unread notification icon.</t>
  </si>
  <si>
    <t>BR-011</t>
  </si>
  <si>
    <t>1. Open app
2. Select driver role
3. Login using valid credentials
4. Click on notifications</t>
  </si>
  <si>
    <t>If notification is empty than, should display simple bell icon</t>
  </si>
  <si>
    <t>mark on notification has been displayed weather it has no notification unread</t>
  </si>
  <si>
    <t>020.mp4</t>
  </si>
  <si>
    <t>BR-012</t>
  </si>
  <si>
    <t>BR_021</t>
  </si>
  <si>
    <t>Home</t>
  </si>
  <si>
    <t>Design is different from Figma.</t>
  </si>
  <si>
    <t xml:space="preserve">1. Open app
2. Select driver role
3. Login using valid credentials
</t>
  </si>
  <si>
    <t>Design and aligment should as same as figma for client satisfaction</t>
  </si>
  <si>
    <t>Icon missing from figma has been seen</t>
  </si>
  <si>
    <t>021.png</t>
  </si>
  <si>
    <t>BR-013</t>
  </si>
  <si>
    <t>BR_022</t>
  </si>
  <si>
    <t>User was deleted on the backend, but after refreshing, they remained logged into the app.</t>
  </si>
  <si>
    <t>User session management need to be handled carefully</t>
  </si>
  <si>
    <t>User is deleted from the backend, but the login session still remains active on the frontend.</t>
  </si>
  <si>
    <t>022.png</t>
  </si>
  <si>
    <t>BR-014</t>
  </si>
  <si>
    <t>App state whole so time</t>
  </si>
  <si>
    <t>BR_023</t>
  </si>
  <si>
    <t>Post New ride</t>
  </si>
  <si>
    <t>Unable to display location suggestions.</t>
  </si>
  <si>
    <t>1. Open app
2. Select driver role
3. Login using valid credentials
4. Click on post a new ride</t>
  </si>
  <si>
    <t>Should display suggested locations for better user experience</t>
  </si>
  <si>
    <t>Failed to suggest locations</t>
  </si>
  <si>
    <t>023.png</t>
  </si>
  <si>
    <t>BR-015</t>
  </si>
  <si>
    <t>BR_024</t>
  </si>
  <si>
    <t>needs more polish in the text font and design</t>
  </si>
  <si>
    <t>App could use some extra polish on both the text and design.</t>
  </si>
  <si>
    <t>Need more polish on app</t>
  </si>
  <si>
    <t>024.png</t>
  </si>
  <si>
    <t>BR-016</t>
  </si>
  <si>
    <t>BR_025</t>
  </si>
  <si>
    <t>Function isn’t behaving as intended.</t>
  </si>
  <si>
    <t>Function should perform as intended.</t>
  </si>
  <si>
    <t>Failed to upload photos in the verification fields.</t>
  </si>
  <si>
    <t>025.png</t>
  </si>
  <si>
    <t>BR-017</t>
  </si>
  <si>
    <t>BR_026</t>
  </si>
  <si>
    <t>Can’t create a ride because it’s asking me to select a location from a dropdown, but the dropdown isn’t showing up.</t>
  </si>
  <si>
    <t>BR-018</t>
  </si>
  <si>
    <t>Suggested location should be clearly visible to avoid any conflict with the actual location.</t>
  </si>
  <si>
    <t>System failed to suggest the correct location, and the dropdown menu also didn’t provide any suggestions.</t>
  </si>
  <si>
    <t>026.png</t>
  </si>
  <si>
    <t>BR-019</t>
  </si>
  <si>
    <t>BR_027</t>
  </si>
  <si>
    <t>Google signup failed and was unable to store the username and information.</t>
  </si>
  <si>
    <t>1. Open app
2. Select driver role
3. Signin using google signin</t>
  </si>
  <si>
    <t>User should be able to signin using google account</t>
  </si>
  <si>
    <t>Failed to signin with google login</t>
  </si>
  <si>
    <t>027.mp4</t>
  </si>
  <si>
    <t>BR-020</t>
  </si>
  <si>
    <t>BR_028</t>
  </si>
  <si>
    <t>Signup using google failed</t>
  </si>
  <si>
    <t>1. Open app
2. Select driver role
3. Click on signup and click on google signup</t>
  </si>
  <si>
    <t>User should be able to signup using google account</t>
  </si>
  <si>
    <t>Failed to signup with google login</t>
  </si>
  <si>
    <t>028.mp4</t>
  </si>
  <si>
    <t>BR-021</t>
  </si>
  <si>
    <t>BR_029</t>
  </si>
  <si>
    <t>Drive verification</t>
  </si>
  <si>
    <t>Validation failed on the frontend, causing a server-side validation issue.</t>
  </si>
  <si>
    <t>1. Open app
2. Select driver role
3. Click on signup and click on google signup
4. Fill necessary information and click on next</t>
  </si>
  <si>
    <t>Should put validation in user input field</t>
  </si>
  <si>
    <t>No validation has been noticed in app</t>
  </si>
  <si>
    <t>029.png</t>
  </si>
  <si>
    <t>BR-022</t>
  </si>
  <si>
    <t>Solved...field name change problem from backend</t>
  </si>
  <si>
    <t>BR_030</t>
  </si>
  <si>
    <t>Notification popup should appear when the admin approves a driver's verification.</t>
  </si>
  <si>
    <t>User should receive a notification of account verification</t>
  </si>
  <si>
    <t>No notification received when admin approves user (driver) account</t>
  </si>
  <si>
    <t>030.png</t>
  </si>
  <si>
    <t>BR-023</t>
  </si>
  <si>
    <t>BR_031</t>
  </si>
  <si>
    <t>default name set for user</t>
  </si>
  <si>
    <t xml:space="preserve">Should be placeholder </t>
  </si>
  <si>
    <t>Name was set for default</t>
  </si>
  <si>
    <t>031.png</t>
  </si>
  <si>
    <t>BR-024</t>
  </si>
  <si>
    <t>BR_032</t>
  </si>
  <si>
    <t>My Trips</t>
  </si>
  <si>
    <t>Offering multiple seats for sharing but displaying only one as available</t>
  </si>
  <si>
    <t>1. Open app
2. Select driver role
3. Login using valid credentials
4. Click on post ride</t>
  </si>
  <si>
    <t>Seat availability should display properly on posted rides</t>
  </si>
  <si>
    <t>Display only one seat as available on every ride share post, even if the user lists more than one seat.</t>
  </si>
  <si>
    <t>032.png</t>
  </si>
  <si>
    <t>BR-025</t>
  </si>
  <si>
    <t>BR_033</t>
  </si>
  <si>
    <t>Unable to find a ride through the search.</t>
  </si>
  <si>
    <t>User (passenger) should be able to get the ride if the time matches with rider</t>
  </si>
  <si>
    <t>Failed to get the ride, and no record was displayed.</t>
  </si>
  <si>
    <t>BR-026</t>
  </si>
  <si>
    <t>033.mp4</t>
  </si>
  <si>
    <t>BR-027</t>
  </si>
  <si>
    <t>BR_034</t>
  </si>
  <si>
    <t>BR_035</t>
  </si>
  <si>
    <t>BR_036</t>
  </si>
  <si>
    <t>BR-028</t>
  </si>
  <si>
    <t>BR_037</t>
  </si>
  <si>
    <t>BR_038</t>
  </si>
  <si>
    <t>BR-029</t>
  </si>
  <si>
    <t>BR-030</t>
  </si>
  <si>
    <t>BR-031</t>
  </si>
  <si>
    <t>BR-032</t>
  </si>
  <si>
    <t>BR-033</t>
  </si>
  <si>
    <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</si>
</sst>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2.0"/>
      <color theme="1"/>
      <name val="Calibri"/>
    </font>
    <font>
      <color theme="1"/>
      <name val="Arial"/>
    </font>
    <font>
      <b/>
      <sz val="13.0"/>
      <color theme="1"/>
      <name val="Times New Roman"/>
    </font>
    <font>
      <sz val="12.0"/>
      <color theme="1"/>
      <name val="Calibri"/>
    </font>
    <font>
      <color rgb="FFFFFFFF"/>
      <name val="Arial"/>
    </font>
    <font>
      <b/>
      <sz val="15.0"/>
      <color theme="1"/>
      <name val="Calibri"/>
    </font>
    <font>
      <b/>
      <sz val="12.0"/>
      <color theme="1"/>
      <name val="Arial"/>
    </font>
    <font>
      <color rgb="FF000000"/>
      <name val="Inter"/>
    </font>
    <font>
      <b/>
      <color theme="1"/>
      <name val="Times New Roman"/>
    </font>
    <font>
      <color rgb="FF000000"/>
      <name val="Arial"/>
    </font>
    <font>
      <u/>
      <color rgb="FF1155CC"/>
      <name val="Arial"/>
    </font>
    <font>
      <color theme="1"/>
      <name val="Times New Roman"/>
    </font>
    <font>
      <sz val="13.0"/>
      <color theme="1"/>
      <name val="Arial"/>
      <scheme val="minor"/>
    </font>
    <font>
      <sz val="12.0"/>
      <color theme="1"/>
      <name val="Times New Roman"/>
    </font>
    <font>
      <b/>
      <sz val="11.0"/>
      <color theme="1"/>
      <name val="Calibri"/>
    </font>
    <font>
      <color theme="1"/>
      <name val="Arial"/>
      <scheme val="minor"/>
    </font>
    <font>
      <u/>
      <sz val="12.0"/>
      <color theme="1"/>
      <name val="Times New Roman"/>
    </font>
    <font>
      <sz val="11.0"/>
      <color theme="1"/>
      <name val="Calibri"/>
    </font>
    <font>
      <u/>
      <sz val="12.0"/>
      <color rgb="FF1155CC"/>
      <name val="Times New Roman"/>
    </font>
    <font>
      <b/>
      <color rgb="FF000000"/>
      <name val="Arial"/>
      <scheme val="minor"/>
    </font>
    <font>
      <b/>
      <color theme="1"/>
      <name val="Arial"/>
    </font>
    <font>
      <u/>
      <sz val="12.0"/>
      <color theme="1"/>
      <name val="Times New Roman"/>
    </font>
    <font>
      <sz val="15.0"/>
      <color theme="1"/>
      <name val="Arial"/>
      <scheme val="minor"/>
    </font>
    <font>
      <u/>
      <color theme="1"/>
      <name val="Arial"/>
      <scheme val="minor"/>
    </font>
    <font>
      <u/>
      <color theme="1"/>
      <name val="Arial"/>
      <scheme val="minor"/>
    </font>
    <font>
      <u/>
      <sz val="12.0"/>
      <color rgb="FF1155CC"/>
      <name val="Times New Roman"/>
    </font>
  </fonts>
  <fills count="10">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D966"/>
        <bgColor rgb="FFFFD966"/>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F1C232"/>
        <bgColor rgb="FFF1C232"/>
      </patternFill>
    </fill>
  </fills>
  <borders count="6">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0" fontId="1" numFmtId="0" xfId="0" applyAlignment="1" applyBorder="1" applyFont="1">
      <alignment horizontal="right" shrinkToFit="0" vertical="center" wrapText="1"/>
    </xf>
    <xf borderId="0" fillId="0" fontId="2" numFmtId="0" xfId="0" applyAlignment="1" applyFont="1">
      <alignment vertical="bottom"/>
    </xf>
    <xf borderId="2" fillId="2" fontId="3" numFmtId="0" xfId="0" applyAlignment="1" applyBorder="1" applyFill="1" applyFont="1">
      <alignment horizontal="center" shrinkToFit="0" vertical="center" wrapText="1"/>
    </xf>
    <xf borderId="0" fillId="0" fontId="2" numFmtId="0" xfId="0" applyFont="1"/>
    <xf borderId="2" fillId="2" fontId="3" numFmtId="0" xfId="0" applyAlignment="1" applyBorder="1" applyFill="1" applyFont="1">
      <alignment horizontal="center" readingOrder="0" shrinkToFit="0" vertical="center" wrapText="1"/>
    </xf>
    <xf borderId="1" fillId="0" fontId="4" numFmtId="0" xfId="0" applyAlignment="1" applyBorder="1" applyFont="1">
      <alignment horizontal="center" readingOrder="0" vertical="center"/>
    </xf>
    <xf borderId="2" fillId="2" fontId="3" numFmtId="0" xfId="0" applyAlignment="1" applyBorder="1" applyFill="1" applyFont="1">
      <alignment horizontal="center" shrinkToFit="0" vertical="center" wrapText="1"/>
    </xf>
    <xf borderId="0" fillId="0" fontId="2" numFmtId="0" xfId="0" applyAlignment="1" applyFont="1">
      <alignment horizontal="center" shrinkToFit="0" vertical="center" wrapText="1"/>
    </xf>
    <xf borderId="0" fillId="0" fontId="5" numFmtId="0" xfId="0" applyAlignment="1" applyFont="1">
      <alignment readingOrder="0"/>
    </xf>
    <xf borderId="1" fillId="0" fontId="1" numFmtId="0" xfId="0" applyAlignment="1" applyBorder="1" applyFont="1">
      <alignment horizontal="right" shrinkToFit="0" vertical="bottom" wrapText="1"/>
    </xf>
    <xf borderId="1" fillId="0" fontId="2" numFmtId="0" xfId="0" applyAlignment="1" applyBorder="1" applyFont="1">
      <alignment horizontal="center" readingOrder="0" vertical="center"/>
    </xf>
    <xf borderId="1" fillId="0" fontId="6" numFmtId="0" xfId="0" applyAlignment="1" applyBorder="1" applyFont="1">
      <alignment horizontal="center" vertical="bottom"/>
    </xf>
    <xf borderId="1" fillId="0" fontId="7" numFmtId="0" xfId="0" applyAlignment="1" applyBorder="1" applyFont="1">
      <alignment horizontal="center" shrinkToFit="0" wrapText="1"/>
    </xf>
    <xf borderId="1" fillId="0" fontId="2" numFmtId="0" xfId="0" applyAlignment="1" applyBorder="1" applyFont="1">
      <alignment horizontal="center" readingOrder="0" vertical="center"/>
    </xf>
    <xf borderId="1" fillId="0" fontId="2" numFmtId="0" xfId="0" applyAlignment="1" applyBorder="1" applyFont="1">
      <alignment horizontal="center" readingOrder="0" vertical="bottom"/>
    </xf>
    <xf borderId="1" fillId="0" fontId="2" numFmtId="0" xfId="0" applyAlignment="1" applyBorder="1" applyFont="1">
      <alignment horizontal="center" shrinkToFit="0" wrapText="1"/>
    </xf>
    <xf borderId="1" fillId="3" fontId="8" numFmtId="0" xfId="0" applyAlignment="1" applyBorder="1" applyFill="1" applyFont="1">
      <alignment horizontal="center" readingOrder="0" vertical="center"/>
    </xf>
    <xf borderId="3" fillId="0" fontId="2" numFmtId="0" xfId="0" applyAlignment="1" applyBorder="1" applyFont="1">
      <alignment horizontal="center" shrinkToFit="0" vertical="center" wrapText="1"/>
    </xf>
    <xf borderId="0" fillId="0" fontId="9" numFmtId="0" xfId="0" applyAlignment="1" applyFont="1">
      <alignment horizontal="center" shrinkToFit="0" wrapText="1"/>
    </xf>
    <xf borderId="1" fillId="0" fontId="1" numFmtId="0" xfId="0" applyAlignment="1" applyBorder="1" applyFont="1">
      <alignment horizontal="right" readingOrder="0" vertical="center"/>
    </xf>
    <xf borderId="1" fillId="0" fontId="2" numFmtId="0" xfId="0" applyAlignment="1" applyBorder="1" applyFont="1">
      <alignment horizontal="center"/>
    </xf>
    <xf borderId="1" fillId="3" fontId="10" numFmtId="0" xfId="0" applyAlignment="1" applyBorder="1" applyFill="1" applyFont="1">
      <alignment horizontal="center" readingOrder="0" vertical="center"/>
    </xf>
    <xf borderId="1" fillId="0" fontId="11" numFmtId="0" xfId="0" applyAlignment="1" applyBorder="1" applyFont="1">
      <alignment horizontal="center" readingOrder="0" shrinkToFit="0" vertical="bottom" wrapText="1"/>
    </xf>
    <xf borderId="0" fillId="4" fontId="12" numFmtId="0" xfId="0" applyAlignment="1" applyFill="1" applyFont="1">
      <alignment horizontal="center" readingOrder="0" shrinkToFit="0" wrapText="1"/>
    </xf>
    <xf borderId="2" fillId="5" fontId="3" numFmtId="0" xfId="0" applyAlignment="1" applyBorder="1" applyFill="1" applyFont="1">
      <alignment horizontal="center" shrinkToFit="0" vertical="center" wrapText="1"/>
    </xf>
    <xf borderId="1" fillId="0" fontId="2" numFmtId="0" xfId="0" applyAlignment="1" applyBorder="1" applyFont="1">
      <alignment vertical="bottom"/>
    </xf>
    <xf borderId="2" fillId="5" fontId="6" numFmtId="0" xfId="0" applyAlignment="1" applyBorder="1" applyFill="1" applyFont="1">
      <alignment horizontal="center" shrinkToFit="0" vertical="center" wrapText="1"/>
    </xf>
    <xf borderId="2" fillId="5" fontId="6" numFmtId="0" xfId="0" applyAlignment="1" applyBorder="1" applyFill="1" applyFont="1">
      <alignment horizontal="center" readingOrder="0" shrinkToFit="0" vertical="center" wrapText="1"/>
    </xf>
    <xf borderId="0" fillId="0" fontId="13" numFmtId="0" xfId="0" applyAlignment="1" applyFont="1">
      <alignment vertical="center"/>
    </xf>
    <xf borderId="1" fillId="0" fontId="1" numFmtId="0" xfId="0" applyAlignment="1" applyBorder="1" applyFont="1">
      <alignment horizontal="right" vertical="bottom"/>
    </xf>
    <xf borderId="0" fillId="0" fontId="13" numFmtId="0" xfId="0" applyAlignment="1" applyFont="1">
      <alignment readingOrder="0" vertical="center"/>
    </xf>
    <xf borderId="3" fillId="0" fontId="14" numFmtId="0" xfId="0" applyAlignment="1" applyBorder="1" applyFont="1">
      <alignment horizontal="center" readingOrder="0" shrinkToFit="0" vertical="center" wrapText="1"/>
    </xf>
    <xf borderId="1" fillId="0" fontId="15" numFmtId="0" xfId="0" applyAlignment="1" applyBorder="1" applyFont="1">
      <alignment horizontal="right" vertical="bottom"/>
    </xf>
    <xf borderId="1" fillId="0" fontId="14" numFmtId="0" xfId="0" applyAlignment="1" applyBorder="1" applyFont="1">
      <alignment horizontal="center" readingOrder="0" shrinkToFit="0" vertical="center" wrapText="1"/>
    </xf>
    <xf borderId="3" fillId="0" fontId="14" numFmtId="0" xfId="0" applyAlignment="1" applyBorder="1" applyFont="1">
      <alignment horizontal="left" readingOrder="0" shrinkToFit="0" vertical="center" wrapText="1"/>
    </xf>
    <xf borderId="1" fillId="0" fontId="2" numFmtId="0" xfId="0" applyAlignment="1" applyBorder="1" applyFont="1">
      <alignment horizontal="center" vertical="bottom"/>
    </xf>
    <xf borderId="3"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2" fillId="2" fontId="6" numFmtId="0" xfId="0" applyAlignment="1" applyBorder="1" applyFill="1" applyFont="1">
      <alignment horizontal="center" shrinkToFit="0" vertical="center" wrapText="1"/>
    </xf>
    <xf borderId="2" fillId="2" fontId="6" numFmtId="0" xfId="0" applyAlignment="1" applyBorder="1" applyFill="1" applyFont="1">
      <alignment horizontal="center" readingOrder="0" shrinkToFit="0" vertical="center" wrapText="1"/>
    </xf>
    <xf borderId="3" fillId="0" fontId="2" numFmtId="0" xfId="0" applyAlignment="1" applyBorder="1" applyFont="1">
      <alignment horizontal="center" readingOrder="0" shrinkToFit="0" vertical="center" wrapText="1"/>
    </xf>
    <xf borderId="4" fillId="0" fontId="16"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4" fillId="0" fontId="17"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16" numFmtId="0" xfId="0" applyAlignment="1" applyFont="1">
      <alignment horizontal="center" shrinkToFit="0" vertical="center" wrapText="1"/>
    </xf>
    <xf borderId="0" fillId="0" fontId="16" numFmtId="0" xfId="0" applyAlignment="1" applyFont="1">
      <alignment horizontal="left" shrinkToFit="0" vertical="center" wrapText="1"/>
    </xf>
    <xf borderId="0" fillId="0" fontId="14" numFmtId="0" xfId="0" applyAlignment="1" applyFont="1">
      <alignment horizontal="center" shrinkToFit="0" vertical="center" wrapText="1"/>
    </xf>
    <xf borderId="1" fillId="0" fontId="14" numFmtId="0" xfId="0" applyAlignment="1" applyBorder="1" applyFont="1">
      <alignment horizontal="left" readingOrder="0" shrinkToFit="0" vertical="center" wrapText="1"/>
    </xf>
    <xf borderId="0" fillId="0" fontId="14" numFmtId="0" xfId="0" applyAlignment="1" applyFont="1">
      <alignment horizontal="left" shrinkToFit="0" vertical="center" wrapText="1"/>
    </xf>
    <xf borderId="1" fillId="0" fontId="16"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0" fillId="0" fontId="20"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6" fontId="21" numFmtId="0" xfId="0" applyAlignment="1" applyBorder="1" applyFill="1" applyFont="1">
      <alignment horizontal="center" shrinkToFit="0" vertical="center" wrapText="1"/>
    </xf>
    <xf borderId="1" fillId="0" fontId="21" numFmtId="0" xfId="0" applyAlignment="1" applyBorder="1" applyFont="1">
      <alignment horizontal="center" shrinkToFit="0" vertical="center" wrapText="1"/>
    </xf>
    <xf borderId="1" fillId="0" fontId="22" numFmtId="0" xfId="0" applyAlignment="1" applyBorder="1" applyFont="1">
      <alignment horizontal="center" readingOrder="0" shrinkToFit="0" vertical="center" wrapText="1"/>
    </xf>
    <xf borderId="1" fillId="0" fontId="16" numFmtId="0" xfId="0" applyAlignment="1" applyBorder="1" applyFont="1">
      <alignment horizontal="center" readingOrder="0"/>
    </xf>
    <xf borderId="1" fillId="7" fontId="21" numFmtId="0" xfId="0" applyAlignment="1" applyBorder="1" applyFill="1" applyFont="1">
      <alignment horizontal="center" shrinkToFit="0" vertical="center" wrapText="1"/>
    </xf>
    <xf borderId="1" fillId="8" fontId="21" numFmtId="0" xfId="0" applyAlignment="1" applyBorder="1" applyFill="1" applyFont="1">
      <alignment horizontal="center" shrinkToFit="0" vertical="center" wrapText="1"/>
    </xf>
    <xf borderId="1" fillId="0" fontId="14" numFmtId="0" xfId="0" applyAlignment="1" applyBorder="1" applyFont="1">
      <alignment horizontal="center" readingOrder="0" shrinkToFit="0" vertical="center" wrapText="1"/>
    </xf>
    <xf borderId="1" fillId="0" fontId="14" numFmtId="0" xfId="0" applyAlignment="1" applyBorder="1" applyFont="1">
      <alignment horizontal="center" shrinkToFit="0" vertical="center" wrapText="1"/>
    </xf>
    <xf borderId="1" fillId="0" fontId="2" numFmtId="0" xfId="0" applyBorder="1" applyFont="1"/>
    <xf borderId="0" fillId="0" fontId="21" numFmtId="0" xfId="0" applyFont="1"/>
    <xf borderId="1" fillId="0" fontId="15" numFmtId="0" xfId="0" applyAlignment="1" applyBorder="1" applyFont="1">
      <alignment horizontal="center" shrinkToFit="0" wrapText="1"/>
    </xf>
    <xf borderId="1" fillId="0" fontId="21" numFmtId="0" xfId="0" applyAlignment="1" applyBorder="1" applyFont="1">
      <alignment horizontal="center" shrinkToFit="0" wrapText="1"/>
    </xf>
    <xf borderId="0" fillId="0" fontId="12" numFmtId="0" xfId="0" applyAlignment="1" applyFont="1">
      <alignment horizontal="center" readingOrder="0" shrinkToFit="0" vertical="center" wrapText="1"/>
    </xf>
    <xf borderId="2" fillId="9" fontId="6" numFmtId="0" xfId="0" applyAlignment="1" applyBorder="1" applyFill="1" applyFont="1">
      <alignment horizontal="center" shrinkToFit="0" vertical="center" wrapText="1"/>
    </xf>
    <xf borderId="2" fillId="9" fontId="6" numFmtId="0" xfId="0" applyAlignment="1" applyBorder="1" applyFill="1" applyFont="1">
      <alignment horizontal="center" readingOrder="0" shrinkToFit="0" vertical="center" wrapText="1"/>
    </xf>
    <xf borderId="0" fillId="0" fontId="23" numFmtId="0" xfId="0" applyAlignment="1" applyFont="1">
      <alignment horizontal="center" shrinkToFit="0" vertical="center" wrapText="1"/>
    </xf>
    <xf borderId="5" fillId="0" fontId="16" numFmtId="0" xfId="0" applyAlignment="1" applyBorder="1" applyFont="1">
      <alignment horizontal="center" readingOrder="0" shrinkToFit="0" vertical="center" wrapText="1"/>
    </xf>
    <xf borderId="3" fillId="0" fontId="16" numFmtId="0" xfId="0" applyAlignment="1" applyBorder="1" applyFont="1">
      <alignment horizontal="center" shrinkToFit="0" vertical="center" wrapText="1"/>
    </xf>
    <xf borderId="3" fillId="0" fontId="24" numFmtId="0" xfId="0" applyAlignment="1" applyBorder="1" applyFont="1">
      <alignment horizontal="center" shrinkToFit="0" vertical="center" wrapText="1"/>
    </xf>
    <xf borderId="3" fillId="0" fontId="16" numFmtId="0" xfId="0" applyAlignment="1" applyBorder="1" applyFont="1">
      <alignment horizontal="center" readingOrder="0" shrinkToFit="0" vertical="center" wrapText="1"/>
    </xf>
    <xf borderId="1" fillId="0" fontId="16" numFmtId="0" xfId="0" applyAlignment="1" applyBorder="1" applyFont="1">
      <alignment horizontal="center" shrinkToFit="0" vertical="center" wrapText="1"/>
    </xf>
    <xf borderId="1" fillId="0" fontId="25" numFmtId="0" xfId="0" applyAlignment="1" applyBorder="1" applyFont="1">
      <alignment horizontal="center" shrinkToFit="0" vertical="center" wrapText="1"/>
    </xf>
    <xf borderId="1" fillId="0" fontId="14" numFmtId="0" xfId="0" applyAlignment="1" applyBorder="1" applyFont="1">
      <alignment horizontal="left" readingOrder="0" shrinkToFit="0" vertical="center" wrapText="1"/>
    </xf>
    <xf borderId="1" fillId="0" fontId="14" numFmtId="0" xfId="0" applyAlignment="1" applyBorder="1" applyFont="1">
      <alignment horizontal="left" shrinkToFit="0" vertical="center" wrapText="1"/>
    </xf>
    <xf borderId="1" fillId="0" fontId="26" numFmtId="0" xfId="0" applyAlignment="1" applyBorder="1" applyFont="1">
      <alignment horizontal="center" shrinkToFit="0" vertical="center" wrapText="1"/>
    </xf>
    <xf borderId="0" fillId="0" fontId="14" numFmtId="0" xfId="0" applyFont="1"/>
    <xf borderId="0" fillId="0" fontId="14" numFmtId="0" xfId="0" applyAlignment="1" applyFont="1">
      <alignment readingOrder="0"/>
    </xf>
    <xf borderId="0" fillId="0" fontId="16" numFmtId="0" xfId="0" applyAlignment="1" applyFont="1">
      <alignment horizontal="center" readingOrder="0" shrinkToFit="0" vertical="center" wrapText="1"/>
    </xf>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1">
              <a:solidFill>
                <a:srgbClr val="1A1A1A"/>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51</xdr:row>
      <xdr:rowOff>0</xdr:rowOff>
    </xdr:from>
    <xdr:ext cx="85725"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15</xdr:col>
      <xdr:colOff>0</xdr:colOff>
      <xdr:row>53</xdr:row>
      <xdr:rowOff>0</xdr:rowOff>
    </xdr:from>
    <xdr:ext cx="95250"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0</xdr:colOff>
      <xdr:row>55</xdr:row>
      <xdr:rowOff>0</xdr:rowOff>
    </xdr:from>
    <xdr:ext cx="13335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0</xdr:colOff>
      <xdr:row>57</xdr:row>
      <xdr:rowOff>0</xdr:rowOff>
    </xdr:from>
    <xdr:ext cx="8572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733800" cy="19907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o8XTFqGOGLC_4n_PUeKucx0dqqb0icUU/view?usp=sharing" TargetMode="External"/><Relationship Id="rId22" Type="http://schemas.openxmlformats.org/officeDocument/2006/relationships/hyperlink" Target="https://drive.google.com/file/d/1Zk51P37lhFg16FwWSK0xx5nNK7lVovn4/view?usp=sharing" TargetMode="External"/><Relationship Id="rId21" Type="http://schemas.openxmlformats.org/officeDocument/2006/relationships/hyperlink" Target="https://drive.google.com/file/d/17dPAIqwKr3bNWBQDZhXIvMeqe0hu_-Jn/view?usp=sharing" TargetMode="External"/><Relationship Id="rId24" Type="http://schemas.openxmlformats.org/officeDocument/2006/relationships/hyperlink" Target="https://drive.google.com/file/d/1YDDYTBcF_zMWhcsstfQdXlCK717rYUle/view?usp=sharing" TargetMode="External"/><Relationship Id="rId23" Type="http://schemas.openxmlformats.org/officeDocument/2006/relationships/hyperlink" Target="https://drive.google.com/file/d/1g-Xuy-AXwypDgnNlmYobuABTVfUjy1iX/view?usp=sharing" TargetMode="External"/><Relationship Id="rId1" Type="http://schemas.openxmlformats.org/officeDocument/2006/relationships/hyperlink" Target="https://drive.google.com/file/d/1U-3lJSXErXBxE6xaGk6RHal4Fcv6TBnZ/view?usp=drive_link" TargetMode="External"/><Relationship Id="rId2" Type="http://schemas.openxmlformats.org/officeDocument/2006/relationships/hyperlink" Target="https://drive.google.com/file/d/1tOfozZ7cMlaEOmYPSNRLyqnDGI0lmuf5/view?usp=sharing" TargetMode="External"/><Relationship Id="rId3" Type="http://schemas.openxmlformats.org/officeDocument/2006/relationships/hyperlink" Target="https://drive.google.com/file/d/1kQ_IpDKc_ws9qBUxxuutqVxYGR_zEeYy/view?usp=sharing" TargetMode="External"/><Relationship Id="rId4" Type="http://schemas.openxmlformats.org/officeDocument/2006/relationships/hyperlink" Target="https://drive.google.com/file/d/1NA2FpHpDtK5XrQRluZd0Pt-XcGC0GAxP/view?usp=sharing" TargetMode="External"/><Relationship Id="rId9" Type="http://schemas.openxmlformats.org/officeDocument/2006/relationships/hyperlink" Target="https://drive.google.com/file/d/1BtXBff3bEccEJQnTc7tM696Ey2IH7kX3/view?usp=sharing%0AWorking" TargetMode="External"/><Relationship Id="rId26" Type="http://schemas.openxmlformats.org/officeDocument/2006/relationships/hyperlink" Target="https://drive.google.com/file/d/1NIkFFkpHzj2Kh1Z0mhMHvIENzx7NVaZD/view?usp=sharing" TargetMode="External"/><Relationship Id="rId25" Type="http://schemas.openxmlformats.org/officeDocument/2006/relationships/hyperlink" Target="https://drive.google.com/file/d/1eQk-8D3heJpcJcFSnTxGrVhNJIQ91OQ3/view?usp=sharing" TargetMode="External"/><Relationship Id="rId28" Type="http://schemas.openxmlformats.org/officeDocument/2006/relationships/hyperlink" Target="https://drive.google.com/file/d/1kIpUpq1IC_HLCeLY8uyU7ZoGHhpPbnim/view?usp=sharing" TargetMode="External"/><Relationship Id="rId27" Type="http://schemas.openxmlformats.org/officeDocument/2006/relationships/hyperlink" Target="https://drive.google.com/file/d/1sZ4ZQn0lg2jIr8IFQytpkVQNclMnZUX8/view?usp=sharing" TargetMode="External"/><Relationship Id="rId5" Type="http://schemas.openxmlformats.org/officeDocument/2006/relationships/hyperlink" Target="https://drive.google.com/file/d/1urW7KLjgzz-aAXl__sFVTvbfZ3ZqUyfw/view?usp=sharing" TargetMode="External"/><Relationship Id="rId6" Type="http://schemas.openxmlformats.org/officeDocument/2006/relationships/hyperlink" Target="https://drive.google.com/file/d/17GLDr5L_9gaMitQzHIDkokz8sY8YIBck/view?usp=sharing" TargetMode="External"/><Relationship Id="rId29" Type="http://schemas.openxmlformats.org/officeDocument/2006/relationships/hyperlink" Target="https://drive.google.com/file/d/1J0Z7Q54lYFQbHY325cX31x8tg-fLpCav/view?usp=sharing" TargetMode="External"/><Relationship Id="rId7" Type="http://schemas.openxmlformats.org/officeDocument/2006/relationships/hyperlink" Target="https://drive.google.com/file/d/1nK8Gf0ANsJZvqd5rbWtJvVjHAOq5wUUH/view?usp=drive_link" TargetMode="External"/><Relationship Id="rId8" Type="http://schemas.openxmlformats.org/officeDocument/2006/relationships/hyperlink" Target="https://drive.google.com/file/d/1jRCe4426FeD2ygaLZKDkxy8vG6UKDFRI/view?usp=sharing" TargetMode="External"/><Relationship Id="rId31" Type="http://schemas.openxmlformats.org/officeDocument/2006/relationships/hyperlink" Target="https://drive.google.com/file/d/1Q3BPGhls11ivnx2di5A0m89MGLPDpwoW/view?usp=sharing" TargetMode="External"/><Relationship Id="rId30" Type="http://schemas.openxmlformats.org/officeDocument/2006/relationships/hyperlink" Target="https://drive.google.com/file/d/1SGM0t91mnMEEMgPAtf4s5CbpHiCXjz_M/view?usp=sharing" TargetMode="External"/><Relationship Id="rId11" Type="http://schemas.openxmlformats.org/officeDocument/2006/relationships/hyperlink" Target="https://drive.google.com/file/d/1ebTnZCqns0ZjK8TXrQepj4S7P7Hp5RLo/view?usp=sharing" TargetMode="External"/><Relationship Id="rId33" Type="http://schemas.openxmlformats.org/officeDocument/2006/relationships/hyperlink" Target="https://drive.google.com/file/d/1hjEcYHa0VsmFNYh0LK0CkXGXRDgQpUKk/view?usp=sharing" TargetMode="External"/><Relationship Id="rId10" Type="http://schemas.openxmlformats.org/officeDocument/2006/relationships/hyperlink" Target="https://drive.google.com/file/d/1a5kr20ONDjbL7CJwNvzFCbY9ibwOLjoq/view?usp=sharing" TargetMode="External"/><Relationship Id="rId32" Type="http://schemas.openxmlformats.org/officeDocument/2006/relationships/hyperlink" Target="https://drive.google.com/file/d/1D_hJSvN1QFK-Bk3OXl0vFySwsFPd0yJu/view?usp=sharing" TargetMode="External"/><Relationship Id="rId13" Type="http://schemas.openxmlformats.org/officeDocument/2006/relationships/hyperlink" Target="https://drive.google.com/file/d/1zGWG2gaguG2CZY8-caJlXGxJsvAVDHaV/view?usp=sharing" TargetMode="External"/><Relationship Id="rId35" Type="http://schemas.openxmlformats.org/officeDocument/2006/relationships/drawing" Target="../drawings/drawing1.xml"/><Relationship Id="rId12" Type="http://schemas.openxmlformats.org/officeDocument/2006/relationships/hyperlink" Target="https://drive.google.com/file/d/1ERqv1MAwalL4U2t9BiBbp98EZ043Ec0h/view?usp=sharing" TargetMode="External"/><Relationship Id="rId34" Type="http://schemas.openxmlformats.org/officeDocument/2006/relationships/hyperlink" Target="https://drive.google.com/file/d/10igaqcGR3-Urv8BzCZ6b-EtexoZFI8Nx/view?usp=sharing" TargetMode="External"/><Relationship Id="rId15" Type="http://schemas.openxmlformats.org/officeDocument/2006/relationships/hyperlink" Target="https://drive.google.com/file/d/1MM1YlwekB84gctpiolL2HZ2qgpqvcyj0/view?usp=sharing" TargetMode="External"/><Relationship Id="rId14" Type="http://schemas.openxmlformats.org/officeDocument/2006/relationships/hyperlink" Target="https://drive.google.com/file/d/165rpqV9rlZ4pWO4iCkRQch2nFeCS-5uq/view?usp=sharing" TargetMode="External"/><Relationship Id="rId17" Type="http://schemas.openxmlformats.org/officeDocument/2006/relationships/hyperlink" Target="https://drive.google.com/file/d/106Ssm2PUOHnwiw9i6ePEWezCy1WYD7Va/view?usp=drive_link" TargetMode="External"/><Relationship Id="rId16" Type="http://schemas.openxmlformats.org/officeDocument/2006/relationships/hyperlink" Target="https://drive.google.com/file/d/1Xo_Atx44By98aqHX9wkZURP87HJ8v2Oo/view?usp=sharing" TargetMode="External"/><Relationship Id="rId19" Type="http://schemas.openxmlformats.org/officeDocument/2006/relationships/hyperlink" Target="https://drive.google.com/file/d/1REGMurEG1axrhCqiOsnIvt5q47X-bVlB/view?usp=drive_link" TargetMode="External"/><Relationship Id="rId18" Type="http://schemas.openxmlformats.org/officeDocument/2006/relationships/hyperlink" Target="https://drive.google.com/file/d/1AIGpHEu1dLwQ0CIA46EaVcFbvCkOyYK_/view?usp=sharing"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kQ_IpDKc_ws9qBUxxuutqVxYGR_zEeYy/view?usp=sharing" TargetMode="External"/><Relationship Id="rId22" Type="http://schemas.openxmlformats.org/officeDocument/2006/relationships/hyperlink" Target="https://drive.google.com/file/d/1ERqv1MAwalL4U2t9BiBbp98EZ043Ec0h/view?usp=sharing" TargetMode="External"/><Relationship Id="rId21" Type="http://schemas.openxmlformats.org/officeDocument/2006/relationships/hyperlink" Target="https://drive.google.com/file/d/1NA2FpHpDtK5XrQRluZd0Pt-XcGC0GAxP/view?usp=sharing" TargetMode="External"/><Relationship Id="rId24" Type="http://schemas.openxmlformats.org/officeDocument/2006/relationships/hyperlink" Target="https://drive.google.com/file/d/165rpqV9rlZ4pWO4iCkRQch2nFeCS-5uq/view?usp=sharing" TargetMode="External"/><Relationship Id="rId23" Type="http://schemas.openxmlformats.org/officeDocument/2006/relationships/hyperlink" Target="https://drive.google.com/file/d/1zGWG2gaguG2CZY8-caJlXGxJsvAVDHaV/view?usp=sharing" TargetMode="External"/><Relationship Id="rId1" Type="http://schemas.openxmlformats.org/officeDocument/2006/relationships/hyperlink" Target="https://drive.google.com/file/d/1REGMurEG1axrhCqiOsnIvt5q47X-bVlB/view?usp=drive_link" TargetMode="External"/><Relationship Id="rId2" Type="http://schemas.openxmlformats.org/officeDocument/2006/relationships/hyperlink" Target="https://drive.google.com/file/d/1o8XTFqGOGLC_4n_PUeKucx0dqqb0icUU/view?usp=sharing" TargetMode="External"/><Relationship Id="rId3" Type="http://schemas.openxmlformats.org/officeDocument/2006/relationships/hyperlink" Target="https://drive.google.com/file/d/1g-Xuy-AXwypDgnNlmYobuABTVfUjy1iX/view?usp=sharing" TargetMode="External"/><Relationship Id="rId4" Type="http://schemas.openxmlformats.org/officeDocument/2006/relationships/hyperlink" Target="https://drive.google.com/file/d/1SGM0t91mnMEEMgPAtf4s5CbpHiCXjz_M/view?usp=sharing" TargetMode="External"/><Relationship Id="rId9" Type="http://schemas.openxmlformats.org/officeDocument/2006/relationships/hyperlink" Target="https://drive.google.com/file/d/10igaqcGR3-Urv8BzCZ6b-EtexoZFI8Nx/view?usp=sharing" TargetMode="External"/><Relationship Id="rId26" Type="http://schemas.openxmlformats.org/officeDocument/2006/relationships/hyperlink" Target="https://drive.google.com/file/d/1Xo_Atx44By98aqHX9wkZURP87HJ8v2Oo/view?usp=sharing" TargetMode="External"/><Relationship Id="rId25" Type="http://schemas.openxmlformats.org/officeDocument/2006/relationships/hyperlink" Target="https://drive.google.com/file/d/17GLDr5L_9gaMitQzHIDkokz8sY8YIBck/view?usp=sharing" TargetMode="External"/><Relationship Id="rId28" Type="http://schemas.openxmlformats.org/officeDocument/2006/relationships/hyperlink" Target="https://drive.google.com/file/d/1nK8Gf0ANsJZvqd5rbWtJvVjHAOq5wUUH/view?usp=drive_link" TargetMode="External"/><Relationship Id="rId27" Type="http://schemas.openxmlformats.org/officeDocument/2006/relationships/hyperlink" Target="https://drive.google.com/file/d/106Ssm2PUOHnwiw9i6ePEWezCy1WYD7Va/view?usp=drive_link" TargetMode="External"/><Relationship Id="rId5" Type="http://schemas.openxmlformats.org/officeDocument/2006/relationships/hyperlink" Target="https://drive.google.com/file/d/1Q3BPGhls11ivnx2di5A0m89MGLPDpwoW/view?usp=sharing" TargetMode="External"/><Relationship Id="rId6" Type="http://schemas.openxmlformats.org/officeDocument/2006/relationships/hyperlink" Target="https://drive.google.com/file/d/1D_hJSvN1QFK-Bk3OXl0vFySwsFPd0yJu/view?usp=sharing" TargetMode="External"/><Relationship Id="rId29" Type="http://schemas.openxmlformats.org/officeDocument/2006/relationships/hyperlink" Target="https://drive.google.com/file/d/1jRCe4426FeD2ygaLZKDkxy8vG6UKDFRI/view?usp=sharing" TargetMode="External"/><Relationship Id="rId7" Type="http://schemas.openxmlformats.org/officeDocument/2006/relationships/hyperlink" Target="https://drive.google.com/file/d/1Zk51P37lhFg16FwWSK0xx5nNK7lVovn4/view?usp=sharing" TargetMode="External"/><Relationship Id="rId8" Type="http://schemas.openxmlformats.org/officeDocument/2006/relationships/hyperlink" Target="https://drive.google.com/file/d/1hjEcYHa0VsmFNYh0LK0CkXGXRDgQpUKk/view?usp=sharing" TargetMode="External"/><Relationship Id="rId31" Type="http://schemas.openxmlformats.org/officeDocument/2006/relationships/hyperlink" Target="https://drive.google.com/file/d/1a5kr20ONDjbL7CJwNvzFCbY9ibwOLjoq/view?usp=sharing" TargetMode="External"/><Relationship Id="rId30" Type="http://schemas.openxmlformats.org/officeDocument/2006/relationships/hyperlink" Target="https://drive.google.com/file/d/1BtXBff3bEccEJQnTc7tM696Ey2IH7kX3/view?usp=sharing%0AWorking" TargetMode="External"/><Relationship Id="rId11" Type="http://schemas.openxmlformats.org/officeDocument/2006/relationships/hyperlink" Target="https://drive.google.com/file/d/1YDDYTBcF_zMWhcsstfQdXlCK717rYUle/view?usp=sharing" TargetMode="External"/><Relationship Id="rId33" Type="http://schemas.openxmlformats.org/officeDocument/2006/relationships/hyperlink" Target="https://drive.google.com/file/d/1MM1YlwekB84gctpiolL2HZ2qgpqvcyj0/view?usp=sharing" TargetMode="External"/><Relationship Id="rId10" Type="http://schemas.openxmlformats.org/officeDocument/2006/relationships/hyperlink" Target="https://drive.google.com/file/d/17dPAIqwKr3bNWBQDZhXIvMeqe0hu_-Jn/view?usp=sharing" TargetMode="External"/><Relationship Id="rId32" Type="http://schemas.openxmlformats.org/officeDocument/2006/relationships/hyperlink" Target="https://drive.google.com/file/d/1ebTnZCqns0ZjK8TXrQepj4S7P7Hp5RLo/view?usp=sharing" TargetMode="External"/><Relationship Id="rId13" Type="http://schemas.openxmlformats.org/officeDocument/2006/relationships/hyperlink" Target="https://drive.google.com/file/d/1NIkFFkpHzj2Kh1Z0mhMHvIENzx7NVaZD/view?usp=sharing" TargetMode="External"/><Relationship Id="rId35" Type="http://schemas.openxmlformats.org/officeDocument/2006/relationships/drawing" Target="../drawings/drawing2.xml"/><Relationship Id="rId12" Type="http://schemas.openxmlformats.org/officeDocument/2006/relationships/hyperlink" Target="https://drive.google.com/file/d/1eQk-8D3heJpcJcFSnTxGrVhNJIQ91OQ3/view?usp=sharing" TargetMode="External"/><Relationship Id="rId34" Type="http://schemas.openxmlformats.org/officeDocument/2006/relationships/hyperlink" Target="https://drive.google.com/file/d/1urW7KLjgzz-aAXl__sFVTvbfZ3ZqUyfw/view?usp=sharing" TargetMode="External"/><Relationship Id="rId15" Type="http://schemas.openxmlformats.org/officeDocument/2006/relationships/hyperlink" Target="https://drive.google.com/file/d/1kIpUpq1IC_HLCeLY8uyU7ZoGHhpPbnim/view?usp=sharing" TargetMode="External"/><Relationship Id="rId14" Type="http://schemas.openxmlformats.org/officeDocument/2006/relationships/hyperlink" Target="https://drive.google.com/file/d/1sZ4ZQn0lg2jIr8IFQytpkVQNclMnZUX8/view?usp=sharing" TargetMode="External"/><Relationship Id="rId17" Type="http://schemas.openxmlformats.org/officeDocument/2006/relationships/hyperlink" Target="https://drive.google.com/file/d/1J0Z7Q54lYFQbHY325cX31x8tg-fLpCav/view?usp=sharing" TargetMode="External"/><Relationship Id="rId16" Type="http://schemas.openxmlformats.org/officeDocument/2006/relationships/hyperlink" Target="https://drive.google.com/file/d/1AIGpHEu1dLwQ0CIA46EaVcFbvCkOyYK_/view?usp=sharing" TargetMode="External"/><Relationship Id="rId19" Type="http://schemas.openxmlformats.org/officeDocument/2006/relationships/hyperlink" Target="https://drive.google.com/file/d/1tOfozZ7cMlaEOmYPSNRLyqnDGI0lmuf5/view?usp=sharing" TargetMode="External"/><Relationship Id="rId18" Type="http://schemas.openxmlformats.org/officeDocument/2006/relationships/hyperlink" Target="https://drive.google.com/file/d/1U-3lJSXErXBxE6xaGk6RHal4Fcv6TBnZ/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21.25"/>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min="14" max="14" width="16.63"/>
    <col customWidth="1" min="15" max="15" width="15.88"/>
  </cols>
  <sheetData>
    <row r="1" ht="24.0" customHeight="1">
      <c r="A1" s="1" t="s">
        <v>0</v>
      </c>
      <c r="B1" s="6" t="s">
        <v>2</v>
      </c>
      <c r="C1" s="4"/>
      <c r="D1" s="4"/>
      <c r="E1" s="9" t="s">
        <v>8</v>
      </c>
      <c r="I1" s="4"/>
      <c r="J1" s="4"/>
      <c r="K1" s="9" t="s">
        <v>9</v>
      </c>
      <c r="L1" s="4"/>
      <c r="M1" s="4"/>
    </row>
    <row r="2">
      <c r="A2" s="1" t="s">
        <v>10</v>
      </c>
      <c r="B2" s="11" t="s">
        <v>11</v>
      </c>
      <c r="C2" s="4"/>
      <c r="D2" s="4"/>
      <c r="E2" s="4"/>
      <c r="F2" s="4"/>
      <c r="G2" s="4"/>
      <c r="H2" s="4"/>
      <c r="I2" s="4"/>
      <c r="J2" s="4"/>
      <c r="K2" s="4"/>
      <c r="L2" s="4"/>
      <c r="M2" s="4"/>
    </row>
    <row r="3">
      <c r="A3" s="1" t="s">
        <v>13</v>
      </c>
      <c r="B3" s="14" t="s">
        <v>15</v>
      </c>
      <c r="C3" s="4"/>
      <c r="D3" s="4"/>
      <c r="E3" s="4"/>
      <c r="F3" s="4"/>
      <c r="G3" s="4"/>
      <c r="H3" s="4"/>
      <c r="I3" s="4"/>
      <c r="J3" s="4"/>
      <c r="K3" s="4"/>
      <c r="L3" s="4"/>
      <c r="M3" s="4"/>
    </row>
    <row r="4">
      <c r="A4" s="1" t="s">
        <v>16</v>
      </c>
      <c r="B4" s="17" t="s">
        <v>18</v>
      </c>
      <c r="C4" s="4"/>
      <c r="D4" s="4"/>
      <c r="E4" s="4"/>
      <c r="F4" s="4"/>
      <c r="G4" s="4"/>
      <c r="H4" s="4"/>
      <c r="I4" s="4"/>
      <c r="J4" s="4"/>
      <c r="K4" s="4"/>
      <c r="L4" s="4"/>
      <c r="M4" s="4"/>
      <c r="N4" s="19"/>
      <c r="O4" s="19"/>
    </row>
    <row r="5">
      <c r="A5" s="20" t="s">
        <v>19</v>
      </c>
      <c r="B5" s="22" t="s">
        <v>20</v>
      </c>
      <c r="C5" s="4"/>
      <c r="D5" s="4"/>
      <c r="E5" s="4"/>
      <c r="F5" s="4"/>
      <c r="G5" s="4"/>
      <c r="H5" s="4"/>
      <c r="I5" s="4"/>
      <c r="J5" s="4"/>
      <c r="K5" s="4"/>
      <c r="L5" s="4"/>
      <c r="M5" s="4"/>
      <c r="N5" s="24" t="s">
        <v>22</v>
      </c>
      <c r="O5" s="24" t="s">
        <v>24</v>
      </c>
    </row>
    <row r="6">
      <c r="A6" s="4"/>
      <c r="B6" s="4"/>
      <c r="C6" s="4"/>
      <c r="D6" s="4"/>
      <c r="E6" s="4"/>
      <c r="F6" s="4"/>
      <c r="G6" s="4"/>
      <c r="H6" s="4"/>
      <c r="I6" s="4"/>
      <c r="J6" s="4"/>
      <c r="K6" s="4"/>
      <c r="L6" s="4"/>
      <c r="M6" s="4"/>
    </row>
    <row r="7">
      <c r="A7" s="25" t="s">
        <v>25</v>
      </c>
      <c r="B7" s="25" t="s">
        <v>1</v>
      </c>
      <c r="C7" s="25" t="s">
        <v>3</v>
      </c>
      <c r="D7" s="25" t="s">
        <v>26</v>
      </c>
      <c r="E7" s="25" t="s">
        <v>28</v>
      </c>
      <c r="F7" s="25" t="s">
        <v>29</v>
      </c>
      <c r="G7" s="25" t="s">
        <v>30</v>
      </c>
      <c r="H7" s="25" t="s">
        <v>31</v>
      </c>
      <c r="I7" s="25" t="s">
        <v>32</v>
      </c>
      <c r="J7" s="25" t="s">
        <v>33</v>
      </c>
      <c r="K7" s="25" t="s">
        <v>12</v>
      </c>
      <c r="L7" s="25" t="s">
        <v>34</v>
      </c>
      <c r="M7" s="25" t="s">
        <v>35</v>
      </c>
      <c r="N7" s="27" t="s">
        <v>36</v>
      </c>
      <c r="O7" s="27" t="s">
        <v>37</v>
      </c>
      <c r="P7" s="28" t="s">
        <v>38</v>
      </c>
      <c r="Q7" s="29"/>
      <c r="R7" s="29"/>
      <c r="S7" s="29"/>
      <c r="T7" s="31"/>
      <c r="U7" s="29"/>
      <c r="V7" s="29"/>
      <c r="W7" s="29"/>
      <c r="X7" s="29"/>
      <c r="Y7" s="29"/>
    </row>
    <row r="8">
      <c r="A8" s="32" t="s">
        <v>40</v>
      </c>
      <c r="B8" s="34" t="s">
        <v>42</v>
      </c>
      <c r="C8" s="34" t="s">
        <v>42</v>
      </c>
      <c r="D8" s="32" t="s">
        <v>43</v>
      </c>
      <c r="E8" s="32" t="s">
        <v>44</v>
      </c>
      <c r="F8" s="35" t="s">
        <v>45</v>
      </c>
      <c r="G8" s="32" t="s">
        <v>46</v>
      </c>
      <c r="H8" s="32" t="s">
        <v>47</v>
      </c>
      <c r="I8" s="32" t="s">
        <v>48</v>
      </c>
      <c r="J8" s="32" t="s">
        <v>50</v>
      </c>
      <c r="K8" s="32" t="s">
        <v>27</v>
      </c>
      <c r="L8" s="44" t="s">
        <v>51</v>
      </c>
      <c r="M8" s="32"/>
      <c r="N8" s="32"/>
      <c r="O8" s="32" t="s">
        <v>52</v>
      </c>
      <c r="P8" s="34" t="s">
        <v>53</v>
      </c>
      <c r="Q8" s="48"/>
      <c r="R8" s="48"/>
      <c r="S8" s="48"/>
      <c r="T8" s="48"/>
      <c r="U8" s="48"/>
      <c r="V8" s="48"/>
      <c r="W8" s="48"/>
      <c r="X8" s="48"/>
      <c r="Y8" s="48"/>
    </row>
    <row r="9">
      <c r="A9" s="48"/>
      <c r="B9" s="48"/>
      <c r="C9" s="48"/>
      <c r="D9" s="48"/>
      <c r="E9" s="48"/>
      <c r="F9" s="50"/>
      <c r="G9" s="48"/>
      <c r="H9" s="48"/>
      <c r="I9" s="48"/>
      <c r="J9" s="48"/>
      <c r="K9" s="48"/>
      <c r="L9" s="48"/>
      <c r="M9" s="48"/>
      <c r="N9" s="48"/>
      <c r="O9" s="48"/>
      <c r="P9" s="48"/>
      <c r="Q9" s="48"/>
      <c r="R9" s="48"/>
      <c r="S9" s="48"/>
      <c r="T9" s="48"/>
      <c r="U9" s="48"/>
      <c r="V9" s="48"/>
      <c r="W9" s="48"/>
      <c r="X9" s="48"/>
      <c r="Y9" s="48"/>
    </row>
    <row r="10">
      <c r="A10" s="34" t="s">
        <v>54</v>
      </c>
      <c r="B10" s="34" t="s">
        <v>42</v>
      </c>
      <c r="C10" s="34" t="s">
        <v>42</v>
      </c>
      <c r="D10" s="34" t="s">
        <v>43</v>
      </c>
      <c r="E10" s="34" t="s">
        <v>44</v>
      </c>
      <c r="F10" s="49" t="s">
        <v>45</v>
      </c>
      <c r="G10" s="34" t="s">
        <v>46</v>
      </c>
      <c r="H10" s="34" t="s">
        <v>47</v>
      </c>
      <c r="I10" s="34" t="s">
        <v>48</v>
      </c>
      <c r="J10" s="34" t="s">
        <v>50</v>
      </c>
      <c r="K10" s="34" t="s">
        <v>27</v>
      </c>
      <c r="L10" s="53" t="s">
        <v>55</v>
      </c>
      <c r="M10" s="34"/>
      <c r="N10" s="34"/>
      <c r="O10" s="34" t="s">
        <v>52</v>
      </c>
      <c r="P10" s="34" t="s">
        <v>53</v>
      </c>
      <c r="Q10" s="48"/>
      <c r="R10" s="48"/>
      <c r="S10" s="48"/>
      <c r="T10" s="48"/>
      <c r="U10" s="48"/>
      <c r="V10" s="48"/>
      <c r="W10" s="48"/>
      <c r="X10" s="48"/>
      <c r="Y10" s="48"/>
    </row>
    <row r="11">
      <c r="A11" s="48"/>
      <c r="B11" s="48"/>
      <c r="C11" s="48"/>
      <c r="D11" s="48"/>
      <c r="E11" s="48"/>
      <c r="F11" s="50"/>
      <c r="G11" s="48"/>
      <c r="H11" s="48"/>
      <c r="I11" s="48"/>
      <c r="J11" s="48"/>
      <c r="K11" s="48"/>
      <c r="L11" s="48"/>
      <c r="M11" s="48"/>
      <c r="N11" s="48"/>
      <c r="O11" s="48"/>
      <c r="P11" s="48"/>
      <c r="Q11" s="48"/>
      <c r="R11" s="48"/>
      <c r="S11" s="48"/>
      <c r="T11" s="48"/>
      <c r="U11" s="48"/>
      <c r="V11" s="48"/>
      <c r="W11" s="48"/>
      <c r="X11" s="48"/>
      <c r="Y11" s="48"/>
    </row>
    <row r="12">
      <c r="A12" s="34" t="s">
        <v>56</v>
      </c>
      <c r="B12" s="34" t="s">
        <v>42</v>
      </c>
      <c r="C12" s="34" t="s">
        <v>42</v>
      </c>
      <c r="D12" s="34" t="s">
        <v>57</v>
      </c>
      <c r="E12" s="34" t="s">
        <v>44</v>
      </c>
      <c r="F12" s="49" t="s">
        <v>45</v>
      </c>
      <c r="G12" s="34" t="s">
        <v>46</v>
      </c>
      <c r="H12" s="34" t="s">
        <v>47</v>
      </c>
      <c r="I12" s="34" t="s">
        <v>48</v>
      </c>
      <c r="J12" s="34" t="s">
        <v>50</v>
      </c>
      <c r="K12" s="34" t="s">
        <v>27</v>
      </c>
      <c r="L12" s="58" t="s">
        <v>58</v>
      </c>
      <c r="M12" s="34"/>
      <c r="N12" s="34"/>
      <c r="O12" s="34" t="s">
        <v>52</v>
      </c>
      <c r="P12" s="34" t="s">
        <v>59</v>
      </c>
      <c r="Q12" s="48"/>
      <c r="R12" s="48"/>
      <c r="S12" s="48"/>
      <c r="T12" s="48"/>
      <c r="U12" s="48"/>
      <c r="V12" s="48"/>
      <c r="W12" s="48"/>
      <c r="X12" s="48"/>
      <c r="Y12" s="48"/>
    </row>
    <row r="13">
      <c r="A13" s="48"/>
      <c r="B13" s="48"/>
      <c r="C13" s="48"/>
      <c r="D13" s="48"/>
      <c r="E13" s="48"/>
      <c r="F13" s="50"/>
      <c r="G13" s="48"/>
      <c r="H13" s="48"/>
      <c r="I13" s="48"/>
      <c r="J13" s="48"/>
      <c r="K13" s="48"/>
      <c r="L13" s="48"/>
      <c r="M13" s="48"/>
      <c r="N13" s="48"/>
      <c r="O13" s="48"/>
      <c r="P13" s="48"/>
      <c r="Q13" s="48"/>
      <c r="R13" s="48"/>
      <c r="S13" s="48"/>
      <c r="T13" s="48"/>
      <c r="U13" s="48"/>
      <c r="V13" s="48"/>
      <c r="W13" s="48"/>
      <c r="X13" s="48"/>
      <c r="Y13" s="48"/>
    </row>
    <row r="14">
      <c r="A14" s="34" t="s">
        <v>60</v>
      </c>
      <c r="B14" s="34" t="s">
        <v>42</v>
      </c>
      <c r="C14" s="34" t="s">
        <v>42</v>
      </c>
      <c r="D14" s="34" t="s">
        <v>61</v>
      </c>
      <c r="E14" s="34" t="s">
        <v>44</v>
      </c>
      <c r="F14" s="49" t="s">
        <v>45</v>
      </c>
      <c r="G14" s="34" t="s">
        <v>46</v>
      </c>
      <c r="H14" s="34" t="s">
        <v>47</v>
      </c>
      <c r="I14" s="34" t="s">
        <v>48</v>
      </c>
      <c r="J14" s="34" t="s">
        <v>50</v>
      </c>
      <c r="K14" s="34" t="s">
        <v>27</v>
      </c>
      <c r="L14" s="53" t="s">
        <v>62</v>
      </c>
      <c r="M14" s="62"/>
      <c r="N14" s="63"/>
      <c r="O14" s="34" t="s">
        <v>52</v>
      </c>
      <c r="P14" s="34" t="s">
        <v>63</v>
      </c>
      <c r="Q14" s="48"/>
      <c r="R14" s="48"/>
      <c r="S14" s="48"/>
      <c r="T14" s="48"/>
      <c r="U14" s="48"/>
      <c r="V14" s="48"/>
      <c r="W14" s="48"/>
      <c r="X14" s="48"/>
      <c r="Y14" s="48"/>
    </row>
    <row r="15">
      <c r="A15" s="48"/>
      <c r="B15" s="48"/>
      <c r="C15" s="48"/>
      <c r="D15" s="48"/>
      <c r="E15" s="48"/>
      <c r="F15" s="50"/>
      <c r="G15" s="48"/>
      <c r="H15" s="48"/>
      <c r="I15" s="48"/>
      <c r="J15" s="48"/>
      <c r="K15" s="48"/>
      <c r="L15" s="48"/>
      <c r="M15" s="48"/>
      <c r="N15" s="48"/>
      <c r="O15" s="48"/>
      <c r="P15" s="48"/>
      <c r="Q15" s="48"/>
      <c r="R15" s="48"/>
      <c r="S15" s="48"/>
      <c r="T15" s="48"/>
      <c r="U15" s="48"/>
      <c r="V15" s="48"/>
      <c r="W15" s="48"/>
      <c r="X15" s="48"/>
      <c r="Y15" s="48"/>
    </row>
    <row r="16">
      <c r="A16" s="34" t="s">
        <v>64</v>
      </c>
      <c r="B16" s="34" t="s">
        <v>65</v>
      </c>
      <c r="C16" s="34" t="s">
        <v>65</v>
      </c>
      <c r="D16" s="34" t="s">
        <v>66</v>
      </c>
      <c r="E16" s="34" t="s">
        <v>44</v>
      </c>
      <c r="F16" s="49" t="s">
        <v>67</v>
      </c>
      <c r="G16" s="34" t="s">
        <v>46</v>
      </c>
      <c r="H16" s="34" t="s">
        <v>47</v>
      </c>
      <c r="I16" s="34" t="s">
        <v>68</v>
      </c>
      <c r="J16" s="34" t="s">
        <v>50</v>
      </c>
      <c r="K16" s="34" t="s">
        <v>27</v>
      </c>
      <c r="L16" s="53" t="s">
        <v>69</v>
      </c>
      <c r="M16" s="63"/>
      <c r="N16" s="63"/>
      <c r="O16" s="34" t="s">
        <v>52</v>
      </c>
      <c r="P16" s="34" t="s">
        <v>53</v>
      </c>
      <c r="Q16" s="48"/>
      <c r="R16" s="48"/>
      <c r="S16" s="48"/>
      <c r="T16" s="48"/>
      <c r="U16" s="48"/>
      <c r="V16" s="48"/>
      <c r="W16" s="48"/>
      <c r="X16" s="48"/>
      <c r="Y16" s="48"/>
    </row>
    <row r="17">
      <c r="A17" s="48"/>
      <c r="B17" s="48"/>
      <c r="C17" s="48"/>
      <c r="D17" s="48"/>
      <c r="E17" s="48"/>
      <c r="F17" s="50"/>
      <c r="G17" s="48"/>
      <c r="H17" s="48"/>
      <c r="I17" s="48"/>
      <c r="J17" s="48"/>
      <c r="K17" s="48"/>
      <c r="L17" s="48"/>
      <c r="M17" s="48"/>
      <c r="N17" s="48"/>
      <c r="O17" s="48"/>
      <c r="P17" s="48"/>
      <c r="Q17" s="48"/>
      <c r="R17" s="48"/>
      <c r="S17" s="48"/>
      <c r="T17" s="48"/>
      <c r="U17" s="48"/>
      <c r="V17" s="48"/>
      <c r="W17" s="48"/>
      <c r="X17" s="48"/>
      <c r="Y17" s="48"/>
    </row>
    <row r="18">
      <c r="A18" s="34" t="s">
        <v>70</v>
      </c>
      <c r="B18" s="34" t="s">
        <v>71</v>
      </c>
      <c r="C18" s="34" t="s">
        <v>72</v>
      </c>
      <c r="D18" s="34" t="s">
        <v>73</v>
      </c>
      <c r="E18" s="34" t="s">
        <v>44</v>
      </c>
      <c r="F18" s="49" t="s">
        <v>74</v>
      </c>
      <c r="G18" s="34" t="s">
        <v>46</v>
      </c>
      <c r="H18" s="34" t="s">
        <v>75</v>
      </c>
      <c r="I18" s="34" t="s">
        <v>76</v>
      </c>
      <c r="J18" s="34" t="s">
        <v>50</v>
      </c>
      <c r="K18" s="34" t="s">
        <v>23</v>
      </c>
      <c r="L18" s="53" t="s">
        <v>77</v>
      </c>
      <c r="M18" s="63"/>
      <c r="N18" s="63"/>
      <c r="O18" s="34" t="s">
        <v>52</v>
      </c>
      <c r="P18" s="34" t="s">
        <v>53</v>
      </c>
      <c r="Q18" s="48"/>
      <c r="R18" s="48"/>
      <c r="S18" s="48"/>
      <c r="T18" s="48"/>
      <c r="U18" s="48"/>
      <c r="V18" s="48"/>
      <c r="W18" s="48"/>
      <c r="X18" s="48"/>
      <c r="Y18" s="48"/>
    </row>
    <row r="19">
      <c r="A19" s="48"/>
      <c r="B19" s="48"/>
      <c r="C19" s="48"/>
      <c r="D19" s="48"/>
      <c r="E19" s="48"/>
      <c r="F19" s="50"/>
      <c r="G19" s="48"/>
      <c r="H19" s="48"/>
      <c r="I19" s="48"/>
      <c r="J19" s="48"/>
      <c r="K19" s="48"/>
      <c r="L19" s="48"/>
      <c r="M19" s="48"/>
      <c r="N19" s="48"/>
      <c r="O19" s="48"/>
      <c r="P19" s="48"/>
      <c r="Q19" s="48"/>
      <c r="R19" s="48"/>
      <c r="S19" s="48"/>
      <c r="T19" s="48"/>
      <c r="U19" s="48"/>
      <c r="V19" s="48"/>
      <c r="W19" s="48"/>
      <c r="X19" s="48"/>
      <c r="Y19" s="48"/>
    </row>
    <row r="20">
      <c r="A20" s="34" t="s">
        <v>79</v>
      </c>
      <c r="B20" s="34" t="s">
        <v>71</v>
      </c>
      <c r="C20" s="34" t="s">
        <v>80</v>
      </c>
      <c r="D20" s="34" t="s">
        <v>81</v>
      </c>
      <c r="E20" s="34" t="s">
        <v>44</v>
      </c>
      <c r="F20" s="49" t="s">
        <v>82</v>
      </c>
      <c r="G20" s="34" t="s">
        <v>46</v>
      </c>
      <c r="H20" s="34" t="s">
        <v>83</v>
      </c>
      <c r="I20" s="34" t="s">
        <v>84</v>
      </c>
      <c r="J20" s="34" t="s">
        <v>50</v>
      </c>
      <c r="K20" s="34" t="s">
        <v>23</v>
      </c>
      <c r="L20" s="53" t="s">
        <v>85</v>
      </c>
      <c r="M20" s="63"/>
      <c r="N20" s="63"/>
      <c r="O20" s="63"/>
      <c r="P20" s="34"/>
      <c r="Q20" s="48"/>
      <c r="R20" s="48"/>
      <c r="S20" s="48"/>
      <c r="T20" s="48"/>
      <c r="U20" s="48"/>
      <c r="V20" s="48"/>
      <c r="W20" s="48"/>
      <c r="X20" s="48"/>
      <c r="Y20" s="48"/>
    </row>
    <row r="21">
      <c r="A21" s="48"/>
      <c r="B21" s="48"/>
      <c r="C21" s="48"/>
      <c r="D21" s="48"/>
      <c r="E21" s="48"/>
      <c r="F21" s="50"/>
      <c r="G21" s="48"/>
      <c r="H21" s="48"/>
      <c r="I21" s="48"/>
      <c r="J21" s="48"/>
      <c r="K21" s="48"/>
      <c r="L21" s="48"/>
      <c r="M21" s="48"/>
      <c r="N21" s="48"/>
      <c r="O21" s="48"/>
      <c r="P21" s="48"/>
      <c r="Q21" s="48"/>
      <c r="R21" s="48"/>
      <c r="S21" s="48"/>
      <c r="T21" s="48"/>
      <c r="U21" s="48"/>
      <c r="V21" s="48"/>
      <c r="W21" s="48"/>
      <c r="X21" s="48"/>
      <c r="Y21" s="48"/>
    </row>
    <row r="22">
      <c r="A22" s="34" t="s">
        <v>86</v>
      </c>
      <c r="B22" s="34" t="s">
        <v>71</v>
      </c>
      <c r="C22" s="34" t="s">
        <v>80</v>
      </c>
      <c r="D22" s="34" t="s">
        <v>87</v>
      </c>
      <c r="E22" s="34" t="s">
        <v>44</v>
      </c>
      <c r="F22" s="49" t="s">
        <v>82</v>
      </c>
      <c r="G22" s="34" t="s">
        <v>46</v>
      </c>
      <c r="H22" s="34" t="s">
        <v>88</v>
      </c>
      <c r="I22" s="34" t="s">
        <v>89</v>
      </c>
      <c r="J22" s="34" t="s">
        <v>50</v>
      </c>
      <c r="K22" s="34" t="s">
        <v>17</v>
      </c>
      <c r="L22" s="53" t="s">
        <v>90</v>
      </c>
      <c r="M22" s="63"/>
      <c r="N22" s="63"/>
      <c r="O22" s="34" t="s">
        <v>52</v>
      </c>
      <c r="P22" s="58" t="s">
        <v>91</v>
      </c>
      <c r="Q22" s="48"/>
      <c r="R22" s="48"/>
      <c r="S22" s="48"/>
      <c r="T22" s="48"/>
      <c r="U22" s="48"/>
      <c r="V22" s="48"/>
      <c r="W22" s="48"/>
      <c r="X22" s="48"/>
      <c r="Y22" s="48"/>
    </row>
    <row r="23">
      <c r="A23" s="48"/>
      <c r="B23" s="48"/>
      <c r="C23" s="48"/>
      <c r="D23" s="48"/>
      <c r="E23" s="48"/>
      <c r="F23" s="50"/>
      <c r="G23" s="48"/>
      <c r="H23" s="48"/>
      <c r="I23" s="48"/>
      <c r="J23" s="48"/>
      <c r="K23" s="48"/>
      <c r="L23" s="48"/>
      <c r="M23" s="48"/>
      <c r="N23" s="48"/>
      <c r="O23" s="48"/>
      <c r="P23" s="48"/>
      <c r="Q23" s="48"/>
      <c r="R23" s="48"/>
      <c r="S23" s="48"/>
      <c r="T23" s="48"/>
      <c r="U23" s="48"/>
      <c r="V23" s="48"/>
      <c r="W23" s="48"/>
      <c r="X23" s="48"/>
      <c r="Y23" s="48"/>
    </row>
    <row r="24">
      <c r="A24" s="34" t="s">
        <v>92</v>
      </c>
      <c r="B24" s="34" t="s">
        <v>71</v>
      </c>
      <c r="C24" s="34" t="s">
        <v>80</v>
      </c>
      <c r="D24" s="34" t="s">
        <v>93</v>
      </c>
      <c r="E24" s="34" t="s">
        <v>44</v>
      </c>
      <c r="F24" s="49" t="s">
        <v>82</v>
      </c>
      <c r="G24" s="34" t="s">
        <v>46</v>
      </c>
      <c r="H24" s="34" t="s">
        <v>94</v>
      </c>
      <c r="I24" s="34" t="s">
        <v>95</v>
      </c>
      <c r="J24" s="34" t="s">
        <v>50</v>
      </c>
      <c r="K24" s="34" t="s">
        <v>17</v>
      </c>
      <c r="L24" s="53" t="s">
        <v>96</v>
      </c>
      <c r="M24" s="63"/>
      <c r="N24" s="63"/>
      <c r="O24" s="63"/>
      <c r="P24" s="34"/>
      <c r="Q24" s="48"/>
      <c r="R24" s="48"/>
      <c r="S24" s="48"/>
      <c r="T24" s="48"/>
      <c r="U24" s="48"/>
      <c r="V24" s="48"/>
      <c r="W24" s="48"/>
      <c r="X24" s="48"/>
      <c r="Y24" s="48"/>
    </row>
    <row r="25">
      <c r="A25" s="48"/>
      <c r="B25" s="48"/>
      <c r="C25" s="48"/>
      <c r="D25" s="48"/>
      <c r="E25" s="48"/>
      <c r="F25" s="50"/>
      <c r="G25" s="48"/>
      <c r="H25" s="48"/>
      <c r="I25" s="48"/>
      <c r="J25" s="48"/>
      <c r="K25" s="48"/>
      <c r="L25" s="48"/>
      <c r="M25" s="48"/>
      <c r="N25" s="48"/>
      <c r="O25" s="48"/>
      <c r="P25" s="48"/>
      <c r="Q25" s="48"/>
      <c r="R25" s="48"/>
      <c r="S25" s="48"/>
      <c r="T25" s="48"/>
      <c r="U25" s="48"/>
      <c r="V25" s="48"/>
      <c r="W25" s="48"/>
      <c r="X25" s="48"/>
      <c r="Y25" s="48"/>
    </row>
    <row r="26">
      <c r="A26" s="34" t="s">
        <v>98</v>
      </c>
      <c r="B26" s="34" t="s">
        <v>71</v>
      </c>
      <c r="C26" s="34" t="s">
        <v>80</v>
      </c>
      <c r="D26" s="34" t="s">
        <v>99</v>
      </c>
      <c r="E26" s="34" t="s">
        <v>44</v>
      </c>
      <c r="F26" s="49" t="s">
        <v>82</v>
      </c>
      <c r="G26" s="34" t="s">
        <v>46</v>
      </c>
      <c r="H26" s="34" t="s">
        <v>100</v>
      </c>
      <c r="I26" s="34" t="s">
        <v>101</v>
      </c>
      <c r="J26" s="34" t="s">
        <v>50</v>
      </c>
      <c r="K26" s="34" t="s">
        <v>17</v>
      </c>
      <c r="L26" s="58" t="s">
        <v>102</v>
      </c>
      <c r="M26" s="63"/>
      <c r="N26" s="63"/>
      <c r="O26" s="34" t="s">
        <v>52</v>
      </c>
      <c r="P26" s="34" t="s">
        <v>103</v>
      </c>
      <c r="Q26" s="48"/>
      <c r="R26" s="48"/>
      <c r="S26" s="48"/>
      <c r="T26" s="48"/>
      <c r="U26" s="48"/>
      <c r="V26" s="48"/>
      <c r="W26" s="48"/>
      <c r="X26" s="48"/>
      <c r="Y26" s="48"/>
    </row>
    <row r="27">
      <c r="A27" s="48"/>
      <c r="B27" s="48"/>
      <c r="C27" s="48"/>
      <c r="D27" s="48"/>
      <c r="E27" s="48"/>
      <c r="F27" s="50"/>
      <c r="G27" s="48"/>
      <c r="H27" s="48"/>
      <c r="I27" s="48"/>
      <c r="J27" s="48"/>
      <c r="K27" s="48"/>
      <c r="L27" s="48"/>
      <c r="M27" s="48"/>
      <c r="N27" s="48"/>
      <c r="O27" s="48"/>
      <c r="P27" s="48"/>
      <c r="Q27" s="48"/>
      <c r="R27" s="48"/>
      <c r="S27" s="48"/>
      <c r="T27" s="48"/>
      <c r="U27" s="48"/>
      <c r="V27" s="48"/>
      <c r="W27" s="48"/>
      <c r="X27" s="48"/>
      <c r="Y27" s="48"/>
    </row>
    <row r="28">
      <c r="A28" s="34" t="s">
        <v>104</v>
      </c>
      <c r="B28" s="34" t="s">
        <v>71</v>
      </c>
      <c r="C28" s="34" t="s">
        <v>105</v>
      </c>
      <c r="D28" s="34" t="s">
        <v>106</v>
      </c>
      <c r="E28" s="34" t="s">
        <v>44</v>
      </c>
      <c r="F28" s="49" t="s">
        <v>107</v>
      </c>
      <c r="G28" s="34" t="s">
        <v>108</v>
      </c>
      <c r="H28" s="34" t="s">
        <v>109</v>
      </c>
      <c r="I28" s="34" t="s">
        <v>110</v>
      </c>
      <c r="J28" s="34" t="s">
        <v>50</v>
      </c>
      <c r="K28" s="34" t="s">
        <v>23</v>
      </c>
      <c r="L28" s="53" t="s">
        <v>111</v>
      </c>
      <c r="M28" s="63"/>
      <c r="N28" s="63"/>
      <c r="O28" s="34" t="s">
        <v>52</v>
      </c>
      <c r="P28" s="34" t="s">
        <v>113</v>
      </c>
      <c r="Q28" s="48"/>
      <c r="R28" s="48"/>
      <c r="S28" s="48"/>
      <c r="T28" s="48"/>
      <c r="U28" s="48"/>
      <c r="V28" s="48"/>
      <c r="W28" s="48"/>
      <c r="X28" s="48"/>
      <c r="Y28" s="48"/>
    </row>
    <row r="29">
      <c r="A29" s="48"/>
      <c r="B29" s="48"/>
      <c r="C29" s="48"/>
      <c r="D29" s="48"/>
      <c r="E29" s="48"/>
      <c r="F29" s="50"/>
      <c r="G29" s="48"/>
      <c r="H29" s="48"/>
      <c r="I29" s="48"/>
      <c r="J29" s="48"/>
      <c r="K29" s="48"/>
      <c r="L29" s="48"/>
      <c r="M29" s="48"/>
      <c r="N29" s="48"/>
      <c r="O29" s="48"/>
      <c r="P29" s="48"/>
      <c r="Q29" s="48"/>
      <c r="R29" s="48"/>
      <c r="S29" s="48"/>
      <c r="T29" s="48"/>
      <c r="U29" s="48"/>
      <c r="V29" s="48"/>
      <c r="W29" s="48"/>
      <c r="X29" s="48"/>
      <c r="Y29" s="48"/>
    </row>
    <row r="30">
      <c r="A30" s="34" t="s">
        <v>114</v>
      </c>
      <c r="B30" s="34" t="s">
        <v>71</v>
      </c>
      <c r="C30" s="34" t="s">
        <v>105</v>
      </c>
      <c r="D30" s="34" t="s">
        <v>115</v>
      </c>
      <c r="E30" s="34" t="s">
        <v>44</v>
      </c>
      <c r="F30" s="49" t="s">
        <v>107</v>
      </c>
      <c r="G30" s="34" t="s">
        <v>108</v>
      </c>
      <c r="H30" s="34" t="s">
        <v>116</v>
      </c>
      <c r="I30" s="34" t="s">
        <v>117</v>
      </c>
      <c r="J30" s="34" t="s">
        <v>50</v>
      </c>
      <c r="K30" s="34" t="s">
        <v>17</v>
      </c>
      <c r="L30" s="53" t="s">
        <v>118</v>
      </c>
      <c r="M30" s="63"/>
      <c r="N30" s="63"/>
      <c r="O30" s="34" t="s">
        <v>52</v>
      </c>
      <c r="P30" s="34" t="s">
        <v>120</v>
      </c>
      <c r="Q30" s="48"/>
      <c r="R30" s="48"/>
      <c r="S30" s="48"/>
      <c r="T30" s="48"/>
      <c r="U30" s="48"/>
      <c r="V30" s="48"/>
      <c r="W30" s="48"/>
      <c r="X30" s="48"/>
      <c r="Y30" s="48"/>
    </row>
    <row r="31">
      <c r="A31" s="48"/>
      <c r="B31" s="48"/>
      <c r="C31" s="48"/>
      <c r="D31" s="48"/>
      <c r="E31" s="48"/>
      <c r="F31" s="50"/>
      <c r="G31" s="48"/>
      <c r="H31" s="48"/>
      <c r="I31" s="48"/>
      <c r="J31" s="48"/>
      <c r="K31" s="48"/>
      <c r="L31" s="48"/>
      <c r="M31" s="48"/>
      <c r="N31" s="48"/>
      <c r="O31" s="48"/>
      <c r="P31" s="48"/>
      <c r="Q31" s="48"/>
      <c r="R31" s="48"/>
      <c r="S31" s="48"/>
      <c r="T31" s="48"/>
      <c r="U31" s="48"/>
      <c r="V31" s="48"/>
      <c r="W31" s="48"/>
      <c r="X31" s="48"/>
      <c r="Y31" s="48"/>
    </row>
    <row r="32">
      <c r="A32" s="34" t="s">
        <v>121</v>
      </c>
      <c r="B32" s="34" t="s">
        <v>71</v>
      </c>
      <c r="C32" s="34" t="s">
        <v>105</v>
      </c>
      <c r="D32" s="34" t="s">
        <v>122</v>
      </c>
      <c r="E32" s="34" t="s">
        <v>44</v>
      </c>
      <c r="F32" s="49" t="s">
        <v>107</v>
      </c>
      <c r="G32" s="34" t="s">
        <v>108</v>
      </c>
      <c r="H32" s="34" t="s">
        <v>123</v>
      </c>
      <c r="I32" s="34" t="s">
        <v>124</v>
      </c>
      <c r="J32" s="34" t="s">
        <v>50</v>
      </c>
      <c r="K32" s="34" t="s">
        <v>17</v>
      </c>
      <c r="L32" s="53" t="s">
        <v>125</v>
      </c>
      <c r="M32" s="63"/>
      <c r="N32" s="63"/>
      <c r="O32" s="34" t="s">
        <v>52</v>
      </c>
      <c r="P32" s="34" t="s">
        <v>127</v>
      </c>
      <c r="Q32" s="48"/>
      <c r="R32" s="48"/>
      <c r="S32" s="48"/>
      <c r="T32" s="48"/>
      <c r="U32" s="48"/>
      <c r="V32" s="48"/>
      <c r="W32" s="48"/>
      <c r="X32" s="48"/>
      <c r="Y32" s="48"/>
    </row>
    <row r="33">
      <c r="A33" s="48"/>
      <c r="B33" s="48"/>
      <c r="C33" s="48"/>
      <c r="D33" s="48"/>
      <c r="E33" s="48"/>
      <c r="F33" s="50"/>
      <c r="G33" s="48"/>
      <c r="H33" s="48"/>
      <c r="I33" s="48"/>
      <c r="J33" s="48"/>
      <c r="K33" s="48"/>
      <c r="L33" s="48"/>
      <c r="M33" s="48"/>
      <c r="N33" s="48"/>
      <c r="O33" s="48"/>
      <c r="P33" s="48"/>
      <c r="Q33" s="48"/>
      <c r="R33" s="48"/>
      <c r="S33" s="48"/>
      <c r="T33" s="48"/>
      <c r="U33" s="48"/>
      <c r="V33" s="48"/>
      <c r="W33" s="48"/>
      <c r="X33" s="48"/>
      <c r="Y33" s="48"/>
    </row>
    <row r="34">
      <c r="A34" s="34" t="s">
        <v>128</v>
      </c>
      <c r="B34" s="34" t="s">
        <v>71</v>
      </c>
      <c r="C34" s="34" t="s">
        <v>80</v>
      </c>
      <c r="D34" s="34" t="s">
        <v>129</v>
      </c>
      <c r="E34" s="34" t="s">
        <v>44</v>
      </c>
      <c r="F34" s="49" t="s">
        <v>82</v>
      </c>
      <c r="G34" s="34" t="s">
        <v>46</v>
      </c>
      <c r="H34" s="34" t="s">
        <v>100</v>
      </c>
      <c r="I34" s="34" t="s">
        <v>101</v>
      </c>
      <c r="J34" s="34" t="s">
        <v>50</v>
      </c>
      <c r="K34" s="34" t="s">
        <v>17</v>
      </c>
      <c r="L34" s="53" t="s">
        <v>130</v>
      </c>
      <c r="M34" s="63"/>
      <c r="N34" s="63"/>
      <c r="O34" s="34" t="s">
        <v>52</v>
      </c>
      <c r="P34" s="34" t="s">
        <v>131</v>
      </c>
      <c r="Q34" s="48"/>
      <c r="R34" s="48"/>
      <c r="S34" s="48"/>
      <c r="T34" s="48"/>
      <c r="U34" s="48"/>
      <c r="V34" s="48"/>
      <c r="W34" s="48"/>
      <c r="X34" s="48"/>
      <c r="Y34" s="48"/>
    </row>
    <row r="35">
      <c r="A35" s="48"/>
      <c r="B35" s="48"/>
      <c r="C35" s="48"/>
      <c r="D35" s="48"/>
      <c r="E35" s="48"/>
      <c r="F35" s="50"/>
      <c r="G35" s="48"/>
      <c r="H35" s="48"/>
      <c r="I35" s="48"/>
      <c r="J35" s="48"/>
      <c r="K35" s="48"/>
      <c r="L35" s="48"/>
      <c r="M35" s="48"/>
      <c r="N35" s="48"/>
      <c r="O35" s="48"/>
      <c r="P35" s="48"/>
      <c r="Q35" s="48"/>
      <c r="R35" s="48"/>
      <c r="S35" s="48"/>
      <c r="T35" s="48"/>
      <c r="U35" s="48"/>
      <c r="V35" s="48"/>
      <c r="W35" s="48"/>
      <c r="X35" s="48"/>
      <c r="Y35" s="48"/>
    </row>
    <row r="36">
      <c r="A36" s="34" t="s">
        <v>133</v>
      </c>
      <c r="B36" s="34" t="s">
        <v>71</v>
      </c>
      <c r="C36" s="34" t="s">
        <v>72</v>
      </c>
      <c r="D36" s="34" t="s">
        <v>134</v>
      </c>
      <c r="E36" s="34" t="s">
        <v>44</v>
      </c>
      <c r="F36" s="49" t="s">
        <v>74</v>
      </c>
      <c r="G36" s="34" t="s">
        <v>46</v>
      </c>
      <c r="H36" s="34" t="s">
        <v>135</v>
      </c>
      <c r="I36" s="34" t="s">
        <v>136</v>
      </c>
      <c r="J36" s="34" t="s">
        <v>50</v>
      </c>
      <c r="K36" s="34" t="s">
        <v>17</v>
      </c>
      <c r="L36" s="53" t="s">
        <v>137</v>
      </c>
      <c r="M36" s="63"/>
      <c r="N36" s="63"/>
      <c r="O36" s="63"/>
      <c r="P36" s="34"/>
      <c r="Q36" s="48"/>
      <c r="R36" s="48"/>
      <c r="S36" s="48"/>
      <c r="T36" s="48"/>
      <c r="U36" s="48"/>
      <c r="V36" s="48"/>
      <c r="W36" s="48"/>
      <c r="X36" s="48"/>
      <c r="Y36" s="48"/>
    </row>
    <row r="37">
      <c r="A37" s="48"/>
      <c r="B37" s="48"/>
      <c r="C37" s="48"/>
      <c r="D37" s="48"/>
      <c r="E37" s="48"/>
      <c r="F37" s="50"/>
      <c r="G37" s="48"/>
      <c r="H37" s="48"/>
      <c r="I37" s="48"/>
      <c r="J37" s="48"/>
      <c r="K37" s="48"/>
      <c r="L37" s="48"/>
      <c r="M37" s="48"/>
      <c r="N37" s="48"/>
      <c r="O37" s="48"/>
      <c r="P37" s="48"/>
      <c r="Q37" s="48"/>
      <c r="R37" s="48"/>
      <c r="S37" s="48"/>
      <c r="T37" s="48"/>
      <c r="U37" s="48"/>
      <c r="V37" s="48"/>
      <c r="W37" s="48"/>
      <c r="X37" s="48"/>
      <c r="Y37" s="48"/>
    </row>
    <row r="38">
      <c r="A38" s="34" t="s">
        <v>139</v>
      </c>
      <c r="B38" s="34" t="s">
        <v>71</v>
      </c>
      <c r="C38" s="34" t="s">
        <v>72</v>
      </c>
      <c r="D38" s="34" t="s">
        <v>140</v>
      </c>
      <c r="E38" s="34" t="s">
        <v>44</v>
      </c>
      <c r="F38" s="49" t="s">
        <v>74</v>
      </c>
      <c r="G38" s="34" t="s">
        <v>46</v>
      </c>
      <c r="H38" s="34" t="s">
        <v>141</v>
      </c>
      <c r="I38" s="34" t="s">
        <v>142</v>
      </c>
      <c r="J38" s="34" t="s">
        <v>50</v>
      </c>
      <c r="K38" s="34" t="s">
        <v>23</v>
      </c>
      <c r="L38" s="53" t="s">
        <v>143</v>
      </c>
      <c r="M38" s="63"/>
      <c r="N38" s="63"/>
      <c r="O38" s="63"/>
      <c r="P38" s="34"/>
      <c r="Q38" s="48"/>
      <c r="R38" s="48"/>
      <c r="S38" s="48"/>
      <c r="T38" s="48"/>
      <c r="U38" s="48"/>
      <c r="V38" s="48"/>
      <c r="W38" s="48"/>
      <c r="X38" s="48"/>
      <c r="Y38" s="48"/>
    </row>
    <row r="39">
      <c r="A39" s="48"/>
      <c r="B39" s="48"/>
      <c r="C39" s="48"/>
      <c r="D39" s="48"/>
      <c r="E39" s="48"/>
      <c r="F39" s="50"/>
      <c r="G39" s="48"/>
      <c r="H39" s="48"/>
      <c r="I39" s="48"/>
      <c r="J39" s="48"/>
      <c r="K39" s="48"/>
      <c r="L39" s="48"/>
      <c r="M39" s="48"/>
      <c r="N39" s="48"/>
      <c r="O39" s="48"/>
      <c r="P39" s="48"/>
      <c r="Q39" s="48"/>
      <c r="R39" s="48"/>
      <c r="S39" s="48"/>
      <c r="T39" s="48"/>
      <c r="U39" s="48"/>
      <c r="V39" s="48"/>
      <c r="W39" s="48"/>
      <c r="X39" s="48"/>
      <c r="Y39" s="48"/>
    </row>
    <row r="40">
      <c r="A40" s="34" t="s">
        <v>145</v>
      </c>
      <c r="B40" s="34" t="s">
        <v>146</v>
      </c>
      <c r="C40" s="34" t="s">
        <v>80</v>
      </c>
      <c r="D40" s="34" t="s">
        <v>147</v>
      </c>
      <c r="E40" s="34" t="s">
        <v>44</v>
      </c>
      <c r="F40" s="49" t="s">
        <v>148</v>
      </c>
      <c r="G40" s="34" t="s">
        <v>149</v>
      </c>
      <c r="H40" s="34" t="s">
        <v>150</v>
      </c>
      <c r="I40" s="34" t="s">
        <v>151</v>
      </c>
      <c r="J40" s="34" t="s">
        <v>50</v>
      </c>
      <c r="K40" s="34" t="s">
        <v>17</v>
      </c>
      <c r="L40" s="53" t="s">
        <v>152</v>
      </c>
      <c r="M40" s="63"/>
      <c r="N40" s="63"/>
      <c r="O40" s="34" t="s">
        <v>52</v>
      </c>
      <c r="P40" s="34" t="s">
        <v>153</v>
      </c>
      <c r="Q40" s="48"/>
      <c r="R40" s="48"/>
      <c r="S40" s="48"/>
      <c r="T40" s="48"/>
      <c r="U40" s="48"/>
      <c r="V40" s="48"/>
      <c r="W40" s="48"/>
      <c r="X40" s="48"/>
      <c r="Y40" s="48"/>
    </row>
    <row r="41">
      <c r="A41" s="48"/>
      <c r="B41" s="48"/>
      <c r="C41" s="48"/>
      <c r="D41" s="48"/>
      <c r="E41" s="48"/>
      <c r="F41" s="50"/>
      <c r="G41" s="48"/>
      <c r="H41" s="48"/>
      <c r="I41" s="48"/>
      <c r="J41" s="48"/>
      <c r="K41" s="48"/>
      <c r="L41" s="48"/>
      <c r="M41" s="48"/>
      <c r="N41" s="48"/>
      <c r="O41" s="48"/>
      <c r="P41" s="48"/>
      <c r="Q41" s="48"/>
      <c r="R41" s="48"/>
      <c r="S41" s="48"/>
      <c r="T41" s="48"/>
      <c r="U41" s="48"/>
      <c r="V41" s="48"/>
      <c r="W41" s="48"/>
      <c r="X41" s="48"/>
      <c r="Y41" s="48"/>
    </row>
    <row r="42">
      <c r="A42" s="34" t="s">
        <v>154</v>
      </c>
      <c r="B42" s="34" t="s">
        <v>146</v>
      </c>
      <c r="C42" s="34" t="s">
        <v>155</v>
      </c>
      <c r="D42" s="34" t="s">
        <v>156</v>
      </c>
      <c r="E42" s="34" t="s">
        <v>44</v>
      </c>
      <c r="F42" s="49" t="s">
        <v>157</v>
      </c>
      <c r="G42" s="34" t="s">
        <v>149</v>
      </c>
      <c r="H42" s="34" t="s">
        <v>158</v>
      </c>
      <c r="I42" s="34" t="s">
        <v>159</v>
      </c>
      <c r="J42" s="34" t="s">
        <v>50</v>
      </c>
      <c r="K42" s="34" t="s">
        <v>17</v>
      </c>
      <c r="L42" s="53" t="s">
        <v>161</v>
      </c>
      <c r="M42" s="63"/>
      <c r="N42" s="63"/>
      <c r="O42" s="34" t="s">
        <v>52</v>
      </c>
      <c r="P42" s="34" t="s">
        <v>120</v>
      </c>
      <c r="Q42" s="48"/>
      <c r="R42" s="48"/>
      <c r="S42" s="48"/>
      <c r="T42" s="48"/>
      <c r="U42" s="48"/>
      <c r="V42" s="48"/>
      <c r="W42" s="48"/>
      <c r="X42" s="48"/>
      <c r="Y42" s="48"/>
    </row>
    <row r="43">
      <c r="A43" s="48"/>
      <c r="B43" s="48"/>
      <c r="C43" s="48"/>
      <c r="D43" s="48"/>
      <c r="E43" s="48"/>
      <c r="F43" s="50"/>
      <c r="G43" s="48"/>
      <c r="H43" s="48"/>
      <c r="I43" s="48"/>
      <c r="J43" s="48"/>
      <c r="K43" s="48"/>
      <c r="L43" s="48"/>
      <c r="M43" s="48"/>
      <c r="N43" s="48"/>
      <c r="O43" s="48"/>
      <c r="P43" s="48"/>
      <c r="Q43" s="48"/>
      <c r="R43" s="48"/>
      <c r="S43" s="48"/>
      <c r="T43" s="48"/>
      <c r="U43" s="48"/>
      <c r="V43" s="48"/>
      <c r="W43" s="48"/>
      <c r="X43" s="48"/>
      <c r="Y43" s="48"/>
    </row>
    <row r="44">
      <c r="A44" s="34" t="s">
        <v>162</v>
      </c>
      <c r="B44" s="34" t="s">
        <v>146</v>
      </c>
      <c r="C44" s="34" t="s">
        <v>155</v>
      </c>
      <c r="D44" s="34" t="s">
        <v>163</v>
      </c>
      <c r="E44" s="34" t="s">
        <v>44</v>
      </c>
      <c r="F44" s="49" t="s">
        <v>157</v>
      </c>
      <c r="G44" s="34" t="s">
        <v>149</v>
      </c>
      <c r="H44" s="34" t="s">
        <v>165</v>
      </c>
      <c r="I44" s="34" t="s">
        <v>166</v>
      </c>
      <c r="J44" s="34" t="s">
        <v>50</v>
      </c>
      <c r="K44" s="34" t="s">
        <v>17</v>
      </c>
      <c r="L44" s="53" t="s">
        <v>167</v>
      </c>
      <c r="M44" s="63"/>
      <c r="N44" s="63"/>
      <c r="O44" s="34" t="s">
        <v>52</v>
      </c>
      <c r="P44" s="34" t="s">
        <v>120</v>
      </c>
      <c r="Q44" s="48"/>
      <c r="R44" s="48"/>
      <c r="S44" s="48"/>
      <c r="T44" s="48"/>
      <c r="U44" s="48"/>
      <c r="V44" s="48"/>
      <c r="W44" s="48"/>
      <c r="X44" s="48"/>
      <c r="Y44" s="48"/>
    </row>
    <row r="45">
      <c r="A45" s="48"/>
      <c r="B45" s="48"/>
      <c r="C45" s="48"/>
      <c r="D45" s="48"/>
      <c r="E45" s="48"/>
      <c r="F45" s="50"/>
      <c r="G45" s="48"/>
      <c r="H45" s="48"/>
      <c r="I45" s="48"/>
      <c r="J45" s="48"/>
      <c r="K45" s="48"/>
      <c r="L45" s="48"/>
      <c r="M45" s="48"/>
      <c r="N45" s="48"/>
      <c r="O45" s="48"/>
      <c r="P45" s="48"/>
      <c r="Q45" s="48"/>
      <c r="R45" s="48"/>
      <c r="S45" s="48"/>
      <c r="T45" s="48"/>
      <c r="U45" s="48"/>
      <c r="V45" s="48"/>
      <c r="W45" s="48"/>
      <c r="X45" s="48"/>
      <c r="Y45" s="48"/>
    </row>
    <row r="46">
      <c r="A46" s="34" t="s">
        <v>168</v>
      </c>
      <c r="B46" s="34" t="s">
        <v>146</v>
      </c>
      <c r="C46" s="34" t="s">
        <v>169</v>
      </c>
      <c r="D46" s="34" t="s">
        <v>170</v>
      </c>
      <c r="E46" s="34" t="s">
        <v>44</v>
      </c>
      <c r="F46" s="78" t="s">
        <v>172</v>
      </c>
      <c r="G46" s="34" t="s">
        <v>149</v>
      </c>
      <c r="H46" s="34" t="s">
        <v>173</v>
      </c>
      <c r="I46" s="34" t="s">
        <v>174</v>
      </c>
      <c r="J46" s="34" t="s">
        <v>50</v>
      </c>
      <c r="K46" s="34" t="s">
        <v>23</v>
      </c>
      <c r="L46" s="53" t="s">
        <v>175</v>
      </c>
      <c r="M46" s="63"/>
      <c r="N46" s="63"/>
      <c r="O46" s="34" t="s">
        <v>52</v>
      </c>
      <c r="P46" s="34" t="s">
        <v>120</v>
      </c>
      <c r="Q46" s="48"/>
      <c r="R46" s="48"/>
      <c r="S46" s="48"/>
      <c r="T46" s="48"/>
      <c r="U46" s="48"/>
      <c r="V46" s="48"/>
      <c r="W46" s="48"/>
      <c r="X46" s="48"/>
      <c r="Y46" s="48"/>
    </row>
    <row r="47">
      <c r="A47" s="48"/>
      <c r="B47" s="48"/>
      <c r="C47" s="48"/>
      <c r="D47" s="48"/>
      <c r="E47" s="48"/>
      <c r="F47" s="50"/>
      <c r="G47" s="48"/>
      <c r="H47" s="48"/>
      <c r="I47" s="48"/>
      <c r="J47" s="48"/>
      <c r="K47" s="48"/>
      <c r="L47" s="48"/>
      <c r="M47" s="48"/>
      <c r="N47" s="48"/>
      <c r="O47" s="48"/>
      <c r="P47" s="48"/>
      <c r="Q47" s="48"/>
      <c r="R47" s="48"/>
      <c r="S47" s="48"/>
      <c r="T47" s="48"/>
      <c r="U47" s="48"/>
      <c r="V47" s="48"/>
      <c r="W47" s="48"/>
      <c r="X47" s="48"/>
      <c r="Y47" s="48"/>
    </row>
    <row r="48">
      <c r="A48" s="34" t="s">
        <v>177</v>
      </c>
      <c r="B48" s="34" t="s">
        <v>146</v>
      </c>
      <c r="C48" s="34" t="s">
        <v>178</v>
      </c>
      <c r="D48" s="34" t="s">
        <v>179</v>
      </c>
      <c r="E48" s="34" t="s">
        <v>44</v>
      </c>
      <c r="F48" s="49" t="s">
        <v>180</v>
      </c>
      <c r="G48" s="34" t="s">
        <v>149</v>
      </c>
      <c r="H48" s="34" t="s">
        <v>181</v>
      </c>
      <c r="I48" s="34" t="s">
        <v>182</v>
      </c>
      <c r="J48" s="34" t="s">
        <v>50</v>
      </c>
      <c r="K48" s="34" t="s">
        <v>23</v>
      </c>
      <c r="L48" s="53" t="s">
        <v>183</v>
      </c>
      <c r="M48" s="34"/>
      <c r="N48" s="63"/>
      <c r="O48" s="34" t="s">
        <v>52</v>
      </c>
      <c r="P48" s="34" t="s">
        <v>120</v>
      </c>
      <c r="Q48" s="48"/>
      <c r="R48" s="48"/>
      <c r="S48" s="48"/>
      <c r="T48" s="48"/>
      <c r="U48" s="48"/>
      <c r="V48" s="48"/>
      <c r="W48" s="48"/>
      <c r="X48" s="48"/>
      <c r="Y48" s="48"/>
    </row>
    <row r="49">
      <c r="A49" s="48"/>
      <c r="B49" s="48"/>
      <c r="C49" s="48"/>
      <c r="D49" s="48"/>
      <c r="E49" s="48"/>
      <c r="F49" s="50"/>
      <c r="G49" s="48"/>
      <c r="H49" s="48"/>
      <c r="I49" s="48"/>
      <c r="J49" s="48"/>
      <c r="K49" s="48"/>
      <c r="L49" s="48"/>
      <c r="M49" s="48"/>
      <c r="N49" s="48"/>
      <c r="O49" s="48"/>
      <c r="P49" s="48"/>
      <c r="Q49" s="48"/>
      <c r="R49" s="48"/>
      <c r="S49" s="48"/>
      <c r="T49" s="48"/>
      <c r="U49" s="48"/>
      <c r="V49" s="48"/>
      <c r="W49" s="48"/>
      <c r="X49" s="48"/>
      <c r="Y49" s="48"/>
    </row>
    <row r="50">
      <c r="A50" s="34" t="s">
        <v>185</v>
      </c>
      <c r="B50" s="34" t="s">
        <v>146</v>
      </c>
      <c r="C50" s="34" t="s">
        <v>155</v>
      </c>
      <c r="D50" s="34" t="s">
        <v>186</v>
      </c>
      <c r="E50" s="34" t="s">
        <v>44</v>
      </c>
      <c r="F50" s="49" t="s">
        <v>157</v>
      </c>
      <c r="G50" s="34" t="s">
        <v>149</v>
      </c>
      <c r="H50" s="34" t="s">
        <v>187</v>
      </c>
      <c r="I50" s="34" t="s">
        <v>188</v>
      </c>
      <c r="J50" s="34" t="s">
        <v>50</v>
      </c>
      <c r="K50" s="34" t="s">
        <v>17</v>
      </c>
      <c r="L50" s="53" t="s">
        <v>189</v>
      </c>
      <c r="M50" s="63"/>
      <c r="N50" s="63"/>
      <c r="O50" s="34" t="s">
        <v>52</v>
      </c>
      <c r="P50" s="34" t="s">
        <v>191</v>
      </c>
      <c r="Q50" s="48"/>
      <c r="R50" s="48"/>
      <c r="S50" s="48"/>
      <c r="T50" s="48"/>
      <c r="U50" s="48"/>
      <c r="V50" s="48"/>
      <c r="W50" s="48"/>
      <c r="X50" s="48"/>
      <c r="Y50" s="48"/>
    </row>
    <row r="51">
      <c r="A51" s="48"/>
      <c r="B51" s="48"/>
      <c r="C51" s="48"/>
      <c r="D51" s="48"/>
      <c r="E51" s="48"/>
      <c r="F51" s="50"/>
      <c r="G51" s="48"/>
      <c r="H51" s="48"/>
      <c r="I51" s="48"/>
      <c r="J51" s="48"/>
      <c r="K51" s="48"/>
      <c r="L51" s="48"/>
      <c r="M51" s="48"/>
      <c r="N51" s="48"/>
      <c r="O51" s="48"/>
      <c r="P51" s="48"/>
      <c r="Q51" s="48"/>
      <c r="R51" s="48"/>
      <c r="S51" s="48"/>
      <c r="T51" s="48"/>
      <c r="U51" s="48"/>
      <c r="V51" s="48"/>
      <c r="W51" s="48"/>
      <c r="X51" s="48"/>
      <c r="Y51" s="48"/>
    </row>
    <row r="52">
      <c r="A52" s="34" t="s">
        <v>192</v>
      </c>
      <c r="B52" s="34" t="s">
        <v>146</v>
      </c>
      <c r="C52" s="34" t="s">
        <v>193</v>
      </c>
      <c r="D52" s="34" t="s">
        <v>194</v>
      </c>
      <c r="E52" s="34" t="s">
        <v>44</v>
      </c>
      <c r="F52" s="49" t="s">
        <v>195</v>
      </c>
      <c r="G52" s="34" t="s">
        <v>149</v>
      </c>
      <c r="H52" s="34" t="s">
        <v>196</v>
      </c>
      <c r="I52" s="34" t="s">
        <v>197</v>
      </c>
      <c r="J52" s="34" t="s">
        <v>50</v>
      </c>
      <c r="K52" s="34" t="s">
        <v>17</v>
      </c>
      <c r="L52" s="58" t="s">
        <v>198</v>
      </c>
      <c r="M52" s="63"/>
      <c r="N52" s="63"/>
      <c r="O52" s="34" t="s">
        <v>52</v>
      </c>
      <c r="P52" s="34"/>
      <c r="Q52" s="48"/>
      <c r="R52" s="48"/>
      <c r="S52" s="48"/>
      <c r="T52" s="48"/>
      <c r="U52" s="48"/>
      <c r="V52" s="48"/>
      <c r="W52" s="48"/>
      <c r="X52" s="48"/>
      <c r="Y52" s="48"/>
    </row>
    <row r="53">
      <c r="A53" s="48"/>
      <c r="B53" s="48"/>
      <c r="C53" s="48"/>
      <c r="D53" s="48"/>
      <c r="E53" s="48"/>
      <c r="F53" s="50"/>
      <c r="G53" s="48"/>
      <c r="H53" s="48"/>
      <c r="I53" s="48"/>
      <c r="J53" s="48"/>
      <c r="K53" s="48"/>
      <c r="L53" s="48"/>
      <c r="M53" s="48"/>
      <c r="N53" s="48"/>
      <c r="O53" s="48"/>
      <c r="P53" s="48"/>
      <c r="Q53" s="48"/>
      <c r="R53" s="48"/>
      <c r="S53" s="48"/>
      <c r="T53" s="48"/>
      <c r="U53" s="48"/>
      <c r="V53" s="48"/>
      <c r="W53" s="48"/>
      <c r="X53" s="48"/>
      <c r="Y53" s="48"/>
    </row>
    <row r="54">
      <c r="A54" s="34" t="s">
        <v>200</v>
      </c>
      <c r="B54" s="34" t="s">
        <v>146</v>
      </c>
      <c r="C54" s="34" t="s">
        <v>193</v>
      </c>
      <c r="D54" s="34" t="s">
        <v>201</v>
      </c>
      <c r="E54" s="34" t="s">
        <v>44</v>
      </c>
      <c r="F54" s="49" t="s">
        <v>195</v>
      </c>
      <c r="G54" s="34" t="s">
        <v>149</v>
      </c>
      <c r="H54" s="34" t="s">
        <v>202</v>
      </c>
      <c r="I54" s="34" t="s">
        <v>203</v>
      </c>
      <c r="J54" s="34" t="s">
        <v>50</v>
      </c>
      <c r="K54" s="34" t="s">
        <v>23</v>
      </c>
      <c r="L54" s="53" t="s">
        <v>204</v>
      </c>
      <c r="M54" s="63"/>
      <c r="N54" s="63"/>
      <c r="O54" s="63"/>
      <c r="P54" s="34"/>
      <c r="Q54" s="48"/>
      <c r="R54" s="48"/>
      <c r="S54" s="48"/>
      <c r="T54" s="48"/>
      <c r="U54" s="48"/>
      <c r="V54" s="48"/>
      <c r="W54" s="48"/>
      <c r="X54" s="48"/>
      <c r="Y54" s="48"/>
    </row>
    <row r="55">
      <c r="A55" s="48"/>
      <c r="B55" s="48"/>
      <c r="C55" s="48"/>
      <c r="D55" s="48"/>
      <c r="E55" s="48"/>
      <c r="F55" s="50"/>
      <c r="G55" s="48"/>
      <c r="H55" s="48"/>
      <c r="I55" s="48"/>
      <c r="J55" s="48"/>
      <c r="K55" s="48"/>
      <c r="L55" s="48"/>
      <c r="M55" s="48"/>
      <c r="N55" s="48"/>
      <c r="O55" s="48"/>
      <c r="P55" s="48"/>
      <c r="Q55" s="48"/>
      <c r="R55" s="48"/>
      <c r="S55" s="48"/>
      <c r="T55" s="48"/>
      <c r="U55" s="48"/>
      <c r="V55" s="48"/>
      <c r="W55" s="48"/>
      <c r="X55" s="48"/>
      <c r="Y55" s="48"/>
    </row>
    <row r="56">
      <c r="A56" s="34" t="s">
        <v>206</v>
      </c>
      <c r="B56" s="34" t="s">
        <v>146</v>
      </c>
      <c r="C56" s="34" t="s">
        <v>193</v>
      </c>
      <c r="D56" s="34" t="s">
        <v>207</v>
      </c>
      <c r="E56" s="34" t="s">
        <v>44</v>
      </c>
      <c r="F56" s="49" t="s">
        <v>195</v>
      </c>
      <c r="G56" s="34" t="s">
        <v>149</v>
      </c>
      <c r="H56" s="34" t="s">
        <v>208</v>
      </c>
      <c r="I56" s="34" t="s">
        <v>209</v>
      </c>
      <c r="J56" s="34" t="s">
        <v>50</v>
      </c>
      <c r="K56" s="34" t="s">
        <v>17</v>
      </c>
      <c r="L56" s="53" t="s">
        <v>210</v>
      </c>
      <c r="M56" s="63"/>
      <c r="N56" s="63"/>
      <c r="O56" s="34" t="s">
        <v>52</v>
      </c>
      <c r="P56" s="34"/>
      <c r="Q56" s="48"/>
      <c r="R56" s="48"/>
      <c r="S56" s="48"/>
      <c r="T56" s="48"/>
      <c r="U56" s="48"/>
      <c r="V56" s="48"/>
      <c r="W56" s="48"/>
      <c r="X56" s="48"/>
      <c r="Y56" s="48"/>
    </row>
    <row r="57">
      <c r="A57" s="48"/>
      <c r="B57" s="48"/>
      <c r="C57" s="48"/>
      <c r="D57" s="48"/>
      <c r="E57" s="48"/>
      <c r="F57" s="50"/>
      <c r="G57" s="48"/>
      <c r="H57" s="48"/>
      <c r="I57" s="48"/>
      <c r="J57" s="48"/>
      <c r="K57" s="48"/>
      <c r="L57" s="48"/>
      <c r="M57" s="48"/>
      <c r="N57" s="48"/>
      <c r="O57" s="48"/>
      <c r="P57" s="48"/>
      <c r="Q57" s="48"/>
      <c r="R57" s="48"/>
      <c r="S57" s="48"/>
      <c r="T57" s="48"/>
      <c r="U57" s="48"/>
      <c r="V57" s="48"/>
      <c r="W57" s="48"/>
      <c r="X57" s="48"/>
      <c r="Y57" s="48"/>
    </row>
    <row r="58">
      <c r="A58" s="34" t="s">
        <v>212</v>
      </c>
      <c r="B58" s="34" t="s">
        <v>146</v>
      </c>
      <c r="C58" s="34" t="s">
        <v>193</v>
      </c>
      <c r="D58" s="34" t="s">
        <v>213</v>
      </c>
      <c r="E58" s="34" t="s">
        <v>44</v>
      </c>
      <c r="F58" s="49" t="s">
        <v>195</v>
      </c>
      <c r="G58" s="34" t="s">
        <v>149</v>
      </c>
      <c r="H58" s="34" t="s">
        <v>215</v>
      </c>
      <c r="I58" s="34" t="s">
        <v>216</v>
      </c>
      <c r="J58" s="34" t="s">
        <v>50</v>
      </c>
      <c r="K58" s="34" t="s">
        <v>17</v>
      </c>
      <c r="L58" s="53" t="s">
        <v>217</v>
      </c>
      <c r="M58" s="63"/>
      <c r="N58" s="63"/>
      <c r="O58" s="34" t="s">
        <v>52</v>
      </c>
      <c r="P58" s="34"/>
      <c r="Q58" s="48"/>
      <c r="R58" s="48"/>
      <c r="S58" s="48"/>
      <c r="T58" s="48"/>
      <c r="U58" s="48"/>
      <c r="V58" s="48"/>
      <c r="W58" s="48"/>
      <c r="X58" s="48"/>
      <c r="Y58" s="48"/>
    </row>
    <row r="59">
      <c r="A59" s="48"/>
      <c r="B59" s="48"/>
      <c r="C59" s="48"/>
      <c r="D59" s="48"/>
      <c r="E59" s="48"/>
      <c r="F59" s="50"/>
      <c r="G59" s="48"/>
      <c r="H59" s="48"/>
      <c r="I59" s="48"/>
      <c r="J59" s="48"/>
      <c r="K59" s="48"/>
      <c r="L59" s="48"/>
      <c r="M59" s="48"/>
      <c r="N59" s="48"/>
      <c r="O59" s="48"/>
      <c r="P59" s="48"/>
      <c r="Q59" s="48"/>
      <c r="R59" s="48"/>
      <c r="S59" s="48"/>
      <c r="T59" s="48"/>
      <c r="U59" s="48"/>
      <c r="V59" s="48"/>
      <c r="W59" s="48"/>
      <c r="X59" s="48"/>
      <c r="Y59" s="48"/>
    </row>
    <row r="60">
      <c r="A60" s="34" t="s">
        <v>219</v>
      </c>
      <c r="B60" s="34" t="s">
        <v>146</v>
      </c>
      <c r="C60" s="34" t="s">
        <v>72</v>
      </c>
      <c r="D60" s="34" t="s">
        <v>220</v>
      </c>
      <c r="E60" s="34" t="s">
        <v>44</v>
      </c>
      <c r="F60" s="49" t="s">
        <v>221</v>
      </c>
      <c r="G60" s="34" t="s">
        <v>149</v>
      </c>
      <c r="H60" s="34" t="s">
        <v>222</v>
      </c>
      <c r="I60" s="34" t="s">
        <v>223</v>
      </c>
      <c r="J60" s="34" t="s">
        <v>50</v>
      </c>
      <c r="K60" s="34" t="s">
        <v>17</v>
      </c>
      <c r="L60" s="53" t="s">
        <v>224</v>
      </c>
      <c r="M60" s="63"/>
      <c r="N60" s="63"/>
      <c r="O60" s="63"/>
      <c r="P60" s="34"/>
      <c r="Q60" s="48"/>
      <c r="R60" s="48"/>
      <c r="S60" s="48"/>
      <c r="T60" s="48"/>
      <c r="U60" s="48"/>
      <c r="V60" s="48"/>
      <c r="W60" s="48"/>
      <c r="X60" s="48"/>
      <c r="Y60" s="48"/>
    </row>
    <row r="61">
      <c r="A61" s="48"/>
      <c r="B61" s="48"/>
      <c r="C61" s="48"/>
      <c r="D61" s="48"/>
      <c r="E61" s="48"/>
      <c r="F61" s="50"/>
      <c r="G61" s="48"/>
      <c r="H61" s="48"/>
      <c r="I61" s="48"/>
      <c r="J61" s="48"/>
      <c r="K61" s="48"/>
      <c r="L61" s="48"/>
      <c r="M61" s="48"/>
      <c r="N61" s="48"/>
      <c r="O61" s="48"/>
      <c r="P61" s="48"/>
      <c r="Q61" s="48"/>
      <c r="R61" s="48"/>
      <c r="S61" s="48"/>
      <c r="T61" s="48"/>
      <c r="U61" s="48"/>
      <c r="V61" s="48"/>
      <c r="W61" s="48"/>
      <c r="X61" s="48"/>
      <c r="Y61" s="48"/>
    </row>
    <row r="62">
      <c r="A62" s="34" t="s">
        <v>226</v>
      </c>
      <c r="B62" s="34" t="s">
        <v>146</v>
      </c>
      <c r="C62" s="34" t="s">
        <v>80</v>
      </c>
      <c r="D62" s="34" t="s">
        <v>227</v>
      </c>
      <c r="E62" s="34" t="s">
        <v>44</v>
      </c>
      <c r="F62" s="49" t="s">
        <v>228</v>
      </c>
      <c r="G62" s="34" t="s">
        <v>149</v>
      </c>
      <c r="H62" s="34" t="s">
        <v>229</v>
      </c>
      <c r="I62" s="34" t="s">
        <v>230</v>
      </c>
      <c r="J62" s="34" t="s">
        <v>50</v>
      </c>
      <c r="K62" s="34" t="s">
        <v>17</v>
      </c>
      <c r="L62" s="53" t="s">
        <v>231</v>
      </c>
      <c r="M62" s="63"/>
      <c r="N62" s="63"/>
      <c r="O62" s="63"/>
      <c r="P62" s="34"/>
      <c r="Q62" s="48"/>
      <c r="R62" s="48"/>
      <c r="S62" s="48"/>
      <c r="T62" s="48"/>
      <c r="U62" s="48"/>
      <c r="V62" s="48"/>
      <c r="W62" s="48"/>
      <c r="X62" s="48"/>
      <c r="Y62" s="48"/>
    </row>
    <row r="63">
      <c r="A63" s="48"/>
      <c r="B63" s="48"/>
      <c r="C63" s="48"/>
      <c r="D63" s="48"/>
      <c r="E63" s="48"/>
      <c r="F63" s="50"/>
      <c r="G63" s="48"/>
      <c r="H63" s="48"/>
      <c r="I63" s="48"/>
      <c r="J63" s="48"/>
      <c r="K63" s="48"/>
      <c r="L63" s="48"/>
      <c r="M63" s="48"/>
      <c r="N63" s="48"/>
      <c r="O63" s="48"/>
      <c r="P63" s="48"/>
      <c r="Q63" s="48"/>
      <c r="R63" s="48"/>
      <c r="S63" s="48"/>
      <c r="T63" s="48"/>
      <c r="U63" s="48"/>
      <c r="V63" s="48"/>
      <c r="W63" s="48"/>
      <c r="X63" s="48"/>
      <c r="Y63" s="48"/>
    </row>
    <row r="64">
      <c r="A64" s="34" t="s">
        <v>233</v>
      </c>
      <c r="B64" s="34" t="s">
        <v>146</v>
      </c>
      <c r="C64" s="34" t="s">
        <v>234</v>
      </c>
      <c r="D64" s="34" t="s">
        <v>235</v>
      </c>
      <c r="E64" s="34" t="s">
        <v>44</v>
      </c>
      <c r="F64" s="49" t="s">
        <v>236</v>
      </c>
      <c r="G64" s="34" t="s">
        <v>149</v>
      </c>
      <c r="H64" s="34" t="s">
        <v>237</v>
      </c>
      <c r="I64" s="34" t="s">
        <v>238</v>
      </c>
      <c r="J64" s="34" t="s">
        <v>50</v>
      </c>
      <c r="K64" s="34" t="s">
        <v>17</v>
      </c>
      <c r="L64" s="53" t="s">
        <v>239</v>
      </c>
      <c r="M64" s="63"/>
      <c r="N64" s="63"/>
      <c r="O64" s="34" t="s">
        <v>52</v>
      </c>
      <c r="P64" s="34" t="s">
        <v>241</v>
      </c>
      <c r="Q64" s="48"/>
      <c r="R64" s="48"/>
      <c r="S64" s="48"/>
      <c r="T64" s="48"/>
      <c r="U64" s="48"/>
      <c r="V64" s="48"/>
      <c r="W64" s="48"/>
      <c r="X64" s="48"/>
      <c r="Y64" s="48"/>
    </row>
    <row r="65">
      <c r="A65" s="48"/>
      <c r="B65" s="48"/>
      <c r="C65" s="48"/>
      <c r="D65" s="48"/>
      <c r="E65" s="48"/>
      <c r="F65" s="50"/>
      <c r="G65" s="48"/>
      <c r="H65" s="48"/>
      <c r="I65" s="48"/>
      <c r="J65" s="48"/>
      <c r="K65" s="48"/>
      <c r="L65" s="48"/>
      <c r="M65" s="48"/>
      <c r="N65" s="48"/>
      <c r="O65" s="48"/>
      <c r="P65" s="48"/>
      <c r="Q65" s="48"/>
      <c r="R65" s="48"/>
      <c r="S65" s="48"/>
      <c r="T65" s="48"/>
      <c r="U65" s="48"/>
      <c r="V65" s="48"/>
      <c r="W65" s="48"/>
      <c r="X65" s="48"/>
      <c r="Y65" s="48"/>
    </row>
    <row r="66">
      <c r="A66" s="34" t="s">
        <v>242</v>
      </c>
      <c r="B66" s="34" t="s">
        <v>146</v>
      </c>
      <c r="C66" s="34" t="s">
        <v>234</v>
      </c>
      <c r="D66" s="34" t="s">
        <v>243</v>
      </c>
      <c r="E66" s="34" t="s">
        <v>44</v>
      </c>
      <c r="F66" s="49" t="s">
        <v>236</v>
      </c>
      <c r="G66" s="34" t="s">
        <v>149</v>
      </c>
      <c r="H66" s="34" t="s">
        <v>244</v>
      </c>
      <c r="I66" s="34" t="s">
        <v>245</v>
      </c>
      <c r="J66" s="34" t="s">
        <v>50</v>
      </c>
      <c r="K66" s="34" t="s">
        <v>17</v>
      </c>
      <c r="L66" s="53" t="s">
        <v>246</v>
      </c>
      <c r="M66" s="63"/>
      <c r="N66" s="63"/>
      <c r="O66" s="63"/>
      <c r="P66" s="34"/>
      <c r="Q66" s="48"/>
      <c r="R66" s="48"/>
      <c r="S66" s="48"/>
      <c r="T66" s="48"/>
      <c r="U66" s="48"/>
      <c r="V66" s="48"/>
      <c r="W66" s="48"/>
      <c r="X66" s="48"/>
      <c r="Y66" s="48"/>
    </row>
    <row r="67">
      <c r="A67" s="48"/>
      <c r="B67" s="48"/>
      <c r="C67" s="48"/>
      <c r="D67" s="48"/>
      <c r="E67" s="48"/>
      <c r="F67" s="50"/>
      <c r="G67" s="48"/>
      <c r="H67" s="48"/>
      <c r="I67" s="48"/>
      <c r="J67" s="48"/>
      <c r="K67" s="48"/>
      <c r="L67" s="48"/>
      <c r="M67" s="48"/>
      <c r="N67" s="48"/>
      <c r="O67" s="48"/>
      <c r="P67" s="48"/>
      <c r="Q67" s="48"/>
      <c r="R67" s="48"/>
      <c r="S67" s="48"/>
      <c r="T67" s="48"/>
      <c r="U67" s="48"/>
      <c r="V67" s="48"/>
      <c r="W67" s="48"/>
      <c r="X67" s="48"/>
      <c r="Y67" s="48"/>
    </row>
    <row r="68">
      <c r="A68" s="34" t="s">
        <v>248</v>
      </c>
      <c r="B68" s="34" t="s">
        <v>146</v>
      </c>
      <c r="C68" s="34" t="s">
        <v>234</v>
      </c>
      <c r="D68" s="34" t="s">
        <v>249</v>
      </c>
      <c r="E68" s="34" t="s">
        <v>44</v>
      </c>
      <c r="F68" s="78" t="s">
        <v>236</v>
      </c>
      <c r="G68" s="34" t="s">
        <v>149</v>
      </c>
      <c r="H68" s="34" t="s">
        <v>250</v>
      </c>
      <c r="I68" s="34" t="s">
        <v>251</v>
      </c>
      <c r="J68" s="34" t="s">
        <v>50</v>
      </c>
      <c r="K68" s="34" t="s">
        <v>23</v>
      </c>
      <c r="L68" s="53" t="s">
        <v>252</v>
      </c>
      <c r="M68" s="63"/>
      <c r="N68" s="63"/>
      <c r="O68" s="63"/>
      <c r="P68" s="34"/>
      <c r="Q68" s="48"/>
      <c r="R68" s="48"/>
      <c r="S68" s="48"/>
      <c r="T68" s="48"/>
      <c r="U68" s="48"/>
      <c r="V68" s="48"/>
      <c r="W68" s="48"/>
      <c r="X68" s="48"/>
      <c r="Y68" s="48"/>
    </row>
    <row r="69">
      <c r="A69" s="48"/>
      <c r="B69" s="48"/>
      <c r="C69" s="48"/>
      <c r="D69" s="48"/>
      <c r="E69" s="48"/>
      <c r="F69" s="50"/>
      <c r="G69" s="48"/>
      <c r="H69" s="48"/>
      <c r="I69" s="48"/>
      <c r="J69" s="48"/>
      <c r="K69" s="48"/>
      <c r="L69" s="48"/>
      <c r="M69" s="48"/>
      <c r="N69" s="48"/>
      <c r="O69" s="48"/>
      <c r="P69" s="48"/>
      <c r="Q69" s="48"/>
      <c r="R69" s="48"/>
      <c r="S69" s="48"/>
      <c r="T69" s="48"/>
      <c r="U69" s="48"/>
      <c r="V69" s="48"/>
      <c r="W69" s="48"/>
      <c r="X69" s="48"/>
      <c r="Y69" s="48"/>
    </row>
    <row r="70">
      <c r="A70" s="34" t="s">
        <v>254</v>
      </c>
      <c r="B70" s="34" t="s">
        <v>146</v>
      </c>
      <c r="C70" s="34" t="s">
        <v>255</v>
      </c>
      <c r="D70" s="34" t="s">
        <v>256</v>
      </c>
      <c r="E70" s="34" t="s">
        <v>44</v>
      </c>
      <c r="F70" s="78" t="s">
        <v>257</v>
      </c>
      <c r="G70" s="34" t="s">
        <v>149</v>
      </c>
      <c r="H70" s="34" t="s">
        <v>258</v>
      </c>
      <c r="I70" s="34" t="s">
        <v>259</v>
      </c>
      <c r="J70" s="34" t="s">
        <v>50</v>
      </c>
      <c r="K70" s="34" t="s">
        <v>17</v>
      </c>
      <c r="L70" s="53" t="s">
        <v>260</v>
      </c>
      <c r="M70" s="63"/>
      <c r="N70" s="63"/>
      <c r="O70" s="63"/>
      <c r="P70" s="34"/>
      <c r="Q70" s="48"/>
      <c r="R70" s="48"/>
      <c r="S70" s="48"/>
      <c r="T70" s="48"/>
      <c r="U70" s="48"/>
      <c r="V70" s="48"/>
      <c r="W70" s="48"/>
      <c r="X70" s="48"/>
      <c r="Y70" s="48"/>
    </row>
    <row r="71">
      <c r="A71" s="48"/>
      <c r="B71" s="48"/>
      <c r="C71" s="48"/>
      <c r="D71" s="48"/>
      <c r="E71" s="48"/>
      <c r="F71" s="50"/>
      <c r="G71" s="48"/>
      <c r="H71" s="48"/>
      <c r="I71" s="48"/>
      <c r="J71" s="48"/>
      <c r="K71" s="48"/>
      <c r="L71" s="48"/>
      <c r="M71" s="48"/>
      <c r="N71" s="48"/>
      <c r="O71" s="48"/>
      <c r="P71" s="48"/>
      <c r="Q71" s="48"/>
      <c r="R71" s="48"/>
      <c r="S71" s="48"/>
      <c r="T71" s="48"/>
      <c r="U71" s="48"/>
      <c r="V71" s="48"/>
      <c r="W71" s="48"/>
      <c r="X71" s="48"/>
      <c r="Y71" s="48"/>
    </row>
    <row r="72">
      <c r="A72" s="34" t="s">
        <v>262</v>
      </c>
      <c r="B72" s="34" t="s">
        <v>146</v>
      </c>
      <c r="C72" s="34" t="s">
        <v>255</v>
      </c>
      <c r="D72" s="34" t="s">
        <v>263</v>
      </c>
      <c r="E72" s="34" t="s">
        <v>44</v>
      </c>
      <c r="F72" s="78" t="s">
        <v>257</v>
      </c>
      <c r="G72" s="34" t="s">
        <v>149</v>
      </c>
      <c r="H72" s="34" t="s">
        <v>264</v>
      </c>
      <c r="I72" s="34" t="s">
        <v>265</v>
      </c>
      <c r="J72" s="34" t="s">
        <v>50</v>
      </c>
      <c r="K72" s="34" t="s">
        <v>17</v>
      </c>
      <c r="L72" s="53" t="s">
        <v>267</v>
      </c>
      <c r="M72" s="63"/>
      <c r="N72" s="63"/>
      <c r="O72" s="63"/>
      <c r="P72" s="34"/>
      <c r="Q72" s="48"/>
      <c r="R72" s="48"/>
      <c r="S72" s="48"/>
      <c r="T72" s="48"/>
      <c r="U72" s="48"/>
      <c r="V72" s="48"/>
      <c r="W72" s="48"/>
      <c r="X72" s="48"/>
      <c r="Y72" s="48"/>
    </row>
    <row r="73">
      <c r="A73" s="48"/>
      <c r="B73" s="48"/>
      <c r="C73" s="48"/>
      <c r="D73" s="48"/>
      <c r="E73" s="48"/>
      <c r="F73" s="50"/>
      <c r="G73" s="48"/>
      <c r="H73" s="48"/>
      <c r="I73" s="48"/>
      <c r="J73" s="48"/>
      <c r="K73" s="48"/>
      <c r="L73" s="48"/>
      <c r="M73" s="48"/>
      <c r="N73" s="48"/>
      <c r="O73" s="48"/>
      <c r="P73" s="48"/>
      <c r="Q73" s="48"/>
      <c r="R73" s="48"/>
      <c r="S73" s="48"/>
      <c r="T73" s="48"/>
      <c r="U73" s="48"/>
      <c r="V73" s="48"/>
      <c r="W73" s="48"/>
      <c r="X73" s="48"/>
      <c r="Y73" s="48"/>
    </row>
    <row r="74">
      <c r="A74" s="34" t="s">
        <v>269</v>
      </c>
      <c r="B74" s="63"/>
      <c r="C74" s="63"/>
      <c r="D74" s="63"/>
      <c r="E74" s="63"/>
      <c r="F74" s="79"/>
      <c r="G74" s="63"/>
      <c r="H74" s="63"/>
      <c r="I74" s="63"/>
      <c r="J74" s="63"/>
      <c r="K74" s="63"/>
      <c r="L74" s="80"/>
      <c r="M74" s="63"/>
      <c r="N74" s="63"/>
      <c r="O74" s="63"/>
      <c r="P74" s="34"/>
      <c r="Q74" s="48"/>
      <c r="R74" s="48"/>
      <c r="S74" s="48"/>
      <c r="T74" s="48"/>
      <c r="U74" s="48"/>
      <c r="V74" s="48"/>
      <c r="W74" s="48"/>
      <c r="X74" s="48"/>
      <c r="Y74" s="48"/>
    </row>
    <row r="75">
      <c r="A75" s="48"/>
      <c r="B75" s="48"/>
      <c r="C75" s="48"/>
      <c r="D75" s="48"/>
      <c r="E75" s="48"/>
      <c r="F75" s="50"/>
      <c r="G75" s="48"/>
      <c r="H75" s="48"/>
      <c r="I75" s="48"/>
      <c r="J75" s="48"/>
      <c r="K75" s="48"/>
      <c r="L75" s="48"/>
      <c r="M75" s="48"/>
      <c r="N75" s="48"/>
      <c r="O75" s="48"/>
      <c r="P75" s="48"/>
      <c r="Q75" s="48"/>
      <c r="R75" s="48"/>
      <c r="S75" s="48"/>
      <c r="T75" s="48"/>
      <c r="U75" s="48"/>
      <c r="V75" s="48"/>
      <c r="W75" s="48"/>
      <c r="X75" s="48"/>
      <c r="Y75" s="48"/>
    </row>
    <row r="76">
      <c r="A76" s="34" t="s">
        <v>270</v>
      </c>
      <c r="B76" s="63"/>
      <c r="C76" s="63"/>
      <c r="D76" s="63"/>
      <c r="E76" s="63"/>
      <c r="F76" s="79"/>
      <c r="G76" s="63"/>
      <c r="H76" s="63"/>
      <c r="I76" s="63"/>
      <c r="J76" s="63"/>
      <c r="K76" s="63"/>
      <c r="L76" s="80"/>
      <c r="M76" s="63"/>
      <c r="N76" s="63"/>
      <c r="O76" s="63"/>
      <c r="P76" s="34"/>
      <c r="Q76" s="48"/>
      <c r="R76" s="48"/>
      <c r="S76" s="48"/>
      <c r="T76" s="48"/>
      <c r="U76" s="48"/>
      <c r="V76" s="48"/>
      <c r="W76" s="48"/>
      <c r="X76" s="48"/>
      <c r="Y76" s="48"/>
    </row>
    <row r="77">
      <c r="A77" s="48"/>
      <c r="B77" s="48"/>
      <c r="C77" s="48"/>
      <c r="D77" s="48"/>
      <c r="E77" s="48"/>
      <c r="F77" s="50"/>
      <c r="G77" s="48"/>
      <c r="H77" s="48"/>
      <c r="I77" s="48"/>
      <c r="J77" s="48"/>
      <c r="K77" s="48"/>
      <c r="L77" s="48"/>
      <c r="M77" s="48"/>
      <c r="N77" s="48"/>
      <c r="O77" s="48"/>
      <c r="P77" s="48"/>
      <c r="Q77" s="48"/>
      <c r="R77" s="48"/>
      <c r="S77" s="48"/>
      <c r="T77" s="48"/>
      <c r="U77" s="48"/>
      <c r="V77" s="48"/>
      <c r="W77" s="48"/>
      <c r="X77" s="48"/>
      <c r="Y77" s="48"/>
    </row>
    <row r="78">
      <c r="A78" s="34" t="s">
        <v>271</v>
      </c>
      <c r="B78" s="63"/>
      <c r="C78" s="63"/>
      <c r="D78" s="63"/>
      <c r="E78" s="63"/>
      <c r="F78" s="79"/>
      <c r="G78" s="63"/>
      <c r="H78" s="63"/>
      <c r="I78" s="63"/>
      <c r="J78" s="63"/>
      <c r="K78" s="63"/>
      <c r="L78" s="80"/>
      <c r="M78" s="63"/>
      <c r="N78" s="63"/>
      <c r="O78" s="63"/>
      <c r="P78" s="34"/>
      <c r="Q78" s="48"/>
      <c r="R78" s="48"/>
      <c r="S78" s="48"/>
      <c r="T78" s="48"/>
      <c r="U78" s="48"/>
      <c r="V78" s="48"/>
      <c r="W78" s="48"/>
      <c r="X78" s="48"/>
      <c r="Y78" s="48"/>
    </row>
    <row r="79">
      <c r="A79" s="48"/>
      <c r="B79" s="48"/>
      <c r="C79" s="48"/>
      <c r="D79" s="48"/>
      <c r="E79" s="48"/>
      <c r="F79" s="50"/>
      <c r="G79" s="48"/>
      <c r="H79" s="48"/>
      <c r="I79" s="48"/>
      <c r="J79" s="48"/>
      <c r="K79" s="48"/>
      <c r="L79" s="48"/>
      <c r="M79" s="48"/>
      <c r="N79" s="48"/>
      <c r="O79" s="48"/>
      <c r="P79" s="48"/>
      <c r="Q79" s="48"/>
      <c r="R79" s="48"/>
      <c r="S79" s="48"/>
      <c r="T79" s="48"/>
      <c r="U79" s="48"/>
      <c r="V79" s="48"/>
      <c r="W79" s="48"/>
      <c r="X79" s="48"/>
      <c r="Y79" s="48"/>
    </row>
    <row r="80">
      <c r="A80" s="34" t="s">
        <v>273</v>
      </c>
      <c r="B80" s="63"/>
      <c r="C80" s="63"/>
      <c r="D80" s="63"/>
      <c r="E80" s="63"/>
      <c r="F80" s="79"/>
      <c r="G80" s="63"/>
      <c r="H80" s="63"/>
      <c r="I80" s="63"/>
      <c r="J80" s="63"/>
      <c r="K80" s="63"/>
      <c r="L80" s="80"/>
      <c r="M80" s="63"/>
      <c r="N80" s="63"/>
      <c r="O80" s="63"/>
      <c r="P80" s="34"/>
      <c r="Q80" s="48"/>
      <c r="R80" s="48"/>
      <c r="S80" s="48"/>
      <c r="T80" s="48"/>
      <c r="U80" s="48"/>
      <c r="V80" s="48"/>
      <c r="W80" s="48"/>
      <c r="X80" s="48"/>
      <c r="Y80" s="48"/>
    </row>
    <row r="81">
      <c r="A81" s="48"/>
      <c r="B81" s="48"/>
      <c r="C81" s="48"/>
      <c r="D81" s="48"/>
      <c r="E81" s="48"/>
      <c r="F81" s="50"/>
      <c r="G81" s="48"/>
      <c r="H81" s="48"/>
      <c r="I81" s="48"/>
      <c r="J81" s="48"/>
      <c r="K81" s="48"/>
      <c r="L81" s="48"/>
      <c r="M81" s="48"/>
      <c r="N81" s="48"/>
      <c r="O81" s="48"/>
      <c r="P81" s="48"/>
      <c r="Q81" s="48"/>
      <c r="R81" s="48"/>
      <c r="S81" s="48"/>
      <c r="T81" s="48"/>
      <c r="U81" s="48"/>
      <c r="V81" s="48"/>
      <c r="W81" s="48"/>
      <c r="X81" s="48"/>
      <c r="Y81" s="48"/>
    </row>
    <row r="82">
      <c r="A82" s="34" t="s">
        <v>274</v>
      </c>
      <c r="B82" s="63"/>
      <c r="C82" s="63"/>
      <c r="D82" s="63"/>
      <c r="E82" s="63"/>
      <c r="F82" s="63"/>
      <c r="G82" s="63"/>
      <c r="H82" s="63"/>
      <c r="I82" s="63"/>
      <c r="J82" s="63"/>
      <c r="K82" s="63"/>
      <c r="L82" s="80"/>
      <c r="M82" s="63"/>
      <c r="N82" s="63"/>
      <c r="O82" s="63"/>
      <c r="P82" s="34"/>
      <c r="Q82" s="48"/>
      <c r="R82" s="48"/>
      <c r="S82" s="48"/>
      <c r="T82" s="48"/>
      <c r="U82" s="48"/>
      <c r="V82" s="48"/>
      <c r="W82" s="48"/>
      <c r="X82" s="48"/>
      <c r="Y82" s="48"/>
    </row>
    <row r="83">
      <c r="A83" s="81"/>
      <c r="B83" s="81"/>
      <c r="C83" s="81"/>
      <c r="D83" s="81"/>
      <c r="E83" s="81"/>
      <c r="F83" s="81"/>
      <c r="G83" s="81"/>
      <c r="H83" s="81"/>
      <c r="I83" s="81"/>
      <c r="J83" s="81"/>
      <c r="K83" s="81"/>
      <c r="L83" s="81"/>
      <c r="M83" s="81"/>
      <c r="N83" s="81"/>
      <c r="O83" s="81"/>
      <c r="P83" s="81"/>
      <c r="Q83" s="81"/>
      <c r="R83" s="81"/>
      <c r="S83" s="81"/>
      <c r="T83" s="81"/>
      <c r="U83" s="81"/>
      <c r="V83" s="81"/>
      <c r="W83" s="81"/>
      <c r="X83" s="81"/>
      <c r="Y83" s="81"/>
    </row>
    <row r="84">
      <c r="A84" s="81"/>
      <c r="B84" s="81"/>
      <c r="C84" s="81"/>
      <c r="D84" s="81"/>
      <c r="E84" s="81"/>
      <c r="F84" s="81"/>
      <c r="G84" s="81"/>
      <c r="H84" s="81"/>
      <c r="I84" s="81"/>
      <c r="J84" s="81"/>
      <c r="K84" s="81"/>
      <c r="L84" s="81"/>
      <c r="M84" s="81"/>
      <c r="N84" s="81"/>
      <c r="O84" s="81"/>
      <c r="P84" s="81"/>
      <c r="Q84" s="81"/>
      <c r="R84" s="81"/>
      <c r="S84" s="81"/>
      <c r="T84" s="81"/>
      <c r="U84" s="81"/>
      <c r="V84" s="81"/>
      <c r="W84" s="81"/>
      <c r="X84" s="81"/>
      <c r="Y84" s="81"/>
    </row>
    <row r="85">
      <c r="A85" s="81"/>
      <c r="B85" s="81"/>
      <c r="C85" s="81"/>
      <c r="D85" s="81"/>
      <c r="E85" s="81"/>
      <c r="F85" s="81"/>
      <c r="G85" s="81"/>
      <c r="H85" s="81"/>
      <c r="I85" s="81"/>
      <c r="J85" s="81"/>
      <c r="K85" s="81"/>
      <c r="L85" s="81"/>
      <c r="M85" s="81"/>
      <c r="N85" s="81"/>
      <c r="O85" s="81"/>
      <c r="P85" s="81"/>
      <c r="Q85" s="81"/>
      <c r="R85" s="81"/>
      <c r="S85" s="81"/>
      <c r="T85" s="81"/>
      <c r="U85" s="81"/>
      <c r="V85" s="81"/>
      <c r="W85" s="81"/>
      <c r="X85" s="81"/>
      <c r="Y85" s="81"/>
    </row>
    <row r="86">
      <c r="A86" s="81"/>
      <c r="B86" s="81"/>
      <c r="C86" s="81"/>
      <c r="D86" s="81"/>
      <c r="E86" s="81"/>
      <c r="F86" s="81"/>
      <c r="G86" s="81"/>
      <c r="H86" s="81"/>
      <c r="I86" s="81"/>
      <c r="J86" s="81"/>
      <c r="K86" s="81"/>
      <c r="L86" s="81"/>
      <c r="M86" s="81"/>
      <c r="N86" s="81"/>
      <c r="O86" s="81"/>
      <c r="P86" s="81"/>
      <c r="Q86" s="81"/>
      <c r="R86" s="81"/>
      <c r="S86" s="81"/>
      <c r="T86" s="81"/>
      <c r="U86" s="81"/>
      <c r="V86" s="81"/>
      <c r="W86" s="81"/>
      <c r="X86" s="81"/>
      <c r="Y86" s="81"/>
    </row>
    <row r="87">
      <c r="A87" s="81"/>
      <c r="B87" s="81"/>
      <c r="C87" s="81"/>
      <c r="D87" s="81"/>
      <c r="E87" s="81"/>
      <c r="F87" s="81"/>
      <c r="G87" s="81"/>
      <c r="H87" s="81"/>
      <c r="I87" s="81"/>
      <c r="J87" s="81"/>
      <c r="K87" s="81"/>
      <c r="L87" s="81"/>
      <c r="M87" s="81"/>
      <c r="N87" s="81"/>
      <c r="O87" s="81"/>
      <c r="P87" s="81"/>
      <c r="Q87" s="81"/>
      <c r="R87" s="81"/>
      <c r="S87" s="81"/>
      <c r="T87" s="81"/>
      <c r="U87" s="81"/>
      <c r="V87" s="81"/>
      <c r="W87" s="81"/>
      <c r="X87" s="81"/>
      <c r="Y87" s="81"/>
    </row>
    <row r="88">
      <c r="A88" s="81"/>
      <c r="B88" s="81"/>
      <c r="C88" s="81"/>
      <c r="D88" s="81"/>
      <c r="E88" s="81"/>
      <c r="F88" s="81"/>
      <c r="G88" s="81"/>
      <c r="H88" s="81"/>
      <c r="I88" s="81"/>
      <c r="J88" s="81"/>
      <c r="K88" s="81"/>
      <c r="L88" s="81"/>
      <c r="M88" s="81"/>
      <c r="N88" s="81"/>
      <c r="O88" s="81"/>
      <c r="P88" s="81"/>
      <c r="Q88" s="81"/>
      <c r="R88" s="81"/>
      <c r="S88" s="81"/>
      <c r="T88" s="81"/>
      <c r="U88" s="81"/>
      <c r="V88" s="81"/>
      <c r="W88" s="81"/>
      <c r="X88" s="81"/>
      <c r="Y88" s="81"/>
    </row>
    <row r="89">
      <c r="A89" s="81"/>
      <c r="B89" s="81"/>
      <c r="C89" s="81"/>
      <c r="D89" s="81"/>
      <c r="E89" s="81"/>
      <c r="F89" s="81"/>
      <c r="G89" s="81"/>
      <c r="H89" s="81"/>
      <c r="I89" s="81"/>
      <c r="J89" s="81"/>
      <c r="K89" s="81"/>
      <c r="L89" s="81"/>
      <c r="M89" s="81"/>
      <c r="N89" s="81"/>
      <c r="O89" s="81"/>
      <c r="P89" s="81"/>
      <c r="Q89" s="81"/>
      <c r="R89" s="81"/>
      <c r="S89" s="81"/>
      <c r="T89" s="81"/>
      <c r="U89" s="81"/>
      <c r="V89" s="81"/>
      <c r="W89" s="81"/>
      <c r="X89" s="81"/>
      <c r="Y89" s="81"/>
    </row>
    <row r="90">
      <c r="A90" s="81"/>
      <c r="B90" s="81"/>
      <c r="C90" s="81"/>
      <c r="D90" s="81"/>
      <c r="E90" s="81"/>
      <c r="F90" s="81"/>
      <c r="G90" s="81"/>
      <c r="H90" s="81"/>
      <c r="I90" s="81"/>
      <c r="J90" s="81"/>
      <c r="K90" s="81"/>
      <c r="L90" s="81"/>
      <c r="M90" s="81"/>
      <c r="N90" s="81"/>
      <c r="O90" s="81"/>
      <c r="P90" s="81"/>
      <c r="Q90" s="81"/>
      <c r="R90" s="81"/>
      <c r="S90" s="81"/>
      <c r="T90" s="81"/>
      <c r="U90" s="81"/>
      <c r="V90" s="81"/>
      <c r="W90" s="81"/>
      <c r="X90" s="81"/>
      <c r="Y90" s="81"/>
    </row>
    <row r="91">
      <c r="A91" s="81"/>
      <c r="B91" s="81"/>
      <c r="C91" s="81"/>
      <c r="D91" s="81"/>
      <c r="E91" s="81"/>
      <c r="F91" s="81"/>
      <c r="G91" s="81"/>
      <c r="H91" s="81"/>
      <c r="I91" s="81"/>
      <c r="J91" s="81"/>
      <c r="K91" s="81"/>
      <c r="L91" s="81"/>
      <c r="M91" s="81"/>
      <c r="N91" s="81"/>
      <c r="O91" s="81"/>
      <c r="P91" s="81"/>
      <c r="Q91" s="81"/>
      <c r="R91" s="81"/>
      <c r="S91" s="81"/>
      <c r="T91" s="81"/>
      <c r="U91" s="81"/>
      <c r="V91" s="81"/>
      <c r="W91" s="81"/>
      <c r="X91" s="81"/>
      <c r="Y91" s="81"/>
    </row>
    <row r="92">
      <c r="A92" s="81"/>
      <c r="B92" s="81"/>
      <c r="C92" s="81"/>
      <c r="D92" s="81"/>
      <c r="E92" s="81"/>
      <c r="F92" s="81"/>
      <c r="G92" s="81"/>
      <c r="H92" s="81"/>
      <c r="I92" s="81"/>
      <c r="J92" s="81"/>
      <c r="K92" s="81"/>
      <c r="L92" s="81"/>
      <c r="M92" s="81"/>
      <c r="N92" s="81"/>
      <c r="O92" s="81"/>
      <c r="P92" s="81"/>
      <c r="Q92" s="81"/>
      <c r="R92" s="81"/>
      <c r="S92" s="81"/>
      <c r="T92" s="81"/>
      <c r="U92" s="81"/>
      <c r="V92" s="81"/>
      <c r="W92" s="81"/>
      <c r="X92" s="81"/>
      <c r="Y92" s="81"/>
    </row>
    <row r="93">
      <c r="A93" s="81"/>
      <c r="B93" s="81"/>
      <c r="C93" s="81"/>
      <c r="D93" s="81"/>
      <c r="E93" s="81"/>
      <c r="F93" s="81"/>
      <c r="G93" s="81"/>
      <c r="H93" s="81"/>
      <c r="I93" s="81"/>
      <c r="J93" s="81"/>
      <c r="K93" s="81"/>
      <c r="L93" s="81"/>
      <c r="M93" s="81"/>
      <c r="N93" s="81"/>
      <c r="O93" s="81"/>
      <c r="P93" s="81"/>
      <c r="Q93" s="81"/>
      <c r="R93" s="81"/>
      <c r="S93" s="81"/>
      <c r="T93" s="81"/>
      <c r="U93" s="81"/>
      <c r="V93" s="81"/>
      <c r="W93" s="81"/>
      <c r="X93" s="81"/>
      <c r="Y93" s="81"/>
    </row>
    <row r="94">
      <c r="A94" s="81"/>
      <c r="B94" s="81"/>
      <c r="C94" s="81"/>
      <c r="D94" s="81"/>
      <c r="E94" s="81"/>
      <c r="F94" s="81"/>
      <c r="G94" s="81"/>
      <c r="H94" s="81"/>
      <c r="I94" s="81"/>
      <c r="J94" s="81"/>
      <c r="K94" s="81"/>
      <c r="L94" s="81"/>
      <c r="M94" s="81"/>
      <c r="N94" s="81"/>
      <c r="O94" s="81"/>
      <c r="P94" s="81"/>
      <c r="Q94" s="81"/>
      <c r="R94" s="81"/>
      <c r="S94" s="81"/>
      <c r="T94" s="81"/>
      <c r="U94" s="81"/>
      <c r="V94" s="81"/>
      <c r="W94" s="81"/>
      <c r="X94" s="81"/>
      <c r="Y94" s="81"/>
    </row>
    <row r="95">
      <c r="A95" s="81"/>
      <c r="B95" s="81"/>
      <c r="C95" s="81"/>
      <c r="D95" s="81"/>
      <c r="E95" s="81"/>
      <c r="F95" s="81"/>
      <c r="G95" s="81"/>
      <c r="H95" s="81"/>
      <c r="I95" s="81"/>
      <c r="J95" s="81"/>
      <c r="K95" s="81"/>
      <c r="L95" s="81"/>
      <c r="M95" s="81"/>
      <c r="N95" s="81"/>
      <c r="O95" s="81"/>
      <c r="P95" s="81"/>
      <c r="Q95" s="81"/>
      <c r="R95" s="81"/>
      <c r="S95" s="81"/>
      <c r="T95" s="81"/>
      <c r="U95" s="81"/>
      <c r="V95" s="81"/>
      <c r="W95" s="81"/>
      <c r="X95" s="81"/>
      <c r="Y95" s="81"/>
    </row>
    <row r="96">
      <c r="A96" s="81"/>
      <c r="B96" s="81"/>
      <c r="C96" s="81"/>
      <c r="D96" s="81"/>
      <c r="E96" s="81"/>
      <c r="F96" s="81"/>
      <c r="G96" s="81"/>
      <c r="H96" s="81"/>
      <c r="I96" s="81"/>
      <c r="J96" s="81"/>
      <c r="K96" s="81"/>
      <c r="L96" s="81"/>
      <c r="M96" s="81"/>
      <c r="N96" s="81"/>
      <c r="O96" s="81"/>
      <c r="P96" s="81"/>
      <c r="Q96" s="81"/>
      <c r="R96" s="81"/>
      <c r="S96" s="81"/>
      <c r="T96" s="81"/>
      <c r="U96" s="81"/>
      <c r="V96" s="81"/>
      <c r="W96" s="81"/>
      <c r="X96" s="81"/>
      <c r="Y96" s="81"/>
    </row>
    <row r="97">
      <c r="A97" s="81"/>
      <c r="B97" s="81"/>
      <c r="C97" s="81"/>
      <c r="D97" s="81"/>
      <c r="E97" s="81"/>
      <c r="F97" s="81"/>
      <c r="G97" s="81"/>
      <c r="H97" s="81"/>
      <c r="I97" s="81"/>
      <c r="J97" s="81"/>
      <c r="K97" s="81"/>
      <c r="L97" s="81"/>
      <c r="M97" s="81"/>
      <c r="N97" s="81"/>
      <c r="O97" s="81"/>
      <c r="P97" s="81"/>
      <c r="Q97" s="81"/>
      <c r="R97" s="81"/>
      <c r="S97" s="81"/>
      <c r="T97" s="81"/>
      <c r="U97" s="81"/>
      <c r="V97" s="81"/>
      <c r="W97" s="81"/>
      <c r="X97" s="81"/>
      <c r="Y97" s="81"/>
    </row>
    <row r="98">
      <c r="A98" s="81"/>
      <c r="B98" s="81"/>
      <c r="C98" s="81"/>
      <c r="D98" s="81"/>
      <c r="E98" s="81"/>
      <c r="F98" s="81"/>
      <c r="G98" s="81"/>
      <c r="H98" s="81"/>
      <c r="I98" s="81"/>
      <c r="J98" s="81"/>
      <c r="K98" s="81"/>
      <c r="L98" s="81"/>
      <c r="M98" s="81"/>
      <c r="N98" s="81"/>
      <c r="O98" s="81"/>
      <c r="P98" s="81"/>
      <c r="Q98" s="81"/>
      <c r="R98" s="81"/>
      <c r="S98" s="81"/>
      <c r="T98" s="81"/>
      <c r="U98" s="81"/>
      <c r="V98" s="81"/>
      <c r="W98" s="81"/>
      <c r="X98" s="81"/>
      <c r="Y98" s="81"/>
    </row>
    <row r="99">
      <c r="A99" s="81"/>
      <c r="B99" s="81"/>
      <c r="C99" s="81"/>
      <c r="D99" s="81"/>
      <c r="E99" s="81"/>
      <c r="F99" s="81"/>
      <c r="G99" s="81"/>
      <c r="H99" s="81"/>
      <c r="I99" s="81"/>
      <c r="J99" s="81"/>
      <c r="K99" s="81"/>
      <c r="L99" s="81"/>
      <c r="M99" s="81"/>
      <c r="N99" s="81"/>
      <c r="O99" s="81"/>
      <c r="P99" s="81"/>
      <c r="Q99" s="81"/>
      <c r="R99" s="81"/>
      <c r="S99" s="81"/>
      <c r="T99" s="81"/>
      <c r="U99" s="81"/>
      <c r="V99" s="81"/>
      <c r="W99" s="81"/>
      <c r="X99" s="81"/>
      <c r="Y99" s="81"/>
    </row>
    <row r="100">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row>
    <row r="10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row>
    <row r="102">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row>
    <row r="10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row>
    <row r="104">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row>
    <row r="105">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row>
    <row r="106">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row>
    <row r="107">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row>
    <row r="10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row>
    <row r="109">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row>
    <row r="110">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row>
    <row r="11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row>
    <row r="112">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row>
    <row r="1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row>
    <row r="114">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row>
    <row r="115">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row>
    <row r="116">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row>
    <row r="117">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row>
    <row r="118">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row>
    <row r="119">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row>
    <row r="12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row>
    <row r="12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row>
    <row r="122">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row>
    <row r="123">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row>
    <row r="124">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row>
    <row r="125">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row>
    <row r="126">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row>
    <row r="127">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row>
    <row r="128">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row>
    <row r="129">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row>
    <row r="130">
      <c r="A130" s="81"/>
      <c r="B130" s="81"/>
      <c r="C130" s="81"/>
      <c r="D130" s="81"/>
      <c r="E130" s="81"/>
      <c r="F130" s="82"/>
      <c r="G130" s="81"/>
      <c r="H130" s="81"/>
      <c r="I130" s="81"/>
      <c r="J130" s="81"/>
      <c r="K130" s="81"/>
      <c r="L130" s="81"/>
      <c r="M130" s="81"/>
      <c r="N130" s="81"/>
      <c r="O130" s="81"/>
      <c r="P130" s="81"/>
      <c r="Q130" s="81"/>
      <c r="R130" s="81"/>
      <c r="S130" s="81"/>
      <c r="T130" s="81"/>
      <c r="U130" s="81"/>
      <c r="V130" s="81"/>
      <c r="W130" s="81"/>
      <c r="X130" s="81"/>
      <c r="Y130" s="81"/>
    </row>
    <row r="13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row>
    <row r="132">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row>
    <row r="13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row>
    <row r="134">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row>
    <row r="13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row>
    <row r="13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row>
    <row r="137">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row>
    <row r="13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row>
    <row r="139">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row>
    <row r="140">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row>
    <row r="14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row>
    <row r="142">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row>
    <row r="14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row>
    <row r="144">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row>
    <row r="14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row>
    <row r="14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row>
    <row r="147">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row>
    <row r="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row>
    <row r="149">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row>
    <row r="150">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row>
    <row r="15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row>
    <row r="152">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row>
    <row r="15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row>
    <row r="154">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row>
    <row r="15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row>
    <row r="15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row>
    <row r="157">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row>
    <row r="15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row>
  </sheetData>
  <mergeCells count="3">
    <mergeCell ref="E1:H1"/>
    <mergeCell ref="N5:N6"/>
    <mergeCell ref="O5:O6"/>
  </mergeCells>
  <dataValidations>
    <dataValidation type="list" allowBlank="1" showErrorMessage="1" sqref="N8 N10 N12 N14 N16 N18 N20 N22 N24 N26 N28 N30 N32 N34 N36 N38 N40 N42 N44 N46 N48 N50 N52 N54 N56 N58 N60 N62 N64 N66 N68 N70 N72 N74 N76 N78 N80 N82">
      <formula1>"Solved,Unsolved"</formula1>
    </dataValidation>
    <dataValidation type="list" allowBlank="1" showErrorMessage="1" sqref="J8 J10 J12 J14 J16 J18 J20 J22 J24 J26 J28 J30 J32 J34 J36 J38 J40 J42 J44 J46 J48 J50 J52 J54 J56 J58 J60 J62 J64 J66 J68 J70 J72 J74 J76 J78 J80 J82">
      <formula1>"Pass,Fail"</formula1>
    </dataValidation>
    <dataValidation type="list" allowBlank="1" showErrorMessage="1" sqref="K8 K10 K12 K14 K16 K18 K20 K22 K24 K26 K28 K30 K32 K34 K36 K38 K40 K42 K44 K46 K48 K50 K52 K54 K56 K58 K60 K62 K64 K66 K68 K70 K72 K74 K76 K78 K80 K82">
      <formula1>"High,Medium,Low"</formula1>
    </dataValidation>
    <dataValidation type="list" allowBlank="1" showErrorMessage="1" sqref="O8 O10 O12 O14 O16 O18 O20 O22 O24 O26 O28 O30 O32 O34 O36 O38 O40 O42 O44 O46 O48 O50 O52 O54 O56 O58 O60 O62 O64 O66 O68 O70 O72 O74 O76 O78 O80 O82">
      <formula1>"Front-End,Back-End,AI,UI/UX"</formula1>
    </dataValidation>
  </dataValidations>
  <hyperlinks>
    <hyperlink r:id="rId1" ref="L8"/>
    <hyperlink r:id="rId2" ref="L10"/>
    <hyperlink r:id="rId3" ref="L12"/>
    <hyperlink r:id="rId4" ref="L14"/>
    <hyperlink r:id="rId5" ref="L16"/>
    <hyperlink r:id="rId6" ref="L18"/>
    <hyperlink r:id="rId7" ref="L20"/>
    <hyperlink r:id="rId8" ref="L22"/>
    <hyperlink r:id="rId9" ref="P22"/>
    <hyperlink r:id="rId10" ref="L24"/>
    <hyperlink r:id="rId11" ref="L26"/>
    <hyperlink r:id="rId12" ref="L28"/>
    <hyperlink r:id="rId13" ref="L30"/>
    <hyperlink r:id="rId14" ref="L32"/>
    <hyperlink r:id="rId15" ref="L34"/>
    <hyperlink r:id="rId16" ref="L36"/>
    <hyperlink r:id="rId17" ref="L38"/>
    <hyperlink r:id="rId18" ref="L40"/>
    <hyperlink r:id="rId19" ref="L42"/>
    <hyperlink r:id="rId20" ref="L44"/>
    <hyperlink r:id="rId21" ref="L46"/>
    <hyperlink r:id="rId22" ref="L48"/>
    <hyperlink r:id="rId23" ref="L50"/>
    <hyperlink r:id="rId24" ref="L52"/>
    <hyperlink r:id="rId25" ref="L54"/>
    <hyperlink r:id="rId26" ref="L56"/>
    <hyperlink r:id="rId27" ref="L58"/>
    <hyperlink r:id="rId28" ref="L60"/>
    <hyperlink r:id="rId29" ref="L62"/>
    <hyperlink r:id="rId30" ref="L64"/>
    <hyperlink r:id="rId31" ref="L66"/>
    <hyperlink r:id="rId32" ref="L68"/>
    <hyperlink r:id="rId33" ref="L70"/>
    <hyperlink r:id="rId34" ref="L72"/>
  </hyperlinks>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4" width="15.25"/>
    <col customWidth="1" min="15" max="16" width="17.25"/>
    <col customWidth="1" min="17" max="17" width="15.25"/>
  </cols>
  <sheetData>
    <row r="1">
      <c r="A1" s="4"/>
      <c r="B1" s="4"/>
      <c r="C1" s="4"/>
      <c r="D1" s="4"/>
      <c r="E1" s="4"/>
      <c r="F1" s="4"/>
      <c r="G1" s="4"/>
      <c r="H1" s="4"/>
      <c r="I1" s="4"/>
      <c r="J1" s="4"/>
      <c r="K1" s="4"/>
      <c r="L1" s="4"/>
      <c r="M1" s="4"/>
      <c r="N1" s="4"/>
      <c r="Q1" s="4"/>
    </row>
    <row r="2">
      <c r="A2" s="1" t="s">
        <v>0</v>
      </c>
      <c r="B2" s="52" t="s">
        <v>2</v>
      </c>
      <c r="C2" s="4"/>
      <c r="D2" s="13" t="s">
        <v>12</v>
      </c>
      <c r="E2" s="13" t="s">
        <v>14</v>
      </c>
      <c r="F2" s="4"/>
      <c r="G2" s="4"/>
      <c r="H2" s="54"/>
      <c r="I2" s="54"/>
      <c r="J2" s="54"/>
      <c r="K2" s="54"/>
      <c r="L2" s="54"/>
      <c r="M2" s="54"/>
      <c r="N2" s="4"/>
      <c r="Q2" s="4"/>
    </row>
    <row r="3">
      <c r="A3" s="1" t="s">
        <v>10</v>
      </c>
      <c r="B3" s="55"/>
      <c r="C3" s="4"/>
      <c r="D3" s="56" t="s">
        <v>17</v>
      </c>
      <c r="E3" s="57">
        <f>COUNTIF(Tahsin!K14:K897, "High") + COUNTIF(Fahad!K8:K1004, "High")</f>
        <v>20</v>
      </c>
      <c r="F3" s="4"/>
      <c r="G3" s="4"/>
      <c r="H3" s="4"/>
      <c r="I3" s="4"/>
      <c r="J3" s="4"/>
      <c r="K3" s="4"/>
      <c r="L3" s="4"/>
      <c r="M3" s="4"/>
      <c r="N3" s="4"/>
      <c r="Q3" s="4"/>
    </row>
    <row r="4">
      <c r="A4" s="1" t="s">
        <v>21</v>
      </c>
      <c r="B4" s="59"/>
      <c r="C4" s="4"/>
      <c r="D4" s="60" t="s">
        <v>23</v>
      </c>
      <c r="E4" s="57">
        <f>COUNTIF(Tahsin!K14:K898, "Medium") + COUNTIF(Fahad!K8:K1005, "Medium")</f>
        <v>8</v>
      </c>
      <c r="F4" s="4"/>
      <c r="G4" s="4"/>
      <c r="H4" s="4"/>
      <c r="I4" s="4"/>
      <c r="J4" s="4"/>
      <c r="K4" s="4"/>
      <c r="L4" s="4"/>
      <c r="M4" s="4"/>
      <c r="N4" s="4"/>
      <c r="Q4" s="4"/>
    </row>
    <row r="5">
      <c r="A5" s="1" t="s">
        <v>13</v>
      </c>
      <c r="B5" s="45"/>
      <c r="C5" s="4"/>
      <c r="D5" s="61" t="s">
        <v>27</v>
      </c>
      <c r="E5" s="57">
        <f>COUNTIF(Fahad!K8:K1006, "Low") + COUNTIF(Tahsin!K14:K901, "Low")</f>
        <v>5</v>
      </c>
      <c r="F5" s="4"/>
      <c r="G5" s="4"/>
      <c r="H5" s="4"/>
      <c r="I5" s="4"/>
      <c r="J5" s="4"/>
      <c r="K5" s="4"/>
      <c r="L5" s="4"/>
      <c r="M5" s="4"/>
      <c r="N5" s="4"/>
      <c r="Q5" s="4"/>
    </row>
    <row r="6">
      <c r="A6" s="1" t="s">
        <v>16</v>
      </c>
      <c r="B6" s="64"/>
      <c r="C6" s="4"/>
      <c r="D6" s="65"/>
      <c r="E6" s="65"/>
      <c r="F6" s="4"/>
      <c r="G6" s="4"/>
      <c r="H6" s="4"/>
      <c r="I6" s="4"/>
      <c r="J6" s="4"/>
      <c r="K6" s="4"/>
      <c r="L6" s="4"/>
      <c r="M6" s="4"/>
      <c r="N6" s="4"/>
      <c r="Q6" s="4"/>
    </row>
    <row r="7">
      <c r="A7" s="1" t="s">
        <v>39</v>
      </c>
      <c r="B7" s="64"/>
      <c r="C7" s="4"/>
      <c r="D7" s="66" t="s">
        <v>41</v>
      </c>
      <c r="E7" s="67">
        <f>SUM(E3:E5)</f>
        <v>33</v>
      </c>
      <c r="F7" s="4"/>
      <c r="G7" s="4"/>
      <c r="H7" s="4"/>
      <c r="I7" s="4"/>
      <c r="J7" s="4"/>
      <c r="K7" s="4"/>
      <c r="L7" s="4"/>
      <c r="M7" s="4"/>
      <c r="N7" s="68"/>
      <c r="O7" s="68"/>
      <c r="Q7" s="4"/>
    </row>
    <row r="8">
      <c r="A8" s="4"/>
      <c r="B8" s="4"/>
      <c r="C8" s="4"/>
      <c r="D8" s="66" t="s">
        <v>49</v>
      </c>
      <c r="E8" s="67">
        <f>COUNTIF(N11:N2387, "Solved")</f>
        <v>0</v>
      </c>
      <c r="F8" s="4"/>
      <c r="G8" s="4"/>
      <c r="H8" s="4"/>
      <c r="I8" s="4"/>
      <c r="J8" s="4"/>
      <c r="K8" s="4"/>
      <c r="L8" s="4"/>
      <c r="M8" s="4"/>
      <c r="N8" s="68"/>
      <c r="O8" s="68"/>
      <c r="Q8" s="4"/>
    </row>
    <row r="9">
      <c r="A9" s="4"/>
      <c r="B9" s="4"/>
      <c r="C9" s="4"/>
      <c r="D9" s="4"/>
      <c r="E9" s="4"/>
      <c r="F9" s="4"/>
      <c r="G9" s="4"/>
      <c r="H9" s="4"/>
      <c r="I9" s="4"/>
      <c r="J9" s="4"/>
      <c r="K9" s="4"/>
      <c r="L9" s="4"/>
      <c r="M9" s="4"/>
      <c r="N9" s="68"/>
      <c r="O9" s="68"/>
      <c r="Q9" s="4"/>
    </row>
    <row r="10">
      <c r="A10" s="69" t="s">
        <v>4</v>
      </c>
      <c r="B10" s="69" t="s">
        <v>1</v>
      </c>
      <c r="C10" s="69" t="s">
        <v>3</v>
      </c>
      <c r="D10" s="69" t="s">
        <v>26</v>
      </c>
      <c r="E10" s="69" t="s">
        <v>28</v>
      </c>
      <c r="F10" s="69" t="s">
        <v>29</v>
      </c>
      <c r="G10" s="69" t="s">
        <v>30</v>
      </c>
      <c r="H10" s="69" t="s">
        <v>31</v>
      </c>
      <c r="I10" s="69" t="s">
        <v>32</v>
      </c>
      <c r="J10" s="69" t="s">
        <v>33</v>
      </c>
      <c r="K10" s="69" t="s">
        <v>12</v>
      </c>
      <c r="L10" s="69" t="s">
        <v>34</v>
      </c>
      <c r="M10" s="69" t="s">
        <v>35</v>
      </c>
      <c r="N10" s="70" t="s">
        <v>36</v>
      </c>
      <c r="O10" s="70" t="s">
        <v>37</v>
      </c>
      <c r="P10" s="70" t="s">
        <v>38</v>
      </c>
      <c r="Q10" s="70" t="s">
        <v>78</v>
      </c>
      <c r="R10" s="71"/>
      <c r="S10" s="71"/>
      <c r="T10" s="71"/>
      <c r="U10" s="71"/>
      <c r="V10" s="71"/>
      <c r="W10" s="71"/>
      <c r="X10" s="71"/>
      <c r="Y10" s="71"/>
      <c r="Z10" s="71"/>
      <c r="AA10" s="71"/>
    </row>
    <row r="11">
      <c r="A11" s="72" t="str">
        <f t="array" ref="A11:A100">IF((LEN(B11:B100)+LEN(C11:C100))&gt;0, "BR-" &amp; TEXT(ROW(B11:B100)-ROW(B11)+1,"000"), "")
</f>
        <v>BR-001</v>
      </c>
      <c r="B11" s="73" t="str">
        <f>IFERROR(__xludf.DUMMYFUNCTION("QUERY(
  {
    ARRAYFORMULA({
      TRIM(Fahad!B8:B2383), 
      Fahad!C8:P2383, 
      IF(LEN(Fahad!B8:B2383), ""Fahad"", """")
    });
    ARRAYFORMULA({
      TRIM(Tahsin!B15:B2383), 
      Tahsin!C15:P2383, 
      IF(LEN(Tahsin!B15:B2383), ""Tahsin"","&amp;" """")
    })
  },
  ""SELECT * WHERE Col1 IS NOT NULL ORDER BY Col1 ASC, Col2 ASC"",
  0
)"),"Driver")</f>
        <v>Driver</v>
      </c>
      <c r="C11" s="73" t="str">
        <f>IFERROR(__xludf.DUMMYFUNCTION("""COMPUTED_VALUE"""),"Backend")</f>
        <v>Backend</v>
      </c>
      <c r="D11" s="73" t="str">
        <f>IFERROR(__xludf.DUMMYFUNCTION("""COMPUTED_VALUE"""),"Displays unauthorized on continuous API calls.")</f>
        <v>Displays unauthorized on continuous API calls.</v>
      </c>
      <c r="E11" s="73" t="str">
        <f>IFERROR(__xludf.DUMMYFUNCTION("""COMPUTED_VALUE"""),"user need to install this app on their device")</f>
        <v>user need to install this app on their device</v>
      </c>
      <c r="F11" s="73" t="str">
        <f>IFERROR(__xludf.DUMMYFUNCTION("""COMPUTED_VALUE"""),"1. Open app
2. Login in backend framework")</f>
        <v>1. Open app
2. Login in backend framework</v>
      </c>
      <c r="G11" s="73" t="str">
        <f>IFERROR(__xludf.DUMMYFUNCTION("""COMPUTED_VALUE"""),"Driver Credentials")</f>
        <v>Driver Credentials</v>
      </c>
      <c r="H11" s="73" t="str">
        <f>IFERROR(__xludf.DUMMYFUNCTION("""COMPUTED_VALUE"""),"API calls fail rate should be reduce and should only call one time if it get 200 status")</f>
        <v>API calls fail rate should be reduce and should only call one time if it get 200 status</v>
      </c>
      <c r="I11" s="73" t="str">
        <f>IFERROR(__xludf.DUMMYFUNCTION("""COMPUTED_VALUE"""),"API call should be control to reduce pressure on backend")</f>
        <v>API call should be control to reduce pressure on backend</v>
      </c>
      <c r="J11" s="73" t="str">
        <f>IFERROR(__xludf.DUMMYFUNCTION("""COMPUTED_VALUE"""),"Fail")</f>
        <v>Fail</v>
      </c>
      <c r="K11" s="73" t="str">
        <f>IFERROR(__xludf.DUMMYFUNCTION("""COMPUTED_VALUE"""),"High")</f>
        <v>High</v>
      </c>
      <c r="L11" s="74" t="str">
        <f>IFERROR(__xludf.DUMMYFUNCTION("""COMPUTED_VALUE"""),"018.png")</f>
        <v>018.png</v>
      </c>
      <c r="M11" s="73"/>
      <c r="N11" s="75"/>
      <c r="O11" s="75" t="str">
        <f>IFERROR(__xludf.DUMMYFUNCTION("""COMPUTED_VALUE"""),"Front-End")</f>
        <v>Front-End</v>
      </c>
      <c r="P11" s="75" t="str">
        <f>IFERROR(__xludf.DUMMYFUNCTION("""COMPUTED_VALUE"""),"fixed")</f>
        <v>fixed</v>
      </c>
      <c r="Q11" s="75" t="str">
        <f>IFERROR(__xludf.DUMMYFUNCTION("""COMPUTED_VALUE"""),"Fahad")</f>
        <v>Fahad</v>
      </c>
      <c r="R11" s="46"/>
      <c r="S11" s="46"/>
      <c r="T11" s="46"/>
      <c r="U11" s="46"/>
      <c r="V11" s="46"/>
      <c r="W11" s="46"/>
      <c r="X11" s="46"/>
      <c r="Y11" s="46"/>
      <c r="Z11" s="46"/>
      <c r="AA11" s="46"/>
    </row>
    <row r="12">
      <c r="A12" s="51" t="s">
        <v>97</v>
      </c>
      <c r="B12" s="76" t="str">
        <f>IFERROR(__xludf.DUMMYFUNCTION("""COMPUTED_VALUE"""),"Driver")</f>
        <v>Driver</v>
      </c>
      <c r="C12" s="76" t="str">
        <f>IFERROR(__xludf.DUMMYFUNCTION("""COMPUTED_VALUE"""),"Backend")</f>
        <v>Backend</v>
      </c>
      <c r="D12" s="76" t="str">
        <f>IFERROR(__xludf.DUMMYFUNCTION("""COMPUTED_VALUE"""),"Constant API calls on my trips and messages.")</f>
        <v>Constant API calls on my trips and messages.</v>
      </c>
      <c r="E12" s="76" t="str">
        <f>IFERROR(__xludf.DUMMYFUNCTION("""COMPUTED_VALUE"""),"user need to install this app on their device")</f>
        <v>user need to install this app on their device</v>
      </c>
      <c r="F12" s="76" t="str">
        <f>IFERROR(__xludf.DUMMYFUNCTION("""COMPUTED_VALUE"""),"1. Open app
2. Login in backend framework")</f>
        <v>1. Open app
2. Login in backend framework</v>
      </c>
      <c r="G12" s="76" t="str">
        <f>IFERROR(__xludf.DUMMYFUNCTION("""COMPUTED_VALUE"""),"Driver Credentials")</f>
        <v>Driver Credentials</v>
      </c>
      <c r="H12" s="76" t="str">
        <f>IFERROR(__xludf.DUMMYFUNCTION("""COMPUTED_VALUE"""),"API call should be handled with limit")</f>
        <v>API call should be handled with limit</v>
      </c>
      <c r="I12" s="76" t="str">
        <f>IFERROR(__xludf.DUMMYFUNCTION("""COMPUTED_VALUE"""),"Non-stop api call has been noticed on backed")</f>
        <v>Non-stop api call has been noticed on backed</v>
      </c>
      <c r="J12" s="76" t="str">
        <f>IFERROR(__xludf.DUMMYFUNCTION("""COMPUTED_VALUE"""),"Fail")</f>
        <v>Fail</v>
      </c>
      <c r="K12" s="76" t="str">
        <f>IFERROR(__xludf.DUMMYFUNCTION("""COMPUTED_VALUE"""),"High")</f>
        <v>High</v>
      </c>
      <c r="L12" s="77" t="str">
        <f>IFERROR(__xludf.DUMMYFUNCTION("""COMPUTED_VALUE"""),"019.mp4")</f>
        <v>019.mp4</v>
      </c>
      <c r="M12" s="76"/>
      <c r="N12" s="76"/>
      <c r="O12" s="76" t="str">
        <f>IFERROR(__xludf.DUMMYFUNCTION("""COMPUTED_VALUE"""),"Front-End")</f>
        <v>Front-End</v>
      </c>
      <c r="P12" s="76" t="str">
        <f>IFERROR(__xludf.DUMMYFUNCTION("""COMPUTED_VALUE"""),"fixed")</f>
        <v>fixed</v>
      </c>
      <c r="Q12" s="76" t="str">
        <f>IFERROR(__xludf.DUMMYFUNCTION("""COMPUTED_VALUE"""),"Fahad")</f>
        <v>Fahad</v>
      </c>
      <c r="R12" s="46"/>
      <c r="S12" s="46"/>
      <c r="T12" s="46"/>
      <c r="U12" s="46"/>
      <c r="V12" s="46"/>
      <c r="W12" s="46"/>
      <c r="X12" s="46"/>
      <c r="Y12" s="46"/>
      <c r="Z12" s="46"/>
      <c r="AA12" s="46"/>
    </row>
    <row r="13">
      <c r="A13" s="51" t="s">
        <v>112</v>
      </c>
      <c r="B13" s="76" t="str">
        <f>IFERROR(__xludf.DUMMYFUNCTION("""COMPUTED_VALUE"""),"Driver")</f>
        <v>Driver</v>
      </c>
      <c r="C13" s="76" t="str">
        <f>IFERROR(__xludf.DUMMYFUNCTION("""COMPUTED_VALUE"""),"Backend")</f>
        <v>Backend</v>
      </c>
      <c r="D13" s="76" t="str">
        <f>IFERROR(__xludf.DUMMYFUNCTION("""COMPUTED_VALUE"""),"User was deleted on the backend, but after refreshing, they remained logged into the app.")</f>
        <v>User was deleted on the backend, but after refreshing, they remained logged into the app.</v>
      </c>
      <c r="E13" s="76" t="str">
        <f>IFERROR(__xludf.DUMMYFUNCTION("""COMPUTED_VALUE"""),"user need to install this app on their device")</f>
        <v>user need to install this app on their device</v>
      </c>
      <c r="F13" s="76" t="str">
        <f>IFERROR(__xludf.DUMMYFUNCTION("""COMPUTED_VALUE"""),"1. Open app
2. Login in backend framework")</f>
        <v>1. Open app
2. Login in backend framework</v>
      </c>
      <c r="G13" s="76" t="str">
        <f>IFERROR(__xludf.DUMMYFUNCTION("""COMPUTED_VALUE"""),"Driver Credentials")</f>
        <v>Driver Credentials</v>
      </c>
      <c r="H13" s="76" t="str">
        <f>IFERROR(__xludf.DUMMYFUNCTION("""COMPUTED_VALUE"""),"User session management need to be handled carefully")</f>
        <v>User session management need to be handled carefully</v>
      </c>
      <c r="I13" s="76" t="str">
        <f>IFERROR(__xludf.DUMMYFUNCTION("""COMPUTED_VALUE"""),"User is deleted from the backend, but the login session still remains active on the frontend.")</f>
        <v>User is deleted from the backend, but the login session still remains active on the frontend.</v>
      </c>
      <c r="J13" s="76" t="str">
        <f>IFERROR(__xludf.DUMMYFUNCTION("""COMPUTED_VALUE"""),"Fail")</f>
        <v>Fail</v>
      </c>
      <c r="K13" s="76" t="str">
        <f>IFERROR(__xludf.DUMMYFUNCTION("""COMPUTED_VALUE"""),"High")</f>
        <v>High</v>
      </c>
      <c r="L13" s="77" t="str">
        <f>IFERROR(__xludf.DUMMYFUNCTION("""COMPUTED_VALUE"""),"022.png")</f>
        <v>022.png</v>
      </c>
      <c r="M13" s="76"/>
      <c r="N13" s="76"/>
      <c r="O13" s="76" t="str">
        <f>IFERROR(__xludf.DUMMYFUNCTION("""COMPUTED_VALUE"""),"Front-End")</f>
        <v>Front-End</v>
      </c>
      <c r="P13" s="76" t="str">
        <f>IFERROR(__xludf.DUMMYFUNCTION("""COMPUTED_VALUE"""),"App state whole so time")</f>
        <v>App state whole so time</v>
      </c>
      <c r="Q13" s="76" t="str">
        <f>IFERROR(__xludf.DUMMYFUNCTION("""COMPUTED_VALUE"""),"Fahad")</f>
        <v>Fahad</v>
      </c>
      <c r="R13" s="46"/>
      <c r="S13" s="46"/>
      <c r="T13" s="46"/>
      <c r="U13" s="46"/>
      <c r="V13" s="46"/>
      <c r="W13" s="46"/>
      <c r="X13" s="46"/>
      <c r="Y13" s="46"/>
      <c r="Z13" s="46"/>
      <c r="AA13" s="46"/>
    </row>
    <row r="14">
      <c r="A14" s="51" t="s">
        <v>119</v>
      </c>
      <c r="B14" s="76" t="str">
        <f>IFERROR(__xludf.DUMMYFUNCTION("""COMPUTED_VALUE"""),"Driver")</f>
        <v>Driver</v>
      </c>
      <c r="C14" s="76" t="str">
        <f>IFERROR(__xludf.DUMMYFUNCTION("""COMPUTED_VALUE"""),"Drive verification")</f>
        <v>Drive verification</v>
      </c>
      <c r="D14" s="76" t="str">
        <f>IFERROR(__xludf.DUMMYFUNCTION("""COMPUTED_VALUE"""),"Validation failed on the frontend, causing a server-side validation issue.")</f>
        <v>Validation failed on the frontend, causing a server-side validation issue.</v>
      </c>
      <c r="E14" s="76" t="str">
        <f>IFERROR(__xludf.DUMMYFUNCTION("""COMPUTED_VALUE"""),"user need to install this app on their device")</f>
        <v>user need to install this app on their device</v>
      </c>
      <c r="F14" s="76" t="str">
        <f>IFERROR(__xludf.DUMMYFUNCTION("""COMPUTED_VALUE"""),"1. Open app
2. Select driver role
3. Click on signup and click on google signup
4. Fill necessary information and click on next")</f>
        <v>1. Open app
2. Select driver role
3. Click on signup and click on google signup
4. Fill necessary information and click on next</v>
      </c>
      <c r="G14" s="76" t="str">
        <f>IFERROR(__xludf.DUMMYFUNCTION("""COMPUTED_VALUE"""),"Driver Credentials")</f>
        <v>Driver Credentials</v>
      </c>
      <c r="H14" s="76" t="str">
        <f>IFERROR(__xludf.DUMMYFUNCTION("""COMPUTED_VALUE"""),"Should put validation in user input field")</f>
        <v>Should put validation in user input field</v>
      </c>
      <c r="I14" s="76" t="str">
        <f>IFERROR(__xludf.DUMMYFUNCTION("""COMPUTED_VALUE"""),"No validation has been noticed in app")</f>
        <v>No validation has been noticed in app</v>
      </c>
      <c r="J14" s="76" t="str">
        <f>IFERROR(__xludf.DUMMYFUNCTION("""COMPUTED_VALUE"""),"Fail")</f>
        <v>Fail</v>
      </c>
      <c r="K14" s="76" t="str">
        <f>IFERROR(__xludf.DUMMYFUNCTION("""COMPUTED_VALUE"""),"High")</f>
        <v>High</v>
      </c>
      <c r="L14" s="77" t="str">
        <f>IFERROR(__xludf.DUMMYFUNCTION("""COMPUTED_VALUE"""),"029.png")</f>
        <v>029.png</v>
      </c>
      <c r="M14" s="76"/>
      <c r="N14" s="76"/>
      <c r="O14" s="76" t="str">
        <f>IFERROR(__xludf.DUMMYFUNCTION("""COMPUTED_VALUE"""),"Front-End")</f>
        <v>Front-End</v>
      </c>
      <c r="P14" s="76" t="str">
        <f>IFERROR(__xludf.DUMMYFUNCTION("""COMPUTED_VALUE"""),"Solved...field name change problem from backend")</f>
        <v>Solved...field name change problem from backend</v>
      </c>
      <c r="Q14" s="76" t="str">
        <f>IFERROR(__xludf.DUMMYFUNCTION("""COMPUTED_VALUE"""),"Fahad")</f>
        <v>Fahad</v>
      </c>
      <c r="R14" s="46"/>
      <c r="S14" s="46"/>
      <c r="T14" s="46"/>
      <c r="U14" s="46"/>
      <c r="V14" s="46"/>
      <c r="W14" s="46"/>
      <c r="X14" s="46"/>
      <c r="Y14" s="46"/>
      <c r="Z14" s="46"/>
      <c r="AA14" s="46"/>
    </row>
    <row r="15">
      <c r="A15" s="51" t="s">
        <v>126</v>
      </c>
      <c r="B15" s="76" t="str">
        <f>IFERROR(__xludf.DUMMYFUNCTION("""COMPUTED_VALUE"""),"Driver")</f>
        <v>Driver</v>
      </c>
      <c r="C15" s="76" t="str">
        <f>IFERROR(__xludf.DUMMYFUNCTION("""COMPUTED_VALUE"""),"Drive verification")</f>
        <v>Drive verification</v>
      </c>
      <c r="D15" s="76" t="str">
        <f>IFERROR(__xludf.DUMMYFUNCTION("""COMPUTED_VALUE"""),"Notification popup should appear when the admin approves a driver's verification.")</f>
        <v>Notification popup should appear when the admin approves a driver's verification.</v>
      </c>
      <c r="E15" s="76" t="str">
        <f>IFERROR(__xludf.DUMMYFUNCTION("""COMPUTED_VALUE"""),"user need to install this app on their device")</f>
        <v>user need to install this app on their device</v>
      </c>
      <c r="F15" s="76" t="str">
        <f>IFERROR(__xludf.DUMMYFUNCTION("""COMPUTED_VALUE"""),"1. Open app
2. Select driver role
3. Click on signup and click on google signup
4. Fill necessary information and click on next")</f>
        <v>1. Open app
2. Select driver role
3. Click on signup and click on google signup
4. Fill necessary information and click on next</v>
      </c>
      <c r="G15" s="76" t="str">
        <f>IFERROR(__xludf.DUMMYFUNCTION("""COMPUTED_VALUE"""),"Driver Credentials")</f>
        <v>Driver Credentials</v>
      </c>
      <c r="H15" s="76" t="str">
        <f>IFERROR(__xludf.DUMMYFUNCTION("""COMPUTED_VALUE"""),"User should receive a notification of account verification")</f>
        <v>User should receive a notification of account verification</v>
      </c>
      <c r="I15" s="76" t="str">
        <f>IFERROR(__xludf.DUMMYFUNCTION("""COMPUTED_VALUE"""),"No notification received when admin approves user (driver) account")</f>
        <v>No notification received when admin approves user (driver) account</v>
      </c>
      <c r="J15" s="76" t="str">
        <f>IFERROR(__xludf.DUMMYFUNCTION("""COMPUTED_VALUE"""),"Fail")</f>
        <v>Fail</v>
      </c>
      <c r="K15" s="76" t="str">
        <f>IFERROR(__xludf.DUMMYFUNCTION("""COMPUTED_VALUE"""),"High")</f>
        <v>High</v>
      </c>
      <c r="L15" s="77" t="str">
        <f>IFERROR(__xludf.DUMMYFUNCTION("""COMPUTED_VALUE"""),"030.png")</f>
        <v>030.png</v>
      </c>
      <c r="M15" s="76"/>
      <c r="N15" s="76"/>
      <c r="O15" s="76"/>
      <c r="P15" s="76"/>
      <c r="Q15" s="76" t="str">
        <f>IFERROR(__xludf.DUMMYFUNCTION("""COMPUTED_VALUE"""),"Fahad")</f>
        <v>Fahad</v>
      </c>
      <c r="R15" s="46"/>
      <c r="S15" s="46"/>
      <c r="T15" s="46"/>
      <c r="U15" s="46"/>
      <c r="V15" s="46"/>
      <c r="W15" s="46"/>
      <c r="X15" s="46"/>
      <c r="Y15" s="46"/>
      <c r="Z15" s="46"/>
      <c r="AA15" s="46"/>
    </row>
    <row r="16">
      <c r="A16" s="51" t="s">
        <v>132</v>
      </c>
      <c r="B16" s="76" t="str">
        <f>IFERROR(__xludf.DUMMYFUNCTION("""COMPUTED_VALUE"""),"Driver")</f>
        <v>Driver</v>
      </c>
      <c r="C16" s="76" t="str">
        <f>IFERROR(__xludf.DUMMYFUNCTION("""COMPUTED_VALUE"""),"Drive verification")</f>
        <v>Drive verification</v>
      </c>
      <c r="D16" s="76" t="str">
        <f>IFERROR(__xludf.DUMMYFUNCTION("""COMPUTED_VALUE"""),"default name set for user")</f>
        <v>default name set for user</v>
      </c>
      <c r="E16" s="76" t="str">
        <f>IFERROR(__xludf.DUMMYFUNCTION("""COMPUTED_VALUE"""),"user need to install this app on their device")</f>
        <v>user need to install this app on their device</v>
      </c>
      <c r="F16" s="76" t="str">
        <f>IFERROR(__xludf.DUMMYFUNCTION("""COMPUTED_VALUE"""),"1. Open app
2. Select driver role
3. Click on signup and click on google signup
4. Fill necessary information and click on next")</f>
        <v>1. Open app
2. Select driver role
3. Click on signup and click on google signup
4. Fill necessary information and click on next</v>
      </c>
      <c r="G16" s="76" t="str">
        <f>IFERROR(__xludf.DUMMYFUNCTION("""COMPUTED_VALUE"""),"Driver Credentials")</f>
        <v>Driver Credentials</v>
      </c>
      <c r="H16" s="76" t="str">
        <f>IFERROR(__xludf.DUMMYFUNCTION("""COMPUTED_VALUE"""),"Should be placeholder ")</f>
        <v>Should be placeholder </v>
      </c>
      <c r="I16" s="76" t="str">
        <f>IFERROR(__xludf.DUMMYFUNCTION("""COMPUTED_VALUE"""),"Name was set for default")</f>
        <v>Name was set for default</v>
      </c>
      <c r="J16" s="76" t="str">
        <f>IFERROR(__xludf.DUMMYFUNCTION("""COMPUTED_VALUE"""),"Fail")</f>
        <v>Fail</v>
      </c>
      <c r="K16" s="76" t="str">
        <f>IFERROR(__xludf.DUMMYFUNCTION("""COMPUTED_VALUE"""),"Medium")</f>
        <v>Medium</v>
      </c>
      <c r="L16" s="77" t="str">
        <f>IFERROR(__xludf.DUMMYFUNCTION("""COMPUTED_VALUE"""),"031.png")</f>
        <v>031.png</v>
      </c>
      <c r="M16" s="76"/>
      <c r="N16" s="76"/>
      <c r="O16" s="76"/>
      <c r="P16" s="76"/>
      <c r="Q16" s="76" t="str">
        <f>IFERROR(__xludf.DUMMYFUNCTION("""COMPUTED_VALUE"""),"Fahad")</f>
        <v>Fahad</v>
      </c>
      <c r="R16" s="46"/>
      <c r="S16" s="46"/>
      <c r="T16" s="46"/>
      <c r="U16" s="46"/>
      <c r="V16" s="46"/>
      <c r="W16" s="46"/>
      <c r="X16" s="46"/>
      <c r="Y16" s="46"/>
      <c r="Z16" s="46"/>
      <c r="AA16" s="46"/>
    </row>
    <row r="17">
      <c r="A17" s="51" t="s">
        <v>138</v>
      </c>
      <c r="B17" s="76" t="str">
        <f>IFERROR(__xludf.DUMMYFUNCTION("""COMPUTED_VALUE"""),"Driver")</f>
        <v>Driver</v>
      </c>
      <c r="C17" s="76" t="str">
        <f>IFERROR(__xludf.DUMMYFUNCTION("""COMPUTED_VALUE"""),"Home")</f>
        <v>Home</v>
      </c>
      <c r="D17" s="76" t="str">
        <f>IFERROR(__xludf.DUMMYFUNCTION("""COMPUTED_VALUE"""),"Design is different from Figma.")</f>
        <v>Design is different from Figma.</v>
      </c>
      <c r="E17" s="76" t="str">
        <f>IFERROR(__xludf.DUMMYFUNCTION("""COMPUTED_VALUE"""),"user need to install this app on their device")</f>
        <v>user need to install this app on their device</v>
      </c>
      <c r="F17" s="76" t="str">
        <f>IFERROR(__xludf.DUMMYFUNCTION("""COMPUTED_VALUE"""),"1. Open app
2. Select driver role
3. Login using valid credentials
")</f>
        <v>1. Open app
2. Select driver role
3. Login using valid credentials
</v>
      </c>
      <c r="G17" s="76" t="str">
        <f>IFERROR(__xludf.DUMMYFUNCTION("""COMPUTED_VALUE"""),"Driver Credentials")</f>
        <v>Driver Credentials</v>
      </c>
      <c r="H17" s="76" t="str">
        <f>IFERROR(__xludf.DUMMYFUNCTION("""COMPUTED_VALUE"""),"Design and aligment should as same as figma for client satisfaction")</f>
        <v>Design and aligment should as same as figma for client satisfaction</v>
      </c>
      <c r="I17" s="76" t="str">
        <f>IFERROR(__xludf.DUMMYFUNCTION("""COMPUTED_VALUE"""),"Icon missing from figma has been seen")</f>
        <v>Icon missing from figma has been seen</v>
      </c>
      <c r="J17" s="76" t="str">
        <f>IFERROR(__xludf.DUMMYFUNCTION("""COMPUTED_VALUE"""),"Fail")</f>
        <v>Fail</v>
      </c>
      <c r="K17" s="76" t="str">
        <f>IFERROR(__xludf.DUMMYFUNCTION("""COMPUTED_VALUE"""),"Medium")</f>
        <v>Medium</v>
      </c>
      <c r="L17" s="77" t="str">
        <f>IFERROR(__xludf.DUMMYFUNCTION("""COMPUTED_VALUE"""),"021.png")</f>
        <v>021.png</v>
      </c>
      <c r="M17" s="76"/>
      <c r="N17" s="76"/>
      <c r="O17" s="76" t="str">
        <f>IFERROR(__xludf.DUMMYFUNCTION("""COMPUTED_VALUE"""),"Front-End")</f>
        <v>Front-End</v>
      </c>
      <c r="P17" s="76" t="str">
        <f>IFERROR(__xludf.DUMMYFUNCTION("""COMPUTED_VALUE"""),"fixed")</f>
        <v>fixed</v>
      </c>
      <c r="Q17" s="76" t="str">
        <f>IFERROR(__xludf.DUMMYFUNCTION("""COMPUTED_VALUE"""),"Fahad")</f>
        <v>Fahad</v>
      </c>
      <c r="R17" s="46"/>
      <c r="S17" s="46"/>
      <c r="T17" s="46"/>
      <c r="U17" s="46"/>
      <c r="V17" s="46"/>
      <c r="W17" s="46"/>
      <c r="X17" s="46"/>
      <c r="Y17" s="46"/>
      <c r="Z17" s="46"/>
      <c r="AA17" s="46"/>
    </row>
    <row r="18">
      <c r="A18" s="51" t="s">
        <v>144</v>
      </c>
      <c r="B18" s="76" t="str">
        <f>IFERROR(__xludf.DUMMYFUNCTION("""COMPUTED_VALUE"""),"Driver")</f>
        <v>Driver</v>
      </c>
      <c r="C18" s="76" t="str">
        <f>IFERROR(__xludf.DUMMYFUNCTION("""COMPUTED_VALUE"""),"My Trips")</f>
        <v>My Trips</v>
      </c>
      <c r="D18" s="76" t="str">
        <f>IFERROR(__xludf.DUMMYFUNCTION("""COMPUTED_VALUE"""),"Offering multiple seats for sharing but displaying only one as available")</f>
        <v>Offering multiple seats for sharing but displaying only one as available</v>
      </c>
      <c r="E18" s="76" t="str">
        <f>IFERROR(__xludf.DUMMYFUNCTION("""COMPUTED_VALUE"""),"user need to install this app on their device")</f>
        <v>user need to install this app on their device</v>
      </c>
      <c r="F18" s="76" t="str">
        <f>IFERROR(__xludf.DUMMYFUNCTION("""COMPUTED_VALUE"""),"1. Open app
2. Select driver role
3. Login using valid credentials
4. Click on post ride")</f>
        <v>1. Open app
2. Select driver role
3. Login using valid credentials
4. Click on post ride</v>
      </c>
      <c r="G18" s="76" t="str">
        <f>IFERROR(__xludf.DUMMYFUNCTION("""COMPUTED_VALUE"""),"Driver Credentials")</f>
        <v>Driver Credentials</v>
      </c>
      <c r="H18" s="76" t="str">
        <f>IFERROR(__xludf.DUMMYFUNCTION("""COMPUTED_VALUE"""),"Seat availability should display properly on posted rides")</f>
        <v>Seat availability should display properly on posted rides</v>
      </c>
      <c r="I18" s="76" t="str">
        <f>IFERROR(__xludf.DUMMYFUNCTION("""COMPUTED_VALUE"""),"Display only one seat as available on every ride share post, even if the user lists more than one seat.")</f>
        <v>Display only one seat as available on every ride share post, even if the user lists more than one seat.</v>
      </c>
      <c r="J18" s="76" t="str">
        <f>IFERROR(__xludf.DUMMYFUNCTION("""COMPUTED_VALUE"""),"Fail")</f>
        <v>Fail</v>
      </c>
      <c r="K18" s="76" t="str">
        <f>IFERROR(__xludf.DUMMYFUNCTION("""COMPUTED_VALUE"""),"High")</f>
        <v>High</v>
      </c>
      <c r="L18" s="77" t="str">
        <f>IFERROR(__xludf.DUMMYFUNCTION("""COMPUTED_VALUE"""),"032.png")</f>
        <v>032.png</v>
      </c>
      <c r="M18" s="76"/>
      <c r="N18" s="76"/>
      <c r="O18" s="76"/>
      <c r="P18" s="76"/>
      <c r="Q18" s="76" t="str">
        <f>IFERROR(__xludf.DUMMYFUNCTION("""COMPUTED_VALUE"""),"Fahad")</f>
        <v>Fahad</v>
      </c>
      <c r="R18" s="46"/>
      <c r="S18" s="46"/>
      <c r="T18" s="46"/>
      <c r="U18" s="46"/>
      <c r="V18" s="46"/>
      <c r="W18" s="46"/>
      <c r="X18" s="46"/>
      <c r="Y18" s="46"/>
      <c r="Z18" s="46"/>
      <c r="AA18" s="46"/>
    </row>
    <row r="19">
      <c r="A19" s="51" t="s">
        <v>160</v>
      </c>
      <c r="B19" s="76" t="str">
        <f>IFERROR(__xludf.DUMMYFUNCTION("""COMPUTED_VALUE"""),"Driver")</f>
        <v>Driver</v>
      </c>
      <c r="C19" s="76" t="str">
        <f>IFERROR(__xludf.DUMMYFUNCTION("""COMPUTED_VALUE"""),"My Trips")</f>
        <v>My Trips</v>
      </c>
      <c r="D19" s="76" t="str">
        <f>IFERROR(__xludf.DUMMYFUNCTION("""COMPUTED_VALUE"""),"Unable to find a ride through the search.")</f>
        <v>Unable to find a ride through the search.</v>
      </c>
      <c r="E19" s="76" t="str">
        <f>IFERROR(__xludf.DUMMYFUNCTION("""COMPUTED_VALUE"""),"user need to install this app on their device")</f>
        <v>user need to install this app on their device</v>
      </c>
      <c r="F19" s="76" t="str">
        <f>IFERROR(__xludf.DUMMYFUNCTION("""COMPUTED_VALUE"""),"1. Open app
2. Select driver role
3. Login using valid credentials
4. Click on post ride")</f>
        <v>1. Open app
2. Select driver role
3. Login using valid credentials
4. Click on post ride</v>
      </c>
      <c r="G19" s="76" t="str">
        <f>IFERROR(__xludf.DUMMYFUNCTION("""COMPUTED_VALUE"""),"Driver Credentials")</f>
        <v>Driver Credentials</v>
      </c>
      <c r="H19" s="76" t="str">
        <f>IFERROR(__xludf.DUMMYFUNCTION("""COMPUTED_VALUE"""),"User (passenger) should be able to get the ride if the time matches with rider")</f>
        <v>User (passenger) should be able to get the ride if the time matches with rider</v>
      </c>
      <c r="I19" s="76" t="str">
        <f>IFERROR(__xludf.DUMMYFUNCTION("""COMPUTED_VALUE"""),"Failed to get the ride, and no record was displayed.")</f>
        <v>Failed to get the ride, and no record was displayed.</v>
      </c>
      <c r="J19" s="76" t="str">
        <f>IFERROR(__xludf.DUMMYFUNCTION("""COMPUTED_VALUE"""),"Fail")</f>
        <v>Fail</v>
      </c>
      <c r="K19" s="76" t="str">
        <f>IFERROR(__xludf.DUMMYFUNCTION("""COMPUTED_VALUE"""),"High")</f>
        <v>High</v>
      </c>
      <c r="L19" s="77" t="str">
        <f>IFERROR(__xludf.DUMMYFUNCTION("""COMPUTED_VALUE"""),"033.mp4")</f>
        <v>033.mp4</v>
      </c>
      <c r="M19" s="76"/>
      <c r="N19" s="76"/>
      <c r="O19" s="76"/>
      <c r="P19" s="76"/>
      <c r="Q19" s="76" t="str">
        <f>IFERROR(__xludf.DUMMYFUNCTION("""COMPUTED_VALUE"""),"Fahad")</f>
        <v>Fahad</v>
      </c>
      <c r="R19" s="46"/>
      <c r="S19" s="46"/>
      <c r="T19" s="46"/>
      <c r="U19" s="46"/>
      <c r="V19" s="46"/>
      <c r="W19" s="46"/>
      <c r="X19" s="46"/>
      <c r="Y19" s="46"/>
      <c r="Z19" s="46"/>
      <c r="AA19" s="46"/>
    </row>
    <row r="20">
      <c r="A20" s="51" t="s">
        <v>164</v>
      </c>
      <c r="B20" s="76" t="str">
        <f>IFERROR(__xludf.DUMMYFUNCTION("""COMPUTED_VALUE"""),"Driver")</f>
        <v>Driver</v>
      </c>
      <c r="C20" s="76" t="str">
        <f>IFERROR(__xludf.DUMMYFUNCTION("""COMPUTED_VALUE"""),"Notification")</f>
        <v>Notification</v>
      </c>
      <c r="D20" s="76" t="str">
        <f>IFERROR(__xludf.DUMMYFUNCTION("""COMPUTED_VALUE"""),"Notification panel is empty, yet it still displays the unread notification icon.")</f>
        <v>Notification panel is empty, yet it still displays the unread notification icon.</v>
      </c>
      <c r="E20" s="76" t="str">
        <f>IFERROR(__xludf.DUMMYFUNCTION("""COMPUTED_VALUE"""),"user need to install this app on their device")</f>
        <v>user need to install this app on their device</v>
      </c>
      <c r="F20" s="76" t="str">
        <f>IFERROR(__xludf.DUMMYFUNCTION("""COMPUTED_VALUE"""),"1. Open app
2. Select driver role
3. Login using valid credentials
4. Click on notifications")</f>
        <v>1. Open app
2. Select driver role
3. Login using valid credentials
4. Click on notifications</v>
      </c>
      <c r="G20" s="76" t="str">
        <f>IFERROR(__xludf.DUMMYFUNCTION("""COMPUTED_VALUE"""),"Driver Credentials")</f>
        <v>Driver Credentials</v>
      </c>
      <c r="H20" s="76" t="str">
        <f>IFERROR(__xludf.DUMMYFUNCTION("""COMPUTED_VALUE"""),"If notification is empty than, should display simple bell icon")</f>
        <v>If notification is empty than, should display simple bell icon</v>
      </c>
      <c r="I20" s="76" t="str">
        <f>IFERROR(__xludf.DUMMYFUNCTION("""COMPUTED_VALUE"""),"mark on notification has been displayed weather it has no notification unread")</f>
        <v>mark on notification has been displayed weather it has no notification unread</v>
      </c>
      <c r="J20" s="76" t="str">
        <f>IFERROR(__xludf.DUMMYFUNCTION("""COMPUTED_VALUE"""),"Fail")</f>
        <v>Fail</v>
      </c>
      <c r="K20" s="76" t="str">
        <f>IFERROR(__xludf.DUMMYFUNCTION("""COMPUTED_VALUE"""),"Medium")</f>
        <v>Medium</v>
      </c>
      <c r="L20" s="77" t="str">
        <f>IFERROR(__xludf.DUMMYFUNCTION("""COMPUTED_VALUE"""),"020.mp4")</f>
        <v>020.mp4</v>
      </c>
      <c r="M20" s="76"/>
      <c r="N20" s="76"/>
      <c r="O20" s="76" t="str">
        <f>IFERROR(__xludf.DUMMYFUNCTION("""COMPUTED_VALUE"""),"Front-End")</f>
        <v>Front-End</v>
      </c>
      <c r="P20" s="76" t="str">
        <f>IFERROR(__xludf.DUMMYFUNCTION("""COMPUTED_VALUE"""),"fixed")</f>
        <v>fixed</v>
      </c>
      <c r="Q20" s="76" t="str">
        <f>IFERROR(__xludf.DUMMYFUNCTION("""COMPUTED_VALUE"""),"Fahad")</f>
        <v>Fahad</v>
      </c>
      <c r="R20" s="46"/>
      <c r="S20" s="46"/>
      <c r="T20" s="46"/>
      <c r="U20" s="46"/>
      <c r="V20" s="46"/>
      <c r="W20" s="46"/>
      <c r="X20" s="46"/>
      <c r="Y20" s="46"/>
      <c r="Z20" s="46"/>
      <c r="AA20" s="46"/>
    </row>
    <row r="21">
      <c r="A21" s="51" t="s">
        <v>171</v>
      </c>
      <c r="B21" s="76" t="str">
        <f>IFERROR(__xludf.DUMMYFUNCTION("""COMPUTED_VALUE"""),"Driver")</f>
        <v>Driver</v>
      </c>
      <c r="C21" s="76" t="str">
        <f>IFERROR(__xludf.DUMMYFUNCTION("""COMPUTED_VALUE"""),"Post New ride")</f>
        <v>Post New ride</v>
      </c>
      <c r="D21" s="76" t="str">
        <f>IFERROR(__xludf.DUMMYFUNCTION("""COMPUTED_VALUE"""),"Unable to display location suggestions.")</f>
        <v>Unable to display location suggestions.</v>
      </c>
      <c r="E21" s="76" t="str">
        <f>IFERROR(__xludf.DUMMYFUNCTION("""COMPUTED_VALUE"""),"user need to install this app on their device")</f>
        <v>user need to install this app on their device</v>
      </c>
      <c r="F21" s="76" t="str">
        <f>IFERROR(__xludf.DUMMYFUNCTION("""COMPUTED_VALUE"""),"1. Open app
2. Select driver role
3. Login using valid credentials
4. Click on post a new ride")</f>
        <v>1. Open app
2. Select driver role
3. Login using valid credentials
4. Click on post a new ride</v>
      </c>
      <c r="G21" s="76" t="str">
        <f>IFERROR(__xludf.DUMMYFUNCTION("""COMPUTED_VALUE"""),"Driver Credentials")</f>
        <v>Driver Credentials</v>
      </c>
      <c r="H21" s="76" t="str">
        <f>IFERROR(__xludf.DUMMYFUNCTION("""COMPUTED_VALUE"""),"Should display suggested locations for better user experience")</f>
        <v>Should display suggested locations for better user experience</v>
      </c>
      <c r="I21" s="76" t="str">
        <f>IFERROR(__xludf.DUMMYFUNCTION("""COMPUTED_VALUE"""),"Failed to suggest locations")</f>
        <v>Failed to suggest locations</v>
      </c>
      <c r="J21" s="76" t="str">
        <f>IFERROR(__xludf.DUMMYFUNCTION("""COMPUTED_VALUE"""),"Fail")</f>
        <v>Fail</v>
      </c>
      <c r="K21" s="76" t="str">
        <f>IFERROR(__xludf.DUMMYFUNCTION("""COMPUTED_VALUE"""),"High")</f>
        <v>High</v>
      </c>
      <c r="L21" s="77" t="str">
        <f>IFERROR(__xludf.DUMMYFUNCTION("""COMPUTED_VALUE"""),"023.png")</f>
        <v>023.png</v>
      </c>
      <c r="M21" s="76"/>
      <c r="N21" s="76"/>
      <c r="O21" s="76" t="str">
        <f>IFERROR(__xludf.DUMMYFUNCTION("""COMPUTED_VALUE"""),"Front-End")</f>
        <v>Front-End</v>
      </c>
      <c r="P21" s="76"/>
      <c r="Q21" s="76" t="str">
        <f>IFERROR(__xludf.DUMMYFUNCTION("""COMPUTED_VALUE"""),"Fahad")</f>
        <v>Fahad</v>
      </c>
      <c r="R21" s="46"/>
      <c r="S21" s="46"/>
      <c r="T21" s="46"/>
      <c r="U21" s="46"/>
      <c r="V21" s="46"/>
      <c r="W21" s="46"/>
      <c r="X21" s="46"/>
      <c r="Y21" s="46"/>
      <c r="Z21" s="46"/>
      <c r="AA21" s="46"/>
    </row>
    <row r="22">
      <c r="A22" s="51" t="s">
        <v>176</v>
      </c>
      <c r="B22" s="76" t="str">
        <f>IFERROR(__xludf.DUMMYFUNCTION("""COMPUTED_VALUE"""),"Driver")</f>
        <v>Driver</v>
      </c>
      <c r="C22" s="76" t="str">
        <f>IFERROR(__xludf.DUMMYFUNCTION("""COMPUTED_VALUE"""),"Post New ride")</f>
        <v>Post New ride</v>
      </c>
      <c r="D22" s="76" t="str">
        <f>IFERROR(__xludf.DUMMYFUNCTION("""COMPUTED_VALUE"""),"needs more polish in the text font and design")</f>
        <v>needs more polish in the text font and design</v>
      </c>
      <c r="E22" s="76" t="str">
        <f>IFERROR(__xludf.DUMMYFUNCTION("""COMPUTED_VALUE"""),"user need to install this app on their device")</f>
        <v>user need to install this app on their device</v>
      </c>
      <c r="F22" s="76" t="str">
        <f>IFERROR(__xludf.DUMMYFUNCTION("""COMPUTED_VALUE"""),"1. Open app
2. Select driver role
3. Login using valid credentials
4. Click on post a new ride")</f>
        <v>1. Open app
2. Select driver role
3. Login using valid credentials
4. Click on post a new ride</v>
      </c>
      <c r="G22" s="76" t="str">
        <f>IFERROR(__xludf.DUMMYFUNCTION("""COMPUTED_VALUE"""),"Driver Credentials")</f>
        <v>Driver Credentials</v>
      </c>
      <c r="H22" s="76" t="str">
        <f>IFERROR(__xludf.DUMMYFUNCTION("""COMPUTED_VALUE"""),"App could use some extra polish on both the text and design.")</f>
        <v>App could use some extra polish on both the text and design.</v>
      </c>
      <c r="I22" s="76" t="str">
        <f>IFERROR(__xludf.DUMMYFUNCTION("""COMPUTED_VALUE"""),"Need more polish on app")</f>
        <v>Need more polish on app</v>
      </c>
      <c r="J22" s="76" t="str">
        <f>IFERROR(__xludf.DUMMYFUNCTION("""COMPUTED_VALUE"""),"Fail")</f>
        <v>Fail</v>
      </c>
      <c r="K22" s="76" t="str">
        <f>IFERROR(__xludf.DUMMYFUNCTION("""COMPUTED_VALUE"""),"Medium")</f>
        <v>Medium</v>
      </c>
      <c r="L22" s="77" t="str">
        <f>IFERROR(__xludf.DUMMYFUNCTION("""COMPUTED_VALUE"""),"024.png")</f>
        <v>024.png</v>
      </c>
      <c r="M22" s="76"/>
      <c r="N22" s="76"/>
      <c r="O22" s="76"/>
      <c r="P22" s="76"/>
      <c r="Q22" s="76" t="str">
        <f>IFERROR(__xludf.DUMMYFUNCTION("""COMPUTED_VALUE"""),"Fahad")</f>
        <v>Fahad</v>
      </c>
      <c r="R22" s="46"/>
      <c r="S22" s="46"/>
      <c r="T22" s="46"/>
      <c r="U22" s="46"/>
      <c r="V22" s="46"/>
      <c r="W22" s="46"/>
      <c r="X22" s="46"/>
      <c r="Y22" s="46"/>
      <c r="Z22" s="46"/>
      <c r="AA22" s="46"/>
    </row>
    <row r="23">
      <c r="A23" s="51" t="s">
        <v>184</v>
      </c>
      <c r="B23" s="76" t="str">
        <f>IFERROR(__xludf.DUMMYFUNCTION("""COMPUTED_VALUE"""),"Driver")</f>
        <v>Driver</v>
      </c>
      <c r="C23" s="76" t="str">
        <f>IFERROR(__xludf.DUMMYFUNCTION("""COMPUTED_VALUE"""),"Post New ride")</f>
        <v>Post New ride</v>
      </c>
      <c r="D23" s="76" t="str">
        <f>IFERROR(__xludf.DUMMYFUNCTION("""COMPUTED_VALUE"""),"Function isn’t behaving as intended.")</f>
        <v>Function isn’t behaving as intended.</v>
      </c>
      <c r="E23" s="76" t="str">
        <f>IFERROR(__xludf.DUMMYFUNCTION("""COMPUTED_VALUE"""),"user need to install this app on their device")</f>
        <v>user need to install this app on their device</v>
      </c>
      <c r="F23" s="76" t="str">
        <f>IFERROR(__xludf.DUMMYFUNCTION("""COMPUTED_VALUE"""),"1. Open app
2. Select driver role
3. Login using valid credentials
4. Click on post a new ride")</f>
        <v>1. Open app
2. Select driver role
3. Login using valid credentials
4. Click on post a new ride</v>
      </c>
      <c r="G23" s="76" t="str">
        <f>IFERROR(__xludf.DUMMYFUNCTION("""COMPUTED_VALUE"""),"Driver Credentials")</f>
        <v>Driver Credentials</v>
      </c>
      <c r="H23" s="76" t="str">
        <f>IFERROR(__xludf.DUMMYFUNCTION("""COMPUTED_VALUE"""),"Function should perform as intended.")</f>
        <v>Function should perform as intended.</v>
      </c>
      <c r="I23" s="76" t="str">
        <f>IFERROR(__xludf.DUMMYFUNCTION("""COMPUTED_VALUE"""),"Failed to upload photos in the verification fields.")</f>
        <v>Failed to upload photos in the verification fields.</v>
      </c>
      <c r="J23" s="76" t="str">
        <f>IFERROR(__xludf.DUMMYFUNCTION("""COMPUTED_VALUE"""),"Fail")</f>
        <v>Fail</v>
      </c>
      <c r="K23" s="76" t="str">
        <f>IFERROR(__xludf.DUMMYFUNCTION("""COMPUTED_VALUE"""),"High")</f>
        <v>High</v>
      </c>
      <c r="L23" s="77" t="str">
        <f>IFERROR(__xludf.DUMMYFUNCTION("""COMPUTED_VALUE"""),"025.png")</f>
        <v>025.png</v>
      </c>
      <c r="M23" s="76"/>
      <c r="N23" s="76"/>
      <c r="O23" s="76" t="str">
        <f>IFERROR(__xludf.DUMMYFUNCTION("""COMPUTED_VALUE"""),"Front-End")</f>
        <v>Front-End</v>
      </c>
      <c r="P23" s="76"/>
      <c r="Q23" s="76" t="str">
        <f>IFERROR(__xludf.DUMMYFUNCTION("""COMPUTED_VALUE"""),"Fahad")</f>
        <v>Fahad</v>
      </c>
      <c r="R23" s="46"/>
      <c r="S23" s="46"/>
      <c r="T23" s="46"/>
      <c r="U23" s="46"/>
      <c r="V23" s="46"/>
      <c r="W23" s="46"/>
      <c r="X23" s="46"/>
      <c r="Y23" s="46"/>
      <c r="Z23" s="46"/>
      <c r="AA23" s="46"/>
    </row>
    <row r="24">
      <c r="A24" s="51" t="s">
        <v>190</v>
      </c>
      <c r="B24" s="76" t="str">
        <f>IFERROR(__xludf.DUMMYFUNCTION("""COMPUTED_VALUE"""),"Driver")</f>
        <v>Driver</v>
      </c>
      <c r="C24" s="76" t="str">
        <f>IFERROR(__xludf.DUMMYFUNCTION("""COMPUTED_VALUE"""),"Post New ride")</f>
        <v>Post New ride</v>
      </c>
      <c r="D24" s="76" t="str">
        <f>IFERROR(__xludf.DUMMYFUNCTION("""COMPUTED_VALUE"""),"Can’t create a ride because it’s asking me to select a location from a dropdown, but the dropdown isn’t showing up.")</f>
        <v>Can’t create a ride because it’s asking me to select a location from a dropdown, but the dropdown isn’t showing up.</v>
      </c>
      <c r="E24" s="76" t="str">
        <f>IFERROR(__xludf.DUMMYFUNCTION("""COMPUTED_VALUE"""),"user need to install this app on their device")</f>
        <v>user need to install this app on their device</v>
      </c>
      <c r="F24" s="76" t="str">
        <f>IFERROR(__xludf.DUMMYFUNCTION("""COMPUTED_VALUE"""),"1. Open app
2. Select driver role
3. Login using valid credentials
4. Click on post a new ride")</f>
        <v>1. Open app
2. Select driver role
3. Login using valid credentials
4. Click on post a new ride</v>
      </c>
      <c r="G24" s="76" t="str">
        <f>IFERROR(__xludf.DUMMYFUNCTION("""COMPUTED_VALUE"""),"Driver Credentials")</f>
        <v>Driver Credentials</v>
      </c>
      <c r="H24" s="76" t="str">
        <f>IFERROR(__xludf.DUMMYFUNCTION("""COMPUTED_VALUE"""),"Suggested location should be clearly visible to avoid any conflict with the actual location.")</f>
        <v>Suggested location should be clearly visible to avoid any conflict with the actual location.</v>
      </c>
      <c r="I24" s="76" t="str">
        <f>IFERROR(__xludf.DUMMYFUNCTION("""COMPUTED_VALUE"""),"System failed to suggest the correct location, and the dropdown menu also didn’t provide any suggestions.")</f>
        <v>System failed to suggest the correct location, and the dropdown menu also didn’t provide any suggestions.</v>
      </c>
      <c r="J24" s="76" t="str">
        <f>IFERROR(__xludf.DUMMYFUNCTION("""COMPUTED_VALUE"""),"Fail")</f>
        <v>Fail</v>
      </c>
      <c r="K24" s="76" t="str">
        <f>IFERROR(__xludf.DUMMYFUNCTION("""COMPUTED_VALUE"""),"High")</f>
        <v>High</v>
      </c>
      <c r="L24" s="77" t="str">
        <f>IFERROR(__xludf.DUMMYFUNCTION("""COMPUTED_VALUE"""),"026.png")</f>
        <v>026.png</v>
      </c>
      <c r="M24" s="76"/>
      <c r="N24" s="76"/>
      <c r="O24" s="76" t="str">
        <f>IFERROR(__xludf.DUMMYFUNCTION("""COMPUTED_VALUE"""),"Front-End")</f>
        <v>Front-End</v>
      </c>
      <c r="P24" s="76"/>
      <c r="Q24" s="76" t="str">
        <f>IFERROR(__xludf.DUMMYFUNCTION("""COMPUTED_VALUE"""),"Fahad")</f>
        <v>Fahad</v>
      </c>
      <c r="R24" s="46"/>
      <c r="S24" s="46"/>
      <c r="T24" s="46"/>
      <c r="U24" s="46"/>
      <c r="V24" s="46"/>
      <c r="W24" s="46"/>
      <c r="X24" s="46"/>
      <c r="Y24" s="46"/>
      <c r="Z24" s="46"/>
      <c r="AA24" s="46"/>
    </row>
    <row r="25">
      <c r="A25" s="51" t="s">
        <v>199</v>
      </c>
      <c r="B25" s="76" t="str">
        <f>IFERROR(__xludf.DUMMYFUNCTION("""COMPUTED_VALUE"""),"Driver")</f>
        <v>Driver</v>
      </c>
      <c r="C25" s="76" t="str">
        <f>IFERROR(__xludf.DUMMYFUNCTION("""COMPUTED_VALUE"""),"SignIn")</f>
        <v>SignIn</v>
      </c>
      <c r="D25" s="76" t="str">
        <f>IFERROR(__xludf.DUMMYFUNCTION("""COMPUTED_VALUE"""),"Google signup failed and was unable to store the username and information.")</f>
        <v>Google signup failed and was unable to store the username and information.</v>
      </c>
      <c r="E25" s="76" t="str">
        <f>IFERROR(__xludf.DUMMYFUNCTION("""COMPUTED_VALUE"""),"user need to install this app on their device")</f>
        <v>user need to install this app on their device</v>
      </c>
      <c r="F25" s="76" t="str">
        <f>IFERROR(__xludf.DUMMYFUNCTION("""COMPUTED_VALUE"""),"1. Open app
2. Select driver role
3. Signin using google signin")</f>
        <v>1. Open app
2. Select driver role
3. Signin using google signin</v>
      </c>
      <c r="G25" s="76" t="str">
        <f>IFERROR(__xludf.DUMMYFUNCTION("""COMPUTED_VALUE"""),"Driver Credentials")</f>
        <v>Driver Credentials</v>
      </c>
      <c r="H25" s="76" t="str">
        <f>IFERROR(__xludf.DUMMYFUNCTION("""COMPUTED_VALUE"""),"User should be able to signin using google account")</f>
        <v>User should be able to signin using google account</v>
      </c>
      <c r="I25" s="76" t="str">
        <f>IFERROR(__xludf.DUMMYFUNCTION("""COMPUTED_VALUE"""),"Failed to signin with google login")</f>
        <v>Failed to signin with google login</v>
      </c>
      <c r="J25" s="76" t="str">
        <f>IFERROR(__xludf.DUMMYFUNCTION("""COMPUTED_VALUE"""),"Fail")</f>
        <v>Fail</v>
      </c>
      <c r="K25" s="76" t="str">
        <f>IFERROR(__xludf.DUMMYFUNCTION("""COMPUTED_VALUE"""),"High")</f>
        <v>High</v>
      </c>
      <c r="L25" s="77" t="str">
        <f>IFERROR(__xludf.DUMMYFUNCTION("""COMPUTED_VALUE"""),"027.mp4")</f>
        <v>027.mp4</v>
      </c>
      <c r="M25" s="76"/>
      <c r="N25" s="76"/>
      <c r="O25" s="76"/>
      <c r="P25" s="76"/>
      <c r="Q25" s="76" t="str">
        <f>IFERROR(__xludf.DUMMYFUNCTION("""COMPUTED_VALUE"""),"Fahad")</f>
        <v>Fahad</v>
      </c>
      <c r="R25" s="46"/>
      <c r="S25" s="46"/>
      <c r="T25" s="46"/>
      <c r="U25" s="46"/>
      <c r="V25" s="46"/>
      <c r="W25" s="46"/>
      <c r="X25" s="46"/>
      <c r="Y25" s="46"/>
      <c r="Z25" s="46"/>
      <c r="AA25" s="46"/>
    </row>
    <row r="26">
      <c r="A26" s="51" t="s">
        <v>205</v>
      </c>
      <c r="B26" s="76" t="str">
        <f>IFERROR(__xludf.DUMMYFUNCTION("""COMPUTED_VALUE"""),"Driver")</f>
        <v>Driver</v>
      </c>
      <c r="C26" s="76" t="str">
        <f>IFERROR(__xludf.DUMMYFUNCTION("""COMPUTED_VALUE"""),"SignUp")</f>
        <v>SignUp</v>
      </c>
      <c r="D26" s="76" t="str">
        <f>IFERROR(__xludf.DUMMYFUNCTION("""COMPUTED_VALUE"""),"Backend shows the account as approved, but on the frontend, it’s still marked as under review.")</f>
        <v>Backend shows the account as approved, but on the frontend, it’s still marked as under review.</v>
      </c>
      <c r="E26" s="76" t="str">
        <f>IFERROR(__xludf.DUMMYFUNCTION("""COMPUTED_VALUE"""),"user need to install this app on their device")</f>
        <v>user need to install this app on their device</v>
      </c>
      <c r="F26" s="76" t="str">
        <f>IFERROR(__xludf.DUMMYFUNCTION("""COMPUTED_VALUE"""),"1. Open app
2. Select driver role
3. Goto signup page")</f>
        <v>1. Open app
2. Select driver role
3. Goto signup page</v>
      </c>
      <c r="G26" s="76" t="str">
        <f>IFERROR(__xludf.DUMMYFUNCTION("""COMPUTED_VALUE"""),"Driver Credentials")</f>
        <v>Driver Credentials</v>
      </c>
      <c r="H26" s="76" t="str">
        <f>IFERROR(__xludf.DUMMYFUNCTION("""COMPUTED_VALUE"""),"Frontend should show the updated status once the user has been approved in the backend.")</f>
        <v>Frontend should show the updated status once the user has been approved in the backend.</v>
      </c>
      <c r="I26" s="76" t="str">
        <f>IFERROR(__xludf.DUMMYFUNCTION("""COMPUTED_VALUE"""),"Driver is still in review state even after they were approved from the backend.")</f>
        <v>Driver is still in review state even after they were approved from the backend.</v>
      </c>
      <c r="J26" s="76" t="str">
        <f>IFERROR(__xludf.DUMMYFUNCTION("""COMPUTED_VALUE"""),"Fail")</f>
        <v>Fail</v>
      </c>
      <c r="K26" s="76" t="str">
        <f>IFERROR(__xludf.DUMMYFUNCTION("""COMPUTED_VALUE"""),"High")</f>
        <v>High</v>
      </c>
      <c r="L26" s="77" t="str">
        <f>IFERROR(__xludf.DUMMYFUNCTION("""COMPUTED_VALUE"""),"017.png")</f>
        <v>017.png</v>
      </c>
      <c r="M26" s="76"/>
      <c r="N26" s="76"/>
      <c r="O26" s="76" t="str">
        <f>IFERROR(__xludf.DUMMYFUNCTION("""COMPUTED_VALUE"""),"Front-End")</f>
        <v>Front-End</v>
      </c>
      <c r="P26" s="76" t="str">
        <f>IFERROR(__xludf.DUMMYFUNCTION("""COMPUTED_VALUE"""),"use pull to refresh")</f>
        <v>use pull to refresh</v>
      </c>
      <c r="Q26" s="76" t="str">
        <f>IFERROR(__xludf.DUMMYFUNCTION("""COMPUTED_VALUE"""),"Fahad")</f>
        <v>Fahad</v>
      </c>
      <c r="R26" s="46"/>
      <c r="S26" s="46"/>
      <c r="T26" s="46"/>
      <c r="U26" s="46"/>
      <c r="V26" s="46"/>
      <c r="W26" s="46"/>
      <c r="X26" s="46"/>
      <c r="Y26" s="46"/>
      <c r="Z26" s="46"/>
      <c r="AA26" s="46"/>
    </row>
    <row r="27">
      <c r="A27" s="51" t="s">
        <v>211</v>
      </c>
      <c r="B27" s="76" t="str">
        <f>IFERROR(__xludf.DUMMYFUNCTION("""COMPUTED_VALUE"""),"Driver")</f>
        <v>Driver</v>
      </c>
      <c r="C27" s="76" t="str">
        <f>IFERROR(__xludf.DUMMYFUNCTION("""COMPUTED_VALUE"""),"SignUp")</f>
        <v>SignUp</v>
      </c>
      <c r="D27" s="76" t="str">
        <f>IFERROR(__xludf.DUMMYFUNCTION("""COMPUTED_VALUE"""),"Signup using google failed")</f>
        <v>Signup using google failed</v>
      </c>
      <c r="E27" s="76" t="str">
        <f>IFERROR(__xludf.DUMMYFUNCTION("""COMPUTED_VALUE"""),"user need to install this app on their device")</f>
        <v>user need to install this app on their device</v>
      </c>
      <c r="F27" s="76" t="str">
        <f>IFERROR(__xludf.DUMMYFUNCTION("""COMPUTED_VALUE"""),"1. Open app
2. Select driver role
3. Click on signup and click on google signup")</f>
        <v>1. Open app
2. Select driver role
3. Click on signup and click on google signup</v>
      </c>
      <c r="G27" s="76" t="str">
        <f>IFERROR(__xludf.DUMMYFUNCTION("""COMPUTED_VALUE"""),"Driver Credentials")</f>
        <v>Driver Credentials</v>
      </c>
      <c r="H27" s="76" t="str">
        <f>IFERROR(__xludf.DUMMYFUNCTION("""COMPUTED_VALUE"""),"User should be able to signup using google account")</f>
        <v>User should be able to signup using google account</v>
      </c>
      <c r="I27" s="76" t="str">
        <f>IFERROR(__xludf.DUMMYFUNCTION("""COMPUTED_VALUE"""),"Failed to signup with google login")</f>
        <v>Failed to signup with google login</v>
      </c>
      <c r="J27" s="76" t="str">
        <f>IFERROR(__xludf.DUMMYFUNCTION("""COMPUTED_VALUE"""),"Fail")</f>
        <v>Fail</v>
      </c>
      <c r="K27" s="76" t="str">
        <f>IFERROR(__xludf.DUMMYFUNCTION("""COMPUTED_VALUE"""),"High")</f>
        <v>High</v>
      </c>
      <c r="L27" s="77" t="str">
        <f>IFERROR(__xludf.DUMMYFUNCTION("""COMPUTED_VALUE"""),"028.mp4")</f>
        <v>028.mp4</v>
      </c>
      <c r="M27" s="76"/>
      <c r="N27" s="76"/>
      <c r="O27" s="76"/>
      <c r="P27" s="76"/>
      <c r="Q27" s="76" t="str">
        <f>IFERROR(__xludf.DUMMYFUNCTION("""COMPUTED_VALUE"""),"Fahad")</f>
        <v>Fahad</v>
      </c>
      <c r="R27" s="46"/>
      <c r="S27" s="46"/>
      <c r="T27" s="46"/>
      <c r="U27" s="46"/>
      <c r="V27" s="46"/>
      <c r="W27" s="46"/>
      <c r="X27" s="46"/>
      <c r="Y27" s="46"/>
      <c r="Z27" s="46"/>
      <c r="AA27" s="46"/>
    </row>
    <row r="28">
      <c r="A28" s="51" t="s">
        <v>214</v>
      </c>
      <c r="B28" s="76" t="str">
        <f>IFERROR(__xludf.DUMMYFUNCTION("""COMPUTED_VALUE"""),"Onbording")</f>
        <v>Onbording</v>
      </c>
      <c r="C28" s="76" t="str">
        <f>IFERROR(__xludf.DUMMYFUNCTION("""COMPUTED_VALUE"""),"Onbording")</f>
        <v>Onbording</v>
      </c>
      <c r="D28" s="76" t="str">
        <f>IFERROR(__xludf.DUMMYFUNCTION("""COMPUTED_VALUE"""),"font alignment issue")</f>
        <v>font alignment issue</v>
      </c>
      <c r="E28" s="76" t="str">
        <f>IFERROR(__xludf.DUMMYFUNCTION("""COMPUTED_VALUE"""),"user need to install this app on their device")</f>
        <v>user need to install this app on their device</v>
      </c>
      <c r="F28" s="76" t="str">
        <f>IFERROR(__xludf.DUMMYFUNCTION("""COMPUTED_VALUE"""),"1. Open app")</f>
        <v>1. Open app</v>
      </c>
      <c r="G28" s="76" t="str">
        <f>IFERROR(__xludf.DUMMYFUNCTION("""COMPUTED_VALUE"""),"N/A")</f>
        <v>N/A</v>
      </c>
      <c r="H28" s="76" t="str">
        <f>IFERROR(__xludf.DUMMYFUNCTION("""COMPUTED_VALUE"""),"Design and alignment should match the Figma file as confirmed by the client.")</f>
        <v>Design and alignment should match the Figma file as confirmed by the client.</v>
      </c>
      <c r="I28" s="76" t="str">
        <f>IFERROR(__xludf.DUMMYFUNCTION("""COMPUTED_VALUE"""),"Font alignment issue has been noticed")</f>
        <v>Font alignment issue has been noticed</v>
      </c>
      <c r="J28" s="76" t="str">
        <f>IFERROR(__xludf.DUMMYFUNCTION("""COMPUTED_VALUE"""),"Fail")</f>
        <v>Fail</v>
      </c>
      <c r="K28" s="76" t="str">
        <f>IFERROR(__xludf.DUMMYFUNCTION("""COMPUTED_VALUE"""),"Low")</f>
        <v>Low</v>
      </c>
      <c r="L28" s="77" t="str">
        <f>IFERROR(__xludf.DUMMYFUNCTION("""COMPUTED_VALUE"""),"001.png")</f>
        <v>001.png</v>
      </c>
      <c r="M28" s="76"/>
      <c r="N28" s="76"/>
      <c r="O28" s="76" t="str">
        <f>IFERROR(__xludf.DUMMYFUNCTION("""COMPUTED_VALUE"""),"Front-End")</f>
        <v>Front-End</v>
      </c>
      <c r="P28" s="76" t="str">
        <f>IFERROR(__xludf.DUMMYFUNCTION("""COMPUTED_VALUE"""),"changed")</f>
        <v>changed</v>
      </c>
      <c r="Q28" s="76" t="str">
        <f>IFERROR(__xludf.DUMMYFUNCTION("""COMPUTED_VALUE"""),"Fahad")</f>
        <v>Fahad</v>
      </c>
      <c r="R28" s="46"/>
      <c r="S28" s="46"/>
      <c r="T28" s="46"/>
      <c r="U28" s="46"/>
      <c r="V28" s="46"/>
      <c r="W28" s="46"/>
      <c r="X28" s="46"/>
      <c r="Y28" s="46"/>
      <c r="Z28" s="46"/>
      <c r="AA28" s="46"/>
    </row>
    <row r="29">
      <c r="A29" s="51" t="s">
        <v>218</v>
      </c>
      <c r="B29" s="76" t="str">
        <f>IFERROR(__xludf.DUMMYFUNCTION("""COMPUTED_VALUE"""),"Onbording")</f>
        <v>Onbording</v>
      </c>
      <c r="C29" s="76" t="str">
        <f>IFERROR(__xludf.DUMMYFUNCTION("""COMPUTED_VALUE"""),"Onbording")</f>
        <v>Onbording</v>
      </c>
      <c r="D29" s="76" t="str">
        <f>IFERROR(__xludf.DUMMYFUNCTION("""COMPUTED_VALUE"""),"font alignment issue")</f>
        <v>font alignment issue</v>
      </c>
      <c r="E29" s="76" t="str">
        <f>IFERROR(__xludf.DUMMYFUNCTION("""COMPUTED_VALUE"""),"user need to install this app on their device")</f>
        <v>user need to install this app on their device</v>
      </c>
      <c r="F29" s="76" t="str">
        <f>IFERROR(__xludf.DUMMYFUNCTION("""COMPUTED_VALUE"""),"1. Open app")</f>
        <v>1. Open app</v>
      </c>
      <c r="G29" s="76" t="str">
        <f>IFERROR(__xludf.DUMMYFUNCTION("""COMPUTED_VALUE"""),"N/A")</f>
        <v>N/A</v>
      </c>
      <c r="H29" s="76" t="str">
        <f>IFERROR(__xludf.DUMMYFUNCTION("""COMPUTED_VALUE"""),"Design and alignment should match the Figma file as confirmed by the client.")</f>
        <v>Design and alignment should match the Figma file as confirmed by the client.</v>
      </c>
      <c r="I29" s="76" t="str">
        <f>IFERROR(__xludf.DUMMYFUNCTION("""COMPUTED_VALUE"""),"Font alignment issue has been noticed")</f>
        <v>Font alignment issue has been noticed</v>
      </c>
      <c r="J29" s="76" t="str">
        <f>IFERROR(__xludf.DUMMYFUNCTION("""COMPUTED_VALUE"""),"Fail")</f>
        <v>Fail</v>
      </c>
      <c r="K29" s="76" t="str">
        <f>IFERROR(__xludf.DUMMYFUNCTION("""COMPUTED_VALUE"""),"Low")</f>
        <v>Low</v>
      </c>
      <c r="L29" s="77" t="str">
        <f>IFERROR(__xludf.DUMMYFUNCTION("""COMPUTED_VALUE"""),"002.png")</f>
        <v>002.png</v>
      </c>
      <c r="M29" s="76"/>
      <c r="N29" s="76"/>
      <c r="O29" s="76" t="str">
        <f>IFERROR(__xludf.DUMMYFUNCTION("""COMPUTED_VALUE"""),"Front-End")</f>
        <v>Front-End</v>
      </c>
      <c r="P29" s="76" t="str">
        <f>IFERROR(__xludf.DUMMYFUNCTION("""COMPUTED_VALUE"""),"changed")</f>
        <v>changed</v>
      </c>
      <c r="Q29" s="76" t="str">
        <f>IFERROR(__xludf.DUMMYFUNCTION("""COMPUTED_VALUE"""),"Fahad")</f>
        <v>Fahad</v>
      </c>
      <c r="R29" s="46"/>
      <c r="S29" s="46"/>
      <c r="T29" s="46"/>
      <c r="U29" s="46"/>
      <c r="V29" s="46"/>
      <c r="W29" s="46"/>
      <c r="X29" s="46"/>
      <c r="Y29" s="46"/>
      <c r="Z29" s="46"/>
      <c r="AA29" s="46"/>
    </row>
    <row r="30">
      <c r="A30" s="51" t="s">
        <v>225</v>
      </c>
      <c r="B30" s="76" t="str">
        <f>IFERROR(__xludf.DUMMYFUNCTION("""COMPUTED_VALUE"""),"Onbording")</f>
        <v>Onbording</v>
      </c>
      <c r="C30" s="76" t="str">
        <f>IFERROR(__xludf.DUMMYFUNCTION("""COMPUTED_VALUE"""),"Onbording")</f>
        <v>Onbording</v>
      </c>
      <c r="D30" s="76" t="str">
        <f>IFERROR(__xludf.DUMMYFUNCTION("""COMPUTED_VALUE"""),"Icon needs to be bigger.")</f>
        <v>Icon needs to be bigger.</v>
      </c>
      <c r="E30" s="76" t="str">
        <f>IFERROR(__xludf.DUMMYFUNCTION("""COMPUTED_VALUE"""),"user need to install this app on their device")</f>
        <v>user need to install this app on their device</v>
      </c>
      <c r="F30" s="76" t="str">
        <f>IFERROR(__xludf.DUMMYFUNCTION("""COMPUTED_VALUE"""),"1. Open app")</f>
        <v>1. Open app</v>
      </c>
      <c r="G30" s="76" t="str">
        <f>IFERROR(__xludf.DUMMYFUNCTION("""COMPUTED_VALUE"""),"N/A")</f>
        <v>N/A</v>
      </c>
      <c r="H30" s="76" t="str">
        <f>IFERROR(__xludf.DUMMYFUNCTION("""COMPUTED_VALUE"""),"Design and alignment should match the Figma file as confirmed by the client.")</f>
        <v>Design and alignment should match the Figma file as confirmed by the client.</v>
      </c>
      <c r="I30" s="76" t="str">
        <f>IFERROR(__xludf.DUMMYFUNCTION("""COMPUTED_VALUE"""),"Font alignment issue has been noticed")</f>
        <v>Font alignment issue has been noticed</v>
      </c>
      <c r="J30" s="76" t="str">
        <f>IFERROR(__xludf.DUMMYFUNCTION("""COMPUTED_VALUE"""),"Fail")</f>
        <v>Fail</v>
      </c>
      <c r="K30" s="76" t="str">
        <f>IFERROR(__xludf.DUMMYFUNCTION("""COMPUTED_VALUE"""),"Low")</f>
        <v>Low</v>
      </c>
      <c r="L30" s="77" t="str">
        <f>IFERROR(__xludf.DUMMYFUNCTION("""COMPUTED_VALUE"""),"003.png")</f>
        <v>003.png</v>
      </c>
      <c r="M30" s="76"/>
      <c r="N30" s="76"/>
      <c r="O30" s="76" t="str">
        <f>IFERROR(__xludf.DUMMYFUNCTION("""COMPUTED_VALUE"""),"Front-End")</f>
        <v>Front-End</v>
      </c>
      <c r="P30" s="76" t="str">
        <f>IFERROR(__xludf.DUMMYFUNCTION("""COMPUTED_VALUE"""),"Taken whole as image..one will effect others")</f>
        <v>Taken whole as image..one will effect others</v>
      </c>
      <c r="Q30" s="76" t="str">
        <f>IFERROR(__xludf.DUMMYFUNCTION("""COMPUTED_VALUE"""),"Fahad")</f>
        <v>Fahad</v>
      </c>
      <c r="R30" s="46"/>
      <c r="S30" s="46"/>
      <c r="T30" s="46"/>
      <c r="U30" s="46"/>
      <c r="V30" s="46"/>
      <c r="W30" s="46"/>
      <c r="X30" s="46"/>
      <c r="Y30" s="46"/>
      <c r="Z30" s="46"/>
      <c r="AA30" s="46"/>
    </row>
    <row r="31">
      <c r="A31" s="51" t="s">
        <v>232</v>
      </c>
      <c r="B31" s="76" t="str">
        <f>IFERROR(__xludf.DUMMYFUNCTION("""COMPUTED_VALUE"""),"Onbording")</f>
        <v>Onbording</v>
      </c>
      <c r="C31" s="76" t="str">
        <f>IFERROR(__xludf.DUMMYFUNCTION("""COMPUTED_VALUE"""),"Onbording")</f>
        <v>Onbording</v>
      </c>
      <c r="D31" s="76" t="str">
        <f>IFERROR(__xludf.DUMMYFUNCTION("""COMPUTED_VALUE"""),"Title looks different from the Figma design, and there’s a font alignment issue.")</f>
        <v>Title looks different from the Figma design, and there’s a font alignment issue.</v>
      </c>
      <c r="E31" s="76" t="str">
        <f>IFERROR(__xludf.DUMMYFUNCTION("""COMPUTED_VALUE"""),"user need to install this app on their device")</f>
        <v>user need to install this app on their device</v>
      </c>
      <c r="F31" s="76" t="str">
        <f>IFERROR(__xludf.DUMMYFUNCTION("""COMPUTED_VALUE"""),"1. Open app")</f>
        <v>1. Open app</v>
      </c>
      <c r="G31" s="76" t="str">
        <f>IFERROR(__xludf.DUMMYFUNCTION("""COMPUTED_VALUE"""),"N/A")</f>
        <v>N/A</v>
      </c>
      <c r="H31" s="76" t="str">
        <f>IFERROR(__xludf.DUMMYFUNCTION("""COMPUTED_VALUE"""),"Design and alignment should match the Figma file as confirmed by the client.")</f>
        <v>Design and alignment should match the Figma file as confirmed by the client.</v>
      </c>
      <c r="I31" s="76" t="str">
        <f>IFERROR(__xludf.DUMMYFUNCTION("""COMPUTED_VALUE"""),"Font alignment issue has been noticed")</f>
        <v>Font alignment issue has been noticed</v>
      </c>
      <c r="J31" s="76" t="str">
        <f>IFERROR(__xludf.DUMMYFUNCTION("""COMPUTED_VALUE"""),"Fail")</f>
        <v>Fail</v>
      </c>
      <c r="K31" s="76" t="str">
        <f>IFERROR(__xludf.DUMMYFUNCTION("""COMPUTED_VALUE"""),"Low")</f>
        <v>Low</v>
      </c>
      <c r="L31" s="77" t="str">
        <f>IFERROR(__xludf.DUMMYFUNCTION("""COMPUTED_VALUE"""),"004.png")</f>
        <v>004.png</v>
      </c>
      <c r="M31" s="76"/>
      <c r="N31" s="76"/>
      <c r="O31" s="76" t="str">
        <f>IFERROR(__xludf.DUMMYFUNCTION("""COMPUTED_VALUE"""),"Front-End")</f>
        <v>Front-End</v>
      </c>
      <c r="P31" s="76" t="str">
        <f>IFERROR(__xludf.DUMMYFUNCTION("""COMPUTED_VALUE"""),"chnaged")</f>
        <v>chnaged</v>
      </c>
      <c r="Q31" s="76" t="str">
        <f>IFERROR(__xludf.DUMMYFUNCTION("""COMPUTED_VALUE"""),"Fahad")</f>
        <v>Fahad</v>
      </c>
      <c r="R31" s="46"/>
      <c r="S31" s="46"/>
      <c r="T31" s="46"/>
      <c r="U31" s="46"/>
      <c r="V31" s="46"/>
      <c r="W31" s="46"/>
      <c r="X31" s="46"/>
      <c r="Y31" s="46"/>
      <c r="Z31" s="46"/>
      <c r="AA31" s="46"/>
    </row>
    <row r="32">
      <c r="A32" s="51" t="s">
        <v>240</v>
      </c>
      <c r="B32" s="76" t="str">
        <f>IFERROR(__xludf.DUMMYFUNCTION("""COMPUTED_VALUE"""),"Passenger")</f>
        <v>Passenger</v>
      </c>
      <c r="C32" s="76" t="str">
        <f>IFERROR(__xludf.DUMMYFUNCTION("""COMPUTED_VALUE"""),"OTP")</f>
        <v>OTP</v>
      </c>
      <c r="D32" s="76" t="str">
        <f>IFERROR(__xludf.DUMMYFUNCTION("""COMPUTED_VALUE"""),"A jumping action has been observed when entering the OTP.")</f>
        <v>A jumping action has been observed when entering the OTP.</v>
      </c>
      <c r="E32" s="76" t="str">
        <f>IFERROR(__xludf.DUMMYFUNCTION("""COMPUTED_VALUE"""),"user need to install this app on their device")</f>
        <v>user need to install this app on their device</v>
      </c>
      <c r="F32" s="76" t="str">
        <f>IFERROR(__xludf.DUMMYFUNCTION("""COMPUTED_VALUE"""),"1. Open app
2. Select passenger role
3. Goto signup page
4. Fillup necessary information and click next to get OTP")</f>
        <v>1. Open app
2. Select passenger role
3. Goto signup page
4. Fillup necessary information and click next to get OTP</v>
      </c>
      <c r="G32" s="76" t="str">
        <f>IFERROR(__xludf.DUMMYFUNCTION("""COMPUTED_VALUE"""),"User Credentials")</f>
        <v>User Credentials</v>
      </c>
      <c r="H32" s="76" t="str">
        <f>IFERROR(__xludf.DUMMYFUNCTION("""COMPUTED_VALUE"""),"Should be stable when entering OTP")</f>
        <v>Should be stable when entering OTP</v>
      </c>
      <c r="I32" s="76" t="str">
        <f>IFERROR(__xludf.DUMMYFUNCTION("""COMPUTED_VALUE"""),"Jumping action has been observed ")</f>
        <v>Jumping action has been observed </v>
      </c>
      <c r="J32" s="76" t="str">
        <f>IFERROR(__xludf.DUMMYFUNCTION("""COMPUTED_VALUE"""),"Fail")</f>
        <v>Fail</v>
      </c>
      <c r="K32" s="76" t="str">
        <f>IFERROR(__xludf.DUMMYFUNCTION("""COMPUTED_VALUE"""),"Medium")</f>
        <v>Medium</v>
      </c>
      <c r="L32" s="77" t="str">
        <f>IFERROR(__xludf.DUMMYFUNCTION("""COMPUTED_VALUE"""),"011.mp4")</f>
        <v>011.mp4</v>
      </c>
      <c r="M32" s="76"/>
      <c r="N32" s="76"/>
      <c r="O32" s="76" t="str">
        <f>IFERROR(__xludf.DUMMYFUNCTION("""COMPUTED_VALUE"""),"Front-End")</f>
        <v>Front-End</v>
      </c>
      <c r="P32" s="76" t="str">
        <f>IFERROR(__xludf.DUMMYFUNCTION("""COMPUTED_VALUE"""),"Fixed")</f>
        <v>Fixed</v>
      </c>
      <c r="Q32" s="76" t="str">
        <f>IFERROR(__xludf.DUMMYFUNCTION("""COMPUTED_VALUE"""),"Fahad")</f>
        <v>Fahad</v>
      </c>
      <c r="R32" s="46"/>
      <c r="S32" s="46"/>
      <c r="T32" s="46"/>
      <c r="U32" s="46"/>
      <c r="V32" s="46"/>
      <c r="W32" s="46"/>
      <c r="X32" s="46"/>
      <c r="Y32" s="46"/>
      <c r="Z32" s="46"/>
      <c r="AA32" s="46"/>
    </row>
    <row r="33">
      <c r="A33" s="51" t="s">
        <v>247</v>
      </c>
      <c r="B33" s="76" t="str">
        <f>IFERROR(__xludf.DUMMYFUNCTION("""COMPUTED_VALUE"""),"Passenger")</f>
        <v>Passenger</v>
      </c>
      <c r="C33" s="76" t="str">
        <f>IFERROR(__xludf.DUMMYFUNCTION("""COMPUTED_VALUE"""),"OTP")</f>
        <v>OTP</v>
      </c>
      <c r="D33" s="76" t="str">
        <f>IFERROR(__xludf.DUMMYFUNCTION("""COMPUTED_VALUE"""),"Resend OTP failed")</f>
        <v>Resend OTP failed</v>
      </c>
      <c r="E33" s="76" t="str">
        <f>IFERROR(__xludf.DUMMYFUNCTION("""COMPUTED_VALUE"""),"user need to install this app on their device")</f>
        <v>user need to install this app on their device</v>
      </c>
      <c r="F33" s="76" t="str">
        <f>IFERROR(__xludf.DUMMYFUNCTION("""COMPUTED_VALUE"""),"1. Open app
2. Select passenger role
3. Goto signup page
4. Fillup necessary information and click next to get OTP")</f>
        <v>1. Open app
2. Select passenger role
3. Goto signup page
4. Fillup necessary information and click next to get OTP</v>
      </c>
      <c r="G33" s="76" t="str">
        <f>IFERROR(__xludf.DUMMYFUNCTION("""COMPUTED_VALUE"""),"User Credentials")</f>
        <v>User Credentials</v>
      </c>
      <c r="H33" s="76" t="str">
        <f>IFERROR(__xludf.DUMMYFUNCTION("""COMPUTED_VALUE"""),"Function should work as expected")</f>
        <v>Function should work as expected</v>
      </c>
      <c r="I33" s="76" t="str">
        <f>IFERROR(__xludf.DUMMYFUNCTION("""COMPUTED_VALUE"""),"Failed to resend OTP ")</f>
        <v>Failed to resend OTP </v>
      </c>
      <c r="J33" s="76" t="str">
        <f>IFERROR(__xludf.DUMMYFUNCTION("""COMPUTED_VALUE"""),"Fail")</f>
        <v>Fail</v>
      </c>
      <c r="K33" s="76" t="str">
        <f>IFERROR(__xludf.DUMMYFUNCTION("""COMPUTED_VALUE"""),"High")</f>
        <v>High</v>
      </c>
      <c r="L33" s="77" t="str">
        <f>IFERROR(__xludf.DUMMYFUNCTION("""COMPUTED_VALUE"""),"012.png")</f>
        <v>012.png</v>
      </c>
      <c r="M33" s="76"/>
      <c r="N33" s="76"/>
      <c r="O33" s="76" t="str">
        <f>IFERROR(__xludf.DUMMYFUNCTION("""COMPUTED_VALUE"""),"Front-End")</f>
        <v>Front-End</v>
      </c>
      <c r="P33" s="76" t="str">
        <f>IFERROR(__xludf.DUMMYFUNCTION("""COMPUTED_VALUE"""),"fixed")</f>
        <v>fixed</v>
      </c>
      <c r="Q33" s="76" t="str">
        <f>IFERROR(__xludf.DUMMYFUNCTION("""COMPUTED_VALUE"""),"Fahad")</f>
        <v>Fahad</v>
      </c>
      <c r="R33" s="46"/>
      <c r="S33" s="46"/>
      <c r="T33" s="46"/>
      <c r="U33" s="46"/>
      <c r="V33" s="46"/>
      <c r="W33" s="46"/>
      <c r="X33" s="46"/>
      <c r="Y33" s="46"/>
      <c r="Z33" s="46"/>
      <c r="AA33" s="46"/>
    </row>
    <row r="34">
      <c r="A34" s="51" t="s">
        <v>253</v>
      </c>
      <c r="B34" s="76" t="str">
        <f>IFERROR(__xludf.DUMMYFUNCTION("""COMPUTED_VALUE"""),"Passenger")</f>
        <v>Passenger</v>
      </c>
      <c r="C34" s="76" t="str">
        <f>IFERROR(__xludf.DUMMYFUNCTION("""COMPUTED_VALUE"""),"OTP")</f>
        <v>OTP</v>
      </c>
      <c r="D34" s="76" t="str">
        <f>IFERROR(__xludf.DUMMYFUNCTION("""COMPUTED_VALUE"""),"Valid OTP is showing as invalid. Time is not expired")</f>
        <v>Valid OTP is showing as invalid. Time is not expired</v>
      </c>
      <c r="E34" s="76" t="str">
        <f>IFERROR(__xludf.DUMMYFUNCTION("""COMPUTED_VALUE"""),"user need to install this app on their device")</f>
        <v>user need to install this app on their device</v>
      </c>
      <c r="F34" s="76" t="str">
        <f>IFERROR(__xludf.DUMMYFUNCTION("""COMPUTED_VALUE"""),"1. Open app
2. Select passenger role
3. Goto signup page
4. Fillup necessary information and click next to get OTP")</f>
        <v>1. Open app
2. Select passenger role
3. Goto signup page
4. Fillup necessary information and click next to get OTP</v>
      </c>
      <c r="G34" s="76" t="str">
        <f>IFERROR(__xludf.DUMMYFUNCTION("""COMPUTED_VALUE"""),"User Credentials")</f>
        <v>User Credentials</v>
      </c>
      <c r="H34" s="76" t="str">
        <f>IFERROR(__xludf.DUMMYFUNCTION("""COMPUTED_VALUE"""),"OTP should remain valid based on its designated validity period.")</f>
        <v>OTP should remain valid based on its designated validity period.</v>
      </c>
      <c r="I34" s="76" t="str">
        <f>IFERROR(__xludf.DUMMYFUNCTION("""COMPUTED_VALUE"""),"OTP shows as invalid, but it’s still within its validity period.")</f>
        <v>OTP shows as invalid, but it’s still within its validity period.</v>
      </c>
      <c r="J34" s="76" t="str">
        <f>IFERROR(__xludf.DUMMYFUNCTION("""COMPUTED_VALUE"""),"Fail")</f>
        <v>Fail</v>
      </c>
      <c r="K34" s="76" t="str">
        <f>IFERROR(__xludf.DUMMYFUNCTION("""COMPUTED_VALUE"""),"High")</f>
        <v>High</v>
      </c>
      <c r="L34" s="77" t="str">
        <f>IFERROR(__xludf.DUMMYFUNCTION("""COMPUTED_VALUE"""),"013.png")</f>
        <v>013.png</v>
      </c>
      <c r="M34" s="76"/>
      <c r="N34" s="76"/>
      <c r="O34" s="76" t="str">
        <f>IFERROR(__xludf.DUMMYFUNCTION("""COMPUTED_VALUE"""),"Front-End")</f>
        <v>Front-End</v>
      </c>
      <c r="P34" s="76" t="str">
        <f>IFERROR(__xludf.DUMMYFUNCTION("""COMPUTED_VALUE"""),"Validation time 10 min")</f>
        <v>Validation time 10 min</v>
      </c>
      <c r="Q34" s="76" t="str">
        <f>IFERROR(__xludf.DUMMYFUNCTION("""COMPUTED_VALUE"""),"Fahad")</f>
        <v>Fahad</v>
      </c>
      <c r="R34" s="46"/>
      <c r="S34" s="46"/>
      <c r="T34" s="46"/>
      <c r="U34" s="46"/>
      <c r="V34" s="46"/>
      <c r="W34" s="46"/>
      <c r="X34" s="46"/>
      <c r="Y34" s="46"/>
      <c r="Z34" s="46"/>
      <c r="AA34" s="46"/>
    </row>
    <row r="35">
      <c r="A35" s="51" t="s">
        <v>261</v>
      </c>
      <c r="B35" s="76" t="str">
        <f>IFERROR(__xludf.DUMMYFUNCTION("""COMPUTED_VALUE"""),"Passenger")</f>
        <v>Passenger</v>
      </c>
      <c r="C35" s="76" t="str">
        <f>IFERROR(__xludf.DUMMYFUNCTION("""COMPUTED_VALUE"""),"SignIn")</f>
        <v>SignIn</v>
      </c>
      <c r="D35" s="76" t="str">
        <f>IFERROR(__xludf.DUMMYFUNCTION("""COMPUTED_VALUE"""),"Should be slightly smaller, and the notification panel needs to be visible as per the Figma design.
Should be in center")</f>
        <v>Should be slightly smaller, and the notification panel needs to be visible as per the Figma design.
Should be in center</v>
      </c>
      <c r="E35" s="76" t="str">
        <f>IFERROR(__xludf.DUMMYFUNCTION("""COMPUTED_VALUE"""),"user need to install this app on their device")</f>
        <v>user need to install this app on their device</v>
      </c>
      <c r="F35" s="76" t="str">
        <f>IFERROR(__xludf.DUMMYFUNCTION("""COMPUTED_VALUE"""),"1. Open app
2. Select passenger role
3. Goto signin page")</f>
        <v>1. Open app
2. Select passenger role
3. Goto signin page</v>
      </c>
      <c r="G35" s="76" t="str">
        <f>IFERROR(__xludf.DUMMYFUNCTION("""COMPUTED_VALUE"""),"N/A")</f>
        <v>N/A</v>
      </c>
      <c r="H35" s="76" t="str">
        <f>IFERROR(__xludf.DUMMYFUNCTION("""COMPUTED_VALUE"""),"Design should match the Figma layout, with the title centered and the notification panel clearly visible.")</f>
        <v>Design should match the Figma layout, with the title centered and the notification panel clearly visible.</v>
      </c>
      <c r="I35" s="76" t="str">
        <f>IFERROR(__xludf.DUMMYFUNCTION("""COMPUTED_VALUE"""),"Notification bar is missing, the header section is larger than in Figma, and the title is not centered.")</f>
        <v>Notification bar is missing, the header section is larger than in Figma, and the title is not centered.</v>
      </c>
      <c r="J35" s="76" t="str">
        <f>IFERROR(__xludf.DUMMYFUNCTION("""COMPUTED_VALUE"""),"Fail")</f>
        <v>Fail</v>
      </c>
      <c r="K35" s="76" t="str">
        <f>IFERROR(__xludf.DUMMYFUNCTION("""COMPUTED_VALUE"""),"Medium")</f>
        <v>Medium</v>
      </c>
      <c r="L35" s="77" t="str">
        <f>IFERROR(__xludf.DUMMYFUNCTION("""COMPUTED_VALUE"""),"006.png")</f>
        <v>006.png</v>
      </c>
      <c r="M35" s="76"/>
      <c r="N35" s="76"/>
      <c r="O35" s="76" t="str">
        <f>IFERROR(__xludf.DUMMYFUNCTION("""COMPUTED_VALUE"""),"Front-End")</f>
        <v>Front-End</v>
      </c>
      <c r="P35" s="76" t="str">
        <f>IFERROR(__xludf.DUMMYFUNCTION("""COMPUTED_VALUE"""),"changed")</f>
        <v>changed</v>
      </c>
      <c r="Q35" s="76" t="str">
        <f>IFERROR(__xludf.DUMMYFUNCTION("""COMPUTED_VALUE"""),"Fahad")</f>
        <v>Fahad</v>
      </c>
      <c r="R35" s="46"/>
      <c r="S35" s="46"/>
      <c r="T35" s="46"/>
      <c r="U35" s="46"/>
      <c r="V35" s="46"/>
      <c r="W35" s="46"/>
      <c r="X35" s="46"/>
      <c r="Y35" s="46"/>
      <c r="Z35" s="46"/>
      <c r="AA35" s="46"/>
    </row>
    <row r="36">
      <c r="A36" s="51" t="s">
        <v>266</v>
      </c>
      <c r="B36" s="76" t="str">
        <f>IFERROR(__xludf.DUMMYFUNCTION("""COMPUTED_VALUE"""),"Passenger")</f>
        <v>Passenger</v>
      </c>
      <c r="C36" s="76" t="str">
        <f>IFERROR(__xludf.DUMMYFUNCTION("""COMPUTED_VALUE"""),"SignIn")</f>
        <v>SignIn</v>
      </c>
      <c r="D36" s="76" t="str">
        <f>IFERROR(__xludf.DUMMYFUNCTION("""COMPUTED_VALUE"""),"Failed to store data when a user logs in with Google.")</f>
        <v>Failed to store data when a user logs in with Google.</v>
      </c>
      <c r="E36" s="76" t="str">
        <f>IFERROR(__xludf.DUMMYFUNCTION("""COMPUTED_VALUE"""),"user need to install this app on their device")</f>
        <v>user need to install this app on their device</v>
      </c>
      <c r="F36" s="76" t="str">
        <f>IFERROR(__xludf.DUMMYFUNCTION("""COMPUTED_VALUE"""),"1. Open app
2. Select passenger role
3. Goto signin page")</f>
        <v>1. Open app
2. Select passenger role
3. Goto signin page</v>
      </c>
      <c r="G36" s="76" t="str">
        <f>IFERROR(__xludf.DUMMYFUNCTION("""COMPUTED_VALUE"""),"N/A")</f>
        <v>N/A</v>
      </c>
      <c r="H36" s="76" t="str">
        <f>IFERROR(__xludf.DUMMYFUNCTION("""COMPUTED_VALUE"""),"User data should be visible when user signup by google ")</f>
        <v>User data should be visible when user signup by google </v>
      </c>
      <c r="I36" s="76" t="str">
        <f>IFERROR(__xludf.DUMMYFUNCTION("""COMPUTED_VALUE"""),"Failed to ")</f>
        <v>Failed to </v>
      </c>
      <c r="J36" s="76" t="str">
        <f>IFERROR(__xludf.DUMMYFUNCTION("""COMPUTED_VALUE"""),"Fail")</f>
        <v>Fail</v>
      </c>
      <c r="K36" s="76" t="str">
        <f>IFERROR(__xludf.DUMMYFUNCTION("""COMPUTED_VALUE"""),"High")</f>
        <v>High</v>
      </c>
      <c r="L36" s="77" t="str">
        <f>IFERROR(__xludf.DUMMYFUNCTION("""COMPUTED_VALUE"""),"015.png")</f>
        <v>015.png</v>
      </c>
      <c r="M36" s="76"/>
      <c r="N36" s="76"/>
      <c r="O36" s="76"/>
      <c r="P36" s="76"/>
      <c r="Q36" s="76" t="str">
        <f>IFERROR(__xludf.DUMMYFUNCTION("""COMPUTED_VALUE"""),"Fahad")</f>
        <v>Fahad</v>
      </c>
      <c r="R36" s="46"/>
      <c r="S36" s="46"/>
      <c r="T36" s="46"/>
      <c r="U36" s="46"/>
      <c r="V36" s="46"/>
      <c r="W36" s="46"/>
      <c r="X36" s="46"/>
      <c r="Y36" s="46"/>
      <c r="Z36" s="46"/>
      <c r="AA36" s="46"/>
    </row>
    <row r="37">
      <c r="A37" s="51" t="s">
        <v>268</v>
      </c>
      <c r="B37" s="76" t="str">
        <f>IFERROR(__xludf.DUMMYFUNCTION("""COMPUTED_VALUE"""),"Passenger")</f>
        <v>Passenger</v>
      </c>
      <c r="C37" s="76" t="str">
        <f>IFERROR(__xludf.DUMMYFUNCTION("""COMPUTED_VALUE"""),"SignIn")</f>
        <v>SignIn</v>
      </c>
      <c r="D37" s="76" t="str">
        <f>IFERROR(__xludf.DUMMYFUNCTION("""COMPUTED_VALUE"""),"App name failed to display on Gmail which triggered during Google signup.")</f>
        <v>App name failed to display on Gmail which triggered during Google signup.</v>
      </c>
      <c r="E37" s="76" t="str">
        <f>IFERROR(__xludf.DUMMYFUNCTION("""COMPUTED_VALUE"""),"user need to install this app on their device")</f>
        <v>user need to install this app on their device</v>
      </c>
      <c r="F37" s="76" t="str">
        <f>IFERROR(__xludf.DUMMYFUNCTION("""COMPUTED_VALUE"""),"1. Open app
2. Select passenger role
3. Goto signin page")</f>
        <v>1. Open app
2. Select passenger role
3. Goto signin page</v>
      </c>
      <c r="G37" s="76" t="str">
        <f>IFERROR(__xludf.DUMMYFUNCTION("""COMPUTED_VALUE"""),"N/A")</f>
        <v>N/A</v>
      </c>
      <c r="H37" s="76" t="str">
        <f>IFERROR(__xludf.DUMMYFUNCTION("""COMPUTED_VALUE"""),"App name should be displayed correctly in the email section.")</f>
        <v>App name should be displayed correctly in the email section.</v>
      </c>
      <c r="I37" s="76" t="str">
        <f>IFERROR(__xludf.DUMMYFUNCTION("""COMPUTED_VALUE"""),"App name is missing, and it’s showing the project as a number instead.")</f>
        <v>App name is missing, and it’s showing the project as a number instead.</v>
      </c>
      <c r="J37" s="76" t="str">
        <f>IFERROR(__xludf.DUMMYFUNCTION("""COMPUTED_VALUE"""),"Fail")</f>
        <v>Fail</v>
      </c>
      <c r="K37" s="76" t="str">
        <f>IFERROR(__xludf.DUMMYFUNCTION("""COMPUTED_VALUE"""),"Medium")</f>
        <v>Medium</v>
      </c>
      <c r="L37" s="77" t="str">
        <f>IFERROR(__xludf.DUMMYFUNCTION("""COMPUTED_VALUE"""),"016.png")</f>
        <v>016.png</v>
      </c>
      <c r="M37" s="76"/>
      <c r="N37" s="76"/>
      <c r="O37" s="76"/>
      <c r="P37" s="76"/>
      <c r="Q37" s="76" t="str">
        <f>IFERROR(__xludf.DUMMYFUNCTION("""COMPUTED_VALUE"""),"Fahad")</f>
        <v>Fahad</v>
      </c>
      <c r="R37" s="46"/>
      <c r="S37" s="46"/>
      <c r="T37" s="46"/>
      <c r="U37" s="46"/>
      <c r="V37" s="46"/>
      <c r="W37" s="46"/>
      <c r="X37" s="46"/>
      <c r="Y37" s="46"/>
      <c r="Z37" s="46"/>
      <c r="AA37" s="46"/>
    </row>
    <row r="38">
      <c r="A38" s="51" t="s">
        <v>272</v>
      </c>
      <c r="B38" s="76" t="str">
        <f>IFERROR(__xludf.DUMMYFUNCTION("""COMPUTED_VALUE"""),"Passenger")</f>
        <v>Passenger</v>
      </c>
      <c r="C38" s="76" t="str">
        <f>IFERROR(__xludf.DUMMYFUNCTION("""COMPUTED_VALUE"""),"SignUp")</f>
        <v>SignUp</v>
      </c>
      <c r="D38" s="76" t="str">
        <f>IFERROR(__xludf.DUMMYFUNCTION("""COMPUTED_VALUE"""),"Need to set an input limit on the signup page.")</f>
        <v>Need to set an input limit on the signup page.</v>
      </c>
      <c r="E38" s="76" t="str">
        <f>IFERROR(__xludf.DUMMYFUNCTION("""COMPUTED_VALUE"""),"user need to install this app on their device")</f>
        <v>user need to install this app on their device</v>
      </c>
      <c r="F38" s="76" t="str">
        <f>IFERROR(__xludf.DUMMYFUNCTION("""COMPUTED_VALUE"""),"1. Open app
2. Select passenger role
3. Goto signup page")</f>
        <v>1. Open app
2. Select passenger role
3. Goto signup page</v>
      </c>
      <c r="G38" s="76" t="str">
        <f>IFERROR(__xludf.DUMMYFUNCTION("""COMPUTED_VALUE"""),"N/A")</f>
        <v>N/A</v>
      </c>
      <c r="H38" s="76" t="str">
        <f>IFERROR(__xludf.DUMMYFUNCTION("""COMPUTED_VALUE"""),"Need to put input limit for users and driver")</f>
        <v>Need to put input limit for users and driver</v>
      </c>
      <c r="I38" s="76" t="str">
        <f>IFERROR(__xludf.DUMMYFUNCTION("""COMPUTED_VALUE"""),"Can take infinite input in the input field.")</f>
        <v>Can take infinite input in the input field.</v>
      </c>
      <c r="J38" s="76" t="str">
        <f>IFERROR(__xludf.DUMMYFUNCTION("""COMPUTED_VALUE"""),"Fail")</f>
        <v>Fail</v>
      </c>
      <c r="K38" s="76" t="str">
        <f>IFERROR(__xludf.DUMMYFUNCTION("""COMPUTED_VALUE"""),"Medium")</f>
        <v>Medium</v>
      </c>
      <c r="L38" s="77" t="str">
        <f>IFERROR(__xludf.DUMMYFUNCTION("""COMPUTED_VALUE"""),"007.jpg")</f>
        <v>007.jpg</v>
      </c>
      <c r="M38" s="76"/>
      <c r="N38" s="76"/>
      <c r="O38" s="76"/>
      <c r="P38" s="76"/>
      <c r="Q38" s="76" t="str">
        <f>IFERROR(__xludf.DUMMYFUNCTION("""COMPUTED_VALUE"""),"Fahad")</f>
        <v>Fahad</v>
      </c>
      <c r="R38" s="46"/>
      <c r="S38" s="46"/>
      <c r="T38" s="46"/>
      <c r="U38" s="46"/>
      <c r="V38" s="46"/>
      <c r="W38" s="46"/>
      <c r="X38" s="46"/>
      <c r="Y38" s="46"/>
      <c r="Z38" s="46"/>
      <c r="AA38" s="46"/>
    </row>
    <row r="39">
      <c r="A39" s="51" t="s">
        <v>275</v>
      </c>
      <c r="B39" s="76" t="str">
        <f>IFERROR(__xludf.DUMMYFUNCTION("""COMPUTED_VALUE"""),"Passenger")</f>
        <v>Passenger</v>
      </c>
      <c r="C39" s="76" t="str">
        <f>IFERROR(__xludf.DUMMYFUNCTION("""COMPUTED_VALUE"""),"SignUp")</f>
        <v>SignUp</v>
      </c>
      <c r="D39" s="76" t="str">
        <f>IFERROR(__xludf.DUMMYFUNCTION("""COMPUTED_VALUE"""),"Non functional button")</f>
        <v>Non functional button</v>
      </c>
      <c r="E39" s="76" t="str">
        <f>IFERROR(__xludf.DUMMYFUNCTION("""COMPUTED_VALUE"""),"user need to install this app on their device")</f>
        <v>user need to install this app on their device</v>
      </c>
      <c r="F39" s="76" t="str">
        <f>IFERROR(__xludf.DUMMYFUNCTION("""COMPUTED_VALUE"""),"1. Open app
2. Select passenger role
3. Goto signup page")</f>
        <v>1. Open app
2. Select passenger role
3. Goto signup page</v>
      </c>
      <c r="G39" s="76" t="str">
        <f>IFERROR(__xludf.DUMMYFUNCTION("""COMPUTED_VALUE"""),"N/A")</f>
        <v>N/A</v>
      </c>
      <c r="H39" s="76" t="str">
        <f>IFERROR(__xludf.DUMMYFUNCTION("""COMPUTED_VALUE"""),"Password visibility button should function as intended.")</f>
        <v>Password visibility button should function as intended.</v>
      </c>
      <c r="I39" s="76" t="str">
        <f>IFERROR(__xludf.DUMMYFUNCTION("""COMPUTED_VALUE"""),"Toggle function isn’t working as expected.")</f>
        <v>Toggle function isn’t working as expected.</v>
      </c>
      <c r="J39" s="76" t="str">
        <f>IFERROR(__xludf.DUMMYFUNCTION("""COMPUTED_VALUE"""),"Fail")</f>
        <v>Fail</v>
      </c>
      <c r="K39" s="76" t="str">
        <f>IFERROR(__xludf.DUMMYFUNCTION("""COMPUTED_VALUE"""),"High")</f>
        <v>High</v>
      </c>
      <c r="L39" s="77" t="str">
        <f>IFERROR(__xludf.DUMMYFUNCTION("""COMPUTED_VALUE"""),"008.jpg")</f>
        <v>008.jpg</v>
      </c>
      <c r="M39" s="76"/>
      <c r="N39" s="76"/>
      <c r="O39" s="76" t="str">
        <f>IFERROR(__xludf.DUMMYFUNCTION("""COMPUTED_VALUE"""),"Front-End")</f>
        <v>Front-End</v>
      </c>
      <c r="P39" s="77" t="str">
        <f>IFERROR(__xludf.DUMMYFUNCTION("""COMPUTED_VALUE"""),"  MicrosoftTeams-video.mp4")</f>
        <v>  MicrosoftTeams-video.mp4</v>
      </c>
      <c r="Q39" s="76" t="str">
        <f>IFERROR(__xludf.DUMMYFUNCTION("""COMPUTED_VALUE"""),"Fahad")</f>
        <v>Fahad</v>
      </c>
      <c r="R39" s="46"/>
      <c r="S39" s="46"/>
      <c r="T39" s="46"/>
      <c r="U39" s="46"/>
      <c r="V39" s="46"/>
      <c r="W39" s="46"/>
      <c r="X39" s="46"/>
      <c r="Y39" s="46"/>
      <c r="Z39" s="46"/>
      <c r="AA39" s="46"/>
    </row>
    <row r="40">
      <c r="A40" s="51" t="s">
        <v>276</v>
      </c>
      <c r="B40" s="76" t="str">
        <f>IFERROR(__xludf.DUMMYFUNCTION("""COMPUTED_VALUE"""),"Passenger")</f>
        <v>Passenger</v>
      </c>
      <c r="C40" s="76" t="str">
        <f>IFERROR(__xludf.DUMMYFUNCTION("""COMPUTED_VALUE"""),"SignUp")</f>
        <v>SignUp</v>
      </c>
      <c r="D40" s="76" t="str">
        <f>IFERROR(__xludf.DUMMYFUNCTION("""COMPUTED_VALUE"""),"Failed to sign up using Google.")</f>
        <v>Failed to sign up using Google.</v>
      </c>
      <c r="E40" s="76" t="str">
        <f>IFERROR(__xludf.DUMMYFUNCTION("""COMPUTED_VALUE"""),"user need to install this app on their device")</f>
        <v>user need to install this app on their device</v>
      </c>
      <c r="F40" s="76" t="str">
        <f>IFERROR(__xludf.DUMMYFUNCTION("""COMPUTED_VALUE"""),"1. Open app
2. Select passenger role
3. Goto signup page")</f>
        <v>1. Open app
2. Select passenger role
3. Goto signup page</v>
      </c>
      <c r="G40" s="76" t="str">
        <f>IFERROR(__xludf.DUMMYFUNCTION("""COMPUTED_VALUE"""),"N/A")</f>
        <v>N/A</v>
      </c>
      <c r="H40" s="76" t="str">
        <f>IFERROR(__xludf.DUMMYFUNCTION("""COMPUTED_VALUE"""),"Users should be able to sign up with their Google account through Google sign-up.")</f>
        <v>Users should be able to sign up with their Google account through Google sign-up.</v>
      </c>
      <c r="I40" s="76" t="str">
        <f>IFERROR(__xludf.DUMMYFUNCTION("""COMPUTED_VALUE"""),"Failed to signup by google signup")</f>
        <v>Failed to signup by google signup</v>
      </c>
      <c r="J40" s="76" t="str">
        <f>IFERROR(__xludf.DUMMYFUNCTION("""COMPUTED_VALUE"""),"Fail")</f>
        <v>Fail</v>
      </c>
      <c r="K40" s="76" t="str">
        <f>IFERROR(__xludf.DUMMYFUNCTION("""COMPUTED_VALUE"""),"High")</f>
        <v>High</v>
      </c>
      <c r="L40" s="77" t="str">
        <f>IFERROR(__xludf.DUMMYFUNCTION("""COMPUTED_VALUE"""),"009.png")</f>
        <v>009.png</v>
      </c>
      <c r="M40" s="76"/>
      <c r="N40" s="76"/>
      <c r="O40" s="76"/>
      <c r="P40" s="76"/>
      <c r="Q40" s="76" t="str">
        <f>IFERROR(__xludf.DUMMYFUNCTION("""COMPUTED_VALUE"""),"Fahad")</f>
        <v>Fahad</v>
      </c>
      <c r="R40" s="46"/>
      <c r="S40" s="46"/>
      <c r="T40" s="46"/>
      <c r="U40" s="46"/>
      <c r="V40" s="46"/>
      <c r="W40" s="46"/>
      <c r="X40" s="46"/>
      <c r="Y40" s="46"/>
      <c r="Z40" s="46"/>
      <c r="AA40" s="46"/>
    </row>
    <row r="41">
      <c r="A41" s="51" t="s">
        <v>277</v>
      </c>
      <c r="B41" s="76" t="str">
        <f>IFERROR(__xludf.DUMMYFUNCTION("""COMPUTED_VALUE"""),"Passenger")</f>
        <v>Passenger</v>
      </c>
      <c r="C41" s="76" t="str">
        <f>IFERROR(__xludf.DUMMYFUNCTION("""COMPUTED_VALUE"""),"SignUp")</f>
        <v>SignUp</v>
      </c>
      <c r="D41" s="76" t="str">
        <f>IFERROR(__xludf.DUMMYFUNCTION("""COMPUTED_VALUE"""),"Encountered a server error during sign-up.")</f>
        <v>Encountered a server error during sign-up.</v>
      </c>
      <c r="E41" s="76" t="str">
        <f>IFERROR(__xludf.DUMMYFUNCTION("""COMPUTED_VALUE"""),"user need to install this app on their device")</f>
        <v>user need to install this app on their device</v>
      </c>
      <c r="F41" s="76" t="str">
        <f>IFERROR(__xludf.DUMMYFUNCTION("""COMPUTED_VALUE"""),"1. Open app
2. Select passenger role
3. Goto signup page")</f>
        <v>1. Open app
2. Select passenger role
3. Goto signup page</v>
      </c>
      <c r="G41" s="76" t="str">
        <f>IFERROR(__xludf.DUMMYFUNCTION("""COMPUTED_VALUE"""),"N/A")</f>
        <v>N/A</v>
      </c>
      <c r="H41" s="76" t="str">
        <f>IFERROR(__xludf.DUMMYFUNCTION("""COMPUTED_VALUE"""),"User should not get server error while signup")</f>
        <v>User should not get server error while signup</v>
      </c>
      <c r="I41" s="76" t="str">
        <f>IFERROR(__xludf.DUMMYFUNCTION("""COMPUTED_VALUE"""),"Server error message displayed while signup")</f>
        <v>Server error message displayed while signup</v>
      </c>
      <c r="J41" s="76" t="str">
        <f>IFERROR(__xludf.DUMMYFUNCTION("""COMPUTED_VALUE"""),"Fail")</f>
        <v>Fail</v>
      </c>
      <c r="K41" s="76" t="str">
        <f>IFERROR(__xludf.DUMMYFUNCTION("""COMPUTED_VALUE"""),"High")</f>
        <v>High</v>
      </c>
      <c r="L41" s="77" t="str">
        <f>IFERROR(__xludf.DUMMYFUNCTION("""COMPUTED_VALUE"""),"010.jpg")</f>
        <v>010.jpg</v>
      </c>
      <c r="M41" s="76"/>
      <c r="N41" s="76"/>
      <c r="O41" s="76" t="str">
        <f>IFERROR(__xludf.DUMMYFUNCTION("""COMPUTED_VALUE"""),"Front-End")</f>
        <v>Front-End</v>
      </c>
      <c r="P41" s="76" t="str">
        <f>IFERROR(__xludf.DUMMYFUNCTION("""COMPUTED_VALUE"""),"number length problem
fixed")</f>
        <v>number length problem
fixed</v>
      </c>
      <c r="Q41" s="76" t="str">
        <f>IFERROR(__xludf.DUMMYFUNCTION("""COMPUTED_VALUE"""),"Fahad")</f>
        <v>Fahad</v>
      </c>
      <c r="R41" s="46"/>
      <c r="S41" s="46"/>
      <c r="T41" s="46"/>
      <c r="U41" s="46"/>
      <c r="V41" s="46"/>
      <c r="W41" s="46"/>
      <c r="X41" s="46"/>
      <c r="Y41" s="46"/>
      <c r="Z41" s="46"/>
      <c r="AA41" s="46"/>
    </row>
    <row r="42">
      <c r="A42" s="51" t="s">
        <v>278</v>
      </c>
      <c r="B42" s="76" t="str">
        <f>IFERROR(__xludf.DUMMYFUNCTION("""COMPUTED_VALUE"""),"Passenger")</f>
        <v>Passenger</v>
      </c>
      <c r="C42" s="76" t="str">
        <f>IFERROR(__xludf.DUMMYFUNCTION("""COMPUTED_VALUE"""),"SignUp")</f>
        <v>SignUp</v>
      </c>
      <c r="D42" s="76" t="str">
        <f>IFERROR(__xludf.DUMMYFUNCTION("""COMPUTED_VALUE"""),"Server error occurred while signing up as a driver.")</f>
        <v>Server error occurred while signing up as a driver.</v>
      </c>
      <c r="E42" s="76" t="str">
        <f>IFERROR(__xludf.DUMMYFUNCTION("""COMPUTED_VALUE"""),"user need to install this app on their device")</f>
        <v>user need to install this app on their device</v>
      </c>
      <c r="F42" s="76" t="str">
        <f>IFERROR(__xludf.DUMMYFUNCTION("""COMPUTED_VALUE"""),"1. Open app
2. Select passenger role
3. Goto signup page")</f>
        <v>1. Open app
2. Select passenger role
3. Goto signup page</v>
      </c>
      <c r="G42" s="76" t="str">
        <f>IFERROR(__xludf.DUMMYFUNCTION("""COMPUTED_VALUE"""),"N/A")</f>
        <v>N/A</v>
      </c>
      <c r="H42" s="76" t="str">
        <f>IFERROR(__xludf.DUMMYFUNCTION("""COMPUTED_VALUE"""),"User should not get server error while signup")</f>
        <v>User should not get server error while signup</v>
      </c>
      <c r="I42" s="76" t="str">
        <f>IFERROR(__xludf.DUMMYFUNCTION("""COMPUTED_VALUE"""),"Server error message displayed while signup")</f>
        <v>Server error message displayed while signup</v>
      </c>
      <c r="J42" s="76" t="str">
        <f>IFERROR(__xludf.DUMMYFUNCTION("""COMPUTED_VALUE"""),"Fail")</f>
        <v>Fail</v>
      </c>
      <c r="K42" s="76" t="str">
        <f>IFERROR(__xludf.DUMMYFUNCTION("""COMPUTED_VALUE"""),"High")</f>
        <v>High</v>
      </c>
      <c r="L42" s="77" t="str">
        <f>IFERROR(__xludf.DUMMYFUNCTION("""COMPUTED_VALUE"""),"014.png")</f>
        <v>014.png</v>
      </c>
      <c r="M42" s="76"/>
      <c r="N42" s="76"/>
      <c r="O42" s="76" t="str">
        <f>IFERROR(__xludf.DUMMYFUNCTION("""COMPUTED_VALUE"""),"Front-End")</f>
        <v>Front-End</v>
      </c>
      <c r="P42" s="76" t="str">
        <f>IFERROR(__xludf.DUMMYFUNCTION("""COMPUTED_VALUE"""),"Same phone number and same email won't work")</f>
        <v>Same phone number and same email won't work</v>
      </c>
      <c r="Q42" s="76" t="str">
        <f>IFERROR(__xludf.DUMMYFUNCTION("""COMPUTED_VALUE"""),"Fahad")</f>
        <v>Fahad</v>
      </c>
      <c r="R42" s="46"/>
      <c r="S42" s="46"/>
      <c r="T42" s="46"/>
      <c r="U42" s="46"/>
      <c r="V42" s="46"/>
      <c r="W42" s="46"/>
      <c r="X42" s="46"/>
      <c r="Y42" s="46"/>
      <c r="Z42" s="46"/>
      <c r="AA42" s="46"/>
    </row>
    <row r="43">
      <c r="A43" s="51" t="s">
        <v>279</v>
      </c>
      <c r="B43" s="76" t="str">
        <f>IFERROR(__xludf.DUMMYFUNCTION("""COMPUTED_VALUE"""),"Role")</f>
        <v>Role</v>
      </c>
      <c r="C43" s="76" t="str">
        <f>IFERROR(__xludf.DUMMYFUNCTION("""COMPUTED_VALUE"""),"Role")</f>
        <v>Role</v>
      </c>
      <c r="D43" s="76" t="str">
        <f>IFERROR(__xludf.DUMMYFUNCTION("""COMPUTED_VALUE"""),"Should be under the driver, according to the Figma design.")</f>
        <v>Should be under the driver, according to the Figma design.</v>
      </c>
      <c r="E43" s="76" t="str">
        <f>IFERROR(__xludf.DUMMYFUNCTION("""COMPUTED_VALUE"""),"user need to install this app on their device")</f>
        <v>user need to install this app on their device</v>
      </c>
      <c r="F43" s="76" t="str">
        <f>IFERROR(__xludf.DUMMYFUNCTION("""COMPUTED_VALUE"""),"1. Open app
2. Select passenger role")</f>
        <v>1. Open app
2. Select passenger role</v>
      </c>
      <c r="G43" s="76" t="str">
        <f>IFERROR(__xludf.DUMMYFUNCTION("""COMPUTED_VALUE"""),"N/A")</f>
        <v>N/A</v>
      </c>
      <c r="H43" s="76" t="str">
        <f>IFERROR(__xludf.DUMMYFUNCTION("""COMPUTED_VALUE"""),"Design and alignment should match the Figma file as confirmed by the client.")</f>
        <v>Design and alignment should match the Figma file as confirmed by the client.</v>
      </c>
      <c r="I43" s="76" t="str">
        <f>IFERROR(__xludf.DUMMYFUNCTION("""COMPUTED_VALUE"""),"Message should be placed below the driver button as shown in Figma.")</f>
        <v>Message should be placed below the driver button as shown in Figma.</v>
      </c>
      <c r="J43" s="76" t="str">
        <f>IFERROR(__xludf.DUMMYFUNCTION("""COMPUTED_VALUE"""),"Fail")</f>
        <v>Fail</v>
      </c>
      <c r="K43" s="76" t="str">
        <f>IFERROR(__xludf.DUMMYFUNCTION("""COMPUTED_VALUE"""),"Low")</f>
        <v>Low</v>
      </c>
      <c r="L43" s="77" t="str">
        <f>IFERROR(__xludf.DUMMYFUNCTION("""COMPUTED_VALUE"""),"005.png")</f>
        <v>005.png</v>
      </c>
      <c r="M43" s="76"/>
      <c r="N43" s="76"/>
      <c r="O43" s="76" t="str">
        <f>IFERROR(__xludf.DUMMYFUNCTION("""COMPUTED_VALUE"""),"Front-End")</f>
        <v>Front-End</v>
      </c>
      <c r="P43" s="76" t="str">
        <f>IFERROR(__xludf.DUMMYFUNCTION("""COMPUTED_VALUE"""),"changed")</f>
        <v>changed</v>
      </c>
      <c r="Q43" s="76" t="str">
        <f>IFERROR(__xludf.DUMMYFUNCTION("""COMPUTED_VALUE"""),"Fahad")</f>
        <v>Fahad</v>
      </c>
      <c r="R43" s="46"/>
      <c r="S43" s="46"/>
      <c r="T43" s="46"/>
      <c r="U43" s="46"/>
      <c r="V43" s="46"/>
      <c r="W43" s="46"/>
      <c r="X43" s="46"/>
      <c r="Y43" s="46"/>
      <c r="Z43" s="46"/>
      <c r="AA43" s="46"/>
    </row>
    <row r="44">
      <c r="A44" s="51" t="s">
        <v>280</v>
      </c>
      <c r="B44" s="76"/>
      <c r="C44" s="76"/>
      <c r="D44" s="76"/>
      <c r="E44" s="76"/>
      <c r="F44" s="76"/>
      <c r="G44" s="76"/>
      <c r="H44" s="76"/>
      <c r="I44" s="76"/>
      <c r="J44" s="76"/>
      <c r="K44" s="76"/>
      <c r="L44" s="76"/>
      <c r="M44" s="76"/>
      <c r="N44" s="76"/>
      <c r="O44" s="76"/>
      <c r="P44" s="76"/>
      <c r="Q44" s="76"/>
      <c r="R44" s="46"/>
      <c r="S44" s="46"/>
      <c r="T44" s="46"/>
      <c r="U44" s="46"/>
      <c r="V44" s="46"/>
      <c r="W44" s="46"/>
      <c r="X44" s="46"/>
      <c r="Y44" s="46"/>
      <c r="Z44" s="46"/>
      <c r="AA44" s="46"/>
    </row>
    <row r="45">
      <c r="A45" s="51" t="s">
        <v>280</v>
      </c>
      <c r="B45" s="76"/>
      <c r="C45" s="76"/>
      <c r="D45" s="76"/>
      <c r="E45" s="76"/>
      <c r="F45" s="76"/>
      <c r="G45" s="76"/>
      <c r="H45" s="76"/>
      <c r="I45" s="76"/>
      <c r="J45" s="76"/>
      <c r="K45" s="76"/>
      <c r="L45" s="76"/>
      <c r="M45" s="76"/>
      <c r="N45" s="76"/>
      <c r="O45" s="76"/>
      <c r="P45" s="76"/>
      <c r="Q45" s="76"/>
      <c r="R45" s="46"/>
      <c r="S45" s="46"/>
      <c r="T45" s="46"/>
      <c r="U45" s="46"/>
      <c r="V45" s="46"/>
      <c r="W45" s="46"/>
      <c r="X45" s="46"/>
      <c r="Y45" s="46"/>
      <c r="Z45" s="46"/>
      <c r="AA45" s="46"/>
    </row>
    <row r="46">
      <c r="A46" s="51" t="s">
        <v>280</v>
      </c>
      <c r="B46" s="76"/>
      <c r="C46" s="76"/>
      <c r="D46" s="76"/>
      <c r="E46" s="76"/>
      <c r="F46" s="76"/>
      <c r="G46" s="76"/>
      <c r="H46" s="76"/>
      <c r="I46" s="76"/>
      <c r="J46" s="76"/>
      <c r="K46" s="76"/>
      <c r="L46" s="76"/>
      <c r="M46" s="76"/>
      <c r="N46" s="76"/>
      <c r="O46" s="76"/>
      <c r="P46" s="76"/>
      <c r="Q46" s="76"/>
      <c r="R46" s="46"/>
      <c r="S46" s="46"/>
      <c r="T46" s="46"/>
      <c r="U46" s="46"/>
      <c r="V46" s="46"/>
      <c r="W46" s="46"/>
      <c r="X46" s="46"/>
      <c r="Y46" s="46"/>
      <c r="Z46" s="46"/>
      <c r="AA46" s="46"/>
    </row>
    <row r="47">
      <c r="A47" s="51" t="s">
        <v>280</v>
      </c>
      <c r="B47" s="76"/>
      <c r="C47" s="76"/>
      <c r="D47" s="76"/>
      <c r="E47" s="76"/>
      <c r="F47" s="76"/>
      <c r="G47" s="76"/>
      <c r="H47" s="76"/>
      <c r="I47" s="76"/>
      <c r="J47" s="76"/>
      <c r="K47" s="76"/>
      <c r="L47" s="76"/>
      <c r="M47" s="76"/>
      <c r="N47" s="76"/>
      <c r="O47" s="76"/>
      <c r="P47" s="76"/>
      <c r="Q47" s="76"/>
      <c r="R47" s="46"/>
      <c r="S47" s="46"/>
      <c r="T47" s="46"/>
      <c r="U47" s="46"/>
      <c r="V47" s="46"/>
      <c r="W47" s="46"/>
      <c r="X47" s="46"/>
      <c r="Y47" s="46"/>
      <c r="Z47" s="46"/>
      <c r="AA47" s="46"/>
    </row>
    <row r="48">
      <c r="A48" s="51" t="s">
        <v>280</v>
      </c>
      <c r="B48" s="76"/>
      <c r="C48" s="76"/>
      <c r="D48" s="76"/>
      <c r="E48" s="76"/>
      <c r="F48" s="76"/>
      <c r="G48" s="76"/>
      <c r="H48" s="76"/>
      <c r="I48" s="76"/>
      <c r="J48" s="76"/>
      <c r="K48" s="76"/>
      <c r="L48" s="76"/>
      <c r="M48" s="76"/>
      <c r="N48" s="76"/>
      <c r="O48" s="76"/>
      <c r="P48" s="76"/>
      <c r="Q48" s="76"/>
      <c r="R48" s="46"/>
      <c r="S48" s="46"/>
      <c r="T48" s="46"/>
      <c r="U48" s="46"/>
      <c r="V48" s="46"/>
      <c r="W48" s="46"/>
      <c r="X48" s="46"/>
      <c r="Y48" s="46"/>
      <c r="Z48" s="46"/>
      <c r="AA48" s="46"/>
    </row>
    <row r="49">
      <c r="A49" s="51" t="s">
        <v>280</v>
      </c>
      <c r="B49" s="76"/>
      <c r="C49" s="76"/>
      <c r="D49" s="76"/>
      <c r="E49" s="76"/>
      <c r="F49" s="76"/>
      <c r="G49" s="76"/>
      <c r="H49" s="76"/>
      <c r="I49" s="76"/>
      <c r="J49" s="76"/>
      <c r="K49" s="76"/>
      <c r="L49" s="76"/>
      <c r="M49" s="76"/>
      <c r="N49" s="76"/>
      <c r="O49" s="76"/>
      <c r="P49" s="76"/>
      <c r="Q49" s="76"/>
      <c r="R49" s="46"/>
      <c r="S49" s="46"/>
      <c r="T49" s="46"/>
      <c r="U49" s="46"/>
      <c r="V49" s="46"/>
      <c r="W49" s="46"/>
      <c r="X49" s="46"/>
      <c r="Y49" s="46"/>
      <c r="Z49" s="46"/>
      <c r="AA49" s="46"/>
    </row>
    <row r="50">
      <c r="A50" s="51" t="s">
        <v>280</v>
      </c>
      <c r="B50" s="76"/>
      <c r="C50" s="76"/>
      <c r="D50" s="76"/>
      <c r="E50" s="76"/>
      <c r="F50" s="76"/>
      <c r="G50" s="76"/>
      <c r="H50" s="76"/>
      <c r="I50" s="76"/>
      <c r="J50" s="76"/>
      <c r="K50" s="76"/>
      <c r="L50" s="76"/>
      <c r="M50" s="76"/>
      <c r="N50" s="76"/>
      <c r="O50" s="76"/>
      <c r="P50" s="76"/>
      <c r="Q50" s="76"/>
      <c r="R50" s="46"/>
      <c r="S50" s="46"/>
      <c r="T50" s="46"/>
      <c r="U50" s="46"/>
      <c r="V50" s="46"/>
      <c r="W50" s="46"/>
      <c r="X50" s="46"/>
      <c r="Y50" s="46"/>
      <c r="Z50" s="46"/>
      <c r="AA50" s="46"/>
    </row>
    <row r="51">
      <c r="A51" s="51" t="s">
        <v>280</v>
      </c>
      <c r="B51" s="76"/>
      <c r="C51" s="76"/>
      <c r="D51" s="76"/>
      <c r="E51" s="76"/>
      <c r="F51" s="76"/>
      <c r="G51" s="76"/>
      <c r="H51" s="76"/>
      <c r="I51" s="76"/>
      <c r="J51" s="76"/>
      <c r="K51" s="76"/>
      <c r="L51" s="76"/>
      <c r="M51" s="76"/>
      <c r="N51" s="76"/>
      <c r="O51" s="76"/>
      <c r="P51" s="76"/>
      <c r="Q51" s="76"/>
      <c r="R51" s="46"/>
      <c r="S51" s="46"/>
      <c r="T51" s="46"/>
      <c r="U51" s="46"/>
      <c r="V51" s="46"/>
      <c r="W51" s="46"/>
      <c r="X51" s="46"/>
      <c r="Y51" s="46"/>
      <c r="Z51" s="46"/>
      <c r="AA51" s="46"/>
    </row>
    <row r="52">
      <c r="A52" s="51" t="s">
        <v>280</v>
      </c>
      <c r="B52" s="76"/>
      <c r="C52" s="76"/>
      <c r="D52" s="76"/>
      <c r="E52" s="76"/>
      <c r="F52" s="76"/>
      <c r="G52" s="76"/>
      <c r="H52" s="76"/>
      <c r="I52" s="76"/>
      <c r="J52" s="76"/>
      <c r="K52" s="76"/>
      <c r="L52" s="76"/>
      <c r="M52" s="76"/>
      <c r="N52" s="76"/>
      <c r="O52" s="76"/>
      <c r="P52" s="76"/>
      <c r="Q52" s="76"/>
      <c r="R52" s="46"/>
      <c r="S52" s="46"/>
      <c r="T52" s="46"/>
      <c r="U52" s="46"/>
      <c r="V52" s="46"/>
      <c r="W52" s="46"/>
      <c r="X52" s="46"/>
      <c r="Y52" s="46"/>
      <c r="Z52" s="46"/>
      <c r="AA52" s="46"/>
    </row>
    <row r="53">
      <c r="A53" s="51" t="s">
        <v>280</v>
      </c>
      <c r="B53" s="76"/>
      <c r="C53" s="76"/>
      <c r="D53" s="76"/>
      <c r="E53" s="76"/>
      <c r="F53" s="76"/>
      <c r="G53" s="76"/>
      <c r="H53" s="76"/>
      <c r="I53" s="76"/>
      <c r="J53" s="76"/>
      <c r="K53" s="76"/>
      <c r="L53" s="76"/>
      <c r="M53" s="76"/>
      <c r="N53" s="76"/>
      <c r="O53" s="76"/>
      <c r="P53" s="76"/>
      <c r="Q53" s="76"/>
      <c r="R53" s="46"/>
      <c r="S53" s="46"/>
      <c r="T53" s="46"/>
      <c r="U53" s="46"/>
      <c r="V53" s="46"/>
      <c r="W53" s="46"/>
      <c r="X53" s="46"/>
      <c r="Y53" s="46"/>
      <c r="Z53" s="46"/>
      <c r="AA53" s="46"/>
    </row>
    <row r="54">
      <c r="A54" s="51" t="s">
        <v>280</v>
      </c>
      <c r="B54" s="76"/>
      <c r="C54" s="76"/>
      <c r="D54" s="76"/>
      <c r="E54" s="76"/>
      <c r="F54" s="76"/>
      <c r="G54" s="76"/>
      <c r="H54" s="76"/>
      <c r="I54" s="76"/>
      <c r="J54" s="76"/>
      <c r="K54" s="76"/>
      <c r="L54" s="76"/>
      <c r="M54" s="76"/>
      <c r="N54" s="76"/>
      <c r="O54" s="76"/>
      <c r="P54" s="76"/>
      <c r="Q54" s="76"/>
      <c r="R54" s="46"/>
      <c r="S54" s="46"/>
      <c r="T54" s="46"/>
      <c r="U54" s="46"/>
      <c r="V54" s="46"/>
      <c r="W54" s="46"/>
      <c r="X54" s="46"/>
      <c r="Y54" s="46"/>
      <c r="Z54" s="46"/>
      <c r="AA54" s="46"/>
    </row>
    <row r="55">
      <c r="A55" s="51" t="s">
        <v>280</v>
      </c>
      <c r="B55" s="76"/>
      <c r="C55" s="76"/>
      <c r="D55" s="76"/>
      <c r="E55" s="76"/>
      <c r="F55" s="76"/>
      <c r="G55" s="76"/>
      <c r="H55" s="76"/>
      <c r="I55" s="76"/>
      <c r="J55" s="76"/>
      <c r="K55" s="76"/>
      <c r="L55" s="76"/>
      <c r="M55" s="76"/>
      <c r="N55" s="76"/>
      <c r="O55" s="76"/>
      <c r="P55" s="76"/>
      <c r="Q55" s="76"/>
      <c r="R55" s="46"/>
      <c r="S55" s="46"/>
      <c r="T55" s="46"/>
      <c r="U55" s="46"/>
      <c r="V55" s="46"/>
      <c r="W55" s="46"/>
      <c r="X55" s="46"/>
      <c r="Y55" s="46"/>
      <c r="Z55" s="46"/>
      <c r="AA55" s="46"/>
    </row>
    <row r="56">
      <c r="A56" s="51" t="s">
        <v>280</v>
      </c>
      <c r="B56" s="76"/>
      <c r="C56" s="76"/>
      <c r="D56" s="76"/>
      <c r="E56" s="76"/>
      <c r="F56" s="76"/>
      <c r="G56" s="76"/>
      <c r="H56" s="76"/>
      <c r="I56" s="76"/>
      <c r="J56" s="76"/>
      <c r="K56" s="76"/>
      <c r="L56" s="76"/>
      <c r="M56" s="76"/>
      <c r="N56" s="76"/>
      <c r="O56" s="76"/>
      <c r="P56" s="76"/>
      <c r="Q56" s="76"/>
      <c r="R56" s="46"/>
      <c r="S56" s="46"/>
      <c r="T56" s="46"/>
      <c r="U56" s="46"/>
      <c r="V56" s="46"/>
      <c r="W56" s="46"/>
      <c r="X56" s="46"/>
      <c r="Y56" s="46"/>
      <c r="Z56" s="46"/>
      <c r="AA56" s="46"/>
    </row>
    <row r="57">
      <c r="A57" s="51" t="s">
        <v>280</v>
      </c>
      <c r="B57" s="76"/>
      <c r="C57" s="76"/>
      <c r="D57" s="76"/>
      <c r="E57" s="76"/>
      <c r="F57" s="76"/>
      <c r="G57" s="76"/>
      <c r="H57" s="76"/>
      <c r="I57" s="76"/>
      <c r="J57" s="76"/>
      <c r="K57" s="76"/>
      <c r="L57" s="76"/>
      <c r="M57" s="76"/>
      <c r="N57" s="76"/>
      <c r="O57" s="76"/>
      <c r="P57" s="76"/>
      <c r="Q57" s="76"/>
      <c r="R57" s="46"/>
      <c r="S57" s="46"/>
      <c r="T57" s="46"/>
      <c r="U57" s="46"/>
      <c r="V57" s="46"/>
      <c r="W57" s="46"/>
      <c r="X57" s="46"/>
      <c r="Y57" s="46"/>
      <c r="Z57" s="46"/>
      <c r="AA57" s="46"/>
    </row>
    <row r="58">
      <c r="A58" s="51" t="s">
        <v>280</v>
      </c>
      <c r="B58" s="76"/>
      <c r="C58" s="76"/>
      <c r="D58" s="76"/>
      <c r="E58" s="76"/>
      <c r="F58" s="76"/>
      <c r="G58" s="76"/>
      <c r="H58" s="76"/>
      <c r="I58" s="76"/>
      <c r="J58" s="76"/>
      <c r="K58" s="76"/>
      <c r="L58" s="76"/>
      <c r="M58" s="76"/>
      <c r="N58" s="76"/>
      <c r="O58" s="76"/>
      <c r="P58" s="76"/>
      <c r="Q58" s="76"/>
      <c r="R58" s="46"/>
      <c r="S58" s="46"/>
      <c r="T58" s="46"/>
      <c r="U58" s="46"/>
      <c r="V58" s="46"/>
      <c r="W58" s="46"/>
      <c r="X58" s="46"/>
      <c r="Y58" s="46"/>
      <c r="Z58" s="46"/>
      <c r="AA58" s="46"/>
    </row>
    <row r="59">
      <c r="A59" s="51" t="s">
        <v>280</v>
      </c>
      <c r="B59" s="76"/>
      <c r="C59" s="76"/>
      <c r="D59" s="76"/>
      <c r="E59" s="76"/>
      <c r="F59" s="76"/>
      <c r="G59" s="76"/>
      <c r="H59" s="76"/>
      <c r="I59" s="76"/>
      <c r="J59" s="76"/>
      <c r="K59" s="76"/>
      <c r="L59" s="76"/>
      <c r="M59" s="76"/>
      <c r="N59" s="76"/>
      <c r="O59" s="76"/>
      <c r="P59" s="76"/>
      <c r="Q59" s="76"/>
      <c r="R59" s="46"/>
      <c r="S59" s="46"/>
      <c r="T59" s="46"/>
      <c r="U59" s="46"/>
      <c r="V59" s="46"/>
      <c r="W59" s="46"/>
      <c r="X59" s="46"/>
      <c r="Y59" s="46"/>
      <c r="Z59" s="46"/>
      <c r="AA59" s="46"/>
    </row>
    <row r="60">
      <c r="A60" s="51" t="s">
        <v>280</v>
      </c>
      <c r="B60" s="76"/>
      <c r="C60" s="76"/>
      <c r="D60" s="76"/>
      <c r="E60" s="76"/>
      <c r="F60" s="76"/>
      <c r="G60" s="76"/>
      <c r="H60" s="76"/>
      <c r="I60" s="76"/>
      <c r="J60" s="76"/>
      <c r="K60" s="76"/>
      <c r="L60" s="76"/>
      <c r="M60" s="76"/>
      <c r="N60" s="76"/>
      <c r="O60" s="76"/>
      <c r="P60" s="76"/>
      <c r="Q60" s="76"/>
      <c r="R60" s="46"/>
      <c r="S60" s="46"/>
      <c r="T60" s="46"/>
      <c r="U60" s="46"/>
      <c r="V60" s="46"/>
      <c r="W60" s="46"/>
      <c r="X60" s="46"/>
      <c r="Y60" s="46"/>
      <c r="Z60" s="46"/>
      <c r="AA60" s="46"/>
    </row>
    <row r="61">
      <c r="A61" s="51" t="s">
        <v>280</v>
      </c>
      <c r="B61" s="76"/>
      <c r="C61" s="76"/>
      <c r="D61" s="76"/>
      <c r="E61" s="76"/>
      <c r="F61" s="76"/>
      <c r="G61" s="76"/>
      <c r="H61" s="76"/>
      <c r="I61" s="76"/>
      <c r="J61" s="76"/>
      <c r="K61" s="76"/>
      <c r="L61" s="76"/>
      <c r="M61" s="76"/>
      <c r="N61" s="76"/>
      <c r="O61" s="76"/>
      <c r="P61" s="76"/>
      <c r="Q61" s="76"/>
      <c r="R61" s="46"/>
      <c r="S61" s="46"/>
      <c r="T61" s="46"/>
      <c r="U61" s="46"/>
      <c r="V61" s="46"/>
      <c r="W61" s="46"/>
      <c r="X61" s="46"/>
      <c r="Y61" s="46"/>
      <c r="Z61" s="46"/>
      <c r="AA61" s="46"/>
    </row>
    <row r="62">
      <c r="A62" s="51" t="s">
        <v>280</v>
      </c>
      <c r="B62" s="76"/>
      <c r="C62" s="76"/>
      <c r="D62" s="76"/>
      <c r="E62" s="76"/>
      <c r="F62" s="76"/>
      <c r="G62" s="76"/>
      <c r="H62" s="76"/>
      <c r="I62" s="76"/>
      <c r="J62" s="76"/>
      <c r="K62" s="76"/>
      <c r="L62" s="76"/>
      <c r="M62" s="76"/>
      <c r="N62" s="76"/>
      <c r="O62" s="76"/>
      <c r="P62" s="76"/>
      <c r="Q62" s="76"/>
      <c r="R62" s="46"/>
      <c r="S62" s="46"/>
      <c r="T62" s="46"/>
      <c r="U62" s="46"/>
      <c r="V62" s="46"/>
      <c r="W62" s="46"/>
      <c r="X62" s="46"/>
      <c r="Y62" s="46"/>
      <c r="Z62" s="46"/>
      <c r="AA62" s="46"/>
    </row>
    <row r="63">
      <c r="A63" s="51" t="s">
        <v>280</v>
      </c>
      <c r="B63" s="76"/>
      <c r="C63" s="76"/>
      <c r="D63" s="76"/>
      <c r="E63" s="76"/>
      <c r="F63" s="76"/>
      <c r="G63" s="76"/>
      <c r="H63" s="76"/>
      <c r="I63" s="76"/>
      <c r="J63" s="76"/>
      <c r="K63" s="76"/>
      <c r="L63" s="76"/>
      <c r="M63" s="76"/>
      <c r="N63" s="76"/>
      <c r="O63" s="76"/>
      <c r="P63" s="76"/>
      <c r="Q63" s="76"/>
      <c r="R63" s="46"/>
      <c r="S63" s="46"/>
      <c r="T63" s="46"/>
      <c r="U63" s="46"/>
      <c r="V63" s="46"/>
      <c r="W63" s="46"/>
      <c r="X63" s="46"/>
      <c r="Y63" s="46"/>
      <c r="Z63" s="46"/>
      <c r="AA63" s="46"/>
    </row>
    <row r="64">
      <c r="A64" s="51" t="s">
        <v>280</v>
      </c>
      <c r="B64" s="76"/>
      <c r="C64" s="76"/>
      <c r="D64" s="76"/>
      <c r="E64" s="76"/>
      <c r="F64" s="76"/>
      <c r="G64" s="76"/>
      <c r="H64" s="76"/>
      <c r="I64" s="76"/>
      <c r="J64" s="76"/>
      <c r="K64" s="76"/>
      <c r="L64" s="76"/>
      <c r="M64" s="76"/>
      <c r="N64" s="76"/>
      <c r="O64" s="76"/>
      <c r="P64" s="76"/>
      <c r="Q64" s="76"/>
      <c r="R64" s="46"/>
      <c r="S64" s="46"/>
      <c r="T64" s="46"/>
      <c r="U64" s="46"/>
      <c r="V64" s="46"/>
      <c r="W64" s="46"/>
      <c r="X64" s="46"/>
      <c r="Y64" s="46"/>
      <c r="Z64" s="46"/>
      <c r="AA64" s="46"/>
    </row>
    <row r="65">
      <c r="A65" s="51" t="s">
        <v>280</v>
      </c>
      <c r="B65" s="76"/>
      <c r="C65" s="76"/>
      <c r="D65" s="76"/>
      <c r="E65" s="76"/>
      <c r="F65" s="76"/>
      <c r="G65" s="76"/>
      <c r="H65" s="76"/>
      <c r="I65" s="76"/>
      <c r="J65" s="76"/>
      <c r="K65" s="76"/>
      <c r="L65" s="76"/>
      <c r="M65" s="76"/>
      <c r="N65" s="76"/>
      <c r="O65" s="76"/>
      <c r="P65" s="76"/>
      <c r="Q65" s="76"/>
      <c r="R65" s="46"/>
      <c r="S65" s="46"/>
      <c r="T65" s="46"/>
      <c r="U65" s="46"/>
      <c r="V65" s="46"/>
      <c r="W65" s="46"/>
      <c r="X65" s="46"/>
      <c r="Y65" s="46"/>
      <c r="Z65" s="46"/>
      <c r="AA65" s="46"/>
    </row>
    <row r="66">
      <c r="A66" s="51" t="s">
        <v>280</v>
      </c>
      <c r="B66" s="76"/>
      <c r="C66" s="76"/>
      <c r="D66" s="76"/>
      <c r="E66" s="76"/>
      <c r="F66" s="76"/>
      <c r="G66" s="76"/>
      <c r="H66" s="76"/>
      <c r="I66" s="76"/>
      <c r="J66" s="76"/>
      <c r="K66" s="76"/>
      <c r="L66" s="76"/>
      <c r="M66" s="76"/>
      <c r="N66" s="76"/>
      <c r="O66" s="76"/>
      <c r="P66" s="76"/>
      <c r="Q66" s="76"/>
      <c r="R66" s="46"/>
      <c r="S66" s="46"/>
      <c r="T66" s="46"/>
      <c r="U66" s="46"/>
      <c r="V66" s="46"/>
      <c r="W66" s="46"/>
      <c r="X66" s="46"/>
      <c r="Y66" s="46"/>
      <c r="Z66" s="46"/>
      <c r="AA66" s="46"/>
    </row>
    <row r="67">
      <c r="A67" s="51" t="s">
        <v>280</v>
      </c>
      <c r="B67" s="76"/>
      <c r="C67" s="76"/>
      <c r="D67" s="76"/>
      <c r="E67" s="76"/>
      <c r="F67" s="76"/>
      <c r="G67" s="76"/>
      <c r="H67" s="76"/>
      <c r="I67" s="76"/>
      <c r="J67" s="76"/>
      <c r="K67" s="76"/>
      <c r="L67" s="76"/>
      <c r="M67" s="76"/>
      <c r="N67" s="76"/>
      <c r="O67" s="76"/>
      <c r="P67" s="76"/>
      <c r="Q67" s="76"/>
      <c r="R67" s="46"/>
      <c r="S67" s="46"/>
      <c r="T67" s="46"/>
      <c r="U67" s="46"/>
      <c r="V67" s="46"/>
      <c r="W67" s="46"/>
      <c r="X67" s="46"/>
      <c r="Y67" s="46"/>
      <c r="Z67" s="46"/>
      <c r="AA67" s="46"/>
    </row>
    <row r="68">
      <c r="A68" s="51" t="s">
        <v>280</v>
      </c>
      <c r="B68" s="76"/>
      <c r="C68" s="76"/>
      <c r="D68" s="76"/>
      <c r="E68" s="76"/>
      <c r="F68" s="76"/>
      <c r="G68" s="76"/>
      <c r="H68" s="76"/>
      <c r="I68" s="76"/>
      <c r="J68" s="76"/>
      <c r="K68" s="76"/>
      <c r="L68" s="76"/>
      <c r="M68" s="76"/>
      <c r="N68" s="76"/>
      <c r="O68" s="76"/>
      <c r="P68" s="76"/>
      <c r="Q68" s="76"/>
      <c r="R68" s="46"/>
      <c r="S68" s="46"/>
      <c r="T68" s="46"/>
      <c r="U68" s="46"/>
      <c r="V68" s="46"/>
      <c r="W68" s="46"/>
      <c r="X68" s="46"/>
      <c r="Y68" s="46"/>
      <c r="Z68" s="46"/>
      <c r="AA68" s="46"/>
    </row>
    <row r="69">
      <c r="A69" s="51" t="s">
        <v>280</v>
      </c>
      <c r="B69" s="76"/>
      <c r="C69" s="76"/>
      <c r="D69" s="76"/>
      <c r="E69" s="76"/>
      <c r="F69" s="76"/>
      <c r="G69" s="76"/>
      <c r="H69" s="76"/>
      <c r="I69" s="76"/>
      <c r="J69" s="76"/>
      <c r="K69" s="76"/>
      <c r="L69" s="76"/>
      <c r="M69" s="76"/>
      <c r="N69" s="76"/>
      <c r="O69" s="76"/>
      <c r="P69" s="76"/>
      <c r="Q69" s="76"/>
      <c r="R69" s="46"/>
      <c r="S69" s="46"/>
      <c r="T69" s="46"/>
      <c r="U69" s="46"/>
      <c r="V69" s="46"/>
      <c r="W69" s="46"/>
      <c r="X69" s="46"/>
      <c r="Y69" s="46"/>
      <c r="Z69" s="46"/>
      <c r="AA69" s="46"/>
    </row>
    <row r="70">
      <c r="A70" s="51" t="s">
        <v>280</v>
      </c>
      <c r="B70" s="76"/>
      <c r="C70" s="76"/>
      <c r="D70" s="76"/>
      <c r="E70" s="76"/>
      <c r="F70" s="76"/>
      <c r="G70" s="76"/>
      <c r="H70" s="76"/>
      <c r="I70" s="76"/>
      <c r="J70" s="76"/>
      <c r="K70" s="76"/>
      <c r="L70" s="76"/>
      <c r="M70" s="76"/>
      <c r="N70" s="76"/>
      <c r="O70" s="76"/>
      <c r="P70" s="76"/>
      <c r="Q70" s="76"/>
      <c r="R70" s="46"/>
      <c r="S70" s="46"/>
      <c r="T70" s="46"/>
      <c r="U70" s="46"/>
      <c r="V70" s="46"/>
      <c r="W70" s="46"/>
      <c r="X70" s="46"/>
      <c r="Y70" s="46"/>
      <c r="Z70" s="46"/>
      <c r="AA70" s="46"/>
    </row>
    <row r="71">
      <c r="A71" s="51" t="s">
        <v>280</v>
      </c>
      <c r="B71" s="76"/>
      <c r="C71" s="76"/>
      <c r="D71" s="76"/>
      <c r="E71" s="76"/>
      <c r="F71" s="76"/>
      <c r="G71" s="76"/>
      <c r="H71" s="76"/>
      <c r="I71" s="76"/>
      <c r="J71" s="76"/>
      <c r="K71" s="76"/>
      <c r="L71" s="76"/>
      <c r="M71" s="76"/>
      <c r="N71" s="76"/>
      <c r="O71" s="76"/>
      <c r="P71" s="76"/>
      <c r="Q71" s="76"/>
      <c r="R71" s="46"/>
      <c r="S71" s="46"/>
      <c r="T71" s="46"/>
      <c r="U71" s="46"/>
      <c r="V71" s="46"/>
      <c r="W71" s="46"/>
      <c r="X71" s="46"/>
      <c r="Y71" s="46"/>
      <c r="Z71" s="46"/>
      <c r="AA71" s="46"/>
    </row>
    <row r="72">
      <c r="A72" s="51" t="s">
        <v>280</v>
      </c>
      <c r="B72" s="76"/>
      <c r="C72" s="76"/>
      <c r="D72" s="76"/>
      <c r="E72" s="76"/>
      <c r="F72" s="76"/>
      <c r="G72" s="76"/>
      <c r="H72" s="76"/>
      <c r="I72" s="76"/>
      <c r="J72" s="76"/>
      <c r="K72" s="76"/>
      <c r="L72" s="76"/>
      <c r="M72" s="76"/>
      <c r="N72" s="76"/>
      <c r="O72" s="76"/>
      <c r="P72" s="76"/>
      <c r="Q72" s="76"/>
      <c r="R72" s="46"/>
      <c r="S72" s="46"/>
      <c r="T72" s="46"/>
      <c r="U72" s="46"/>
      <c r="V72" s="46"/>
      <c r="W72" s="46"/>
      <c r="X72" s="46"/>
      <c r="Y72" s="46"/>
      <c r="Z72" s="46"/>
      <c r="AA72" s="46"/>
    </row>
    <row r="73">
      <c r="A73" s="51" t="s">
        <v>280</v>
      </c>
      <c r="B73" s="76"/>
      <c r="C73" s="76"/>
      <c r="D73" s="76"/>
      <c r="E73" s="76"/>
      <c r="F73" s="76"/>
      <c r="G73" s="76"/>
      <c r="H73" s="76"/>
      <c r="I73" s="76"/>
      <c r="J73" s="76"/>
      <c r="K73" s="76"/>
      <c r="L73" s="76"/>
      <c r="M73" s="76"/>
      <c r="N73" s="76"/>
      <c r="O73" s="76"/>
      <c r="P73" s="76"/>
      <c r="Q73" s="76"/>
      <c r="R73" s="46"/>
      <c r="S73" s="46"/>
      <c r="T73" s="46"/>
      <c r="U73" s="46"/>
      <c r="V73" s="46"/>
      <c r="W73" s="46"/>
      <c r="X73" s="46"/>
      <c r="Y73" s="46"/>
      <c r="Z73" s="46"/>
      <c r="AA73" s="46"/>
    </row>
    <row r="74">
      <c r="A74" s="51" t="s">
        <v>280</v>
      </c>
      <c r="B74" s="76"/>
      <c r="C74" s="76"/>
      <c r="D74" s="76"/>
      <c r="E74" s="76"/>
      <c r="F74" s="76"/>
      <c r="G74" s="76"/>
      <c r="H74" s="76"/>
      <c r="I74" s="76"/>
      <c r="J74" s="76"/>
      <c r="K74" s="76"/>
      <c r="L74" s="76"/>
      <c r="M74" s="76"/>
      <c r="N74" s="76"/>
      <c r="O74" s="76"/>
      <c r="P74" s="76"/>
      <c r="Q74" s="76"/>
      <c r="R74" s="46"/>
      <c r="S74" s="46"/>
      <c r="T74" s="46"/>
      <c r="U74" s="46"/>
      <c r="V74" s="46"/>
      <c r="W74" s="46"/>
      <c r="X74" s="46"/>
      <c r="Y74" s="46"/>
      <c r="Z74" s="46"/>
      <c r="AA74" s="46"/>
    </row>
    <row r="75">
      <c r="A75" s="51" t="s">
        <v>280</v>
      </c>
      <c r="B75" s="76"/>
      <c r="C75" s="76"/>
      <c r="D75" s="76"/>
      <c r="E75" s="76"/>
      <c r="F75" s="76"/>
      <c r="G75" s="76"/>
      <c r="H75" s="76"/>
      <c r="I75" s="76"/>
      <c r="J75" s="76"/>
      <c r="K75" s="76"/>
      <c r="L75" s="76"/>
      <c r="M75" s="76"/>
      <c r="N75" s="76"/>
      <c r="O75" s="76"/>
      <c r="P75" s="76"/>
      <c r="Q75" s="76"/>
      <c r="R75" s="46"/>
      <c r="S75" s="46"/>
      <c r="T75" s="46"/>
      <c r="U75" s="46"/>
      <c r="V75" s="46"/>
      <c r="W75" s="46"/>
      <c r="X75" s="46"/>
      <c r="Y75" s="46"/>
      <c r="Z75" s="46"/>
      <c r="AA75" s="46"/>
    </row>
    <row r="76">
      <c r="A76" s="51" t="s">
        <v>280</v>
      </c>
      <c r="B76" s="76"/>
      <c r="C76" s="76"/>
      <c r="D76" s="76"/>
      <c r="E76" s="76"/>
      <c r="F76" s="76"/>
      <c r="G76" s="76"/>
      <c r="H76" s="76"/>
      <c r="I76" s="76"/>
      <c r="J76" s="76"/>
      <c r="K76" s="76"/>
      <c r="L76" s="76"/>
      <c r="M76" s="76"/>
      <c r="N76" s="76"/>
      <c r="O76" s="76"/>
      <c r="P76" s="76"/>
      <c r="Q76" s="76"/>
      <c r="R76" s="46"/>
      <c r="S76" s="46"/>
      <c r="T76" s="46"/>
      <c r="U76" s="46"/>
      <c r="V76" s="46"/>
      <c r="W76" s="46"/>
      <c r="X76" s="46"/>
      <c r="Y76" s="46"/>
      <c r="Z76" s="46"/>
      <c r="AA76" s="46"/>
    </row>
    <row r="77">
      <c r="A77" s="51" t="s">
        <v>280</v>
      </c>
      <c r="B77" s="76"/>
      <c r="C77" s="76"/>
      <c r="D77" s="76"/>
      <c r="E77" s="76"/>
      <c r="F77" s="76"/>
      <c r="G77" s="76"/>
      <c r="H77" s="76"/>
      <c r="I77" s="76"/>
      <c r="J77" s="76"/>
      <c r="K77" s="76"/>
      <c r="L77" s="76"/>
      <c r="M77" s="76"/>
      <c r="N77" s="76"/>
      <c r="O77" s="76"/>
      <c r="P77" s="76"/>
      <c r="Q77" s="76"/>
      <c r="R77" s="46"/>
      <c r="S77" s="46"/>
      <c r="T77" s="46"/>
      <c r="U77" s="46"/>
      <c r="V77" s="46"/>
      <c r="W77" s="46"/>
      <c r="X77" s="46"/>
      <c r="Y77" s="46"/>
      <c r="Z77" s="46"/>
      <c r="AA77" s="46"/>
    </row>
    <row r="78">
      <c r="A78" s="51" t="s">
        <v>280</v>
      </c>
      <c r="B78" s="76"/>
      <c r="C78" s="76"/>
      <c r="D78" s="76"/>
      <c r="E78" s="76"/>
      <c r="F78" s="76"/>
      <c r="G78" s="76"/>
      <c r="H78" s="76"/>
      <c r="I78" s="76"/>
      <c r="J78" s="76"/>
      <c r="K78" s="76"/>
      <c r="L78" s="76"/>
      <c r="M78" s="76"/>
      <c r="N78" s="76"/>
      <c r="O78" s="76"/>
      <c r="P78" s="76"/>
      <c r="Q78" s="76"/>
      <c r="R78" s="46"/>
      <c r="S78" s="46"/>
      <c r="T78" s="46"/>
      <c r="U78" s="46"/>
      <c r="V78" s="46"/>
      <c r="W78" s="46"/>
      <c r="X78" s="46"/>
      <c r="Y78" s="46"/>
      <c r="Z78" s="46"/>
      <c r="AA78" s="46"/>
    </row>
    <row r="79">
      <c r="A79" s="51" t="s">
        <v>280</v>
      </c>
      <c r="B79" s="76"/>
      <c r="C79" s="76"/>
      <c r="D79" s="76"/>
      <c r="E79" s="76"/>
      <c r="F79" s="76"/>
      <c r="G79" s="76"/>
      <c r="H79" s="76"/>
      <c r="I79" s="76"/>
      <c r="J79" s="76"/>
      <c r="K79" s="76"/>
      <c r="L79" s="76"/>
      <c r="M79" s="76"/>
      <c r="N79" s="76"/>
      <c r="O79" s="76"/>
      <c r="P79" s="76"/>
      <c r="Q79" s="76"/>
      <c r="R79" s="46"/>
      <c r="S79" s="46"/>
      <c r="T79" s="46"/>
      <c r="U79" s="46"/>
      <c r="V79" s="46"/>
      <c r="W79" s="46"/>
      <c r="X79" s="46"/>
      <c r="Y79" s="46"/>
      <c r="Z79" s="46"/>
      <c r="AA79" s="46"/>
    </row>
    <row r="80">
      <c r="A80" s="51" t="s">
        <v>280</v>
      </c>
      <c r="B80" s="76"/>
      <c r="C80" s="76"/>
      <c r="D80" s="76"/>
      <c r="E80" s="76"/>
      <c r="F80" s="76"/>
      <c r="G80" s="76"/>
      <c r="H80" s="76"/>
      <c r="I80" s="76"/>
      <c r="J80" s="76"/>
      <c r="K80" s="76"/>
      <c r="L80" s="76"/>
      <c r="M80" s="76"/>
      <c r="N80" s="76"/>
      <c r="O80" s="76"/>
      <c r="P80" s="76"/>
      <c r="Q80" s="76"/>
      <c r="R80" s="46"/>
      <c r="S80" s="46"/>
      <c r="T80" s="46"/>
      <c r="U80" s="46"/>
      <c r="V80" s="46"/>
      <c r="W80" s="46"/>
      <c r="X80" s="46"/>
      <c r="Y80" s="46"/>
      <c r="Z80" s="46"/>
      <c r="AA80" s="46"/>
    </row>
    <row r="81">
      <c r="A81" s="51" t="s">
        <v>280</v>
      </c>
      <c r="B81" s="76"/>
      <c r="C81" s="76"/>
      <c r="D81" s="76"/>
      <c r="E81" s="76"/>
      <c r="F81" s="76"/>
      <c r="G81" s="76"/>
      <c r="H81" s="76"/>
      <c r="I81" s="76"/>
      <c r="J81" s="76"/>
      <c r="K81" s="76"/>
      <c r="L81" s="76"/>
      <c r="M81" s="76"/>
      <c r="N81" s="76"/>
      <c r="O81" s="76"/>
      <c r="P81" s="76"/>
      <c r="Q81" s="76"/>
      <c r="R81" s="46"/>
      <c r="S81" s="46"/>
      <c r="T81" s="46"/>
      <c r="U81" s="46"/>
      <c r="V81" s="46"/>
      <c r="W81" s="46"/>
      <c r="X81" s="46"/>
      <c r="Y81" s="46"/>
      <c r="Z81" s="46"/>
      <c r="AA81" s="46"/>
    </row>
    <row r="82">
      <c r="A82" s="51" t="s">
        <v>280</v>
      </c>
      <c r="B82" s="76"/>
      <c r="C82" s="76"/>
      <c r="D82" s="76"/>
      <c r="E82" s="76"/>
      <c r="F82" s="76"/>
      <c r="G82" s="76"/>
      <c r="H82" s="76"/>
      <c r="I82" s="76"/>
      <c r="J82" s="76"/>
      <c r="K82" s="76"/>
      <c r="L82" s="76"/>
      <c r="M82" s="76"/>
      <c r="N82" s="76"/>
      <c r="O82" s="76"/>
      <c r="P82" s="76"/>
      <c r="Q82" s="76"/>
      <c r="R82" s="46"/>
      <c r="S82" s="46"/>
      <c r="T82" s="46"/>
      <c r="U82" s="46"/>
      <c r="V82" s="46"/>
      <c r="W82" s="46"/>
      <c r="X82" s="46"/>
      <c r="Y82" s="46"/>
      <c r="Z82" s="46"/>
      <c r="AA82" s="46"/>
    </row>
    <row r="83">
      <c r="A83" s="51" t="s">
        <v>280</v>
      </c>
      <c r="B83" s="76"/>
      <c r="C83" s="76"/>
      <c r="D83" s="76"/>
      <c r="E83" s="76"/>
      <c r="F83" s="76"/>
      <c r="G83" s="76"/>
      <c r="H83" s="76"/>
      <c r="I83" s="76"/>
      <c r="J83" s="76"/>
      <c r="K83" s="76"/>
      <c r="L83" s="76"/>
      <c r="M83" s="76"/>
      <c r="N83" s="76"/>
      <c r="O83" s="76"/>
      <c r="P83" s="76"/>
      <c r="Q83" s="76"/>
      <c r="R83" s="46"/>
      <c r="S83" s="46"/>
      <c r="T83" s="46"/>
      <c r="U83" s="46"/>
      <c r="V83" s="46"/>
      <c r="W83" s="46"/>
      <c r="X83" s="46"/>
      <c r="Y83" s="46"/>
      <c r="Z83" s="46"/>
      <c r="AA83" s="46"/>
    </row>
    <row r="84">
      <c r="A84" s="51" t="s">
        <v>280</v>
      </c>
      <c r="B84" s="76"/>
      <c r="C84" s="76"/>
      <c r="D84" s="76"/>
      <c r="E84" s="76"/>
      <c r="F84" s="76"/>
      <c r="G84" s="76"/>
      <c r="H84" s="76"/>
      <c r="I84" s="76"/>
      <c r="J84" s="76"/>
      <c r="K84" s="76"/>
      <c r="L84" s="76"/>
      <c r="M84" s="76"/>
      <c r="N84" s="76"/>
      <c r="O84" s="76"/>
      <c r="P84" s="76"/>
      <c r="Q84" s="76"/>
      <c r="R84" s="46"/>
      <c r="S84" s="46"/>
      <c r="T84" s="46"/>
      <c r="U84" s="46"/>
      <c r="V84" s="46"/>
      <c r="W84" s="46"/>
      <c r="X84" s="46"/>
      <c r="Y84" s="46"/>
      <c r="Z84" s="46"/>
      <c r="AA84" s="46"/>
    </row>
    <row r="85">
      <c r="A85" s="51" t="s">
        <v>280</v>
      </c>
      <c r="B85" s="76"/>
      <c r="C85" s="76"/>
      <c r="D85" s="76"/>
      <c r="E85" s="76"/>
      <c r="F85" s="76"/>
      <c r="G85" s="76"/>
      <c r="H85" s="76"/>
      <c r="I85" s="76"/>
      <c r="J85" s="76"/>
      <c r="K85" s="76"/>
      <c r="L85" s="76"/>
      <c r="M85" s="76"/>
      <c r="N85" s="76"/>
      <c r="O85" s="76"/>
      <c r="P85" s="76"/>
      <c r="Q85" s="76"/>
      <c r="R85" s="46"/>
      <c r="S85" s="46"/>
      <c r="T85" s="46"/>
      <c r="U85" s="46"/>
      <c r="V85" s="46"/>
      <c r="W85" s="46"/>
      <c r="X85" s="46"/>
      <c r="Y85" s="46"/>
      <c r="Z85" s="46"/>
      <c r="AA85" s="46"/>
    </row>
    <row r="86">
      <c r="A86" s="51" t="s">
        <v>280</v>
      </c>
      <c r="B86" s="76"/>
      <c r="C86" s="76"/>
      <c r="D86" s="76"/>
      <c r="E86" s="76"/>
      <c r="F86" s="76"/>
      <c r="G86" s="76"/>
      <c r="H86" s="76"/>
      <c r="I86" s="76"/>
      <c r="J86" s="76"/>
      <c r="K86" s="76"/>
      <c r="L86" s="76"/>
      <c r="M86" s="76"/>
      <c r="N86" s="76"/>
      <c r="O86" s="76"/>
      <c r="P86" s="76"/>
      <c r="Q86" s="76"/>
      <c r="R86" s="46"/>
      <c r="S86" s="46"/>
      <c r="T86" s="46"/>
      <c r="U86" s="46"/>
      <c r="V86" s="46"/>
      <c r="W86" s="46"/>
      <c r="X86" s="46"/>
      <c r="Y86" s="46"/>
      <c r="Z86" s="46"/>
      <c r="AA86" s="46"/>
    </row>
    <row r="87">
      <c r="A87" s="83" t="s">
        <v>280</v>
      </c>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row>
    <row r="88">
      <c r="A88" s="83" t="s">
        <v>280</v>
      </c>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row>
    <row r="89">
      <c r="A89" s="83" t="s">
        <v>280</v>
      </c>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row>
    <row r="90">
      <c r="A90" s="83" t="s">
        <v>280</v>
      </c>
    </row>
    <row r="91">
      <c r="A91" s="83" t="s">
        <v>280</v>
      </c>
    </row>
    <row r="92">
      <c r="A92" s="83" t="s">
        <v>280</v>
      </c>
    </row>
    <row r="93">
      <c r="A93" s="83" t="s">
        <v>280</v>
      </c>
    </row>
    <row r="94">
      <c r="A94" s="83" t="s">
        <v>280</v>
      </c>
    </row>
    <row r="95">
      <c r="A95" s="83" t="s">
        <v>280</v>
      </c>
    </row>
    <row r="96">
      <c r="A96" s="83" t="s">
        <v>280</v>
      </c>
    </row>
    <row r="97">
      <c r="A97" s="83" t="s">
        <v>280</v>
      </c>
    </row>
    <row r="98">
      <c r="A98" s="83" t="s">
        <v>280</v>
      </c>
    </row>
    <row r="99">
      <c r="A99" s="83" t="s">
        <v>280</v>
      </c>
    </row>
    <row r="100">
      <c r="A100" s="84" t="s">
        <v>280</v>
      </c>
    </row>
  </sheetData>
  <dataValidations>
    <dataValidation type="list" allowBlank="1" showErrorMessage="1" sqref="K11:K86">
      <formula1>"Low,Medium,High"</formula1>
    </dataValidation>
    <dataValidation type="list" allowBlank="1" showErrorMessage="1" sqref="J11:J86">
      <formula1>"Fail,Pass"</formula1>
    </dataValidation>
    <dataValidation type="list" allowBlank="1" showErrorMessage="1" sqref="N11:N86">
      <formula1>"Solved,Unsolved"</formula1>
    </dataValidation>
    <dataValidation type="list" allowBlank="1" showErrorMessage="1" sqref="O11:O86">
      <formula1>"Front-End,Back-End,AI,UI/UX"</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P39"/>
    <hyperlink r:id="rId31" ref="L40"/>
    <hyperlink r:id="rId32" ref="L41"/>
    <hyperlink r:id="rId33" ref="L42"/>
    <hyperlink r:id="rId34" ref="L43"/>
  </hyperlinks>
  <drawing r:id="rId3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0"/>
    <col customWidth="1" min="15" max="15" width="14.13"/>
  </cols>
  <sheetData>
    <row r="1">
      <c r="A1" s="2"/>
      <c r="B1" s="2"/>
      <c r="C1" s="2"/>
      <c r="D1" s="2"/>
      <c r="E1" s="4"/>
      <c r="F1" s="4"/>
      <c r="G1" s="2"/>
      <c r="H1" s="2"/>
      <c r="I1" s="2"/>
      <c r="J1" s="2"/>
      <c r="K1" s="2"/>
      <c r="L1" s="2"/>
      <c r="M1" s="2"/>
      <c r="N1" s="2"/>
      <c r="O1" s="2"/>
    </row>
    <row r="2">
      <c r="A2" s="10" t="s">
        <v>0</v>
      </c>
      <c r="B2" s="12"/>
      <c r="C2" s="2"/>
      <c r="D2" s="13" t="s">
        <v>12</v>
      </c>
      <c r="E2" s="13" t="s">
        <v>14</v>
      </c>
      <c r="F2" s="2"/>
      <c r="G2" s="2"/>
      <c r="H2" s="2"/>
      <c r="I2" s="2"/>
      <c r="J2" s="2"/>
      <c r="K2" s="2"/>
      <c r="L2" s="2"/>
      <c r="M2" s="2"/>
      <c r="N2" s="2"/>
      <c r="O2" s="2"/>
    </row>
    <row r="3">
      <c r="A3" s="10" t="s">
        <v>10</v>
      </c>
      <c r="B3" s="15"/>
      <c r="C3" s="2"/>
      <c r="D3" s="16" t="s">
        <v>17</v>
      </c>
      <c r="E3" s="21">
        <f>COUNTIF(K14:K897, "High")</f>
        <v>0</v>
      </c>
      <c r="F3" s="2"/>
      <c r="G3" s="2"/>
      <c r="H3" s="2"/>
      <c r="I3" s="2"/>
      <c r="J3" s="2"/>
      <c r="K3" s="2"/>
      <c r="L3" s="2"/>
      <c r="M3" s="2"/>
      <c r="N3" s="2"/>
      <c r="O3" s="2"/>
    </row>
    <row r="4">
      <c r="A4" s="10" t="s">
        <v>21</v>
      </c>
      <c r="B4" s="23"/>
      <c r="C4" s="2"/>
      <c r="D4" s="16" t="s">
        <v>23</v>
      </c>
      <c r="E4" s="21">
        <f>COUNTIF(K14:K898, "Medium")</f>
        <v>0</v>
      </c>
      <c r="F4" s="2"/>
      <c r="G4" s="2"/>
      <c r="H4" s="2"/>
      <c r="I4" s="2"/>
      <c r="J4" s="2"/>
      <c r="K4" s="2"/>
      <c r="L4" s="2"/>
      <c r="M4" s="2"/>
      <c r="N4" s="2"/>
      <c r="O4" s="2"/>
    </row>
    <row r="5">
      <c r="A5" s="10" t="s">
        <v>13</v>
      </c>
      <c r="B5" s="26"/>
      <c r="C5" s="2"/>
      <c r="D5" s="16" t="s">
        <v>27</v>
      </c>
      <c r="E5" s="21">
        <f>COUNTIF(K14:K899, "Low") </f>
        <v>0</v>
      </c>
      <c r="F5" s="2"/>
      <c r="G5" s="2"/>
      <c r="H5" s="2"/>
      <c r="I5" s="2"/>
      <c r="J5" s="2"/>
      <c r="K5" s="2"/>
      <c r="L5" s="2"/>
      <c r="M5" s="2"/>
      <c r="N5" s="2"/>
      <c r="O5" s="2"/>
    </row>
    <row r="6">
      <c r="A6" s="10" t="s">
        <v>16</v>
      </c>
      <c r="B6" s="26"/>
      <c r="C6" s="2"/>
      <c r="D6" s="2"/>
      <c r="E6" s="2"/>
      <c r="F6" s="2"/>
      <c r="G6" s="2"/>
      <c r="H6" s="2"/>
      <c r="I6" s="2"/>
      <c r="J6" s="2"/>
      <c r="K6" s="2"/>
      <c r="L6" s="2"/>
      <c r="M6" s="2"/>
      <c r="N6" s="2"/>
      <c r="O6" s="2"/>
    </row>
    <row r="7">
      <c r="A7" s="30" t="s">
        <v>39</v>
      </c>
      <c r="B7" s="26"/>
      <c r="C7" s="2"/>
      <c r="D7" s="33" t="s">
        <v>41</v>
      </c>
      <c r="E7" s="36">
        <f>SUM(E3:E5)</f>
        <v>0</v>
      </c>
      <c r="F7" s="2"/>
      <c r="G7" s="2"/>
      <c r="H7" s="2"/>
      <c r="I7" s="2"/>
      <c r="J7" s="2"/>
      <c r="K7" s="2"/>
      <c r="L7" s="2"/>
      <c r="M7" s="2"/>
      <c r="N7" s="2"/>
      <c r="O7" s="2"/>
    </row>
    <row r="8">
      <c r="A8" s="2"/>
      <c r="B8" s="2"/>
      <c r="C8" s="2"/>
      <c r="D8" s="33" t="s">
        <v>49</v>
      </c>
      <c r="E8" s="26"/>
      <c r="F8" s="2"/>
      <c r="G8" s="2"/>
      <c r="H8" s="2"/>
      <c r="I8" s="2"/>
      <c r="J8" s="2"/>
      <c r="K8" s="2"/>
      <c r="L8" s="2"/>
      <c r="M8" s="2"/>
      <c r="N8" s="2"/>
      <c r="O8" s="2"/>
    </row>
    <row r="9">
      <c r="A9" s="2"/>
      <c r="B9" s="2"/>
      <c r="C9" s="2"/>
      <c r="D9" s="2"/>
      <c r="E9" s="2"/>
      <c r="F9" s="2"/>
      <c r="G9" s="2"/>
      <c r="H9" s="2"/>
      <c r="I9" s="2"/>
      <c r="J9" s="2"/>
      <c r="K9" s="2"/>
      <c r="L9" s="2"/>
      <c r="M9" s="2"/>
      <c r="N9" s="2"/>
      <c r="O9" s="2"/>
    </row>
    <row r="10">
      <c r="A10" s="7" t="s">
        <v>25</v>
      </c>
      <c r="B10" s="7" t="s">
        <v>1</v>
      </c>
      <c r="C10" s="7" t="s">
        <v>3</v>
      </c>
      <c r="D10" s="7" t="s">
        <v>26</v>
      </c>
      <c r="E10" s="7" t="s">
        <v>28</v>
      </c>
      <c r="F10" s="7" t="s">
        <v>29</v>
      </c>
      <c r="G10" s="7" t="s">
        <v>30</v>
      </c>
      <c r="H10" s="7" t="s">
        <v>31</v>
      </c>
      <c r="I10" s="7" t="s">
        <v>32</v>
      </c>
      <c r="J10" s="7" t="s">
        <v>33</v>
      </c>
      <c r="K10" s="7" t="s">
        <v>12</v>
      </c>
      <c r="L10" s="7" t="s">
        <v>34</v>
      </c>
      <c r="M10" s="7" t="s">
        <v>35</v>
      </c>
      <c r="N10" s="39" t="s">
        <v>36</v>
      </c>
      <c r="O10" s="39" t="s">
        <v>37</v>
      </c>
      <c r="P10" s="40" t="s">
        <v>38</v>
      </c>
    </row>
    <row r="11">
      <c r="A11" s="32"/>
      <c r="B11" s="34"/>
      <c r="C11" s="34"/>
      <c r="D11" s="32"/>
      <c r="E11" s="32"/>
      <c r="F11" s="35"/>
      <c r="G11" s="41"/>
      <c r="H11" s="32"/>
      <c r="I11" s="32"/>
      <c r="J11" s="32"/>
      <c r="K11" s="32"/>
      <c r="L11" s="42"/>
      <c r="M11" s="41"/>
      <c r="N11" s="41"/>
      <c r="O11" s="41"/>
      <c r="P11" s="45"/>
    </row>
    <row r="12">
      <c r="A12" s="46"/>
      <c r="B12" s="46"/>
      <c r="C12" s="46"/>
      <c r="D12" s="46"/>
      <c r="E12" s="46"/>
      <c r="F12" s="47"/>
      <c r="G12" s="46"/>
      <c r="H12" s="46"/>
      <c r="I12" s="46"/>
      <c r="J12" s="46"/>
      <c r="K12" s="46"/>
      <c r="L12" s="46"/>
      <c r="M12" s="46"/>
      <c r="N12" s="8"/>
      <c r="O12" s="8"/>
      <c r="P12" s="46"/>
    </row>
    <row r="13">
      <c r="A13" s="34"/>
      <c r="B13" s="34"/>
      <c r="C13" s="34"/>
      <c r="D13" s="34"/>
      <c r="E13" s="34"/>
      <c r="F13" s="49"/>
      <c r="G13" s="45"/>
      <c r="H13" s="34"/>
      <c r="I13" s="34"/>
      <c r="J13" s="34"/>
      <c r="K13" s="34"/>
      <c r="L13" s="51"/>
      <c r="M13" s="38"/>
      <c r="N13" s="38"/>
      <c r="O13" s="38"/>
      <c r="P13" s="45"/>
    </row>
  </sheetData>
  <dataValidations>
    <dataValidation type="list" allowBlank="1" showErrorMessage="1" sqref="N11 N13">
      <formula1>"Solved,Unsolved"</formula1>
    </dataValidation>
    <dataValidation type="list" allowBlank="1" showErrorMessage="1" sqref="J11 J13">
      <formula1>"Pass,Fail"</formula1>
    </dataValidation>
    <dataValidation type="list" allowBlank="1" showErrorMessage="1" sqref="K11 K13">
      <formula1>"High,Medium,Low"</formula1>
    </dataValidation>
    <dataValidation type="list" allowBlank="1" showErrorMessage="1" sqref="O11 O13">
      <formula1>"Front-End,Back-End,AI,UI/UX"</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3" t="s">
        <v>1</v>
      </c>
      <c r="B1" s="3" t="s">
        <v>3</v>
      </c>
      <c r="C1" s="5" t="s">
        <v>4</v>
      </c>
      <c r="D1" s="3" t="s">
        <v>5</v>
      </c>
      <c r="E1" s="3" t="s">
        <v>6</v>
      </c>
      <c r="F1" s="7" t="s">
        <v>7</v>
      </c>
      <c r="G1" s="8"/>
      <c r="H1" s="8"/>
      <c r="I1" s="8"/>
      <c r="J1" s="8"/>
      <c r="K1" s="8"/>
      <c r="L1" s="8"/>
      <c r="M1" s="8"/>
      <c r="N1" s="8"/>
      <c r="O1" s="8"/>
      <c r="P1" s="8"/>
      <c r="Q1" s="8"/>
      <c r="R1" s="8"/>
      <c r="S1" s="8"/>
      <c r="T1" s="8"/>
      <c r="U1" s="8"/>
      <c r="V1" s="8"/>
      <c r="W1" s="8"/>
      <c r="X1" s="8"/>
      <c r="Y1" s="8"/>
      <c r="Z1" s="8"/>
      <c r="AA1" s="8"/>
    </row>
    <row r="2">
      <c r="A2" s="18" t="str">
        <f>IFERROR(__xludf.DUMMYFUNCTION("SORT(
  SPLIT(
    UNIQUE(
      FILTER('Main Report'!B11:B100 &amp; ""♦"" &amp; 'Main Report'!C11:C100, LEN('Main Report'!C11:C100))
    ),
    ""♦""
  ),
  1, TRUE, 2, TRUE
)
"),"Driver")</f>
        <v>Driver</v>
      </c>
      <c r="B2" s="18" t="str">
        <f>IFERROR(__xludf.DUMMYFUNCTION("""COMPUTED_VALUE"""),"Backend")</f>
        <v>Backend</v>
      </c>
      <c r="C2" s="18" t="str">
        <f>IFERROR(__xludf.DUMMYFUNCTION("TEXTJOIN("", "", TRUE, 
  FILTER('Main Report'!A11:A100, 
    ('Main Report'!B11:B100=A2) * ('Main Report'!C11:C100=B2)
  )
)
"),"BR-001, BR-002, BR-003")</f>
        <v>BR-001, BR-002, BR-003</v>
      </c>
      <c r="D2" s="18">
        <f>IFERROR(__xludf.DUMMYFUNCTION("COUNTA(UNIQUE(TRANSPOSE(SPLIT(C2, "", ""))))
"),3.0)</f>
        <v>3</v>
      </c>
      <c r="E2" s="18" t="str">
        <f>IF(D2="", "", TEXT((D2 / 'Main Report'!$E$7), "0.00%"))
</f>
        <v>9.09%</v>
      </c>
      <c r="F2" s="37"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3
Medium: 0
Low: 0")</f>
        <v>High: 3
Medium: 0
Low: 0</v>
      </c>
      <c r="G2" s="8"/>
      <c r="H2" s="8"/>
      <c r="I2" s="8"/>
      <c r="J2" s="8"/>
      <c r="K2" s="8"/>
      <c r="L2" s="8"/>
      <c r="M2" s="8"/>
      <c r="N2" s="8"/>
      <c r="O2" s="8"/>
      <c r="P2" s="8"/>
      <c r="Q2" s="8"/>
      <c r="R2" s="8"/>
      <c r="S2" s="8"/>
      <c r="T2" s="8"/>
      <c r="U2" s="8"/>
      <c r="V2" s="8"/>
      <c r="W2" s="8"/>
      <c r="X2" s="8"/>
      <c r="Y2" s="8"/>
      <c r="Z2" s="8"/>
      <c r="AA2" s="8"/>
    </row>
    <row r="3">
      <c r="A3" s="38" t="str">
        <f>IFERROR(__xludf.DUMMYFUNCTION("""COMPUTED_VALUE"""),"Driver")</f>
        <v>Driver</v>
      </c>
      <c r="B3" s="38" t="str">
        <f>IFERROR(__xludf.DUMMYFUNCTION("""COMPUTED_VALUE"""),"Drive verification")</f>
        <v>Drive verification</v>
      </c>
      <c r="C3" s="38" t="str">
        <f>IFERROR(__xludf.DUMMYFUNCTION("TEXTJOIN("", "", TRUE, 
  FILTER('Main Report'!A12:A101, 
    ('Main Report'!B12:B101=A3) * ('Main Report'!C12:C101=B3)
  )
)
"),"BR-004, BR-005, BR-006")</f>
        <v>BR-004, BR-005, BR-006</v>
      </c>
      <c r="D3" s="18">
        <f>IFERROR(__xludf.DUMMYFUNCTION("COUNTA(UNIQUE(TRANSPOSE(SPLIT(C3, "", ""))))
"),3.0)</f>
        <v>3</v>
      </c>
      <c r="E3" s="38" t="str">
        <f>IF(D3="", "", TEXT((D3 / 'Main Report'!$E$7), "0.00%"))
</f>
        <v>9.09%</v>
      </c>
      <c r="F3" s="43"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2
Medium: 1
Low: 0")</f>
        <v>High: 2
Medium: 1
Low: 0</v>
      </c>
      <c r="G3" s="8"/>
      <c r="H3" s="8"/>
      <c r="I3" s="8"/>
      <c r="J3" s="8"/>
      <c r="K3" s="8"/>
      <c r="L3" s="8"/>
      <c r="M3" s="8"/>
      <c r="N3" s="8"/>
      <c r="O3" s="8"/>
      <c r="P3" s="8"/>
      <c r="Q3" s="8"/>
      <c r="R3" s="8"/>
      <c r="S3" s="8"/>
      <c r="T3" s="8"/>
      <c r="U3" s="8"/>
      <c r="V3" s="8"/>
      <c r="W3" s="8"/>
      <c r="X3" s="8"/>
      <c r="Y3" s="8"/>
      <c r="Z3" s="8"/>
      <c r="AA3" s="8"/>
    </row>
    <row r="4">
      <c r="A4" s="38" t="str">
        <f>IFERROR(__xludf.DUMMYFUNCTION("""COMPUTED_VALUE"""),"Driver")</f>
        <v>Driver</v>
      </c>
      <c r="B4" s="38" t="str">
        <f>IFERROR(__xludf.DUMMYFUNCTION("""COMPUTED_VALUE"""),"Home")</f>
        <v>Home</v>
      </c>
      <c r="C4" s="38" t="str">
        <f>IFERROR(__xludf.DUMMYFUNCTION("TEXTJOIN("", "", TRUE, 
  FILTER('Main Report'!A13:A102, 
    ('Main Report'!B13:B102=A4) * ('Main Report'!C13:C102=B4)
  )
)
"),"BR-007")</f>
        <v>BR-007</v>
      </c>
      <c r="D4" s="18">
        <f>IFERROR(__xludf.DUMMYFUNCTION("COUNTA(UNIQUE(TRANSPOSE(SPLIT(C4, "", ""))))
"),1.0)</f>
        <v>1</v>
      </c>
      <c r="E4" s="38" t="str">
        <f>IF(D4="", "", TEXT((D4 / 'Main Report'!$E$7), "0.00%"))
</f>
        <v>3.03%</v>
      </c>
      <c r="F4" s="43"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0
Medium: 1
Low: 0")</f>
        <v>High: 0
Medium: 1
Low: 0</v>
      </c>
      <c r="G4" s="8"/>
      <c r="H4" s="8"/>
      <c r="I4" s="8"/>
      <c r="J4" s="8"/>
      <c r="K4" s="8"/>
      <c r="L4" s="8"/>
      <c r="M4" s="8"/>
      <c r="N4" s="8"/>
      <c r="O4" s="8"/>
      <c r="P4" s="8"/>
      <c r="Q4" s="8"/>
      <c r="R4" s="8"/>
      <c r="S4" s="8"/>
      <c r="T4" s="8"/>
      <c r="U4" s="8"/>
      <c r="V4" s="8"/>
      <c r="W4" s="8"/>
      <c r="X4" s="8"/>
      <c r="Y4" s="8"/>
      <c r="Z4" s="8"/>
      <c r="AA4" s="8"/>
    </row>
    <row r="5">
      <c r="A5" s="38" t="str">
        <f>IFERROR(__xludf.DUMMYFUNCTION("""COMPUTED_VALUE"""),"Driver")</f>
        <v>Driver</v>
      </c>
      <c r="B5" s="38" t="str">
        <f>IFERROR(__xludf.DUMMYFUNCTION("""COMPUTED_VALUE"""),"My Trips")</f>
        <v>My Trips</v>
      </c>
      <c r="C5" s="38" t="str">
        <f>IFERROR(__xludf.DUMMYFUNCTION("TEXTJOIN("", "", TRUE, 
  FILTER('Main Report'!A14:A103, 
    ('Main Report'!B14:B103=A5) * ('Main Report'!C14:C103=B5)
  )
)
"),"BR-008, BR-009")</f>
        <v>BR-008, BR-009</v>
      </c>
      <c r="D5" s="18">
        <f>IFERROR(__xludf.DUMMYFUNCTION("COUNTA(UNIQUE(TRANSPOSE(SPLIT(C5, "", ""))))
"),2.0)</f>
        <v>2</v>
      </c>
      <c r="E5" s="38" t="str">
        <f>IF(D5="", "", TEXT((D5 / 'Main Report'!$E$7), "0.00%"))
</f>
        <v>6.06%</v>
      </c>
      <c r="F5" s="43"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2
Medium: 0
Low: 0")</f>
        <v>High: 2
Medium: 0
Low: 0</v>
      </c>
      <c r="G5" s="8"/>
      <c r="H5" s="8"/>
      <c r="I5" s="8"/>
      <c r="J5" s="8"/>
      <c r="K5" s="8"/>
      <c r="L5" s="8"/>
      <c r="M5" s="8"/>
      <c r="N5" s="8"/>
      <c r="O5" s="8"/>
      <c r="P5" s="8"/>
      <c r="Q5" s="8"/>
      <c r="R5" s="8"/>
      <c r="S5" s="8"/>
      <c r="T5" s="8"/>
      <c r="U5" s="8"/>
      <c r="V5" s="8"/>
      <c r="W5" s="8"/>
      <c r="X5" s="8"/>
      <c r="Y5" s="8"/>
      <c r="Z5" s="8"/>
      <c r="AA5" s="8"/>
    </row>
    <row r="6">
      <c r="A6" s="38" t="str">
        <f>IFERROR(__xludf.DUMMYFUNCTION("""COMPUTED_VALUE"""),"Driver")</f>
        <v>Driver</v>
      </c>
      <c r="B6" s="38" t="str">
        <f>IFERROR(__xludf.DUMMYFUNCTION("""COMPUTED_VALUE"""),"Notification")</f>
        <v>Notification</v>
      </c>
      <c r="C6" s="38" t="str">
        <f>IFERROR(__xludf.DUMMYFUNCTION("TEXTJOIN("", "", TRUE, 
  FILTER('Main Report'!A15:A104, 
    ('Main Report'!B15:B104=A6) * ('Main Report'!C15:C104=B6)
  )
)
"),"BR-010")</f>
        <v>BR-010</v>
      </c>
      <c r="D6" s="18">
        <f>IFERROR(__xludf.DUMMYFUNCTION("COUNTA(UNIQUE(TRANSPOSE(SPLIT(C6, "", ""))))
"),1.0)</f>
        <v>1</v>
      </c>
      <c r="E6" s="38" t="str">
        <f>IF(D6="", "", TEXT((D6 / 'Main Report'!$E$7), "0.00%"))
</f>
        <v>3.03%</v>
      </c>
      <c r="F6" s="43"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0
Medium: 1
Low: 0")</f>
        <v>High: 0
Medium: 1
Low: 0</v>
      </c>
      <c r="G6" s="8"/>
      <c r="H6" s="8"/>
      <c r="I6" s="8"/>
      <c r="J6" s="8"/>
      <c r="K6" s="8"/>
      <c r="L6" s="8"/>
      <c r="M6" s="8"/>
      <c r="N6" s="8"/>
      <c r="O6" s="8"/>
      <c r="P6" s="8"/>
      <c r="Q6" s="8"/>
      <c r="R6" s="8"/>
      <c r="S6" s="8"/>
      <c r="T6" s="8"/>
      <c r="U6" s="8"/>
      <c r="V6" s="8"/>
      <c r="W6" s="8"/>
      <c r="X6" s="8"/>
      <c r="Y6" s="8"/>
      <c r="Z6" s="8"/>
      <c r="AA6" s="8"/>
    </row>
    <row r="7">
      <c r="A7" s="38" t="str">
        <f>IFERROR(__xludf.DUMMYFUNCTION("""COMPUTED_VALUE"""),"Driver")</f>
        <v>Driver</v>
      </c>
      <c r="B7" s="38" t="str">
        <f>IFERROR(__xludf.DUMMYFUNCTION("""COMPUTED_VALUE"""),"Post New ride")</f>
        <v>Post New ride</v>
      </c>
      <c r="C7" s="38" t="str">
        <f>IFERROR(__xludf.DUMMYFUNCTION("TEXTJOIN("", "", TRUE, 
  FILTER('Main Report'!A16:A105, 
    ('Main Report'!B16:B105=A7) * ('Main Report'!C16:C105=B7)
  )
)
"),"BR-011, BR-012, BR-013, BR-014")</f>
        <v>BR-011, BR-012, BR-013, BR-014</v>
      </c>
      <c r="D7" s="18">
        <f>IFERROR(__xludf.DUMMYFUNCTION("COUNTA(UNIQUE(TRANSPOSE(SPLIT(C7, "", ""))))
"),4.0)</f>
        <v>4</v>
      </c>
      <c r="E7" s="38" t="str">
        <f>IF(D7="", "", TEXT((D7 / 'Main Report'!$E$7), "0.00%"))
</f>
        <v>12.12%</v>
      </c>
      <c r="F7" s="43"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3
Medium: 1
Low: 0")</f>
        <v>High: 3
Medium: 1
Low: 0</v>
      </c>
      <c r="G7" s="8"/>
      <c r="H7" s="8"/>
      <c r="I7" s="8"/>
      <c r="J7" s="8"/>
      <c r="K7" s="8"/>
      <c r="L7" s="8"/>
      <c r="M7" s="8"/>
      <c r="N7" s="8"/>
      <c r="O7" s="8"/>
      <c r="P7" s="8"/>
      <c r="Q7" s="8"/>
      <c r="R7" s="8"/>
      <c r="S7" s="8"/>
      <c r="T7" s="8"/>
      <c r="U7" s="8"/>
      <c r="V7" s="8"/>
      <c r="W7" s="8"/>
      <c r="X7" s="8"/>
      <c r="Y7" s="8"/>
      <c r="Z7" s="8"/>
      <c r="AA7" s="8"/>
    </row>
    <row r="8">
      <c r="A8" s="38" t="str">
        <f>IFERROR(__xludf.DUMMYFUNCTION("""COMPUTED_VALUE"""),"Driver")</f>
        <v>Driver</v>
      </c>
      <c r="B8" s="38" t="str">
        <f>IFERROR(__xludf.DUMMYFUNCTION("""COMPUTED_VALUE"""),"SignIn")</f>
        <v>SignIn</v>
      </c>
      <c r="C8" s="38" t="str">
        <f>IFERROR(__xludf.DUMMYFUNCTION("TEXTJOIN("", "", TRUE, 
  FILTER('Main Report'!A17:A106, 
    ('Main Report'!B17:B106=A8) * ('Main Report'!C17:C106=B8)
  )
)
"),"BR-015")</f>
        <v>BR-015</v>
      </c>
      <c r="D8" s="18">
        <f>IFERROR(__xludf.DUMMYFUNCTION("COUNTA(UNIQUE(TRANSPOSE(SPLIT(C8, "", ""))))
"),1.0)</f>
        <v>1</v>
      </c>
      <c r="E8" s="38" t="str">
        <f>IF(D8="", "", TEXT((D8 / 'Main Report'!$E$7), "0.00%"))
</f>
        <v>3.03%</v>
      </c>
      <c r="F8" s="43"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1
Medium: 0
Low: 0")</f>
        <v>High: 1
Medium: 0
Low: 0</v>
      </c>
      <c r="G8" s="8"/>
      <c r="H8" s="8"/>
      <c r="I8" s="8"/>
      <c r="J8" s="8"/>
      <c r="K8" s="8"/>
      <c r="L8" s="8"/>
      <c r="M8" s="8"/>
      <c r="N8" s="8"/>
      <c r="O8" s="8"/>
      <c r="P8" s="8"/>
      <c r="Q8" s="8"/>
      <c r="R8" s="8"/>
      <c r="S8" s="8"/>
      <c r="T8" s="8"/>
      <c r="U8" s="8"/>
      <c r="V8" s="8"/>
      <c r="W8" s="8"/>
      <c r="X8" s="8"/>
      <c r="Y8" s="8"/>
      <c r="Z8" s="8"/>
      <c r="AA8" s="8"/>
    </row>
    <row r="9">
      <c r="A9" s="38" t="str">
        <f>IFERROR(__xludf.DUMMYFUNCTION("""COMPUTED_VALUE"""),"Driver")</f>
        <v>Driver</v>
      </c>
      <c r="B9" s="38" t="str">
        <f>IFERROR(__xludf.DUMMYFUNCTION("""COMPUTED_VALUE"""),"SignUp")</f>
        <v>SignUp</v>
      </c>
      <c r="C9" s="38" t="str">
        <f>IFERROR(__xludf.DUMMYFUNCTION("TEXTJOIN("", "", TRUE, 
  FILTER('Main Report'!A18:A107, 
    ('Main Report'!B18:B107=A9) * ('Main Report'!C18:C107=B9)
  )
)
"),"BR-016, BR-017")</f>
        <v>BR-016, BR-017</v>
      </c>
      <c r="D9" s="18">
        <f>IFERROR(__xludf.DUMMYFUNCTION("COUNTA(UNIQUE(TRANSPOSE(SPLIT(C9, "", ""))))
"),2.0)</f>
        <v>2</v>
      </c>
      <c r="E9" s="38" t="str">
        <f>IF(D9="", "", TEXT((D9 / 'Main Report'!$E$7), "0.00%"))
</f>
        <v>6.06%</v>
      </c>
      <c r="F9" s="43"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2
Medium: 0
Low: 0")</f>
        <v>High: 2
Medium: 0
Low: 0</v>
      </c>
      <c r="G9" s="8"/>
      <c r="H9" s="8"/>
      <c r="I9" s="8"/>
      <c r="J9" s="8"/>
      <c r="K9" s="8"/>
      <c r="L9" s="8"/>
      <c r="M9" s="8"/>
      <c r="N9" s="8"/>
      <c r="O9" s="8"/>
      <c r="P9" s="8"/>
      <c r="Q9" s="8"/>
      <c r="R9" s="8"/>
      <c r="S9" s="8"/>
      <c r="T9" s="8"/>
      <c r="U9" s="8"/>
      <c r="V9" s="8"/>
      <c r="W9" s="8"/>
      <c r="X9" s="8"/>
      <c r="Y9" s="8"/>
      <c r="Z9" s="8"/>
      <c r="AA9" s="8"/>
    </row>
    <row r="10">
      <c r="A10" s="38" t="str">
        <f>IFERROR(__xludf.DUMMYFUNCTION("""COMPUTED_VALUE"""),"Onbording")</f>
        <v>Onbording</v>
      </c>
      <c r="B10" s="38" t="str">
        <f>IFERROR(__xludf.DUMMYFUNCTION("""COMPUTED_VALUE"""),"Onbording")</f>
        <v>Onbording</v>
      </c>
      <c r="C10" s="38" t="str">
        <f>IFERROR(__xludf.DUMMYFUNCTION("TEXTJOIN("", "", TRUE, 
  FILTER('Main Report'!A19:A108, 
    ('Main Report'!B19:B108=A10) * ('Main Report'!C19:C108=B10)
  )
)
"),"BR-018, BR-019, BR-020, BR-021")</f>
        <v>BR-018, BR-019, BR-020, BR-021</v>
      </c>
      <c r="D10" s="18">
        <f>IFERROR(__xludf.DUMMYFUNCTION("COUNTA(UNIQUE(TRANSPOSE(SPLIT(C10, "", ""))))
"),4.0)</f>
        <v>4</v>
      </c>
      <c r="E10" s="38" t="str">
        <f>IF(D10="", "", TEXT((D10 / 'Main Report'!$E$7), "0.00%"))
</f>
        <v>12.12%</v>
      </c>
      <c r="F10" s="43"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0
Medium: 0
Low: 4")</f>
        <v>High: 0
Medium: 0
Low: 4</v>
      </c>
      <c r="G10" s="8"/>
      <c r="H10" s="8"/>
      <c r="I10" s="8"/>
      <c r="J10" s="8"/>
      <c r="K10" s="8"/>
      <c r="L10" s="8"/>
      <c r="M10" s="8"/>
      <c r="N10" s="8"/>
      <c r="O10" s="8"/>
      <c r="P10" s="8"/>
      <c r="Q10" s="8"/>
      <c r="R10" s="8"/>
      <c r="S10" s="8"/>
      <c r="T10" s="8"/>
      <c r="U10" s="8"/>
      <c r="V10" s="8"/>
      <c r="W10" s="8"/>
      <c r="X10" s="8"/>
      <c r="Y10" s="8"/>
      <c r="Z10" s="8"/>
      <c r="AA10" s="8"/>
    </row>
    <row r="11">
      <c r="A11" s="38" t="str">
        <f>IFERROR(__xludf.DUMMYFUNCTION("""COMPUTED_VALUE"""),"Passenger")</f>
        <v>Passenger</v>
      </c>
      <c r="B11" s="38" t="str">
        <f>IFERROR(__xludf.DUMMYFUNCTION("""COMPUTED_VALUE"""),"OTP")</f>
        <v>OTP</v>
      </c>
      <c r="C11" s="38" t="str">
        <f>IFERROR(__xludf.DUMMYFUNCTION("TEXTJOIN("", "", TRUE, 
  FILTER('Main Report'!A20:A109, 
    ('Main Report'!B20:B109=A11) * ('Main Report'!C20:C109=B11)
  )
)
"),"BR-022, BR-023, BR-024")</f>
        <v>BR-022, BR-023, BR-024</v>
      </c>
      <c r="D11" s="18">
        <f>IFERROR(__xludf.DUMMYFUNCTION("COUNTA(UNIQUE(TRANSPOSE(SPLIT(C11, "", ""))))
"),3.0)</f>
        <v>3</v>
      </c>
      <c r="E11" s="38" t="str">
        <f>IF(D11="", "", TEXT((D11 / 'Main Report'!$E$7), "0.00%"))
</f>
        <v>9.09%</v>
      </c>
      <c r="F11" s="43"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2
Medium: 1
Low: 0")</f>
        <v>High: 2
Medium: 1
Low: 0</v>
      </c>
      <c r="G11" s="8"/>
      <c r="H11" s="8"/>
      <c r="I11" s="8"/>
      <c r="J11" s="8"/>
      <c r="K11" s="8"/>
      <c r="L11" s="8"/>
      <c r="M11" s="8"/>
      <c r="N11" s="8"/>
      <c r="O11" s="8"/>
      <c r="P11" s="8"/>
      <c r="Q11" s="8"/>
      <c r="R11" s="8"/>
      <c r="S11" s="8"/>
      <c r="T11" s="8"/>
      <c r="U11" s="8"/>
      <c r="V11" s="8"/>
      <c r="W11" s="8"/>
      <c r="X11" s="8"/>
      <c r="Y11" s="8"/>
      <c r="Z11" s="8"/>
      <c r="AA11" s="8"/>
    </row>
    <row r="12">
      <c r="A12" s="38" t="str">
        <f>IFERROR(__xludf.DUMMYFUNCTION("""COMPUTED_VALUE"""),"Passenger")</f>
        <v>Passenger</v>
      </c>
      <c r="B12" s="38" t="str">
        <f>IFERROR(__xludf.DUMMYFUNCTION("""COMPUTED_VALUE"""),"SignIn")</f>
        <v>SignIn</v>
      </c>
      <c r="C12" s="38" t="str">
        <f>IFERROR(__xludf.DUMMYFUNCTION("TEXTJOIN("", "", TRUE, 
  FILTER('Main Report'!A21:A110, 
    ('Main Report'!B21:B110=A12) * ('Main Report'!C21:C110=B12)
  )
)
"),"BR-025, BR-026, BR-027")</f>
        <v>BR-025, BR-026, BR-027</v>
      </c>
      <c r="D12" s="18">
        <f>IFERROR(__xludf.DUMMYFUNCTION("COUNTA(UNIQUE(TRANSPOSE(SPLIT(C12, "", ""))))
"),3.0)</f>
        <v>3</v>
      </c>
      <c r="E12" s="38" t="str">
        <f>IF(D12="", "", TEXT((D12 / 'Main Report'!$E$7), "0.00%"))
</f>
        <v>9.09%</v>
      </c>
      <c r="F12" s="43"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1
Medium: 2
Low: 0")</f>
        <v>High: 1
Medium: 2
Low: 0</v>
      </c>
      <c r="G12" s="8"/>
      <c r="H12" s="8"/>
      <c r="I12" s="8"/>
      <c r="J12" s="8"/>
      <c r="K12" s="8"/>
      <c r="L12" s="8"/>
      <c r="M12" s="8"/>
      <c r="N12" s="8"/>
      <c r="O12" s="8"/>
      <c r="P12" s="8"/>
      <c r="Q12" s="8"/>
      <c r="R12" s="8"/>
      <c r="S12" s="8"/>
      <c r="T12" s="8"/>
      <c r="U12" s="8"/>
      <c r="V12" s="8"/>
      <c r="W12" s="8"/>
      <c r="X12" s="8"/>
      <c r="Y12" s="8"/>
      <c r="Z12" s="8"/>
      <c r="AA12" s="8"/>
    </row>
    <row r="13">
      <c r="A13" s="38" t="str">
        <f>IFERROR(__xludf.DUMMYFUNCTION("""COMPUTED_VALUE"""),"Passenger")</f>
        <v>Passenger</v>
      </c>
      <c r="B13" s="38" t="str">
        <f>IFERROR(__xludf.DUMMYFUNCTION("""COMPUTED_VALUE"""),"SignUp")</f>
        <v>SignUp</v>
      </c>
      <c r="C13" s="38" t="str">
        <f>IFERROR(__xludf.DUMMYFUNCTION("TEXTJOIN("", "", TRUE, 
  FILTER('Main Report'!A22:A111, 
    ('Main Report'!B22:B111=A13) * ('Main Report'!C22:C111=B13)
  )
)
"),"BR-028, BR-029, BR-030, BR-031, BR-032")</f>
        <v>BR-028, BR-029, BR-030, BR-031, BR-032</v>
      </c>
      <c r="D13" s="18">
        <f>IFERROR(__xludf.DUMMYFUNCTION("COUNTA(UNIQUE(TRANSPOSE(SPLIT(C13, "", ""))))
"),5.0)</f>
        <v>5</v>
      </c>
      <c r="E13" s="38" t="str">
        <f>IF(D13="", "", TEXT((D13 / 'Main Report'!$E$7), "0.00%"))
</f>
        <v>15.15%</v>
      </c>
      <c r="F13" s="43"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4
Medium: 1
Low: 0")</f>
        <v>High: 4
Medium: 1
Low: 0</v>
      </c>
      <c r="G13" s="8"/>
      <c r="H13" s="8"/>
      <c r="I13" s="8"/>
      <c r="J13" s="8"/>
      <c r="K13" s="8"/>
      <c r="L13" s="8"/>
      <c r="M13" s="8"/>
      <c r="N13" s="8"/>
      <c r="O13" s="8"/>
      <c r="P13" s="8"/>
      <c r="Q13" s="8"/>
      <c r="R13" s="8"/>
      <c r="S13" s="8"/>
      <c r="T13" s="8"/>
      <c r="U13" s="8"/>
      <c r="V13" s="8"/>
      <c r="W13" s="8"/>
      <c r="X13" s="8"/>
      <c r="Y13" s="8"/>
      <c r="Z13" s="8"/>
      <c r="AA13" s="8"/>
    </row>
    <row r="14">
      <c r="A14" s="38" t="str">
        <f>IFERROR(__xludf.DUMMYFUNCTION("""COMPUTED_VALUE"""),"Role")</f>
        <v>Role</v>
      </c>
      <c r="B14" s="38" t="str">
        <f>IFERROR(__xludf.DUMMYFUNCTION("""COMPUTED_VALUE"""),"Role")</f>
        <v>Role</v>
      </c>
      <c r="C14" s="38" t="str">
        <f>IFERROR(__xludf.DUMMYFUNCTION("TEXTJOIN("", "", TRUE, 
  FILTER('Main Report'!A23:A112, 
    ('Main Report'!B23:B112=A14) * ('Main Report'!C23:C112=B14)
  )
)
"),"BR-033")</f>
        <v>BR-033</v>
      </c>
      <c r="D14" s="18">
        <f>IFERROR(__xludf.DUMMYFUNCTION("COUNTA(UNIQUE(TRANSPOSE(SPLIT(C14, "", ""))))
"),1.0)</f>
        <v>1</v>
      </c>
      <c r="E14" s="38" t="str">
        <f>IF(D14="", "", TEXT((D14 / 'Main Report'!$E$7), "0.00%"))
</f>
        <v>3.03%</v>
      </c>
      <c r="F14" s="43"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"),"High: 0
Medium: 0
Low: 1")</f>
        <v>High: 0
Medium: 0
Low: 1</v>
      </c>
      <c r="G14" s="8"/>
      <c r="H14" s="8"/>
      <c r="I14" s="8"/>
      <c r="J14" s="8"/>
      <c r="K14" s="8"/>
      <c r="L14" s="8"/>
      <c r="M14" s="8"/>
      <c r="N14" s="8"/>
      <c r="O14" s="8"/>
      <c r="P14" s="8"/>
      <c r="Q14" s="8"/>
      <c r="R14" s="8"/>
      <c r="S14" s="8"/>
      <c r="T14" s="8"/>
      <c r="U14" s="8"/>
      <c r="V14" s="8"/>
      <c r="W14" s="8"/>
      <c r="X14" s="8"/>
      <c r="Y14" s="8"/>
      <c r="Z14" s="8"/>
      <c r="AA14" s="8"/>
    </row>
    <row r="15">
      <c r="A15" s="38"/>
      <c r="B15" s="38"/>
      <c r="C15" s="38" t="str">
        <f>IFERROR(__xludf.DUMMYFUNCTION("TEXTJOIN("", "", TRUE, 
  FILTER('Main Report'!A24:A113, 
    ('Main Report'!B24:B113=A15) * ('Main Report'!C24:C113=B15)
  )
)
"),"")</f>
        <v/>
      </c>
      <c r="D15" s="38"/>
      <c r="E15" s="38" t="str">
        <f>IF(D15="", "", TEXT((D15 / 'Main Report'!$E$7), "0.00%"))
</f>
        <v/>
      </c>
      <c r="F15" s="43"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f>
        <v/>
      </c>
      <c r="G15" s="8"/>
      <c r="H15" s="8"/>
      <c r="I15" s="8"/>
      <c r="J15" s="8"/>
      <c r="K15" s="8"/>
      <c r="L15" s="8"/>
      <c r="M15" s="8"/>
      <c r="N15" s="8"/>
      <c r="O15" s="8"/>
      <c r="P15" s="8"/>
      <c r="Q15" s="8"/>
      <c r="R15" s="8"/>
      <c r="S15" s="8"/>
      <c r="T15" s="8"/>
      <c r="U15" s="8"/>
      <c r="V15" s="8"/>
      <c r="W15" s="8"/>
      <c r="X15" s="8"/>
      <c r="Y15" s="8"/>
      <c r="Z15" s="8"/>
      <c r="AA15" s="8"/>
    </row>
    <row r="16">
      <c r="A16" s="38"/>
      <c r="B16" s="38"/>
      <c r="C16" s="38" t="str">
        <f>IFERROR(__xludf.DUMMYFUNCTION("TEXTJOIN("", "", TRUE, 
  FILTER('Main Report'!A25:A114, 
    ('Main Report'!B25:B114=A16) * ('Main Report'!C25:C114=B16)
  )
)
"),"")</f>
        <v/>
      </c>
      <c r="D16" s="38"/>
      <c r="E16" s="38" t="str">
        <f>IF(D16="", "", TEXT((D16 / 'Main Report'!$E$7), "0.00%"))
</f>
        <v/>
      </c>
      <c r="F16" s="43"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8"/>
      <c r="H16" s="8"/>
      <c r="I16" s="8"/>
      <c r="J16" s="8"/>
      <c r="K16" s="8"/>
      <c r="L16" s="8"/>
      <c r="M16" s="8"/>
      <c r="N16" s="8"/>
      <c r="O16" s="8"/>
      <c r="P16" s="8"/>
      <c r="Q16" s="8"/>
      <c r="R16" s="8"/>
      <c r="S16" s="8"/>
      <c r="T16" s="8"/>
      <c r="U16" s="8"/>
      <c r="V16" s="8"/>
      <c r="W16" s="8"/>
      <c r="X16" s="8"/>
      <c r="Y16" s="8"/>
      <c r="Z16" s="8"/>
      <c r="AA16" s="8"/>
    </row>
    <row r="17">
      <c r="A17" s="38"/>
      <c r="B17" s="38"/>
      <c r="C17" s="38" t="str">
        <f>IFERROR(__xludf.DUMMYFUNCTION("TEXTJOIN("", "", TRUE, 
  FILTER('Main Report'!A26:A115, 
    ('Main Report'!B26:B115=A17) * ('Main Report'!C26:C115=B17)
  )
)
"),"")</f>
        <v/>
      </c>
      <c r="D17" s="38"/>
      <c r="E17" s="38" t="str">
        <f>IF(D17="", "", TEXT((D17 / 'Main Report'!$E$7), "0.00%"))
</f>
        <v/>
      </c>
      <c r="F17" s="43"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8"/>
      <c r="H17" s="8"/>
      <c r="I17" s="8"/>
      <c r="J17" s="8"/>
      <c r="K17" s="8"/>
      <c r="L17" s="8"/>
      <c r="M17" s="8"/>
      <c r="N17" s="8"/>
      <c r="O17" s="8"/>
      <c r="P17" s="8"/>
      <c r="Q17" s="8"/>
      <c r="R17" s="8"/>
      <c r="S17" s="8"/>
      <c r="T17" s="8"/>
      <c r="U17" s="8"/>
      <c r="V17" s="8"/>
      <c r="W17" s="8"/>
      <c r="X17" s="8"/>
      <c r="Y17" s="8"/>
      <c r="Z17" s="8"/>
      <c r="AA17" s="8"/>
    </row>
    <row r="18">
      <c r="A18" s="38"/>
      <c r="B18" s="38"/>
      <c r="C18" s="38" t="str">
        <f>IFERROR(__xludf.DUMMYFUNCTION("TEXTJOIN("", "", TRUE, 
  FILTER('Main Report'!A27:A116, 
    ('Main Report'!B27:B116=A18) * ('Main Report'!C27:C116=B18)
  )
)
"),"")</f>
        <v/>
      </c>
      <c r="D18" s="38"/>
      <c r="E18" s="38" t="str">
        <f>IF(D18="", "", TEXT((D18 / 'Main Report'!$E$7), "0.00%"))
</f>
        <v/>
      </c>
      <c r="F18" s="43"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8"/>
      <c r="H18" s="8"/>
      <c r="I18" s="8"/>
      <c r="J18" s="8"/>
      <c r="K18" s="8"/>
      <c r="L18" s="8"/>
      <c r="M18" s="8"/>
      <c r="N18" s="8"/>
      <c r="O18" s="8"/>
      <c r="P18" s="8"/>
      <c r="Q18" s="8"/>
      <c r="R18" s="8"/>
      <c r="S18" s="8"/>
      <c r="T18" s="8"/>
      <c r="U18" s="8"/>
      <c r="V18" s="8"/>
      <c r="W18" s="8"/>
      <c r="X18" s="8"/>
      <c r="Y18" s="8"/>
      <c r="Z18" s="8"/>
      <c r="AA18" s="8"/>
    </row>
    <row r="19">
      <c r="A19" s="38"/>
      <c r="B19" s="38"/>
      <c r="C19" s="38" t="str">
        <f>IFERROR(__xludf.DUMMYFUNCTION("TEXTJOIN("", "", TRUE, 
  FILTER('Main Report'!A28:A117, 
    ('Main Report'!B28:B117=A19) * ('Main Report'!C28:C117=B19)
  )
)
"),"")</f>
        <v/>
      </c>
      <c r="D19" s="38"/>
      <c r="E19" s="38" t="str">
        <f>IF(D19="", "", TEXT((D19 / 'Main Report'!$E$7), "0.00%"))
</f>
        <v/>
      </c>
      <c r="F19" s="43"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8"/>
      <c r="H19" s="8"/>
      <c r="I19" s="8"/>
      <c r="J19" s="8"/>
      <c r="K19" s="8"/>
      <c r="L19" s="8"/>
      <c r="M19" s="8"/>
      <c r="N19" s="8"/>
      <c r="O19" s="8"/>
      <c r="P19" s="8"/>
      <c r="Q19" s="8"/>
      <c r="R19" s="8"/>
      <c r="S19" s="8"/>
      <c r="T19" s="8"/>
      <c r="U19" s="8"/>
      <c r="V19" s="8"/>
      <c r="W19" s="8"/>
      <c r="X19" s="8"/>
      <c r="Y19" s="8"/>
      <c r="Z19" s="8"/>
      <c r="AA19" s="8"/>
    </row>
    <row r="20">
      <c r="A20" s="18"/>
      <c r="B20" s="18"/>
      <c r="C20" s="38" t="str">
        <f>IFERROR(__xludf.DUMMYFUNCTION("TEXTJOIN("", "", TRUE, 
  FILTER('Main Report'!A29:A118, 
    ('Main Report'!B29:B118=A20) * ('Main Report'!C29:C118=B20)
  )
)
"),"")</f>
        <v/>
      </c>
      <c r="D20" s="38"/>
      <c r="E20" s="38" t="str">
        <f>IF(D20="", "", TEXT((D20 / 'Main Report'!$E$7), "0.00%"))
</f>
        <v/>
      </c>
      <c r="F20" s="43"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8"/>
      <c r="H20" s="8"/>
      <c r="I20" s="8"/>
      <c r="J20" s="8"/>
      <c r="K20" s="8"/>
      <c r="L20" s="8"/>
      <c r="M20" s="8"/>
      <c r="N20" s="8"/>
      <c r="O20" s="8"/>
      <c r="P20" s="8"/>
      <c r="Q20" s="8"/>
      <c r="R20" s="8"/>
      <c r="S20" s="8"/>
      <c r="T20" s="8"/>
      <c r="U20" s="8"/>
      <c r="V20" s="8"/>
      <c r="W20" s="8"/>
      <c r="X20" s="8"/>
      <c r="Y20" s="8"/>
      <c r="Z20" s="8"/>
      <c r="AA20" s="8"/>
    </row>
    <row r="21">
      <c r="A21" s="38"/>
      <c r="B21" s="38"/>
      <c r="C21" s="38" t="str">
        <f>IFERROR(__xludf.DUMMYFUNCTION("TEXTJOIN("", "", TRUE, 
  FILTER('Main Report'!A30:A119, 
    ('Main Report'!B30:B119=A21) * ('Main Report'!C30:C119=B21)
  )
)
"),"")</f>
        <v/>
      </c>
      <c r="D21" s="38"/>
      <c r="E21" s="38" t="str">
        <f>IF(D21="", "", TEXT((D21 / 'Main Report'!$E$7), "0.00%"))
</f>
        <v/>
      </c>
      <c r="F21" s="43"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8"/>
      <c r="H21" s="8"/>
      <c r="I21" s="8"/>
      <c r="J21" s="8"/>
      <c r="K21" s="8"/>
      <c r="L21" s="8"/>
      <c r="M21" s="8"/>
      <c r="N21" s="8"/>
      <c r="O21" s="8"/>
      <c r="P21" s="8"/>
      <c r="Q21" s="8"/>
      <c r="R21" s="8"/>
      <c r="S21" s="8"/>
      <c r="T21" s="8"/>
      <c r="U21" s="8"/>
      <c r="V21" s="8"/>
      <c r="W21" s="8"/>
      <c r="X21" s="8"/>
      <c r="Y21" s="8"/>
      <c r="Z21" s="8"/>
      <c r="AA21" s="8"/>
    </row>
    <row r="22">
      <c r="A22" s="38"/>
      <c r="B22" s="38"/>
      <c r="C22" s="38"/>
      <c r="D22" s="38"/>
      <c r="E22" s="38"/>
      <c r="F22" s="38"/>
      <c r="G22" s="8"/>
      <c r="H22" s="8"/>
      <c r="I22" s="8"/>
      <c r="J22" s="8"/>
      <c r="K22" s="8"/>
      <c r="L22" s="8"/>
      <c r="M22" s="8"/>
      <c r="N22" s="8"/>
      <c r="O22" s="8"/>
      <c r="P22" s="8"/>
      <c r="Q22" s="8"/>
      <c r="R22" s="8"/>
      <c r="S22" s="8"/>
      <c r="T22" s="8"/>
      <c r="U22" s="8"/>
      <c r="V22" s="8"/>
      <c r="W22" s="8"/>
      <c r="X22" s="8"/>
      <c r="Y22" s="8"/>
      <c r="Z22" s="8"/>
      <c r="AA22" s="8"/>
    </row>
    <row r="23">
      <c r="A23" s="38"/>
      <c r="B23" s="38"/>
      <c r="C23" s="38"/>
      <c r="D23" s="38"/>
      <c r="E23" s="38"/>
      <c r="F23" s="38"/>
      <c r="G23" s="8"/>
      <c r="H23" s="8"/>
      <c r="I23" s="8"/>
      <c r="J23" s="8"/>
      <c r="K23" s="8"/>
      <c r="L23" s="8"/>
      <c r="M23" s="8"/>
      <c r="N23" s="8"/>
      <c r="O23" s="8"/>
      <c r="P23" s="8"/>
      <c r="Q23" s="8"/>
      <c r="R23" s="8"/>
      <c r="S23" s="8"/>
      <c r="T23" s="8"/>
      <c r="U23" s="8"/>
      <c r="V23" s="8"/>
      <c r="W23" s="8"/>
      <c r="X23" s="8"/>
      <c r="Y23" s="8"/>
      <c r="Z23" s="8"/>
      <c r="AA23" s="8"/>
    </row>
    <row r="24">
      <c r="A24" s="38"/>
      <c r="B24" s="38"/>
      <c r="C24" s="38"/>
      <c r="D24" s="38"/>
      <c r="E24" s="38"/>
      <c r="F24" s="38"/>
      <c r="G24" s="8"/>
      <c r="H24" s="8"/>
      <c r="I24" s="8"/>
      <c r="J24" s="8"/>
      <c r="K24" s="8"/>
      <c r="L24" s="8"/>
      <c r="M24" s="8"/>
      <c r="N24" s="8"/>
      <c r="O24" s="8"/>
      <c r="P24" s="8"/>
      <c r="Q24" s="8"/>
      <c r="R24" s="8"/>
      <c r="S24" s="8"/>
      <c r="T24" s="8"/>
      <c r="U24" s="8"/>
      <c r="V24" s="8"/>
      <c r="W24" s="8"/>
      <c r="X24" s="8"/>
      <c r="Y24" s="8"/>
      <c r="Z24" s="8"/>
      <c r="AA24" s="8"/>
    </row>
    <row r="25">
      <c r="A25" s="38"/>
      <c r="B25" s="38"/>
      <c r="C25" s="38"/>
      <c r="D25" s="38"/>
      <c r="E25" s="38"/>
      <c r="F25" s="38"/>
      <c r="G25" s="8"/>
      <c r="H25" s="8"/>
      <c r="I25" s="8"/>
      <c r="J25" s="8"/>
      <c r="K25" s="8"/>
      <c r="L25" s="8"/>
      <c r="M25" s="8"/>
      <c r="N25" s="8"/>
      <c r="O25" s="8"/>
      <c r="P25" s="8"/>
      <c r="Q25" s="8"/>
      <c r="R25" s="8"/>
      <c r="S25" s="8"/>
      <c r="T25" s="8"/>
      <c r="U25" s="8"/>
      <c r="V25" s="8"/>
      <c r="W25" s="8"/>
      <c r="X25" s="8"/>
      <c r="Y25" s="8"/>
      <c r="Z25" s="8"/>
      <c r="AA25" s="8"/>
    </row>
    <row r="26">
      <c r="A26" s="38"/>
      <c r="B26" s="38"/>
      <c r="C26" s="38"/>
      <c r="D26" s="38"/>
      <c r="E26" s="38"/>
      <c r="F26" s="38"/>
      <c r="G26" s="8"/>
      <c r="H26" s="8"/>
      <c r="I26" s="8"/>
      <c r="J26" s="8"/>
      <c r="K26" s="8"/>
      <c r="L26" s="8"/>
      <c r="M26" s="8"/>
      <c r="N26" s="8"/>
      <c r="O26" s="8"/>
      <c r="P26" s="8"/>
      <c r="Q26" s="8"/>
      <c r="R26" s="8"/>
      <c r="S26" s="8"/>
      <c r="T26" s="8"/>
      <c r="U26" s="8"/>
      <c r="V26" s="8"/>
      <c r="W26" s="8"/>
      <c r="X26" s="8"/>
      <c r="Y26" s="8"/>
      <c r="Z26" s="8"/>
      <c r="AA26" s="8"/>
    </row>
    <row r="27">
      <c r="A27" s="38"/>
      <c r="B27" s="38"/>
      <c r="C27" s="38"/>
      <c r="D27" s="38"/>
      <c r="E27" s="38"/>
      <c r="F27" s="38"/>
      <c r="G27" s="8"/>
      <c r="H27" s="8"/>
      <c r="I27" s="8"/>
      <c r="J27" s="8"/>
      <c r="K27" s="8"/>
      <c r="L27" s="8"/>
      <c r="M27" s="8"/>
      <c r="N27" s="8"/>
      <c r="O27" s="8"/>
      <c r="P27" s="8"/>
      <c r="Q27" s="8"/>
      <c r="R27" s="8"/>
      <c r="S27" s="8"/>
      <c r="T27" s="8"/>
      <c r="U27" s="8"/>
      <c r="V27" s="8"/>
      <c r="W27" s="8"/>
      <c r="X27" s="8"/>
      <c r="Y27" s="8"/>
      <c r="Z27" s="8"/>
      <c r="AA27" s="8"/>
    </row>
    <row r="28">
      <c r="A28" s="38"/>
      <c r="B28" s="38"/>
      <c r="C28" s="38"/>
      <c r="D28" s="38"/>
      <c r="E28" s="38"/>
      <c r="F28" s="38"/>
      <c r="G28" s="8"/>
      <c r="H28" s="8"/>
      <c r="I28" s="8"/>
      <c r="J28" s="8"/>
      <c r="K28" s="8"/>
      <c r="L28" s="8"/>
      <c r="M28" s="8"/>
      <c r="N28" s="8"/>
      <c r="O28" s="8"/>
      <c r="P28" s="8"/>
      <c r="Q28" s="8"/>
      <c r="R28" s="8"/>
      <c r="S28" s="8"/>
      <c r="T28" s="8"/>
      <c r="U28" s="8"/>
      <c r="V28" s="8"/>
      <c r="W28" s="8"/>
      <c r="X28" s="8"/>
      <c r="Y28" s="8"/>
      <c r="Z28" s="8"/>
      <c r="AA28" s="8"/>
    </row>
    <row r="29">
      <c r="A29" s="38"/>
      <c r="B29" s="38"/>
      <c r="C29" s="38"/>
      <c r="D29" s="38"/>
      <c r="E29" s="38"/>
      <c r="F29" s="38"/>
      <c r="G29" s="8"/>
      <c r="H29" s="8"/>
      <c r="I29" s="8"/>
      <c r="J29" s="8"/>
      <c r="K29" s="8"/>
      <c r="L29" s="8"/>
      <c r="M29" s="8"/>
      <c r="N29" s="8"/>
      <c r="O29" s="8"/>
      <c r="P29" s="8"/>
      <c r="Q29" s="8"/>
      <c r="R29" s="8"/>
      <c r="S29" s="8"/>
      <c r="T29" s="8"/>
      <c r="U29" s="8"/>
      <c r="V29" s="8"/>
      <c r="W29" s="8"/>
      <c r="X29" s="8"/>
      <c r="Y29" s="8"/>
      <c r="Z29" s="8"/>
      <c r="AA29" s="8"/>
    </row>
    <row r="30">
      <c r="A30" s="38"/>
      <c r="B30" s="38"/>
      <c r="C30" s="38"/>
      <c r="D30" s="38"/>
      <c r="E30" s="38"/>
      <c r="F30" s="38"/>
      <c r="G30" s="8"/>
      <c r="H30" s="8"/>
      <c r="I30" s="8"/>
      <c r="J30" s="8"/>
      <c r="K30" s="8"/>
      <c r="L30" s="8"/>
      <c r="M30" s="8"/>
      <c r="N30" s="8"/>
      <c r="O30" s="8"/>
      <c r="P30" s="8"/>
      <c r="Q30" s="8"/>
      <c r="R30" s="8"/>
      <c r="S30" s="8"/>
      <c r="T30" s="8"/>
      <c r="U30" s="8"/>
      <c r="V30" s="8"/>
      <c r="W30" s="8"/>
      <c r="X30" s="8"/>
      <c r="Y30" s="8"/>
      <c r="Z30" s="8"/>
      <c r="AA30" s="8"/>
    </row>
    <row r="31">
      <c r="A31" s="38"/>
      <c r="B31" s="38"/>
      <c r="C31" s="38"/>
      <c r="D31" s="38"/>
      <c r="E31" s="38"/>
      <c r="F31" s="38"/>
      <c r="G31" s="8"/>
      <c r="H31" s="8"/>
      <c r="I31" s="8"/>
      <c r="J31" s="8"/>
      <c r="K31" s="8"/>
      <c r="L31" s="8"/>
      <c r="M31" s="8"/>
      <c r="N31" s="8"/>
      <c r="O31" s="8"/>
      <c r="P31" s="8"/>
      <c r="Q31" s="8"/>
      <c r="R31" s="8"/>
      <c r="S31" s="8"/>
      <c r="T31" s="8"/>
      <c r="U31" s="8"/>
      <c r="V31" s="8"/>
      <c r="W31" s="8"/>
      <c r="X31" s="8"/>
      <c r="Y31" s="8"/>
      <c r="Z31" s="8"/>
      <c r="AA31" s="8"/>
    </row>
    <row r="32">
      <c r="A32" s="38"/>
      <c r="B32" s="38"/>
      <c r="C32" s="38"/>
      <c r="D32" s="38"/>
      <c r="E32" s="38"/>
      <c r="F32" s="38"/>
      <c r="G32" s="8"/>
      <c r="H32" s="8"/>
      <c r="I32" s="8"/>
      <c r="J32" s="8"/>
      <c r="K32" s="8"/>
      <c r="L32" s="8"/>
      <c r="M32" s="8"/>
      <c r="N32" s="8"/>
      <c r="O32" s="8"/>
      <c r="P32" s="8"/>
      <c r="Q32" s="8"/>
      <c r="R32" s="8"/>
      <c r="S32" s="8"/>
      <c r="T32" s="8"/>
      <c r="U32" s="8"/>
      <c r="V32" s="8"/>
      <c r="W32" s="8"/>
      <c r="X32" s="8"/>
      <c r="Y32" s="8"/>
      <c r="Z32" s="8"/>
      <c r="AA32" s="8"/>
    </row>
    <row r="33">
      <c r="A33" s="38"/>
      <c r="B33" s="38"/>
      <c r="C33" s="38"/>
      <c r="D33" s="38"/>
      <c r="E33" s="38"/>
      <c r="F33" s="38"/>
      <c r="G33" s="8"/>
      <c r="H33" s="8"/>
      <c r="I33" s="8"/>
      <c r="J33" s="8"/>
      <c r="K33" s="8"/>
      <c r="L33" s="8"/>
      <c r="M33" s="8"/>
      <c r="N33" s="8"/>
      <c r="O33" s="8"/>
      <c r="P33" s="8"/>
      <c r="Q33" s="8"/>
      <c r="R33" s="8"/>
      <c r="S33" s="8"/>
      <c r="T33" s="8"/>
      <c r="U33" s="8"/>
      <c r="V33" s="8"/>
      <c r="W33" s="8"/>
      <c r="X33" s="8"/>
      <c r="Y33" s="8"/>
      <c r="Z33" s="8"/>
      <c r="AA33" s="8"/>
    </row>
    <row r="34">
      <c r="A34" s="38"/>
      <c r="B34" s="38"/>
      <c r="C34" s="38"/>
      <c r="D34" s="38"/>
      <c r="E34" s="38"/>
      <c r="F34" s="38"/>
      <c r="G34" s="8"/>
      <c r="H34" s="8"/>
      <c r="I34" s="8"/>
      <c r="J34" s="8"/>
      <c r="K34" s="8"/>
      <c r="L34" s="8"/>
      <c r="M34" s="8"/>
      <c r="N34" s="8"/>
      <c r="O34" s="8"/>
      <c r="P34" s="8"/>
      <c r="Q34" s="8"/>
      <c r="R34" s="8"/>
      <c r="S34" s="8"/>
      <c r="T34" s="8"/>
      <c r="U34" s="8"/>
      <c r="V34" s="8"/>
      <c r="W34" s="8"/>
      <c r="X34" s="8"/>
      <c r="Y34" s="8"/>
      <c r="Z34" s="8"/>
      <c r="AA34" s="8"/>
    </row>
    <row r="35">
      <c r="A35" s="38"/>
      <c r="B35" s="38"/>
      <c r="C35" s="38"/>
      <c r="D35" s="38"/>
      <c r="E35" s="38"/>
      <c r="F35" s="38"/>
      <c r="G35" s="8"/>
      <c r="H35" s="8"/>
      <c r="I35" s="8"/>
      <c r="J35" s="8"/>
      <c r="K35" s="8"/>
      <c r="L35" s="8"/>
      <c r="M35" s="8"/>
      <c r="N35" s="8"/>
      <c r="O35" s="8"/>
      <c r="P35" s="8"/>
      <c r="Q35" s="8"/>
      <c r="R35" s="8"/>
      <c r="S35" s="8"/>
      <c r="T35" s="8"/>
      <c r="U35" s="8"/>
      <c r="V35" s="8"/>
      <c r="W35" s="8"/>
      <c r="X35" s="8"/>
      <c r="Y35" s="8"/>
      <c r="Z35" s="8"/>
      <c r="AA35" s="8"/>
    </row>
    <row r="36">
      <c r="A36" s="38"/>
      <c r="B36" s="38"/>
      <c r="C36" s="38"/>
      <c r="D36" s="38"/>
      <c r="E36" s="38"/>
      <c r="F36" s="38"/>
      <c r="G36" s="8"/>
      <c r="H36" s="8"/>
      <c r="I36" s="8"/>
      <c r="J36" s="8"/>
      <c r="K36" s="8"/>
      <c r="L36" s="8"/>
      <c r="M36" s="8"/>
      <c r="N36" s="8"/>
      <c r="O36" s="8"/>
      <c r="P36" s="8"/>
      <c r="Q36" s="8"/>
      <c r="R36" s="8"/>
      <c r="S36" s="8"/>
      <c r="T36" s="8"/>
      <c r="U36" s="8"/>
      <c r="V36" s="8"/>
      <c r="W36" s="8"/>
      <c r="X36" s="8"/>
      <c r="Y36" s="8"/>
      <c r="Z36" s="8"/>
      <c r="AA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drawing r:id="rId1"/>
</worksheet>
</file>