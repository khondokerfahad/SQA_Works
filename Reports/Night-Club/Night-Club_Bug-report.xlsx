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Fahad" sheetId="2" r:id="rId5"/>
    <sheet state="visible" name="Tahsin" sheetId="3" r:id="rId6"/>
    <sheet state="visible" name="Summary Report" sheetId="4" r:id="rId7"/>
  </sheets>
  <definedNames/>
  <calcPr/>
</workbook>
</file>

<file path=xl/sharedStrings.xml><?xml version="1.0" encoding="utf-8"?>
<sst xmlns="http://schemas.openxmlformats.org/spreadsheetml/2006/main" count="648" uniqueCount="307">
  <si>
    <t xml:space="preserve">Tester : </t>
  </si>
  <si>
    <t>Mohammed Fahad Faisal
Tahsin Ahmmed</t>
  </si>
  <si>
    <t>Severity</t>
  </si>
  <si>
    <t>Issues</t>
  </si>
  <si>
    <t>Project Name:</t>
  </si>
  <si>
    <t>Night-Club</t>
  </si>
  <si>
    <t>High</t>
  </si>
  <si>
    <t>Project URL:</t>
  </si>
  <si>
    <t>Medium</t>
  </si>
  <si>
    <t>Developer:</t>
  </si>
  <si>
    <t>AI-Crafters</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</si>
  <si>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</si>
  <si>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</si>
  <si>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</si>
  <si>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</si>
  <si>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</si>
  <si>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</si>
  <si>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</si>
  <si>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</si>
  <si>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</si>
  <si>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</si>
  <si>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</si>
  <si>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</si>
  <si>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</si>
  <si>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</si>
  <si>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</si>
  <si>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</si>
  <si>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</si>
  <si>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</si>
  <si>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</si>
  <si>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</si>
  <si>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</si>
  <si>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</si>
  <si>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</si>
  <si>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</si>
  <si>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</si>
  <si>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</si>
  <si>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</si>
  <si>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</si>
  <si>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</si>
  <si>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</si>
  <si>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</si>
  <si>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</si>
  <si>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</si>
  <si>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</si>
  <si>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</si>
  <si>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</si>
  <si>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</si>
  <si>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</si>
  <si>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</si>
  <si>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</si>
  <si>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</si>
  <si>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</si>
  <si>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</si>
  <si>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</si>
  <si>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</si>
  <si>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</si>
  <si>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</si>
  <si>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</si>
  <si>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</si>
  <si>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</si>
  <si>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</si>
  <si>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</si>
  <si>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</si>
  <si>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</si>
  <si>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</si>
  <si>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</si>
  <si>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</si>
  <si>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</si>
  <si>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
  </si>
  <si>
    <t>Mohammed Fahad Faisal</t>
  </si>
  <si>
    <t>Windows 11 Pro 
Version:24H2 
OS build:26100.4946</t>
  </si>
  <si>
    <t>Environment:</t>
  </si>
  <si>
    <t>Realme C63 RMX3939</t>
  </si>
  <si>
    <t>Test ID</t>
  </si>
  <si>
    <t>TC_001</t>
  </si>
  <si>
    <t>Landing page</t>
  </si>
  <si>
    <t>Icon and app name spacing</t>
  </si>
  <si>
    <t>User need to install this apk in their phone</t>
  </si>
  <si>
    <t>1. Open app</t>
  </si>
  <si>
    <t>N/A</t>
  </si>
  <si>
    <t>Design and alignment should match the requirements.</t>
  </si>
  <si>
    <t>Different design has been noticed</t>
  </si>
  <si>
    <t>Fail</t>
  </si>
  <si>
    <t>https://drive.google.com/file/d/12kJ_338TSjVpxvP6vpCSQyyKMXvM4fMd/view?usp=sharing</t>
  </si>
  <si>
    <t>TC_002</t>
  </si>
  <si>
    <t>The landing page image is different.</t>
  </si>
  <si>
    <t>Design and alignment should be as same as requirement</t>
  </si>
  <si>
    <t>https://drive.google.com/file/d/1N0JkA_UR1Vq-NR9mYUiC31Fekl7UTPVj/view?usp=drive_link</t>
  </si>
  <si>
    <t>TC_003</t>
  </si>
  <si>
    <t>Authentication(User)</t>
  </si>
  <si>
    <t>SignIn</t>
  </si>
  <si>
    <t>Congested content</t>
  </si>
  <si>
    <t>1. Open app
2. Click on User</t>
  </si>
  <si>
    <t>Content and buttons should fit perfectly within the app to ensure client satisfaction.</t>
  </si>
  <si>
    <t>Congested content has been observed.</t>
  </si>
  <si>
    <t>https://drive.google.com/file/d/1CYzdGP8h7dwWu2SNfhdLm0s5YHXNpqQ0/view?usp=drive_link</t>
  </si>
  <si>
    <t>TC_004</t>
  </si>
  <si>
    <t>Buttons are designed to be curvier.</t>
  </si>
  <si>
    <t>https://drive.google.com/file/d/15N_q-5xDCCBCNQD2xQQRAvdknFk0fOMe/view?usp=drive_link</t>
  </si>
  <si>
    <t>TC_005</t>
  </si>
  <si>
    <t>A buffer overflow issue has been observed on the button.</t>
  </si>
  <si>
    <t>Content, buttons, and other elements should fit perfectly on the device screen.</t>
  </si>
  <si>
    <t>An overflow has been observed.</t>
  </si>
  <si>
    <t>https://drive.google.com/file/d/1aXZt9jPRuhi3N3kkPWadiwbFjamI_Bpv/view?usp=drive_link</t>
  </si>
  <si>
    <t>TC_006</t>
  </si>
  <si>
    <t>The app name is different from the design.</t>
  </si>
  <si>
    <t>The app name and its design on the landing page should match the client's requirements.</t>
  </si>
  <si>
    <t>The app name and design on the device do not match the requirements.</t>
  </si>
  <si>
    <t>https://drive.google.com/file/d/1-_UAQBhCvWXDuEdK2McjnjvoOkZZMLDl/view?usp=drive_link</t>
  </si>
  <si>
    <t>TC_007</t>
  </si>
  <si>
    <t>SignUp</t>
  </si>
  <si>
    <t>The input field box has a different style.</t>
  </si>
  <si>
    <t>1. Open app
2. Click on User
3. Goto signup page</t>
  </si>
  <si>
    <t>The design and alignment need to be precise.</t>
  </si>
  <si>
    <t>A different design has been noticed.</t>
  </si>
  <si>
    <t>https://drive.google.com/file/d/1NFOqbFdpyTFV6XeGcwCunvCNhBkmFCs3/view?usp=drive_link</t>
  </si>
  <si>
    <t>TC_008</t>
  </si>
  <si>
    <t>Forget Password</t>
  </si>
  <si>
    <t>The page title appears twice.</t>
  </si>
  <si>
    <t>1. Open app
2. Click on User
3. Goto signin page
4. Click on forget password</t>
  </si>
  <si>
    <t>The page title should appear once and be displayed in a large font.</t>
  </si>
  <si>
    <t>Title appears twice in the forget password page</t>
  </si>
  <si>
    <t>https://drive.google.com/file/d/1h4luvRgIuk3Y7o7v9c6I4kxJ1pNIp17v/view?usp=drive_link</t>
  </si>
  <si>
    <t>TC_009</t>
  </si>
  <si>
    <t>Field titles appear as placeholders.</t>
  </si>
  <si>
    <t>The input field title should appear above the input field, not inside it.</t>
  </si>
  <si>
    <t>Appear as a placeholder inside the input field.</t>
  </si>
  <si>
    <t>https://drive.google.com/file/d/1EHdmt_VfQ_KmcjHn68WPWYQMMz9NmHSY/view?usp=drive_link</t>
  </si>
  <si>
    <t>TC_010</t>
  </si>
  <si>
    <t>1. Open app
2. Click on User
3. Goto signup page
4. Give info and click on signup</t>
  </si>
  <si>
    <t>No overflow should appear or be displayed.</t>
  </si>
  <si>
    <t>Noticed an overflow issue when the keyboard layout is displayed on the screen.</t>
  </si>
  <si>
    <t>https://drive.google.com/file/d/1Z2eGNoxsFPd1bCo-uJtobcKeGN1XPtCp/view?usp=drive_link</t>
  </si>
  <si>
    <t>TC_011</t>
  </si>
  <si>
    <t>Different UI observed</t>
  </si>
  <si>
    <t>https://drive.google.com/file/d/154Q0eEpa1zswgLzZ9htWBkNBRbyLyWUY/view?usp=drive_link</t>
  </si>
  <si>
    <t>TC_012</t>
  </si>
  <si>
    <t>Home</t>
  </si>
  <si>
    <t>Explore</t>
  </si>
  <si>
    <t>Failed to load map</t>
  </si>
  <si>
    <t>1. Open app
2. Click on User
3. Signin using valid credentials
4. Click on explore</t>
  </si>
  <si>
    <t>The map should load accurately in the explore section and filter nearby recommended locations.</t>
  </si>
  <si>
    <t>Failed to load map in the screen</t>
  </si>
  <si>
    <t>https://drive.google.com/file/d/1CX9DBys55M7kI0fIAeiWmRbQ0FV6l8_3/view?usp=drive_link</t>
  </si>
  <si>
    <t>TC_013</t>
  </si>
  <si>
    <t>The module placement was swapped.</t>
  </si>
  <si>
    <t>1. Open app
2. Click on User
3. Signin using valid credentials</t>
  </si>
  <si>
    <t>Features need to be placed accurately, just like in design.</t>
  </si>
  <si>
    <t>A module position swap has been observed.</t>
  </si>
  <si>
    <t>https://drive.google.com/file/d/1YRBrx-Yn4WBwsiUwZW54fnTlzpgIw6x2/view?usp=drive_link</t>
  </si>
  <si>
    <t>TC_014</t>
  </si>
  <si>
    <t>The UI does not match the client's requirements.</t>
  </si>
  <si>
    <t>https://drive.google.com/file/d/1WCdXoPKFRgUKt6Iv1Zg6M-dz8GsLyBtF/view?usp=drive_link</t>
  </si>
  <si>
    <t>TC_015</t>
  </si>
  <si>
    <t>The user profile and other elements are missing in the header section of the app.</t>
  </si>
  <si>
    <t>All modules and features should be perfectly aligned with the client specifications.</t>
  </si>
  <si>
    <t>Module missing in the home page</t>
  </si>
  <si>
    <t>https://drive.google.com/file/d/1IFz3t8DTlHXYjQuZzc6eRC557plVi12O/view?usp=drive_link</t>
  </si>
  <si>
    <t>TC_016</t>
  </si>
  <si>
    <t>filter option missing in the home page</t>
  </si>
  <si>
    <t>https://drive.google.com/file/d/1TGXEofC4LSp8qAeuzECeGjJHONfWFH39/view?usp=drive_link</t>
  </si>
  <si>
    <t>TC_017</t>
  </si>
  <si>
    <t>Nearby</t>
  </si>
  <si>
    <t>Overflow has been noticed</t>
  </si>
  <si>
    <t>1. Open app
2. Click on User
3. Signin using valid credentials
4. Click on Nearby</t>
  </si>
  <si>
    <t>No overflow should be displayed in the app</t>
  </si>
  <si>
    <t>The banner overflow has been noticed.</t>
  </si>
  <si>
    <t>https://drive.google.com/file/d/10OrnC0cHUOHJOVk6g0G6IYV1v-KaTJqr/view?usp=drive_link</t>
  </si>
  <si>
    <t>TC_018</t>
  </si>
  <si>
    <t>Foryou</t>
  </si>
  <si>
    <t>1. Open app
2. Click on User
3. Signin using valid credentials
4. Click on For you</t>
  </si>
  <si>
    <t>https://drive.google.com/file/d/1FcOxxr4FYoMt333WQWHmLO8TLtWRekGh/view?usp=drive_link</t>
  </si>
  <si>
    <t>TC_019</t>
  </si>
  <si>
    <t>For you</t>
  </si>
  <si>
    <t xml:space="preserve">UI slightly change </t>
  </si>
  <si>
    <t>https://drive.google.com/file/d/1_nHtyjvKSv_CmQxfVCtjJRc7OZ6JltQt/view?usp=drive_link</t>
  </si>
  <si>
    <t>TC_020</t>
  </si>
  <si>
    <t>Specific bar</t>
  </si>
  <si>
    <t>module missing in the page</t>
  </si>
  <si>
    <t>1. Open app
2. Click on User
3. Signin using valid credentials
4. Click on For you
5. Click on suggested bar</t>
  </si>
  <si>
    <t>Module missing in the page</t>
  </si>
  <si>
    <t>https://drive.google.com/file/d/1DiMg6JH8ScKH8wM1nmVTHwvBxnzlMVm8/view?usp=drive_link</t>
  </si>
  <si>
    <t>TC_021</t>
  </si>
  <si>
    <t>UI slightly change</t>
  </si>
  <si>
    <t>https://drive.google.com/file/d/1q5Cvzdrz1b9Lkhzw6B86zn1nuzz5nLym/view?usp=drive_link</t>
  </si>
  <si>
    <t>TC_022</t>
  </si>
  <si>
    <t>Review</t>
  </si>
  <si>
    <t>1. Open app
2. Click on User
3. Signin using valid credentials
4. Click on For you
5. Click on suggested bar
6. Click on review</t>
  </si>
  <si>
    <t>https://drive.google.com/file/d/14nIcegTorXa6CyIyt6wRgtu-ZMZOtbUI/view?usp=drive_link</t>
  </si>
  <si>
    <t>TC_023</t>
  </si>
  <si>
    <t>https://drive.google.com/file/d/15kXOmeGqrrotJmHxyKUsLyHIDt8cBvDi/view?usp=drive_link</t>
  </si>
  <si>
    <t>TC_024</t>
  </si>
  <si>
    <t>Social</t>
  </si>
  <si>
    <t>1. Open app
2. Click on User
3. Signin using valid credentials
4. Click on Social</t>
  </si>
  <si>
    <t>https://drive.google.com/file/d/1gpThVUVqjTmIkpSLCTrQxau3rAVecCQo/view?usp=drive_link</t>
  </si>
  <si>
    <t>TC_025</t>
  </si>
  <si>
    <t>Flow missing</t>
  </si>
  <si>
    <t>The flow should be maintained accurately to meet the client's requirements.</t>
  </si>
  <si>
    <t>Missing flow has been noticed on following page</t>
  </si>
  <si>
    <t>https://drive.google.com/file/d/1AI5F1CdKCx41xSt11NMQgZ_Q1F0LoSN6/view?usp=drive_link</t>
  </si>
  <si>
    <t>TC_026</t>
  </si>
  <si>
    <t>Favourite</t>
  </si>
  <si>
    <t>1. Open app
2. Click on User
3. Signin using valid credentials
4. Click on favourite</t>
  </si>
  <si>
    <t>https://drive.google.com/file/d/1ltwckdd9GzeD3aiHb8x_W-4h3omPy0mg/view?usp=drive_link</t>
  </si>
  <si>
    <t>TC_01</t>
  </si>
  <si>
    <t>Club Owner (Sign Up)</t>
  </si>
  <si>
    <t>Sign Up</t>
  </si>
  <si>
    <t>Verify successful welcome page &amp; phone verification page is displayed after email verification</t>
  </si>
  <si>
    <t>App installed and user not registered</t>
  </si>
  <si>
    <t xml:space="preserve">1. Open the app  
2. Navigate to Club Owner sign up  
3. Enter valid details and verify email  </t>
  </si>
  <si>
    <t>After successful email verification, a phone verification page and then welcome page should be displayed</t>
  </si>
  <si>
    <t>Phone verification and Welcome page is missing after mail verification and directly navigated to dashboard</t>
  </si>
  <si>
    <t>Screenrecording_20251001_101100.mp4</t>
  </si>
  <si>
    <t>TC_02</t>
  </si>
  <si>
    <t>Club Owner -&gt; Forget Password</t>
  </si>
  <si>
    <t>Verify password change success message is displayed after forgot password reset</t>
  </si>
  <si>
    <t>App installed and user account exists</t>
  </si>
  <si>
    <t>1. Open the app  
2. Go to Forgot Password  
3. Enter registered email/phone and request reset  
4. Complete verification and set a new password</t>
  </si>
  <si>
    <t>Registered email/phone with valid verification code</t>
  </si>
  <si>
    <t>After password reset, app should display "Password changed successfully" message with a Login button or navigate to login page</t>
  </si>
  <si>
    <t>Redirected to welcome page instead of  login option</t>
  </si>
  <si>
    <t>Screenrecording_20251001_101859.mp4</t>
  </si>
  <si>
    <t>TC_03</t>
  </si>
  <si>
    <t>Club Owner -&gt; Club Profile</t>
  </si>
  <si>
    <t>UI</t>
  </si>
  <si>
    <t>Verify filter buttons (Lounge, Nightclub, EDM) are displayed in full row with proper size</t>
  </si>
  <si>
    <t>App installed and club profile page accessible</t>
  </si>
  <si>
    <t>1. Open the app  
2. Navigate to Club Profile page  
3. Observe the display of category buttons (Lounge, Nightclub, EDM)</t>
  </si>
  <si>
    <t>None</t>
  </si>
  <si>
    <t>Buttons should appear in a full row with equal spacing and increased size for better visibility</t>
  </si>
  <si>
    <t>Buttons appear small and not aligned to full row</t>
  </si>
  <si>
    <t>https://jam.dev/c/fd1205ce-a95c-4d71-b95a-d88613f2de02</t>
  </si>
  <si>
    <t>TC_04</t>
  </si>
  <si>
    <t>Verify each filter button (Lounge, Nightclub, EDM) displays relevant icon</t>
  </si>
  <si>
    <t>1. Open the app  
2. Navigate to Club Profile page  
3. Observe the filter buttons (Lounge, Nightclub, EDM)</t>
  </si>
  <si>
    <t>Each button should display a relevant icon (e.g., lounge icon, nightclub icon, EDM icon) alongside text</t>
  </si>
  <si>
    <t>No icons are displayed on the buttons</t>
  </si>
  <si>
    <t>https://jam.dev/c/1ab589b6-1f5b-42b8-b1cd-248753dec278</t>
  </si>
  <si>
    <t>TC_05</t>
  </si>
  <si>
    <t>Verify club address is displayed after requirements for each club</t>
  </si>
  <si>
    <t>1. Open the app  
2. Navigate to Club Profile page  
3. Check details displayed for each club (Neon Nightclub, Eclipse Lounge, etc.)</t>
  </si>
  <si>
    <t>Each club profile should display its address immediately after the rating</t>
  </si>
  <si>
    <t>Club address is missing for each club</t>
  </si>
  <si>
    <t>https://jam.dev/c/ed0aba83-8ad3-44a7-aa43-19f441c8ac44</t>
  </si>
  <si>
    <t>TC_06</t>
  </si>
  <si>
    <t>Footer</t>
  </si>
  <si>
    <t>Verify Instagram, TikTok, and Share icons are displayed in the footer</t>
  </si>
  <si>
    <t>1. Open the app  
2. Navigate to the Club Profile page  
3. Scroll to the footer section</t>
  </si>
  <si>
    <t>Footer should display Instagram, TikTok, and Share icons with proper links/actions</t>
  </si>
  <si>
    <t>Instagram, TikTok, and Share icons are missing in the footer</t>
  </si>
  <si>
    <t>https://jam.dev/c/6e6cba8e-c46a-4288-8fb7-dd77a736bfb3</t>
  </si>
  <si>
    <t>TC_07</t>
  </si>
  <si>
    <t>UI -&gt; The Moonlight Night</t>
  </si>
  <si>
    <t>Verify "Links &amp; Contact" heading is center aligned and underlined</t>
  </si>
  <si>
    <t>1. Open the app  
2. Navigate to Club Profile page -&gt; Neon Nightclub
3. Scroll to Links &amp; Contact section</t>
  </si>
  <si>
    <t>Links &amp; Contact heading should be center aligned and underlined for better visibility and consistency</t>
  </si>
  <si>
    <t>Heading is left aligned and not underlined</t>
  </si>
  <si>
    <t>https://jam.dev/c/d891f90e-ec0d-4b3f-91cc-99cdd831961c</t>
  </si>
  <si>
    <t>TC_08</t>
  </si>
  <si>
    <t>Verify all fields in "Links &amp; Contact" section display relevant icons</t>
  </si>
  <si>
    <t>1. Open the app  
2. Navigate to Club Profile -&gt; Neon Nightclub
3. Scroll to Links &amp; Contact section  
4. Observe each field (Instagram, TikTok, Phone, Email, Share Link, etc.)</t>
  </si>
  <si>
    <t>All fields in Links &amp; Contact should display a relevant icon (e.g., Instagram icon, TikTok icon, phone icon, email icon, share icon)</t>
  </si>
  <si>
    <t>Icons are missing</t>
  </si>
  <si>
    <t>https://jam.dev/c/f4449482-7957-4926-89e0-b7fbe9dcd357</t>
  </si>
  <si>
    <t>TC_09</t>
  </si>
  <si>
    <t>Club Owner -&gt; Analytics</t>
  </si>
  <si>
    <t>Verify the title displays "Analytics Dashboard" instead of "Analytics"</t>
  </si>
  <si>
    <t>App installed and user logged in</t>
  </si>
  <si>
    <t>1. Open the app  
2. Navigate to the Analytics section  
3. Observe the title at the top of the screen</t>
  </si>
  <si>
    <t>Title should be displayed as "Analytics Dashboard"</t>
  </si>
  <si>
    <t>Title is displayed as "Analytics"</t>
  </si>
  <si>
    <t>https://jam.dev/c/725fac27-9c83-4e31-ac13-42bd0a9e3695</t>
  </si>
  <si>
    <t>TC_10</t>
  </si>
  <si>
    <t>Verify spacing between "Event Attendance Over Time" chart and previous section is consistent and minimal</t>
  </si>
  <si>
    <t>1. Open the app  
2. Navigate to the Analytics section  
3. Observe spacing between chart and previous section</t>
  </si>
  <si>
    <t>Gap between "Event Attendance Over Time" chart and the previous section should be reduced and consistent with other sections</t>
  </si>
  <si>
    <t>Excessive gap present between "Event Attendance Over Time" chart and the previous section</t>
  </si>
  <si>
    <t>https://jam.dev/c/0fc558c2-f2d0-4ed6-81be-e1ec9ed6cd5e</t>
  </si>
  <si>
    <t>TC_11</t>
  </si>
  <si>
    <t>Verify horizontal grid lines in "Event Attendance Over Time" chart are dotted lines</t>
  </si>
  <si>
    <t>1. Open the app  
2. Navigate to Analytics section  
3. Observe the horizontal grid lines in the chart</t>
  </si>
  <si>
    <t>Horizontal grid lines in the chart should be displayed as dotted lines</t>
  </si>
  <si>
    <t>Horizontal grid lines are displayed as solid lines</t>
  </si>
  <si>
    <t>https://jam.dev/c/2e65b426-1cb6-40e7-95a4-c18b781dd420</t>
  </si>
  <si>
    <t>TC_12</t>
  </si>
  <si>
    <t>Verify bars in "Top Performance Events" section are displayed in square shape</t>
  </si>
  <si>
    <t>App installed and user logged in with analytics data available</t>
  </si>
  <si>
    <t>1. Open the app  
2. Navigate to Analytics section  
3. Scroll to "Top Performance Events" section  
4. Observe the shape of the bars</t>
  </si>
  <si>
    <t>Bars in "Top Performance Events" section should be square shaped</t>
  </si>
  <si>
    <t>Bars are displayed with rounded/oval shape</t>
  </si>
  <si>
    <t>https://jam.dev/c/b2d5ddaa-89e5-4da9-a208-d6a8eb8582d4</t>
  </si>
  <si>
    <t>TC_13</t>
  </si>
  <si>
    <t>Club Owner -&gt; Settings</t>
  </si>
  <si>
    <t>Profile</t>
  </si>
  <si>
    <t>Verify profile page navigation from Settings</t>
  </si>
  <si>
    <t>1. Open the app  
2. Navigate to Settings  
3. Tap on Profile option</t>
  </si>
  <si>
    <t>Tapping on Profile in Settings should navigate to the user Profile page</t>
  </si>
  <si>
    <t>Blank page is displayed instead of Profile page</t>
  </si>
  <si>
    <t>MicrosoftTeams-video.mp4</t>
  </si>
  <si>
    <t>TC_14</t>
  </si>
  <si>
    <t>TC_15</t>
  </si>
  <si>
    <t>TC_16</t>
  </si>
  <si>
    <t>TC_17</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</si>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</sst>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5.0"/>
      <color theme="1"/>
      <name val="Calibri"/>
    </font>
    <font>
      <sz val="15.0"/>
      <color theme="1"/>
      <name val="Arial"/>
      <scheme val="minor"/>
    </font>
    <font>
      <u/>
      <color rgb="FF0000FF"/>
    </font>
    <font>
      <u/>
      <color rgb="FF0000FF"/>
    </font>
    <font>
      <u/>
      <color theme="1"/>
      <name val="Arial"/>
      <scheme val="minor"/>
    </font>
    <font>
      <sz val="12.0"/>
      <color theme="1"/>
      <name val="Calibri"/>
    </font>
    <font>
      <color rgb="FF1E2624"/>
      <name val="Inter"/>
    </font>
    <font>
      <color rgb="FF1E2624"/>
      <name val="Arial"/>
    </font>
    <font>
      <b/>
      <sz val="13.0"/>
      <color theme="1"/>
      <name val="Times New Roman"/>
    </font>
    <font>
      <sz val="13.0"/>
      <color theme="1"/>
      <name val="Arial"/>
      <scheme val="minor"/>
    </font>
    <font>
      <sz val="12.0"/>
      <color theme="1"/>
      <name val="Times New Roman"/>
    </font>
    <font>
      <u/>
      <color rgb="FF0000FF"/>
    </font>
    <font>
      <u/>
      <sz val="12.0"/>
      <color rgb="FF1155CC"/>
      <name val="Times New Roman"/>
    </font>
    <font>
      <u/>
      <color rgb="FF0000FF"/>
    </font>
    <font>
      <u/>
      <sz val="12.0"/>
      <color rgb="FF1155CC"/>
      <name val="Times New Roman"/>
    </font>
    <font>
      <u/>
      <color rgb="FF1155CC"/>
      <name val="Arial"/>
    </font>
    <font>
      <b/>
      <sz val="16.0"/>
      <color theme="1"/>
      <name val="Calibri"/>
    </font>
    <font>
      <u/>
      <sz val="12.0"/>
      <color rgb="FF1155CC"/>
      <name val="Calibri"/>
    </font>
    <font>
      <u/>
      <sz val="12.0"/>
      <color rgb="FF0000FF"/>
      <name val="Calibri"/>
    </font>
    <font>
      <u/>
      <sz val="12.0"/>
      <color theme="1"/>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14"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6" fontId="15" numFmtId="0" xfId="0" applyAlignment="1" applyBorder="1" applyFill="1" applyFont="1">
      <alignment horizontal="center" readingOrder="0" vertical="center"/>
    </xf>
    <xf borderId="1" fillId="0" fontId="2" numFmtId="0" xfId="0" applyAlignment="1" applyBorder="1" applyFont="1">
      <alignment horizontal="right" readingOrder="0" vertical="center"/>
    </xf>
    <xf borderId="1" fillId="6" fontId="16" numFmtId="0" xfId="0" applyAlignment="1" applyBorder="1" applyFont="1">
      <alignment horizontal="center" readingOrder="0" vertical="center"/>
    </xf>
    <xf borderId="2" fillId="7" fontId="17" numFmtId="0" xfId="0" applyAlignment="1" applyBorder="1" applyFill="1" applyFont="1">
      <alignment horizontal="center" shrinkToFit="0" vertical="center" wrapText="1"/>
    </xf>
    <xf borderId="0" fillId="0" fontId="18" numFmtId="0" xfId="0" applyAlignment="1" applyFont="1">
      <alignment vertical="center"/>
    </xf>
    <xf borderId="4"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4" fillId="0" fontId="19"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0" fillId="0" fontId="7" numFmtId="0" xfId="0" applyAlignment="1" applyFont="1">
      <alignment horizontal="left" shrinkToFit="0" vertical="center" wrapText="1"/>
    </xf>
    <xf borderId="1" fillId="0" fontId="19"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0" fillId="0" fontId="19" numFmtId="0" xfId="0" applyAlignment="1" applyFont="1">
      <alignment horizontal="center" shrinkToFit="0" vertical="center" wrapText="1"/>
    </xf>
    <xf borderId="1" fillId="0" fontId="19" numFmtId="0" xfId="0" applyAlignment="1" applyBorder="1" applyFont="1">
      <alignment horizontal="left" shrinkToFit="0" vertical="center" wrapText="1"/>
    </xf>
    <xf borderId="1" fillId="0" fontId="23"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4"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5"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7" numFmtId="0" xfId="0" applyAlignment="1" applyBorder="1" applyFont="1">
      <alignment horizontal="left" readingOrder="0" shrinkToFit="0" vertical="center" wrapText="1"/>
    </xf>
    <xf borderId="1" fillId="0" fontId="14" numFmtId="0" xfId="0" applyAlignment="1" applyBorder="1" applyFont="1">
      <alignment horizontal="left" shrinkToFit="0" vertical="center" wrapText="1"/>
    </xf>
    <xf borderId="1" fillId="0" fontId="28" numFmtId="0" xfId="0" applyAlignment="1" applyBorder="1" applyFont="1">
      <alignment horizontal="left" readingOrder="0" shrinkToFit="0" vertical="center" wrapText="1"/>
    </xf>
    <xf borderId="6" fillId="0" fontId="14"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shrinkToFit="0" vertical="center" wrapText="1"/>
    </xf>
    <xf borderId="0" fillId="0" fontId="14" numFmtId="0" xfId="0" applyAlignment="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6" fillId="0" fontId="14" numFmtId="0" xfId="0" applyAlignment="1" applyBorder="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2" fillId="5" fontId="17" numFmtId="0" xfId="0" applyAlignment="1" applyBorder="1" applyFont="1">
      <alignment horizontal="center" shrinkToFit="0" vertical="center" wrapText="1"/>
    </xf>
    <xf borderId="2" fillId="5" fontId="17" numFmtId="0" xfId="0" applyAlignment="1" applyBorder="1" applyFont="1">
      <alignment horizontal="center" readingOrder="0" shrinkToFit="0" vertical="center" wrapText="1"/>
    </xf>
    <xf borderId="2" fillId="5" fontId="1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81450" cy="2085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drive.google.com/file/d/1GHNK6zcUWNORC1CDB8-pQQqs7PDp5IUJ/view?usp=drive_link" TargetMode="External"/><Relationship Id="rId22" Type="http://schemas.openxmlformats.org/officeDocument/2006/relationships/hyperlink" Target="https://drive.google.com/file/d/1ltwckdd9GzeD3aiHb8x_W-4h3omPy0mg/view?usp=drive_link" TargetMode="External"/><Relationship Id="rId21" Type="http://schemas.openxmlformats.org/officeDocument/2006/relationships/hyperlink" Target="https://drive.google.com/file/d/12Ut8bXdRcDsH1NsHO7beRHCDEvZj426q/view?usp=drive_link" TargetMode="External"/><Relationship Id="rId24" Type="http://schemas.openxmlformats.org/officeDocument/2006/relationships/hyperlink" Target="https://drive.google.com/file/d/15kXOmeGqrrotJmHxyKUsLyHIDt8cBvDi/view?usp=drive_link" TargetMode="External"/><Relationship Id="rId23" Type="http://schemas.openxmlformats.org/officeDocument/2006/relationships/hyperlink" Target="https://drive.google.com/file/d/1_nHtyjvKSv_CmQxfVCtjJRc7OZ6JltQt/view?usp=drive_link" TargetMode="External"/><Relationship Id="rId1" Type="http://schemas.openxmlformats.org/officeDocument/2006/relationships/hyperlink" Target="https://drive.google.com/file/d/1h4luvRgIuk3Y7o7v9c6I4kxJ1pNIp17v/view?usp=drive_link" TargetMode="External"/><Relationship Id="rId2" Type="http://schemas.openxmlformats.org/officeDocument/2006/relationships/hyperlink" Target="https://drive.google.com/file/d/1EHdmt_VfQ_KmcjHn68WPWYQMMz9NmHSY/view?usp=drive_link" TargetMode="External"/><Relationship Id="rId3" Type="http://schemas.openxmlformats.org/officeDocument/2006/relationships/hyperlink" Target="https://drive.google.com/file/d/1CYzdGP8h7dwWu2SNfhdLm0s5YHXNpqQ0/view?usp=drive_link" TargetMode="External"/><Relationship Id="rId4" Type="http://schemas.openxmlformats.org/officeDocument/2006/relationships/hyperlink" Target="https://drive.google.com/file/d/15N_q-5xDCCBCNQD2xQQRAvdknFk0fOMe/view?usp=drive_link" TargetMode="External"/><Relationship Id="rId9" Type="http://schemas.openxmlformats.org/officeDocument/2006/relationships/hyperlink" Target="https://drive.google.com/file/d/1Uj34rqkT-ebDmVzLBlKZFmtB72gpsCZ_/view?usp=drive_link" TargetMode="External"/><Relationship Id="rId26" Type="http://schemas.openxmlformats.org/officeDocument/2006/relationships/hyperlink" Target="https://drive.google.com/file/d/1CX9DBys55M7kI0fIAeiWmRbQ0FV6l8_3/view?usp=drive_link" TargetMode="External"/><Relationship Id="rId25" Type="http://schemas.openxmlformats.org/officeDocument/2006/relationships/hyperlink" Target="https://drive.google.com/file/d/1FcOxxr4FYoMt333WQWHmLO8TLtWRekGh/view?usp=drive_link" TargetMode="External"/><Relationship Id="rId28" Type="http://schemas.openxmlformats.org/officeDocument/2006/relationships/hyperlink" Target="https://drive.google.com/file/d/1WCdXoPKFRgUKt6Iv1Zg6M-dz8GsLyBtF/view?usp=drive_link" TargetMode="External"/><Relationship Id="rId27" Type="http://schemas.openxmlformats.org/officeDocument/2006/relationships/hyperlink" Target="https://drive.google.com/file/d/1YRBrx-Yn4WBwsiUwZW54fnTlzpgIw6x2/view?usp=drive_link" TargetMode="External"/><Relationship Id="rId5" Type="http://schemas.openxmlformats.org/officeDocument/2006/relationships/hyperlink" Target="https://drive.google.com/file/d/1aXZt9jPRuhi3N3kkPWadiwbFjamI_Bpv/view?usp=drive_link" TargetMode="External"/><Relationship Id="rId6" Type="http://schemas.openxmlformats.org/officeDocument/2006/relationships/hyperlink" Target="https://drive.google.com/file/d/1NFOqbFdpyTFV6XeGcwCunvCNhBkmFCs3/view?usp=drive_link" TargetMode="External"/><Relationship Id="rId29" Type="http://schemas.openxmlformats.org/officeDocument/2006/relationships/hyperlink" Target="https://drive.google.com/file/d/1IFz3t8DTlHXYjQuZzc6eRC557plVi12O/view?usp=drive_link" TargetMode="External"/><Relationship Id="rId7" Type="http://schemas.openxmlformats.org/officeDocument/2006/relationships/hyperlink" Target="https://drive.google.com/file/d/1Z2eGNoxsFPd1bCo-uJtobcKeGN1XPtCp/view?usp=drive_link" TargetMode="External"/><Relationship Id="rId8" Type="http://schemas.openxmlformats.org/officeDocument/2006/relationships/hyperlink" Target="https://drive.google.com/file/d/154Q0eEpa1zswgLzZ9htWBkNBRbyLyWUY/view?usp=drive_link" TargetMode="External"/><Relationship Id="rId31" Type="http://schemas.openxmlformats.org/officeDocument/2006/relationships/hyperlink" Target="https://drive.google.com/file/d/12kJ_338TSjVpxvP6vpCSQyyKMXvM4fMd/view?usp=sharing" TargetMode="External"/><Relationship Id="rId30" Type="http://schemas.openxmlformats.org/officeDocument/2006/relationships/hyperlink" Target="https://drive.google.com/file/d/1TGXEofC4LSp8qAeuzECeGjJHONfWFH39/view?usp=drive_link" TargetMode="External"/><Relationship Id="rId11" Type="http://schemas.openxmlformats.org/officeDocument/2006/relationships/hyperlink" Target="https://jam.dev/c/0fc558c2-f2d0-4ed6-81be-e1ec9ed6cd5e" TargetMode="External"/><Relationship Id="rId33" Type="http://schemas.openxmlformats.org/officeDocument/2006/relationships/hyperlink" Target="https://drive.google.com/file/d/1-_UAQBhCvWXDuEdK2McjnjvoOkZZMLDl/view?usp=drive_link" TargetMode="External"/><Relationship Id="rId10" Type="http://schemas.openxmlformats.org/officeDocument/2006/relationships/hyperlink" Target="https://jam.dev/c/725fac27-9c83-4e31-ac13-42bd0a9e3695" TargetMode="External"/><Relationship Id="rId32" Type="http://schemas.openxmlformats.org/officeDocument/2006/relationships/hyperlink" Target="https://drive.google.com/file/d/1N0JkA_UR1Vq-NR9mYUiC31Fekl7UTPVj/view?usp=drive_link" TargetMode="External"/><Relationship Id="rId13" Type="http://schemas.openxmlformats.org/officeDocument/2006/relationships/hyperlink" Target="https://jam.dev/c/b2d5ddaa-89e5-4da9-a208-d6a8eb8582d4" TargetMode="External"/><Relationship Id="rId35" Type="http://schemas.openxmlformats.org/officeDocument/2006/relationships/hyperlink" Target="https://drive.google.com/file/d/14nIcegTorXa6CyIyt6wRgtu-ZMZOtbUI/view?usp=drive_link" TargetMode="External"/><Relationship Id="rId12" Type="http://schemas.openxmlformats.org/officeDocument/2006/relationships/hyperlink" Target="https://jam.dev/c/2e65b426-1cb6-40e7-95a4-c18b781dd420" TargetMode="External"/><Relationship Id="rId34" Type="http://schemas.openxmlformats.org/officeDocument/2006/relationships/hyperlink" Target="https://drive.google.com/file/d/10OrnC0cHUOHJOVk6g0G6IYV1v-KaTJqr/view?usp=drive_link" TargetMode="External"/><Relationship Id="rId15" Type="http://schemas.openxmlformats.org/officeDocument/2006/relationships/hyperlink" Target="https://jam.dev/c/fd1205ce-a95c-4d71-b95a-d88613f2de02" TargetMode="External"/><Relationship Id="rId37" Type="http://schemas.openxmlformats.org/officeDocument/2006/relationships/hyperlink" Target="https://drive.google.com/file/d/1AI5F1CdKCx41xSt11NMQgZ_Q1F0LoSN6/view?usp=drive_link" TargetMode="External"/><Relationship Id="rId14" Type="http://schemas.openxmlformats.org/officeDocument/2006/relationships/hyperlink" Target="https://jam.dev/c/6e6cba8e-c46a-4288-8fb7-dd77a736bfb3" TargetMode="External"/><Relationship Id="rId36" Type="http://schemas.openxmlformats.org/officeDocument/2006/relationships/hyperlink" Target="https://drive.google.com/file/d/1gpThVUVqjTmIkpSLCTrQxau3rAVecCQo/view?usp=drive_link" TargetMode="External"/><Relationship Id="rId17" Type="http://schemas.openxmlformats.org/officeDocument/2006/relationships/hyperlink" Target="https://jam.dev/c/ed0aba83-8ad3-44a7-aa43-19f441c8ac44" TargetMode="External"/><Relationship Id="rId39" Type="http://schemas.openxmlformats.org/officeDocument/2006/relationships/hyperlink" Target="https://drive.google.com/file/d/1q5Cvzdrz1b9Lkhzw6B86zn1nuzz5nLym/view?usp=drive_link" TargetMode="External"/><Relationship Id="rId16" Type="http://schemas.openxmlformats.org/officeDocument/2006/relationships/hyperlink" Target="https://jam.dev/c/1ab589b6-1f5b-42b8-b1cd-248753dec278" TargetMode="External"/><Relationship Id="rId38" Type="http://schemas.openxmlformats.org/officeDocument/2006/relationships/hyperlink" Target="https://drive.google.com/file/d/1DiMg6JH8ScKH8wM1nmVTHwvBxnzlMVm8/view?usp=drive_link" TargetMode="External"/><Relationship Id="rId19" Type="http://schemas.openxmlformats.org/officeDocument/2006/relationships/hyperlink" Target="https://jam.dev/c/f4449482-7957-4926-89e0-b7fbe9dcd357" TargetMode="External"/><Relationship Id="rId18" Type="http://schemas.openxmlformats.org/officeDocument/2006/relationships/hyperlink" Target="https://jam.dev/c/d891f90e-ec0d-4b3f-91cc-99cdd831961c"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DiMg6JH8ScKH8wM1nmVTHwvBxnzlMVm8/view?usp=drive_link" TargetMode="External"/><Relationship Id="rId22" Type="http://schemas.openxmlformats.org/officeDocument/2006/relationships/hyperlink" Target="https://drive.google.com/file/d/14nIcegTorXa6CyIyt6wRgtu-ZMZOtbUI/view?usp=drive_link" TargetMode="External"/><Relationship Id="rId21" Type="http://schemas.openxmlformats.org/officeDocument/2006/relationships/hyperlink" Target="https://drive.google.com/file/d/1q5Cvzdrz1b9Lkhzw6B86zn1nuzz5nLym/view?usp=drive_link" TargetMode="External"/><Relationship Id="rId24" Type="http://schemas.openxmlformats.org/officeDocument/2006/relationships/hyperlink" Target="https://drive.google.com/file/d/1gpThVUVqjTmIkpSLCTrQxau3rAVecCQo/view?usp=drive_link" TargetMode="External"/><Relationship Id="rId23" Type="http://schemas.openxmlformats.org/officeDocument/2006/relationships/hyperlink" Target="https://drive.google.com/file/d/15kXOmeGqrrotJmHxyKUsLyHIDt8cBvDi/view?usp=drive_link" TargetMode="External"/><Relationship Id="rId1" Type="http://schemas.openxmlformats.org/officeDocument/2006/relationships/hyperlink" Target="https://drive.google.com/file/d/12kJ_338TSjVpxvP6vpCSQyyKMXvM4fMd/view?usp=sharing" TargetMode="External"/><Relationship Id="rId2" Type="http://schemas.openxmlformats.org/officeDocument/2006/relationships/hyperlink" Target="https://drive.google.com/file/d/1N0JkA_UR1Vq-NR9mYUiC31Fekl7UTPVj/view?usp=drive_link" TargetMode="External"/><Relationship Id="rId3" Type="http://schemas.openxmlformats.org/officeDocument/2006/relationships/hyperlink" Target="https://drive.google.com/file/d/1CYzdGP8h7dwWu2SNfhdLm0s5YHXNpqQ0/view?usp=drive_link" TargetMode="External"/><Relationship Id="rId4" Type="http://schemas.openxmlformats.org/officeDocument/2006/relationships/hyperlink" Target="https://drive.google.com/file/d/15N_q-5xDCCBCNQD2xQQRAvdknFk0fOMe/view?usp=drive_link" TargetMode="External"/><Relationship Id="rId9" Type="http://schemas.openxmlformats.org/officeDocument/2006/relationships/hyperlink" Target="https://drive.google.com/file/d/1EHdmt_VfQ_KmcjHn68WPWYQMMz9NmHSY/view?usp=drive_link" TargetMode="External"/><Relationship Id="rId26" Type="http://schemas.openxmlformats.org/officeDocument/2006/relationships/hyperlink" Target="https://drive.google.com/file/d/1ltwckdd9GzeD3aiHb8x_W-4h3omPy0mg/view?usp=drive_link" TargetMode="External"/><Relationship Id="rId25" Type="http://schemas.openxmlformats.org/officeDocument/2006/relationships/hyperlink" Target="https://drive.google.com/file/d/1AI5F1CdKCx41xSt11NMQgZ_Q1F0LoSN6/view?usp=drive_link" TargetMode="External"/><Relationship Id="rId27" Type="http://schemas.openxmlformats.org/officeDocument/2006/relationships/drawing" Target="../drawings/drawing2.xml"/><Relationship Id="rId5" Type="http://schemas.openxmlformats.org/officeDocument/2006/relationships/hyperlink" Target="https://drive.google.com/file/d/1aXZt9jPRuhi3N3kkPWadiwbFjamI_Bpv/view?usp=drive_link" TargetMode="External"/><Relationship Id="rId6" Type="http://schemas.openxmlformats.org/officeDocument/2006/relationships/hyperlink" Target="https://drive.google.com/file/d/1-_UAQBhCvWXDuEdK2McjnjvoOkZZMLDl/view?usp=drive_link" TargetMode="External"/><Relationship Id="rId7" Type="http://schemas.openxmlformats.org/officeDocument/2006/relationships/hyperlink" Target="https://drive.google.com/file/d/1NFOqbFdpyTFV6XeGcwCunvCNhBkmFCs3/view?usp=drive_link" TargetMode="External"/><Relationship Id="rId8" Type="http://schemas.openxmlformats.org/officeDocument/2006/relationships/hyperlink" Target="https://drive.google.com/file/d/1h4luvRgIuk3Y7o7v9c6I4kxJ1pNIp17v/view?usp=drive_link" TargetMode="External"/><Relationship Id="rId11" Type="http://schemas.openxmlformats.org/officeDocument/2006/relationships/hyperlink" Target="https://drive.google.com/file/d/154Q0eEpa1zswgLzZ9htWBkNBRbyLyWUY/view?usp=drive_link" TargetMode="External"/><Relationship Id="rId10" Type="http://schemas.openxmlformats.org/officeDocument/2006/relationships/hyperlink" Target="https://drive.google.com/file/d/1Z2eGNoxsFPd1bCo-uJtobcKeGN1XPtCp/view?usp=drive_link" TargetMode="External"/><Relationship Id="rId13" Type="http://schemas.openxmlformats.org/officeDocument/2006/relationships/hyperlink" Target="https://drive.google.com/file/d/1YRBrx-Yn4WBwsiUwZW54fnTlzpgIw6x2/view?usp=drive_link" TargetMode="External"/><Relationship Id="rId12" Type="http://schemas.openxmlformats.org/officeDocument/2006/relationships/hyperlink" Target="https://drive.google.com/file/d/1CX9DBys55M7kI0fIAeiWmRbQ0FV6l8_3/view?usp=drive_link" TargetMode="External"/><Relationship Id="rId15" Type="http://schemas.openxmlformats.org/officeDocument/2006/relationships/hyperlink" Target="https://drive.google.com/file/d/1IFz3t8DTlHXYjQuZzc6eRC557plVi12O/view?usp=drive_link" TargetMode="External"/><Relationship Id="rId14" Type="http://schemas.openxmlformats.org/officeDocument/2006/relationships/hyperlink" Target="https://drive.google.com/file/d/1WCdXoPKFRgUKt6Iv1Zg6M-dz8GsLyBtF/view?usp=drive_link" TargetMode="External"/><Relationship Id="rId17" Type="http://schemas.openxmlformats.org/officeDocument/2006/relationships/hyperlink" Target="https://drive.google.com/file/d/10OrnC0cHUOHJOVk6g0G6IYV1v-KaTJqr/view?usp=drive_link" TargetMode="External"/><Relationship Id="rId16" Type="http://schemas.openxmlformats.org/officeDocument/2006/relationships/hyperlink" Target="https://drive.google.com/file/d/1TGXEofC4LSp8qAeuzECeGjJHONfWFH39/view?usp=drive_link" TargetMode="External"/><Relationship Id="rId19" Type="http://schemas.openxmlformats.org/officeDocument/2006/relationships/hyperlink" Target="https://drive.google.com/file/d/1_nHtyjvKSv_CmQxfVCtjJRc7OZ6JltQt/view?usp=drive_link" TargetMode="External"/><Relationship Id="rId18" Type="http://schemas.openxmlformats.org/officeDocument/2006/relationships/hyperlink" Target="https://drive.google.com/file/d/1FcOxxr4FYoMt333WQWHmLO8TLtWRekGh/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Uj34rqkT-ebDmVzLBlKZFmtB72gpsCZ_/view?usp=drive_link" TargetMode="External"/><Relationship Id="rId2" Type="http://schemas.openxmlformats.org/officeDocument/2006/relationships/hyperlink" Target="https://drive.google.com/file/d/1GHNK6zcUWNORC1CDB8-pQQqs7PDp5IUJ/view?usp=drive_link" TargetMode="External"/><Relationship Id="rId3" Type="http://schemas.openxmlformats.org/officeDocument/2006/relationships/hyperlink" Target="https://jam.dev/c/fd1205ce-a95c-4d71-b95a-d88613f2de02" TargetMode="External"/><Relationship Id="rId4" Type="http://schemas.openxmlformats.org/officeDocument/2006/relationships/hyperlink" Target="https://jam.dev/c/1ab589b6-1f5b-42b8-b1cd-248753dec278" TargetMode="External"/><Relationship Id="rId9" Type="http://schemas.openxmlformats.org/officeDocument/2006/relationships/hyperlink" Target="https://jam.dev/c/725fac27-9c83-4e31-ac13-42bd0a9e3695" TargetMode="External"/><Relationship Id="rId5" Type="http://schemas.openxmlformats.org/officeDocument/2006/relationships/hyperlink" Target="https://jam.dev/c/ed0aba83-8ad3-44a7-aa43-19f441c8ac44" TargetMode="External"/><Relationship Id="rId6" Type="http://schemas.openxmlformats.org/officeDocument/2006/relationships/hyperlink" Target="https://jam.dev/c/6e6cba8e-c46a-4288-8fb7-dd77a736bfb3" TargetMode="External"/><Relationship Id="rId7" Type="http://schemas.openxmlformats.org/officeDocument/2006/relationships/hyperlink" Target="https://jam.dev/c/d891f90e-ec0d-4b3f-91cc-99cdd831961c" TargetMode="External"/><Relationship Id="rId8" Type="http://schemas.openxmlformats.org/officeDocument/2006/relationships/hyperlink" Target="https://jam.dev/c/f4449482-7957-4926-89e0-b7fbe9dcd357" TargetMode="External"/><Relationship Id="rId11" Type="http://schemas.openxmlformats.org/officeDocument/2006/relationships/hyperlink" Target="https://jam.dev/c/2e65b426-1cb6-40e7-95a4-c18b781dd420" TargetMode="External"/><Relationship Id="rId10" Type="http://schemas.openxmlformats.org/officeDocument/2006/relationships/hyperlink" Target="https://jam.dev/c/0fc558c2-f2d0-4ed6-81be-e1ec9ed6cd5e" TargetMode="External"/><Relationship Id="rId13" Type="http://schemas.openxmlformats.org/officeDocument/2006/relationships/hyperlink" Target="https://drive.google.com/file/d/12Ut8bXdRcDsH1NsHO7beRHCDEvZj426q/view?usp=drive_link" TargetMode="External"/><Relationship Id="rId12" Type="http://schemas.openxmlformats.org/officeDocument/2006/relationships/hyperlink" Target="https://jam.dev/c/b2d5ddaa-89e5-4da9-a208-d6a8eb8582d4" TargetMode="Externa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COUNTIF(Fahad!K8:K1004, "High")</f>
        <v>8</v>
      </c>
      <c r="F3" s="1"/>
      <c r="G3" s="1"/>
      <c r="H3" s="1"/>
      <c r="I3" s="1"/>
      <c r="J3" s="1"/>
      <c r="K3" s="1"/>
      <c r="L3" s="1"/>
      <c r="M3" s="1"/>
      <c r="N3" s="1"/>
      <c r="O3" s="1"/>
    </row>
    <row r="4">
      <c r="A4" s="2" t="s">
        <v>7</v>
      </c>
      <c r="B4" s="9"/>
      <c r="C4" s="1"/>
      <c r="D4" s="10" t="s">
        <v>8</v>
      </c>
      <c r="E4" s="8">
        <f>COUNTIF(Tahsin!K14:K1006, "Medium") + COUNTIF(Fahad!K8:K1005, "Medium")</f>
        <v>3</v>
      </c>
      <c r="F4" s="1"/>
      <c r="G4" s="1"/>
      <c r="H4" s="1"/>
      <c r="I4" s="1"/>
      <c r="J4" s="1"/>
      <c r="K4" s="1"/>
      <c r="L4" s="1"/>
      <c r="M4" s="1"/>
      <c r="N4" s="1"/>
      <c r="O4" s="1"/>
    </row>
    <row r="5">
      <c r="A5" s="2" t="s">
        <v>9</v>
      </c>
      <c r="B5" s="11" t="s">
        <v>10</v>
      </c>
      <c r="C5" s="1"/>
      <c r="D5" s="12" t="s">
        <v>11</v>
      </c>
      <c r="E5" s="8">
        <f>COUNTIF(Fahad!K8:K1006, "Low") + COUNTIF(Tahsin!K14:K1009, "Low")</f>
        <v>28</v>
      </c>
      <c r="F5" s="1"/>
      <c r="G5" s="1"/>
      <c r="H5" s="1"/>
      <c r="I5" s="1"/>
      <c r="J5" s="1"/>
      <c r="K5" s="1"/>
      <c r="L5" s="1"/>
      <c r="M5" s="1"/>
      <c r="N5" s="1"/>
      <c r="O5" s="1"/>
    </row>
    <row r="6">
      <c r="A6" s="2" t="s">
        <v>12</v>
      </c>
      <c r="B6" s="13"/>
      <c r="C6" s="1"/>
      <c r="D6" s="14"/>
      <c r="E6" s="14"/>
      <c r="F6" s="1"/>
      <c r="G6" s="1"/>
      <c r="H6" s="1"/>
      <c r="I6" s="1"/>
      <c r="J6" s="1"/>
      <c r="K6" s="1"/>
      <c r="L6" s="1"/>
      <c r="M6" s="1"/>
      <c r="N6" s="1"/>
      <c r="O6" s="1"/>
    </row>
    <row r="7">
      <c r="A7" s="2" t="s">
        <v>13</v>
      </c>
      <c r="B7" s="13"/>
      <c r="C7" s="1"/>
      <c r="D7" s="15" t="s">
        <v>14</v>
      </c>
      <c r="E7" s="16">
        <f>SUM(E3:E5)</f>
        <v>39</v>
      </c>
      <c r="F7" s="1"/>
      <c r="G7" s="1"/>
      <c r="H7" s="1"/>
      <c r="I7" s="1"/>
      <c r="J7" s="1"/>
      <c r="K7" s="1"/>
      <c r="L7" s="1"/>
      <c r="M7" s="1"/>
      <c r="N7" s="1"/>
      <c r="O7" s="1"/>
    </row>
    <row r="8">
      <c r="A8" s="1"/>
      <c r="B8" s="1"/>
      <c r="C8" s="1"/>
      <c r="D8" s="15" t="s">
        <v>15</v>
      </c>
      <c r="E8" s="16">
        <f>COUNTIF(N11:N1003, "Solved")</f>
        <v>0</v>
      </c>
      <c r="F8" s="1"/>
      <c r="G8" s="1"/>
      <c r="H8" s="1"/>
      <c r="I8" s="1"/>
      <c r="J8" s="1"/>
      <c r="K8" s="1"/>
      <c r="L8" s="1"/>
      <c r="M8" s="1"/>
      <c r="N8" s="1"/>
      <c r="O8" s="1"/>
    </row>
    <row r="9">
      <c r="A9" s="1"/>
      <c r="B9" s="1"/>
      <c r="C9" s="1"/>
      <c r="D9" s="1"/>
      <c r="E9" s="1"/>
      <c r="F9" s="1"/>
      <c r="G9" s="1"/>
      <c r="H9" s="1"/>
      <c r="I9" s="1"/>
      <c r="J9" s="1"/>
      <c r="K9" s="1"/>
      <c r="L9" s="1"/>
      <c r="M9" s="1"/>
      <c r="N9" s="1"/>
      <c r="O9" s="1"/>
    </row>
    <row r="10">
      <c r="A10" s="17" t="s">
        <v>16</v>
      </c>
      <c r="B10" s="17" t="s">
        <v>17</v>
      </c>
      <c r="C10" s="17" t="s">
        <v>18</v>
      </c>
      <c r="D10" s="17" t="s">
        <v>19</v>
      </c>
      <c r="E10" s="17" t="s">
        <v>20</v>
      </c>
      <c r="F10" s="17" t="s">
        <v>21</v>
      </c>
      <c r="G10" s="17" t="s">
        <v>22</v>
      </c>
      <c r="H10" s="17" t="s">
        <v>23</v>
      </c>
      <c r="I10" s="17" t="s">
        <v>24</v>
      </c>
      <c r="J10" s="17" t="s">
        <v>25</v>
      </c>
      <c r="K10" s="17" t="s">
        <v>2</v>
      </c>
      <c r="L10" s="17" t="s">
        <v>26</v>
      </c>
      <c r="M10" s="17" t="s">
        <v>27</v>
      </c>
      <c r="N10" s="18" t="s">
        <v>28</v>
      </c>
      <c r="O10" s="18" t="s">
        <v>29</v>
      </c>
      <c r="P10" s="18" t="s">
        <v>30</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"),"Authentication(User)")</f>
        <v>Authentication(User)</v>
      </c>
      <c r="C11" s="21" t="str">
        <f>IFERROR(__xludf.DUMMYFUNCTION("""COMPUTED_VALUE"""),"Forget Password")</f>
        <v>Forget Password</v>
      </c>
      <c r="D11" s="21" t="str">
        <f>IFERROR(__xludf.DUMMYFUNCTION("""COMPUTED_VALUE"""),"The page title appears twice.")</f>
        <v>The page title appears twice.</v>
      </c>
      <c r="E11" s="21" t="str">
        <f>IFERROR(__xludf.DUMMYFUNCTION("""COMPUTED_VALUE"""),"User need to install this apk in their phone")</f>
        <v>User need to install this apk in their phone</v>
      </c>
      <c r="F11" s="21" t="str">
        <f>IFERROR(__xludf.DUMMYFUNCTION("""COMPUTED_VALUE"""),"1. Open app
2. Click on User
3. Goto signin page
4. Click on forget password")</f>
        <v>1. Open app
2. Click on User
3. Goto signin page
4. Click on forget password</v>
      </c>
      <c r="G11" s="21" t="str">
        <f>IFERROR(__xludf.DUMMYFUNCTION("""COMPUTED_VALUE"""),"N/A")</f>
        <v>N/A</v>
      </c>
      <c r="H11" s="21" t="str">
        <f>IFERROR(__xludf.DUMMYFUNCTION("""COMPUTED_VALUE"""),"The page title should appear once and be displayed in a large font.")</f>
        <v>The page title should appear once and be displayed in a large font.</v>
      </c>
      <c r="I11" s="21" t="str">
        <f>IFERROR(__xludf.DUMMYFUNCTION("""COMPUTED_VALUE"""),"Title appears twice in the forget password page")</f>
        <v>Title appears twice in the forget password page</v>
      </c>
      <c r="J11" s="21" t="str">
        <f>IFERROR(__xludf.DUMMYFUNCTION("""COMPUTED_VALUE"""),"Fail")</f>
        <v>Fail</v>
      </c>
      <c r="K11" s="21" t="str">
        <f>IFERROR(__xludf.DUMMYFUNCTION("""COMPUTED_VALUE"""),"Low")</f>
        <v>Low</v>
      </c>
      <c r="L11" s="22" t="str">
        <f>IFERROR(__xludf.DUMMYFUNCTION("""COMPUTED_VALUE"""),"https://drive.google.com/file/d/1h4luvRgIuk3Y7o7v9c6I4kxJ1pNIp17v/view?usp=drive_link")</f>
        <v>https://drive.google.com/file/d/1h4luvRgIuk3Y7o7v9c6I4kxJ1pNIp17v/view?usp=drive_link</v>
      </c>
      <c r="M11" s="21"/>
      <c r="N11" s="23" t="str">
        <f>IFERROR(__xludf.DUMMYFUNCTION("""COMPUTED_VALUE"""),"Fahad")</f>
        <v>Fahad</v>
      </c>
      <c r="O11" s="23"/>
      <c r="P11" s="23"/>
      <c r="Q11" s="24"/>
      <c r="R11" s="24"/>
      <c r="S11" s="24"/>
      <c r="T11" s="24"/>
      <c r="U11" s="24"/>
      <c r="V11" s="24"/>
      <c r="W11" s="24"/>
      <c r="X11" s="24"/>
      <c r="Y11" s="24"/>
      <c r="Z11" s="24"/>
      <c r="AA11" s="24"/>
    </row>
    <row r="12">
      <c r="A12" s="25" t="s">
        <v>31</v>
      </c>
      <c r="B12" s="26" t="str">
        <f>IFERROR(__xludf.DUMMYFUNCTION("""COMPUTED_VALUE"""),"Authentication(User)")</f>
        <v>Authentication(User)</v>
      </c>
      <c r="C12" s="26" t="str">
        <f>IFERROR(__xludf.DUMMYFUNCTION("""COMPUTED_VALUE"""),"Forget Password")</f>
        <v>Forget Password</v>
      </c>
      <c r="D12" s="26" t="str">
        <f>IFERROR(__xludf.DUMMYFUNCTION("""COMPUTED_VALUE"""),"Field titles appear as placeholders.")</f>
        <v>Field titles appear as placeholders.</v>
      </c>
      <c r="E12" s="26" t="str">
        <f>IFERROR(__xludf.DUMMYFUNCTION("""COMPUTED_VALUE"""),"User need to install this apk in their phone")</f>
        <v>User need to install this apk in their phone</v>
      </c>
      <c r="F12" s="26" t="str">
        <f>IFERROR(__xludf.DUMMYFUNCTION("""COMPUTED_VALUE"""),"1. Open app
2. Click on User
3. Goto signin page
4. Click on forget password")</f>
        <v>1. Open app
2. Click on User
3. Goto signin page
4. Click on forget password</v>
      </c>
      <c r="G12" s="26" t="str">
        <f>IFERROR(__xludf.DUMMYFUNCTION("""COMPUTED_VALUE"""),"N/A")</f>
        <v>N/A</v>
      </c>
      <c r="H12" s="26" t="str">
        <f>IFERROR(__xludf.DUMMYFUNCTION("""COMPUTED_VALUE"""),"The input field title should appear above the input field, not inside it.")</f>
        <v>The input field title should appear above the input field, not inside it.</v>
      </c>
      <c r="I12" s="26" t="str">
        <f>IFERROR(__xludf.DUMMYFUNCTION("""COMPUTED_VALUE"""),"Appear as a placeholder inside the input field.")</f>
        <v>Appear as a placeholder inside the input field.</v>
      </c>
      <c r="J12" s="26" t="str">
        <f>IFERROR(__xludf.DUMMYFUNCTION("""COMPUTED_VALUE"""),"Fail")</f>
        <v>Fail</v>
      </c>
      <c r="K12" s="26" t="str">
        <f>IFERROR(__xludf.DUMMYFUNCTION("""COMPUTED_VALUE"""),"Low")</f>
        <v>Low</v>
      </c>
      <c r="L12" s="27" t="str">
        <f>IFERROR(__xludf.DUMMYFUNCTION("""COMPUTED_VALUE"""),"https://drive.google.com/file/d/1EHdmt_VfQ_KmcjHn68WPWYQMMz9NmHSY/view?usp=drive_link")</f>
        <v>https://drive.google.com/file/d/1EHdmt_VfQ_KmcjHn68WPWYQMMz9NmHSY/view?usp=drive_link</v>
      </c>
      <c r="M12" s="26"/>
      <c r="N12" s="26" t="str">
        <f>IFERROR(__xludf.DUMMYFUNCTION("""COMPUTED_VALUE"""),"Fahad")</f>
        <v>Fahad</v>
      </c>
      <c r="O12" s="25"/>
      <c r="P12" s="26"/>
      <c r="Q12" s="24"/>
      <c r="R12" s="24"/>
      <c r="S12" s="24"/>
      <c r="T12" s="24"/>
      <c r="U12" s="24"/>
      <c r="V12" s="24"/>
      <c r="W12" s="24"/>
      <c r="X12" s="24"/>
      <c r="Y12" s="24"/>
      <c r="Z12" s="24"/>
      <c r="AA12" s="24"/>
    </row>
    <row r="13">
      <c r="A13" s="25" t="s">
        <v>32</v>
      </c>
      <c r="B13" s="26" t="str">
        <f>IFERROR(__xludf.DUMMYFUNCTION("""COMPUTED_VALUE"""),"Authentication(User)")</f>
        <v>Authentication(User)</v>
      </c>
      <c r="C13" s="26" t="str">
        <f>IFERROR(__xludf.DUMMYFUNCTION("""COMPUTED_VALUE"""),"SignIn")</f>
        <v>SignIn</v>
      </c>
      <c r="D13" s="26" t="str">
        <f>IFERROR(__xludf.DUMMYFUNCTION("""COMPUTED_VALUE"""),"Congested content")</f>
        <v>Congested content</v>
      </c>
      <c r="E13" s="26" t="str">
        <f>IFERROR(__xludf.DUMMYFUNCTION("""COMPUTED_VALUE"""),"User need to install this apk in their phone")</f>
        <v>User need to install this apk in their phone</v>
      </c>
      <c r="F13" s="26" t="str">
        <f>IFERROR(__xludf.DUMMYFUNCTION("""COMPUTED_VALUE"""),"1. Open app
2. Click on User")</f>
        <v>1. Open app
2. Click on User</v>
      </c>
      <c r="G13" s="26" t="str">
        <f>IFERROR(__xludf.DUMMYFUNCTION("""COMPUTED_VALUE"""),"N/A")</f>
        <v>N/A</v>
      </c>
      <c r="H13" s="26" t="str">
        <f>IFERROR(__xludf.DUMMYFUNCTION("""COMPUTED_VALUE"""),"Content and buttons should fit perfectly within the app to ensure client satisfaction.")</f>
        <v>Content and buttons should fit perfectly within the app to ensure client satisfaction.</v>
      </c>
      <c r="I13" s="26" t="str">
        <f>IFERROR(__xludf.DUMMYFUNCTION("""COMPUTED_VALUE"""),"Congested content has been observed.")</f>
        <v>Congested content has been observed.</v>
      </c>
      <c r="J13" s="26" t="str">
        <f>IFERROR(__xludf.DUMMYFUNCTION("""COMPUTED_VALUE"""),"Fail")</f>
        <v>Fail</v>
      </c>
      <c r="K13" s="26" t="str">
        <f>IFERROR(__xludf.DUMMYFUNCTION("""COMPUTED_VALUE"""),"Low")</f>
        <v>Low</v>
      </c>
      <c r="L13" s="27" t="str">
        <f>IFERROR(__xludf.DUMMYFUNCTION("""COMPUTED_VALUE"""),"https://drive.google.com/file/d/1CYzdGP8h7dwWu2SNfhdLm0s5YHXNpqQ0/view?usp=drive_link")</f>
        <v>https://drive.google.com/file/d/1CYzdGP8h7dwWu2SNfhdLm0s5YHXNpqQ0/view?usp=drive_link</v>
      </c>
      <c r="M13" s="26"/>
      <c r="N13" s="26" t="str">
        <f>IFERROR(__xludf.DUMMYFUNCTION("""COMPUTED_VALUE"""),"Fahad")</f>
        <v>Fahad</v>
      </c>
      <c r="O13" s="26"/>
      <c r="P13" s="26"/>
      <c r="Q13" s="24"/>
      <c r="R13" s="24"/>
      <c r="S13" s="24"/>
      <c r="T13" s="24"/>
      <c r="U13" s="24"/>
      <c r="V13" s="24"/>
      <c r="W13" s="24"/>
      <c r="X13" s="24"/>
      <c r="Y13" s="24"/>
      <c r="Z13" s="24"/>
      <c r="AA13" s="24"/>
    </row>
    <row r="14">
      <c r="A14" s="25" t="s">
        <v>33</v>
      </c>
      <c r="B14" s="26" t="str">
        <f>IFERROR(__xludf.DUMMYFUNCTION("""COMPUTED_VALUE"""),"Authentication(User)")</f>
        <v>Authentication(User)</v>
      </c>
      <c r="C14" s="26" t="str">
        <f>IFERROR(__xludf.DUMMYFUNCTION("""COMPUTED_VALUE"""),"SignIn")</f>
        <v>SignIn</v>
      </c>
      <c r="D14" s="26" t="str">
        <f>IFERROR(__xludf.DUMMYFUNCTION("""COMPUTED_VALUE"""),"Buttons are designed to be curvier.")</f>
        <v>Buttons are designed to be curvier.</v>
      </c>
      <c r="E14" s="26" t="str">
        <f>IFERROR(__xludf.DUMMYFUNCTION("""COMPUTED_VALUE"""),"User need to install this apk in their phone")</f>
        <v>User need to install this apk in their phone</v>
      </c>
      <c r="F14" s="26" t="str">
        <f>IFERROR(__xludf.DUMMYFUNCTION("""COMPUTED_VALUE"""),"1. Open app
2. Click on User")</f>
        <v>1. Open app
2. Click on User</v>
      </c>
      <c r="G14" s="26" t="str">
        <f>IFERROR(__xludf.DUMMYFUNCTION("""COMPUTED_VALUE"""),"N/A")</f>
        <v>N/A</v>
      </c>
      <c r="H14" s="26" t="str">
        <f>IFERROR(__xludf.DUMMYFUNCTION("""COMPUTED_VALUE"""),"Design and alignment should be as same as requirement")</f>
        <v>Design and alignment should be as same as requirement</v>
      </c>
      <c r="I14" s="26" t="str">
        <f>IFERROR(__xludf.DUMMYFUNCTION("""COMPUTED_VALUE"""),"Different design has been noticed")</f>
        <v>Different design has been noticed</v>
      </c>
      <c r="J14" s="26" t="str">
        <f>IFERROR(__xludf.DUMMYFUNCTION("""COMPUTED_VALUE"""),"Fail")</f>
        <v>Fail</v>
      </c>
      <c r="K14" s="26" t="str">
        <f>IFERROR(__xludf.DUMMYFUNCTION("""COMPUTED_VALUE"""),"Low")</f>
        <v>Low</v>
      </c>
      <c r="L14" s="27" t="str">
        <f>IFERROR(__xludf.DUMMYFUNCTION("""COMPUTED_VALUE"""),"https://drive.google.com/file/d/15N_q-5xDCCBCNQD2xQQRAvdknFk0fOMe/view?usp=drive_link")</f>
        <v>https://drive.google.com/file/d/15N_q-5xDCCBCNQD2xQQRAvdknFk0fOMe/view?usp=drive_link</v>
      </c>
      <c r="M14" s="26"/>
      <c r="N14" s="26" t="str">
        <f>IFERROR(__xludf.DUMMYFUNCTION("""COMPUTED_VALUE"""),"Fahad")</f>
        <v>Fahad</v>
      </c>
      <c r="O14" s="26"/>
      <c r="P14" s="26"/>
      <c r="Q14" s="24"/>
      <c r="R14" s="24"/>
      <c r="S14" s="24"/>
      <c r="T14" s="24"/>
      <c r="U14" s="24"/>
      <c r="V14" s="24"/>
      <c r="W14" s="24"/>
      <c r="X14" s="24"/>
      <c r="Y14" s="24"/>
      <c r="Z14" s="24"/>
      <c r="AA14" s="24"/>
    </row>
    <row r="15">
      <c r="A15" s="25" t="s">
        <v>34</v>
      </c>
      <c r="B15" s="26" t="str">
        <f>IFERROR(__xludf.DUMMYFUNCTION("""COMPUTED_VALUE"""),"Authentication(User)")</f>
        <v>Authentication(User)</v>
      </c>
      <c r="C15" s="26" t="str">
        <f>IFERROR(__xludf.DUMMYFUNCTION("""COMPUTED_VALUE"""),"SignIn")</f>
        <v>SignIn</v>
      </c>
      <c r="D15" s="26" t="str">
        <f>IFERROR(__xludf.DUMMYFUNCTION("""COMPUTED_VALUE"""),"A buffer overflow issue has been observed on the button.")</f>
        <v>A buffer overflow issue has been observed on the button.</v>
      </c>
      <c r="E15" s="26" t="str">
        <f>IFERROR(__xludf.DUMMYFUNCTION("""COMPUTED_VALUE"""),"User need to install this apk in their phone")</f>
        <v>User need to install this apk in their phone</v>
      </c>
      <c r="F15" s="26" t="str">
        <f>IFERROR(__xludf.DUMMYFUNCTION("""COMPUTED_VALUE"""),"1. Open app
2. Click on User")</f>
        <v>1. Open app
2. Click on User</v>
      </c>
      <c r="G15" s="26" t="str">
        <f>IFERROR(__xludf.DUMMYFUNCTION("""COMPUTED_VALUE"""),"N/A")</f>
        <v>N/A</v>
      </c>
      <c r="H15" s="26" t="str">
        <f>IFERROR(__xludf.DUMMYFUNCTION("""COMPUTED_VALUE"""),"Content, buttons, and other elements should fit perfectly on the device screen.")</f>
        <v>Content, buttons, and other elements should fit perfectly on the device screen.</v>
      </c>
      <c r="I15" s="26" t="str">
        <f>IFERROR(__xludf.DUMMYFUNCTION("""COMPUTED_VALUE"""),"An overflow has been observed.")</f>
        <v>An overflow has been observed.</v>
      </c>
      <c r="J15" s="26" t="str">
        <f>IFERROR(__xludf.DUMMYFUNCTION("""COMPUTED_VALUE"""),"Fail")</f>
        <v>Fail</v>
      </c>
      <c r="K15" s="26" t="str">
        <f>IFERROR(__xludf.DUMMYFUNCTION("""COMPUTED_VALUE"""),"Low")</f>
        <v>Low</v>
      </c>
      <c r="L15" s="27" t="str">
        <f>IFERROR(__xludf.DUMMYFUNCTION("""COMPUTED_VALUE"""),"https://drive.google.com/file/d/1aXZt9jPRuhi3N3kkPWadiwbFjamI_Bpv/view?usp=drive_link")</f>
        <v>https://drive.google.com/file/d/1aXZt9jPRuhi3N3kkPWadiwbFjamI_Bpv/view?usp=drive_link</v>
      </c>
      <c r="M15" s="26"/>
      <c r="N15" s="26" t="str">
        <f>IFERROR(__xludf.DUMMYFUNCTION("""COMPUTED_VALUE"""),"Fahad")</f>
        <v>Fahad</v>
      </c>
      <c r="O15" s="26"/>
      <c r="P15" s="26"/>
      <c r="Q15" s="24"/>
      <c r="R15" s="24"/>
      <c r="S15" s="24"/>
      <c r="T15" s="24"/>
      <c r="U15" s="24"/>
      <c r="V15" s="24"/>
      <c r="W15" s="24"/>
      <c r="X15" s="24"/>
      <c r="Y15" s="24"/>
      <c r="Z15" s="24"/>
      <c r="AA15" s="24"/>
    </row>
    <row r="16">
      <c r="A16" s="25" t="s">
        <v>35</v>
      </c>
      <c r="B16" s="26" t="str">
        <f>IFERROR(__xludf.DUMMYFUNCTION("""COMPUTED_VALUE"""),"Authentication(User)")</f>
        <v>Authentication(User)</v>
      </c>
      <c r="C16" s="26" t="str">
        <f>IFERROR(__xludf.DUMMYFUNCTION("""COMPUTED_VALUE"""),"SignUp")</f>
        <v>SignUp</v>
      </c>
      <c r="D16" s="26" t="str">
        <f>IFERROR(__xludf.DUMMYFUNCTION("""COMPUTED_VALUE"""),"The input field box has a different style.")</f>
        <v>The input field box has a different style.</v>
      </c>
      <c r="E16" s="26" t="str">
        <f>IFERROR(__xludf.DUMMYFUNCTION("""COMPUTED_VALUE"""),"User need to install this apk in their phone")</f>
        <v>User need to install this apk in their phone</v>
      </c>
      <c r="F16" s="26" t="str">
        <f>IFERROR(__xludf.DUMMYFUNCTION("""COMPUTED_VALUE"""),"1. Open app
2. Click on User
3. Goto signup page")</f>
        <v>1. Open app
2. Click on User
3. Goto signup page</v>
      </c>
      <c r="G16" s="26" t="str">
        <f>IFERROR(__xludf.DUMMYFUNCTION("""COMPUTED_VALUE"""),"N/A")</f>
        <v>N/A</v>
      </c>
      <c r="H16" s="26" t="str">
        <f>IFERROR(__xludf.DUMMYFUNCTION("""COMPUTED_VALUE"""),"The design and alignment need to be precise.")</f>
        <v>The design and alignment need to be precise.</v>
      </c>
      <c r="I16" s="26" t="str">
        <f>IFERROR(__xludf.DUMMYFUNCTION("""COMPUTED_VALUE"""),"A different design has been noticed.")</f>
        <v>A different design has been noticed.</v>
      </c>
      <c r="J16" s="26" t="str">
        <f>IFERROR(__xludf.DUMMYFUNCTION("""COMPUTED_VALUE"""),"Fail")</f>
        <v>Fail</v>
      </c>
      <c r="K16" s="26" t="str">
        <f>IFERROR(__xludf.DUMMYFUNCTION("""COMPUTED_VALUE"""),"Low")</f>
        <v>Low</v>
      </c>
      <c r="L16" s="27" t="str">
        <f>IFERROR(__xludf.DUMMYFUNCTION("""COMPUTED_VALUE"""),"https://drive.google.com/file/d/1NFOqbFdpyTFV6XeGcwCunvCNhBkmFCs3/view?usp=drive_link")</f>
        <v>https://drive.google.com/file/d/1NFOqbFdpyTFV6XeGcwCunvCNhBkmFCs3/view?usp=drive_link</v>
      </c>
      <c r="M16" s="26"/>
      <c r="N16" s="26" t="str">
        <f>IFERROR(__xludf.DUMMYFUNCTION("""COMPUTED_VALUE"""),"Fahad")</f>
        <v>Fahad</v>
      </c>
      <c r="O16" s="26"/>
      <c r="P16" s="26"/>
      <c r="Q16" s="24"/>
      <c r="R16" s="24"/>
      <c r="S16" s="24"/>
      <c r="T16" s="24"/>
      <c r="U16" s="24"/>
      <c r="V16" s="24"/>
      <c r="W16" s="24"/>
      <c r="X16" s="24"/>
      <c r="Y16" s="24"/>
      <c r="Z16" s="24"/>
      <c r="AA16" s="24"/>
    </row>
    <row r="17">
      <c r="A17" s="25" t="s">
        <v>36</v>
      </c>
      <c r="B17" s="26" t="str">
        <f>IFERROR(__xludf.DUMMYFUNCTION("""COMPUTED_VALUE"""),"Authentication(User)")</f>
        <v>Authentication(User)</v>
      </c>
      <c r="C17" s="26" t="str">
        <f>IFERROR(__xludf.DUMMYFUNCTION("""COMPUTED_VALUE"""),"SignUp")</f>
        <v>SignUp</v>
      </c>
      <c r="D17" s="26" t="str">
        <f>IFERROR(__xludf.DUMMYFUNCTION("""COMPUTED_VALUE"""),"An overflow has been observed.")</f>
        <v>An overflow has been observed.</v>
      </c>
      <c r="E17" s="26" t="str">
        <f>IFERROR(__xludf.DUMMYFUNCTION("""COMPUTED_VALUE"""),"User need to install this apk in their phone")</f>
        <v>User need to install this apk in their phone</v>
      </c>
      <c r="F17" s="26" t="str">
        <f>IFERROR(__xludf.DUMMYFUNCTION("""COMPUTED_VALUE"""),"1. Open app
2. Click on User
3. Goto signup page
4. Give info and click on signup")</f>
        <v>1. Open app
2. Click on User
3. Goto signup page
4. Give info and click on signup</v>
      </c>
      <c r="G17" s="26" t="str">
        <f>IFERROR(__xludf.DUMMYFUNCTION("""COMPUTED_VALUE"""),"N/A")</f>
        <v>N/A</v>
      </c>
      <c r="H17" s="26" t="str">
        <f>IFERROR(__xludf.DUMMYFUNCTION("""COMPUTED_VALUE"""),"No overflow should appear or be displayed.")</f>
        <v>No overflow should appear or be displayed.</v>
      </c>
      <c r="I17" s="26" t="str">
        <f>IFERROR(__xludf.DUMMYFUNCTION("""COMPUTED_VALUE"""),"Noticed an overflow issue when the keyboard layout is displayed on the screen.")</f>
        <v>Noticed an overflow issue when the keyboard layout is displayed on the screen.</v>
      </c>
      <c r="J17" s="26" t="str">
        <f>IFERROR(__xludf.DUMMYFUNCTION("""COMPUTED_VALUE"""),"Fail")</f>
        <v>Fail</v>
      </c>
      <c r="K17" s="26" t="str">
        <f>IFERROR(__xludf.DUMMYFUNCTION("""COMPUTED_VALUE"""),"Low")</f>
        <v>Low</v>
      </c>
      <c r="L17" s="27" t="str">
        <f>IFERROR(__xludf.DUMMYFUNCTION("""COMPUTED_VALUE"""),"https://drive.google.com/file/d/1Z2eGNoxsFPd1bCo-uJtobcKeGN1XPtCp/view?usp=drive_link")</f>
        <v>https://drive.google.com/file/d/1Z2eGNoxsFPd1bCo-uJtobcKeGN1XPtCp/view?usp=drive_link</v>
      </c>
      <c r="M17" s="26"/>
      <c r="N17" s="26" t="str">
        <f>IFERROR(__xludf.DUMMYFUNCTION("""COMPUTED_VALUE"""),"Fahad")</f>
        <v>Fahad</v>
      </c>
      <c r="O17" s="26"/>
      <c r="P17" s="26"/>
      <c r="Q17" s="24"/>
      <c r="R17" s="24"/>
      <c r="S17" s="24"/>
      <c r="T17" s="24"/>
      <c r="U17" s="24"/>
      <c r="V17" s="24"/>
      <c r="W17" s="24"/>
      <c r="X17" s="24"/>
      <c r="Y17" s="24"/>
      <c r="Z17" s="24"/>
      <c r="AA17" s="24"/>
    </row>
    <row r="18">
      <c r="A18" s="25" t="s">
        <v>37</v>
      </c>
      <c r="B18" s="26" t="str">
        <f>IFERROR(__xludf.DUMMYFUNCTION("""COMPUTED_VALUE"""),"Authentication(User)")</f>
        <v>Authentication(User)</v>
      </c>
      <c r="C18" s="26" t="str">
        <f>IFERROR(__xludf.DUMMYFUNCTION("""COMPUTED_VALUE"""),"SignUp")</f>
        <v>SignUp</v>
      </c>
      <c r="D18" s="26" t="str">
        <f>IFERROR(__xludf.DUMMYFUNCTION("""COMPUTED_VALUE"""),"Different UI observed")</f>
        <v>Different UI observed</v>
      </c>
      <c r="E18" s="26" t="str">
        <f>IFERROR(__xludf.DUMMYFUNCTION("""COMPUTED_VALUE"""),"User need to install this apk in their phone")</f>
        <v>User need to install this apk in their phone</v>
      </c>
      <c r="F18" s="26" t="str">
        <f>IFERROR(__xludf.DUMMYFUNCTION("""COMPUTED_VALUE"""),"1. Open app
2. Click on User
3. Goto signup page
4. Give info and click on signup")</f>
        <v>1. Open app
2. Click on User
3. Goto signup page
4. Give info and click on signup</v>
      </c>
      <c r="G18" s="26" t="str">
        <f>IFERROR(__xludf.DUMMYFUNCTION("""COMPUTED_VALUE"""),"N/A")</f>
        <v>N/A</v>
      </c>
      <c r="H18" s="26" t="str">
        <f>IFERROR(__xludf.DUMMYFUNCTION("""COMPUTED_VALUE"""),"The design and alignment need to be precise.")</f>
        <v>The design and alignment need to be precise.</v>
      </c>
      <c r="I18" s="26" t="str">
        <f>IFERROR(__xludf.DUMMYFUNCTION("""COMPUTED_VALUE"""),"A different design has been noticed.")</f>
        <v>A different design has been noticed.</v>
      </c>
      <c r="J18" s="26" t="str">
        <f>IFERROR(__xludf.DUMMYFUNCTION("""COMPUTED_VALUE"""),"Fail")</f>
        <v>Fail</v>
      </c>
      <c r="K18" s="26" t="str">
        <f>IFERROR(__xludf.DUMMYFUNCTION("""COMPUTED_VALUE"""),"Low")</f>
        <v>Low</v>
      </c>
      <c r="L18" s="27" t="str">
        <f>IFERROR(__xludf.DUMMYFUNCTION("""COMPUTED_VALUE"""),"https://drive.google.com/file/d/154Q0eEpa1zswgLzZ9htWBkNBRbyLyWUY/view?usp=drive_link")</f>
        <v>https://drive.google.com/file/d/154Q0eEpa1zswgLzZ9htWBkNBRbyLyWUY/view?usp=drive_link</v>
      </c>
      <c r="M18" s="26"/>
      <c r="N18" s="26" t="str">
        <f>IFERROR(__xludf.DUMMYFUNCTION("""COMPUTED_VALUE"""),"Fahad")</f>
        <v>Fahad</v>
      </c>
      <c r="O18" s="26"/>
      <c r="P18" s="26"/>
      <c r="Q18" s="24"/>
      <c r="R18" s="24"/>
      <c r="S18" s="24"/>
      <c r="T18" s="24"/>
      <c r="U18" s="24"/>
      <c r="V18" s="24"/>
      <c r="W18" s="24"/>
      <c r="X18" s="24"/>
      <c r="Y18" s="24"/>
      <c r="Z18" s="24"/>
      <c r="AA18" s="24"/>
    </row>
    <row r="19">
      <c r="A19" s="25" t="s">
        <v>38</v>
      </c>
      <c r="B19" s="26" t="str">
        <f>IFERROR(__xludf.DUMMYFUNCTION("""COMPUTED_VALUE"""),"Club Owner (Sign Up)")</f>
        <v>Club Owner (Sign Up)</v>
      </c>
      <c r="C19" s="26" t="str">
        <f>IFERROR(__xludf.DUMMYFUNCTION("""COMPUTED_VALUE"""),"Sign Up")</f>
        <v>Sign Up</v>
      </c>
      <c r="D19" s="26" t="str">
        <f>IFERROR(__xludf.DUMMYFUNCTION("""COMPUTED_VALUE"""),"Verify successful welcome page &amp; phone verification page is displayed after email verification")</f>
        <v>Verify successful welcome page &amp; phone verification page is displayed after email verification</v>
      </c>
      <c r="E19" s="26" t="str">
        <f>IFERROR(__xludf.DUMMYFUNCTION("""COMPUTED_VALUE"""),"App installed and user not registered")</f>
        <v>App installed and user not registered</v>
      </c>
      <c r="F19" s="26" t="str">
        <f>IFERROR(__xludf.DUMMYFUNCTION("""COMPUTED_VALUE"""),"1. Open the app  
2. Navigate to Club Owner sign up  
3. Enter valid details and verify email  ")</f>
        <v>1. Open the app  
2. Navigate to Club Owner sign up  
3. Enter valid details and verify email  </v>
      </c>
      <c r="G19" s="26" t="str">
        <f>IFERROR(__xludf.DUMMYFUNCTION("""COMPUTED_VALUE"""),"N/A")</f>
        <v>N/A</v>
      </c>
      <c r="H19" s="26" t="str">
        <f>IFERROR(__xludf.DUMMYFUNCTION("""COMPUTED_VALUE"""),"After successful email verification, a phone verification page and then welcome page should be displayed")</f>
        <v>After successful email verification, a phone verification page and then welcome page should be displayed</v>
      </c>
      <c r="I19" s="26" t="str">
        <f>IFERROR(__xludf.DUMMYFUNCTION("""COMPUTED_VALUE"""),"Phone verification and Welcome page is missing after mail verification and directly navigated to dashboard")</f>
        <v>Phone verification and Welcome page is missing after mail verification and directly navigated to dashboard</v>
      </c>
      <c r="J19" s="26" t="str">
        <f>IFERROR(__xludf.DUMMYFUNCTION("""COMPUTED_VALUE"""),"Fail")</f>
        <v>Fail</v>
      </c>
      <c r="K19" s="26" t="str">
        <f>IFERROR(__xludf.DUMMYFUNCTION("""COMPUTED_VALUE"""),"High")</f>
        <v>High</v>
      </c>
      <c r="L19" s="28" t="str">
        <f>IFERROR(__xludf.DUMMYFUNCTION("""COMPUTED_VALUE"""),"Screenrecording_20251001_101100.mp4")</f>
        <v>Screenrecording_20251001_101100.mp4</v>
      </c>
      <c r="M19" s="26"/>
      <c r="N19" s="26" t="str">
        <f>IFERROR(__xludf.DUMMYFUNCTION("""COMPUTED_VALUE"""),"Tahsin")</f>
        <v>Tahsin</v>
      </c>
      <c r="O19" s="26"/>
      <c r="P19" s="26"/>
      <c r="Q19" s="24"/>
      <c r="R19" s="24"/>
      <c r="S19" s="24"/>
      <c r="T19" s="24"/>
      <c r="U19" s="24"/>
      <c r="V19" s="24"/>
      <c r="W19" s="24"/>
      <c r="X19" s="24"/>
      <c r="Y19" s="24"/>
      <c r="Z19" s="24"/>
      <c r="AA19" s="24"/>
    </row>
    <row r="20">
      <c r="A20" s="25" t="s">
        <v>39</v>
      </c>
      <c r="B20" s="26" t="str">
        <f>IFERROR(__xludf.DUMMYFUNCTION("""COMPUTED_VALUE"""),"Club Owner -&gt; Analytics")</f>
        <v>Club Owner -&gt; Analytics</v>
      </c>
      <c r="C20" s="26" t="str">
        <f>IFERROR(__xludf.DUMMYFUNCTION("""COMPUTED_VALUE"""),"UI")</f>
        <v>UI</v>
      </c>
      <c r="D20" s="26" t="str">
        <f>IFERROR(__xludf.DUMMYFUNCTION("""COMPUTED_VALUE"""),"Verify the title displays ""Analytics Dashboard"" instead of ""Analytics""")</f>
        <v>Verify the title displays "Analytics Dashboard" instead of "Analytics"</v>
      </c>
      <c r="E20" s="26" t="str">
        <f>IFERROR(__xludf.DUMMYFUNCTION("""COMPUTED_VALUE"""),"App installed and user logged in")</f>
        <v>App installed and user logged in</v>
      </c>
      <c r="F20" s="26" t="str">
        <f>IFERROR(__xludf.DUMMYFUNCTION("""COMPUTED_VALUE"""),"1. Open the app  
2. Navigate to the Analytics section  
3. Observe the title at the top of the screen")</f>
        <v>1. Open the app  
2. Navigate to the Analytics section  
3. Observe the title at the top of the screen</v>
      </c>
      <c r="G20" s="26" t="str">
        <f>IFERROR(__xludf.DUMMYFUNCTION("""COMPUTED_VALUE"""),"None")</f>
        <v>None</v>
      </c>
      <c r="H20" s="26" t="str">
        <f>IFERROR(__xludf.DUMMYFUNCTION("""COMPUTED_VALUE"""),"Title should be displayed as ""Analytics Dashboard""")</f>
        <v>Title should be displayed as "Analytics Dashboard"</v>
      </c>
      <c r="I20" s="26" t="str">
        <f>IFERROR(__xludf.DUMMYFUNCTION("""COMPUTED_VALUE"""),"Title is displayed as ""Analytics""")</f>
        <v>Title is displayed as "Analytics"</v>
      </c>
      <c r="J20" s="26" t="str">
        <f>IFERROR(__xludf.DUMMYFUNCTION("""COMPUTED_VALUE"""),"Fail")</f>
        <v>Fail</v>
      </c>
      <c r="K20" s="26" t="str">
        <f>IFERROR(__xludf.DUMMYFUNCTION("""COMPUTED_VALUE"""),"Low")</f>
        <v>Low</v>
      </c>
      <c r="L20" s="27" t="str">
        <f>IFERROR(__xludf.DUMMYFUNCTION("""COMPUTED_VALUE"""),"https://jam.dev/c/725fac27-9c83-4e31-ac13-42bd0a9e3695")</f>
        <v>https://jam.dev/c/725fac27-9c83-4e31-ac13-42bd0a9e3695</v>
      </c>
      <c r="M20" s="26"/>
      <c r="N20" s="26" t="str">
        <f>IFERROR(__xludf.DUMMYFUNCTION("""COMPUTED_VALUE"""),"Tahsin")</f>
        <v>Tahsin</v>
      </c>
      <c r="O20" s="26"/>
      <c r="P20" s="26"/>
      <c r="Q20" s="24"/>
      <c r="R20" s="24"/>
      <c r="S20" s="24"/>
      <c r="T20" s="24"/>
      <c r="U20" s="24"/>
      <c r="V20" s="24"/>
      <c r="W20" s="24"/>
      <c r="X20" s="24"/>
      <c r="Y20" s="24"/>
      <c r="Z20" s="24"/>
      <c r="AA20" s="24"/>
    </row>
    <row r="21">
      <c r="A21" s="25" t="s">
        <v>40</v>
      </c>
      <c r="B21" s="26" t="str">
        <f>IFERROR(__xludf.DUMMYFUNCTION("""COMPUTED_VALUE"""),"Club Owner -&gt; Analytics")</f>
        <v>Club Owner -&gt; Analytics</v>
      </c>
      <c r="C21" s="26" t="str">
        <f>IFERROR(__xludf.DUMMYFUNCTION("""COMPUTED_VALUE"""),"UI")</f>
        <v>UI</v>
      </c>
      <c r="D21" s="26" t="str">
        <f>IFERROR(__xludf.DUMMYFUNCTION("""COMPUTED_VALUE"""),"Verify spacing between ""Event Attendance Over Time"" chart and previous section is consistent and minimal")</f>
        <v>Verify spacing between "Event Attendance Over Time" chart and previous section is consistent and minimal</v>
      </c>
      <c r="E21" s="26" t="str">
        <f>IFERROR(__xludf.DUMMYFUNCTION("""COMPUTED_VALUE"""),"App installed and user logged in")</f>
        <v>App installed and user logged in</v>
      </c>
      <c r="F21" s="26" t="str">
        <f>IFERROR(__xludf.DUMMYFUNCTION("""COMPUTED_VALUE"""),"1. Open the app  
2. Navigate to the Analytics section  
3. Observe spacing between chart and previous section")</f>
        <v>1. Open the app  
2. Navigate to the Analytics section  
3. Observe spacing between chart and previous section</v>
      </c>
      <c r="G21" s="26" t="str">
        <f>IFERROR(__xludf.DUMMYFUNCTION("""COMPUTED_VALUE"""),"None")</f>
        <v>None</v>
      </c>
      <c r="H21" s="26" t="str">
        <f>IFERROR(__xludf.DUMMYFUNCTION("""COMPUTED_VALUE"""),"Gap between ""Event Attendance Over Time"" chart and the previous section should be reduced and consistent with other sections")</f>
        <v>Gap between "Event Attendance Over Time" chart and the previous section should be reduced and consistent with other sections</v>
      </c>
      <c r="I21" s="26" t="str">
        <f>IFERROR(__xludf.DUMMYFUNCTION("""COMPUTED_VALUE"""),"Excessive gap present between ""Event Attendance Over Time"" chart and the previous section")</f>
        <v>Excessive gap present between "Event Attendance Over Time" chart and the previous section</v>
      </c>
      <c r="J21" s="26" t="str">
        <f>IFERROR(__xludf.DUMMYFUNCTION("""COMPUTED_VALUE"""),"Fail")</f>
        <v>Fail</v>
      </c>
      <c r="K21" s="26" t="str">
        <f>IFERROR(__xludf.DUMMYFUNCTION("""COMPUTED_VALUE"""),"Low")</f>
        <v>Low</v>
      </c>
      <c r="L21" s="27" t="str">
        <f>IFERROR(__xludf.DUMMYFUNCTION("""COMPUTED_VALUE"""),"https://jam.dev/c/0fc558c2-f2d0-4ed6-81be-e1ec9ed6cd5e")</f>
        <v>https://jam.dev/c/0fc558c2-f2d0-4ed6-81be-e1ec9ed6cd5e</v>
      </c>
      <c r="M21" s="26"/>
      <c r="N21" s="26" t="str">
        <f>IFERROR(__xludf.DUMMYFUNCTION("""COMPUTED_VALUE"""),"Tahsin")</f>
        <v>Tahsin</v>
      </c>
      <c r="O21" s="26"/>
      <c r="P21" s="26"/>
      <c r="Q21" s="24"/>
      <c r="R21" s="24"/>
      <c r="S21" s="24"/>
      <c r="T21" s="24"/>
      <c r="U21" s="24"/>
      <c r="V21" s="24"/>
      <c r="W21" s="24"/>
      <c r="X21" s="24"/>
      <c r="Y21" s="24"/>
      <c r="Z21" s="24"/>
      <c r="AA21" s="24"/>
    </row>
    <row r="22">
      <c r="A22" s="25" t="s">
        <v>41</v>
      </c>
      <c r="B22" s="26" t="str">
        <f>IFERROR(__xludf.DUMMYFUNCTION("""COMPUTED_VALUE"""),"Club Owner -&gt; Analytics")</f>
        <v>Club Owner -&gt; Analytics</v>
      </c>
      <c r="C22" s="26" t="str">
        <f>IFERROR(__xludf.DUMMYFUNCTION("""COMPUTED_VALUE"""),"UI")</f>
        <v>UI</v>
      </c>
      <c r="D22" s="26" t="str">
        <f>IFERROR(__xludf.DUMMYFUNCTION("""COMPUTED_VALUE"""),"Verify horizontal grid lines in ""Event Attendance Over Time"" chart are dotted lines")</f>
        <v>Verify horizontal grid lines in "Event Attendance Over Time" chart are dotted lines</v>
      </c>
      <c r="E22" s="26" t="str">
        <f>IFERROR(__xludf.DUMMYFUNCTION("""COMPUTED_VALUE"""),"App installed and user logged in")</f>
        <v>App installed and user logged in</v>
      </c>
      <c r="F22" s="26" t="str">
        <f>IFERROR(__xludf.DUMMYFUNCTION("""COMPUTED_VALUE"""),"1. Open the app  
2. Navigate to Analytics section  
3. Observe the horizontal grid lines in the chart")</f>
        <v>1. Open the app  
2. Navigate to Analytics section  
3. Observe the horizontal grid lines in the chart</v>
      </c>
      <c r="G22" s="26" t="str">
        <f>IFERROR(__xludf.DUMMYFUNCTION("""COMPUTED_VALUE"""),"None")</f>
        <v>None</v>
      </c>
      <c r="H22" s="26" t="str">
        <f>IFERROR(__xludf.DUMMYFUNCTION("""COMPUTED_VALUE"""),"Horizontal grid lines in the chart should be displayed as dotted lines")</f>
        <v>Horizontal grid lines in the chart should be displayed as dotted lines</v>
      </c>
      <c r="I22" s="26" t="str">
        <f>IFERROR(__xludf.DUMMYFUNCTION("""COMPUTED_VALUE"""),"Horizontal grid lines are displayed as solid lines")</f>
        <v>Horizontal grid lines are displayed as solid lines</v>
      </c>
      <c r="J22" s="26" t="str">
        <f>IFERROR(__xludf.DUMMYFUNCTION("""COMPUTED_VALUE"""),"Fail")</f>
        <v>Fail</v>
      </c>
      <c r="K22" s="26" t="str">
        <f>IFERROR(__xludf.DUMMYFUNCTION("""COMPUTED_VALUE"""),"Low")</f>
        <v>Low</v>
      </c>
      <c r="L22" s="27" t="str">
        <f>IFERROR(__xludf.DUMMYFUNCTION("""COMPUTED_VALUE"""),"https://jam.dev/c/2e65b426-1cb6-40e7-95a4-c18b781dd420")</f>
        <v>https://jam.dev/c/2e65b426-1cb6-40e7-95a4-c18b781dd420</v>
      </c>
      <c r="M22" s="26"/>
      <c r="N22" s="26" t="str">
        <f>IFERROR(__xludf.DUMMYFUNCTION("""COMPUTED_VALUE"""),"Tahsin")</f>
        <v>Tahsin</v>
      </c>
      <c r="O22" s="26"/>
      <c r="P22" s="26"/>
      <c r="Q22" s="24"/>
      <c r="R22" s="24"/>
      <c r="S22" s="24"/>
      <c r="T22" s="24"/>
      <c r="U22" s="24"/>
      <c r="V22" s="24"/>
      <c r="W22" s="24"/>
      <c r="X22" s="24"/>
      <c r="Y22" s="24"/>
      <c r="Z22" s="24"/>
      <c r="AA22" s="24"/>
    </row>
    <row r="23">
      <c r="A23" s="25" t="s">
        <v>42</v>
      </c>
      <c r="B23" s="26" t="str">
        <f>IFERROR(__xludf.DUMMYFUNCTION("""COMPUTED_VALUE"""),"Club Owner -&gt; Analytics")</f>
        <v>Club Owner -&gt; Analytics</v>
      </c>
      <c r="C23" s="26" t="str">
        <f>IFERROR(__xludf.DUMMYFUNCTION("""COMPUTED_VALUE"""),"UI")</f>
        <v>UI</v>
      </c>
      <c r="D23" s="26" t="str">
        <f>IFERROR(__xludf.DUMMYFUNCTION("""COMPUTED_VALUE"""),"Verify bars in ""Top Performance Events"" section are displayed in square shape")</f>
        <v>Verify bars in "Top Performance Events" section are displayed in square shape</v>
      </c>
      <c r="E23" s="26" t="str">
        <f>IFERROR(__xludf.DUMMYFUNCTION("""COMPUTED_VALUE"""),"App installed and user logged in with analytics data available")</f>
        <v>App installed and user logged in with analytics data available</v>
      </c>
      <c r="F23" s="26" t="str">
        <f>IFERROR(__xludf.DUMMYFUNCTION("""COMPUTED_VALUE"""),"1. Open the app  
2. Navigate to Analytics section  
3. Scroll to ""Top Performance Events"" section  
4. Observe the shape of the bars")</f>
        <v>1. Open the app  
2. Navigate to Analytics section  
3. Scroll to "Top Performance Events" section  
4. Observe the shape of the bars</v>
      </c>
      <c r="G23" s="26" t="str">
        <f>IFERROR(__xludf.DUMMYFUNCTION("""COMPUTED_VALUE"""),"None")</f>
        <v>None</v>
      </c>
      <c r="H23" s="26" t="str">
        <f>IFERROR(__xludf.DUMMYFUNCTION("""COMPUTED_VALUE"""),"Bars in ""Top Performance Events"" section should be square shaped")</f>
        <v>Bars in "Top Performance Events" section should be square shaped</v>
      </c>
      <c r="I23" s="26" t="str">
        <f>IFERROR(__xludf.DUMMYFUNCTION("""COMPUTED_VALUE"""),"Bars are displayed with rounded/oval shape")</f>
        <v>Bars are displayed with rounded/oval shape</v>
      </c>
      <c r="J23" s="26" t="str">
        <f>IFERROR(__xludf.DUMMYFUNCTION("""COMPUTED_VALUE"""),"Fail")</f>
        <v>Fail</v>
      </c>
      <c r="K23" s="26" t="str">
        <f>IFERROR(__xludf.DUMMYFUNCTION("""COMPUTED_VALUE"""),"Low")</f>
        <v>Low</v>
      </c>
      <c r="L23" s="27" t="str">
        <f>IFERROR(__xludf.DUMMYFUNCTION("""COMPUTED_VALUE"""),"https://jam.dev/c/b2d5ddaa-89e5-4da9-a208-d6a8eb8582d4")</f>
        <v>https://jam.dev/c/b2d5ddaa-89e5-4da9-a208-d6a8eb8582d4</v>
      </c>
      <c r="M23" s="26"/>
      <c r="N23" s="26" t="str">
        <f>IFERROR(__xludf.DUMMYFUNCTION("""COMPUTED_VALUE"""),"Tahsin")</f>
        <v>Tahsin</v>
      </c>
      <c r="O23" s="26"/>
      <c r="P23" s="26"/>
      <c r="Q23" s="24"/>
      <c r="R23" s="24"/>
      <c r="S23" s="24"/>
      <c r="T23" s="24"/>
      <c r="U23" s="24"/>
      <c r="V23" s="24"/>
      <c r="W23" s="24"/>
      <c r="X23" s="24"/>
      <c r="Y23" s="24"/>
      <c r="Z23" s="24"/>
      <c r="AA23" s="24"/>
    </row>
    <row r="24">
      <c r="A24" s="25" t="s">
        <v>43</v>
      </c>
      <c r="B24" s="26" t="str">
        <f>IFERROR(__xludf.DUMMYFUNCTION("""COMPUTED_VALUE"""),"Club Owner -&gt; Club Profile")</f>
        <v>Club Owner -&gt; Club Profile</v>
      </c>
      <c r="C24" s="26" t="str">
        <f>IFERROR(__xludf.DUMMYFUNCTION("""COMPUTED_VALUE"""),"Footer")</f>
        <v>Footer</v>
      </c>
      <c r="D24" s="26" t="str">
        <f>IFERROR(__xludf.DUMMYFUNCTION("""COMPUTED_VALUE"""),"Verify Instagram, TikTok, and Share icons are displayed in the footer")</f>
        <v>Verify Instagram, TikTok, and Share icons are displayed in the footer</v>
      </c>
      <c r="E24" s="26" t="str">
        <f>IFERROR(__xludf.DUMMYFUNCTION("""COMPUTED_VALUE"""),"App installed and club profile page accessible")</f>
        <v>App installed and club profile page accessible</v>
      </c>
      <c r="F24" s="26" t="str">
        <f>IFERROR(__xludf.DUMMYFUNCTION("""COMPUTED_VALUE"""),"1. Open the app  
2. Navigate to the Club Profile page  
3. Scroll to the footer section")</f>
        <v>1. Open the app  
2. Navigate to the Club Profile page  
3. Scroll to the footer section</v>
      </c>
      <c r="G24" s="26" t="str">
        <f>IFERROR(__xludf.DUMMYFUNCTION("""COMPUTED_VALUE"""),"None")</f>
        <v>None</v>
      </c>
      <c r="H24" s="26" t="str">
        <f>IFERROR(__xludf.DUMMYFUNCTION("""COMPUTED_VALUE"""),"Footer should display Instagram, TikTok, and Share icons with proper links/actions")</f>
        <v>Footer should display Instagram, TikTok, and Share icons with proper links/actions</v>
      </c>
      <c r="I24" s="26" t="str">
        <f>IFERROR(__xludf.DUMMYFUNCTION("""COMPUTED_VALUE"""),"Instagram, TikTok, and Share icons are missing in the footer")</f>
        <v>Instagram, TikTok, and Share icons are missing in the footer</v>
      </c>
      <c r="J24" s="26" t="str">
        <f>IFERROR(__xludf.DUMMYFUNCTION("""COMPUTED_VALUE"""),"Fail")</f>
        <v>Fail</v>
      </c>
      <c r="K24" s="26" t="str">
        <f>IFERROR(__xludf.DUMMYFUNCTION("""COMPUTED_VALUE"""),"Low")</f>
        <v>Low</v>
      </c>
      <c r="L24" s="27" t="str">
        <f>IFERROR(__xludf.DUMMYFUNCTION("""COMPUTED_VALUE"""),"https://jam.dev/c/6e6cba8e-c46a-4288-8fb7-dd77a736bfb3")</f>
        <v>https://jam.dev/c/6e6cba8e-c46a-4288-8fb7-dd77a736bfb3</v>
      </c>
      <c r="M24" s="26"/>
      <c r="N24" s="26" t="str">
        <f>IFERROR(__xludf.DUMMYFUNCTION("""COMPUTED_VALUE"""),"Tahsin")</f>
        <v>Tahsin</v>
      </c>
      <c r="O24" s="26"/>
      <c r="P24" s="26"/>
      <c r="Q24" s="24"/>
      <c r="R24" s="24"/>
      <c r="S24" s="24"/>
      <c r="T24" s="24"/>
      <c r="U24" s="24"/>
      <c r="V24" s="24"/>
      <c r="W24" s="24"/>
      <c r="X24" s="24"/>
      <c r="Y24" s="24"/>
      <c r="Z24" s="24"/>
      <c r="AA24" s="24"/>
    </row>
    <row r="25">
      <c r="A25" s="25" t="s">
        <v>44</v>
      </c>
      <c r="B25" s="26" t="str">
        <f>IFERROR(__xludf.DUMMYFUNCTION("""COMPUTED_VALUE"""),"Club Owner -&gt; Club Profile")</f>
        <v>Club Owner -&gt; Club Profile</v>
      </c>
      <c r="C25" s="26" t="str">
        <f>IFERROR(__xludf.DUMMYFUNCTION("""COMPUTED_VALUE"""),"UI")</f>
        <v>UI</v>
      </c>
      <c r="D25" s="26" t="str">
        <f>IFERROR(__xludf.DUMMYFUNCTION("""COMPUTED_VALUE"""),"Verify filter buttons (Lounge, Nightclub, EDM) are displayed in full row with proper size")</f>
        <v>Verify filter buttons (Lounge, Nightclub, EDM) are displayed in full row with proper size</v>
      </c>
      <c r="E25" s="26" t="str">
        <f>IFERROR(__xludf.DUMMYFUNCTION("""COMPUTED_VALUE"""),"App installed and club profile page accessible")</f>
        <v>App installed and club profile page accessible</v>
      </c>
      <c r="F25" s="26" t="str">
        <f>IFERROR(__xludf.DUMMYFUNCTION("""COMPUTED_VALUE"""),"1. Open the app  
2. Navigate to Club Profile page  
3. Observe the display of category buttons (Lounge, Nightclub, EDM)")</f>
        <v>1. Open the app  
2. Navigate to Club Profile page  
3. Observe the display of category buttons (Lounge, Nightclub, EDM)</v>
      </c>
      <c r="G25" s="26" t="str">
        <f>IFERROR(__xludf.DUMMYFUNCTION("""COMPUTED_VALUE"""),"None")</f>
        <v>None</v>
      </c>
      <c r="H25" s="26" t="str">
        <f>IFERROR(__xludf.DUMMYFUNCTION("""COMPUTED_VALUE"""),"Buttons should appear in a full row with equal spacing and increased size for better visibility")</f>
        <v>Buttons should appear in a full row with equal spacing and increased size for better visibility</v>
      </c>
      <c r="I25" s="26" t="str">
        <f>IFERROR(__xludf.DUMMYFUNCTION("""COMPUTED_VALUE"""),"Buttons appear small and not aligned to full row")</f>
        <v>Buttons appear small and not aligned to full row</v>
      </c>
      <c r="J25" s="26" t="str">
        <f>IFERROR(__xludf.DUMMYFUNCTION("""COMPUTED_VALUE"""),"Fail")</f>
        <v>Fail</v>
      </c>
      <c r="K25" s="26" t="str">
        <f>IFERROR(__xludf.DUMMYFUNCTION("""COMPUTED_VALUE"""),"Low")</f>
        <v>Low</v>
      </c>
      <c r="L25" s="27" t="str">
        <f>IFERROR(__xludf.DUMMYFUNCTION("""COMPUTED_VALUE"""),"https://jam.dev/c/fd1205ce-a95c-4d71-b95a-d88613f2de02")</f>
        <v>https://jam.dev/c/fd1205ce-a95c-4d71-b95a-d88613f2de02</v>
      </c>
      <c r="M25" s="26"/>
      <c r="N25" s="26" t="str">
        <f>IFERROR(__xludf.DUMMYFUNCTION("""COMPUTED_VALUE"""),"Tahsin")</f>
        <v>Tahsin</v>
      </c>
      <c r="O25" s="26"/>
      <c r="P25" s="26"/>
      <c r="Q25" s="24"/>
      <c r="R25" s="24"/>
      <c r="S25" s="24"/>
      <c r="T25" s="24"/>
      <c r="U25" s="24"/>
      <c r="V25" s="24"/>
      <c r="W25" s="24"/>
      <c r="X25" s="24"/>
      <c r="Y25" s="24"/>
      <c r="Z25" s="24"/>
      <c r="AA25" s="24"/>
    </row>
    <row r="26">
      <c r="A26" s="25" t="s">
        <v>45</v>
      </c>
      <c r="B26" s="26" t="str">
        <f>IFERROR(__xludf.DUMMYFUNCTION("""COMPUTED_VALUE"""),"Club Owner -&gt; Club Profile")</f>
        <v>Club Owner -&gt; Club Profile</v>
      </c>
      <c r="C26" s="26" t="str">
        <f>IFERROR(__xludf.DUMMYFUNCTION("""COMPUTED_VALUE"""),"UI")</f>
        <v>UI</v>
      </c>
      <c r="D26" s="26" t="str">
        <f>IFERROR(__xludf.DUMMYFUNCTION("""COMPUTED_VALUE"""),"Verify each filter button (Lounge, Nightclub, EDM) displays relevant icon")</f>
        <v>Verify each filter button (Lounge, Nightclub, EDM) displays relevant icon</v>
      </c>
      <c r="E26" s="26" t="str">
        <f>IFERROR(__xludf.DUMMYFUNCTION("""COMPUTED_VALUE"""),"App installed and club profile page accessible")</f>
        <v>App installed and club profile page accessible</v>
      </c>
      <c r="F26" s="26" t="str">
        <f>IFERROR(__xludf.DUMMYFUNCTION("""COMPUTED_VALUE"""),"1. Open the app  
2. Navigate to Club Profile page  
3. Observe the filter buttons (Lounge, Nightclub, EDM)")</f>
        <v>1. Open the app  
2. Navigate to Club Profile page  
3. Observe the filter buttons (Lounge, Nightclub, EDM)</v>
      </c>
      <c r="G26" s="26" t="str">
        <f>IFERROR(__xludf.DUMMYFUNCTION("""COMPUTED_VALUE"""),"None")</f>
        <v>None</v>
      </c>
      <c r="H26" s="26" t="str">
        <f>IFERROR(__xludf.DUMMYFUNCTION("""COMPUTED_VALUE"""),"Each button should display a relevant icon (e.g., lounge icon, nightclub icon, EDM icon) alongside text")</f>
        <v>Each button should display a relevant icon (e.g., lounge icon, nightclub icon, EDM icon) alongside text</v>
      </c>
      <c r="I26" s="26" t="str">
        <f>IFERROR(__xludf.DUMMYFUNCTION("""COMPUTED_VALUE"""),"No icons are displayed on the buttons")</f>
        <v>No icons are displayed on the buttons</v>
      </c>
      <c r="J26" s="26" t="str">
        <f>IFERROR(__xludf.DUMMYFUNCTION("""COMPUTED_VALUE"""),"Fail")</f>
        <v>Fail</v>
      </c>
      <c r="K26" s="26" t="str">
        <f>IFERROR(__xludf.DUMMYFUNCTION("""COMPUTED_VALUE"""),"Low")</f>
        <v>Low</v>
      </c>
      <c r="L26" s="27" t="str">
        <f>IFERROR(__xludf.DUMMYFUNCTION("""COMPUTED_VALUE"""),"https://jam.dev/c/1ab589b6-1f5b-42b8-b1cd-248753dec278")</f>
        <v>https://jam.dev/c/1ab589b6-1f5b-42b8-b1cd-248753dec278</v>
      </c>
      <c r="M26" s="26"/>
      <c r="N26" s="26" t="str">
        <f>IFERROR(__xludf.DUMMYFUNCTION("""COMPUTED_VALUE"""),"Tahsin")</f>
        <v>Tahsin</v>
      </c>
      <c r="O26" s="26"/>
      <c r="P26" s="26"/>
      <c r="Q26" s="24"/>
      <c r="R26" s="24"/>
      <c r="S26" s="24"/>
      <c r="T26" s="24"/>
      <c r="U26" s="24"/>
      <c r="V26" s="24"/>
      <c r="W26" s="24"/>
      <c r="X26" s="24"/>
      <c r="Y26" s="24"/>
      <c r="Z26" s="24"/>
      <c r="AA26" s="24"/>
    </row>
    <row r="27">
      <c r="A27" s="25" t="s">
        <v>46</v>
      </c>
      <c r="B27" s="26" t="str">
        <f>IFERROR(__xludf.DUMMYFUNCTION("""COMPUTED_VALUE"""),"Club Owner -&gt; Club Profile")</f>
        <v>Club Owner -&gt; Club Profile</v>
      </c>
      <c r="C27" s="26" t="str">
        <f>IFERROR(__xludf.DUMMYFUNCTION("""COMPUTED_VALUE"""),"UI")</f>
        <v>UI</v>
      </c>
      <c r="D27" s="26" t="str">
        <f>IFERROR(__xludf.DUMMYFUNCTION("""COMPUTED_VALUE"""),"Verify club address is displayed after requirements for each club")</f>
        <v>Verify club address is displayed after requirements for each club</v>
      </c>
      <c r="E27" s="26" t="str">
        <f>IFERROR(__xludf.DUMMYFUNCTION("""COMPUTED_VALUE"""),"App installed and club profile page accessible")</f>
        <v>App installed and club profile page accessible</v>
      </c>
      <c r="F27" s="26" t="str">
        <f>IFERROR(__xludf.DUMMYFUNCTION("""COMPUTED_VALUE"""),"1. Open the app  
2. Navigate to Club Profile page  
3. Check details displayed for each club (Neon Nightclub, Eclipse Lounge, etc.)")</f>
        <v>1. Open the app  
2. Navigate to Club Profile page  
3. Check details displayed for each club (Neon Nightclub, Eclipse Lounge, etc.)</v>
      </c>
      <c r="G27" s="26" t="str">
        <f>IFERROR(__xludf.DUMMYFUNCTION("""COMPUTED_VALUE"""),"None")</f>
        <v>None</v>
      </c>
      <c r="H27" s="26" t="str">
        <f>IFERROR(__xludf.DUMMYFUNCTION("""COMPUTED_VALUE"""),"Each club profile should display its address immediately after the rating")</f>
        <v>Each club profile should display its address immediately after the rating</v>
      </c>
      <c r="I27" s="26" t="str">
        <f>IFERROR(__xludf.DUMMYFUNCTION("""COMPUTED_VALUE"""),"Club address is missing for each club")</f>
        <v>Club address is missing for each club</v>
      </c>
      <c r="J27" s="26" t="str">
        <f>IFERROR(__xludf.DUMMYFUNCTION("""COMPUTED_VALUE"""),"Fail")</f>
        <v>Fail</v>
      </c>
      <c r="K27" s="26" t="str">
        <f>IFERROR(__xludf.DUMMYFUNCTION("""COMPUTED_VALUE"""),"Medium")</f>
        <v>Medium</v>
      </c>
      <c r="L27" s="27" t="str">
        <f>IFERROR(__xludf.DUMMYFUNCTION("""COMPUTED_VALUE"""),"https://jam.dev/c/ed0aba83-8ad3-44a7-aa43-19f441c8ac44")</f>
        <v>https://jam.dev/c/ed0aba83-8ad3-44a7-aa43-19f441c8ac44</v>
      </c>
      <c r="M27" s="26"/>
      <c r="N27" s="26" t="str">
        <f>IFERROR(__xludf.DUMMYFUNCTION("""COMPUTED_VALUE"""),"Tahsin")</f>
        <v>Tahsin</v>
      </c>
      <c r="O27" s="26"/>
      <c r="P27" s="26"/>
      <c r="Q27" s="24"/>
      <c r="R27" s="24"/>
      <c r="S27" s="24"/>
      <c r="T27" s="24"/>
      <c r="U27" s="24"/>
      <c r="V27" s="24"/>
      <c r="W27" s="24"/>
      <c r="X27" s="24"/>
      <c r="Y27" s="24"/>
      <c r="Z27" s="24"/>
      <c r="AA27" s="24"/>
    </row>
    <row r="28">
      <c r="A28" s="25" t="s">
        <v>47</v>
      </c>
      <c r="B28" s="26" t="str">
        <f>IFERROR(__xludf.DUMMYFUNCTION("""COMPUTED_VALUE"""),"Club Owner -&gt; Club Profile")</f>
        <v>Club Owner -&gt; Club Profile</v>
      </c>
      <c r="C28" s="26" t="str">
        <f>IFERROR(__xludf.DUMMYFUNCTION("""COMPUTED_VALUE"""),"UI -&gt; The Moonlight Night")</f>
        <v>UI -&gt; The Moonlight Night</v>
      </c>
      <c r="D28" s="26" t="str">
        <f>IFERROR(__xludf.DUMMYFUNCTION("""COMPUTED_VALUE"""),"Verify ""Links &amp; Contact"" heading is center aligned and underlined")</f>
        <v>Verify "Links &amp; Contact" heading is center aligned and underlined</v>
      </c>
      <c r="E28" s="26" t="str">
        <f>IFERROR(__xludf.DUMMYFUNCTION("""COMPUTED_VALUE"""),"App installed and club profile page accessible")</f>
        <v>App installed and club profile page accessible</v>
      </c>
      <c r="F28" s="26" t="str">
        <f>IFERROR(__xludf.DUMMYFUNCTION("""COMPUTED_VALUE"""),"1. Open the app  
2. Navigate to Club Profile page -&gt; Neon Nightclub
3. Scroll to Links &amp; Contact section")</f>
        <v>1. Open the app  
2. Navigate to Club Profile page -&gt; Neon Nightclub
3. Scroll to Links &amp; Contact section</v>
      </c>
      <c r="G28" s="26" t="str">
        <f>IFERROR(__xludf.DUMMYFUNCTION("""COMPUTED_VALUE"""),"None")</f>
        <v>None</v>
      </c>
      <c r="H28" s="26" t="str">
        <f>IFERROR(__xludf.DUMMYFUNCTION("""COMPUTED_VALUE"""),"Links &amp; Contact heading should be center aligned and underlined for better visibility and consistency")</f>
        <v>Links &amp; Contact heading should be center aligned and underlined for better visibility and consistency</v>
      </c>
      <c r="I28" s="26" t="str">
        <f>IFERROR(__xludf.DUMMYFUNCTION("""COMPUTED_VALUE"""),"Heading is left aligned and not underlined")</f>
        <v>Heading is left aligned and not underlined</v>
      </c>
      <c r="J28" s="26" t="str">
        <f>IFERROR(__xludf.DUMMYFUNCTION("""COMPUTED_VALUE"""),"Fail")</f>
        <v>Fail</v>
      </c>
      <c r="K28" s="26" t="str">
        <f>IFERROR(__xludf.DUMMYFUNCTION("""COMPUTED_VALUE"""),"Low")</f>
        <v>Low</v>
      </c>
      <c r="L28" s="27" t="str">
        <f>IFERROR(__xludf.DUMMYFUNCTION("""COMPUTED_VALUE"""),"https://jam.dev/c/d891f90e-ec0d-4b3f-91cc-99cdd831961c")</f>
        <v>https://jam.dev/c/d891f90e-ec0d-4b3f-91cc-99cdd831961c</v>
      </c>
      <c r="M28" s="26"/>
      <c r="N28" s="26" t="str">
        <f>IFERROR(__xludf.DUMMYFUNCTION("""COMPUTED_VALUE"""),"Tahsin")</f>
        <v>Tahsin</v>
      </c>
      <c r="O28" s="26"/>
      <c r="P28" s="26"/>
      <c r="Q28" s="24"/>
      <c r="R28" s="24"/>
      <c r="S28" s="24"/>
      <c r="T28" s="24"/>
      <c r="U28" s="24"/>
      <c r="V28" s="24"/>
      <c r="W28" s="24"/>
      <c r="X28" s="24"/>
      <c r="Y28" s="24"/>
      <c r="Z28" s="24"/>
      <c r="AA28" s="24"/>
    </row>
    <row r="29">
      <c r="A29" s="25" t="s">
        <v>48</v>
      </c>
      <c r="B29" s="26" t="str">
        <f>IFERROR(__xludf.DUMMYFUNCTION("""COMPUTED_VALUE"""),"Club Owner -&gt; Club Profile")</f>
        <v>Club Owner -&gt; Club Profile</v>
      </c>
      <c r="C29" s="26" t="str">
        <f>IFERROR(__xludf.DUMMYFUNCTION("""COMPUTED_VALUE"""),"UI -&gt; The Moonlight Night")</f>
        <v>UI -&gt; The Moonlight Night</v>
      </c>
      <c r="D29" s="26" t="str">
        <f>IFERROR(__xludf.DUMMYFUNCTION("""COMPUTED_VALUE"""),"Verify all fields in ""Links &amp; Contact"" section display relevant icons")</f>
        <v>Verify all fields in "Links &amp; Contact" section display relevant icons</v>
      </c>
      <c r="E29" s="26" t="str">
        <f>IFERROR(__xludf.DUMMYFUNCTION("""COMPUTED_VALUE"""),"App installed and club profile page accessible")</f>
        <v>App installed and club profile page accessible</v>
      </c>
      <c r="F29" s="26" t="str">
        <f>IFERROR(__xludf.DUMMYFUNCTION("""COMPUTED_VALUE"""),"1. Open the app  
2. Navigate to Club Profile -&gt; Neon Nightclub
3. Scroll to Links &amp; Contact section  
4. Observe each field (Instagram, TikTok, Phone, Email, Share Link, etc.)")</f>
        <v>1. Open the app  
2. Navigate to Club Profile -&gt; Neon Nightclub
3. Scroll to Links &amp; Contact section  
4. Observe each field (Instagram, TikTok, Phone, Email, Share Link, etc.)</v>
      </c>
      <c r="G29" s="26" t="str">
        <f>IFERROR(__xludf.DUMMYFUNCTION("""COMPUTED_VALUE"""),"None")</f>
        <v>None</v>
      </c>
      <c r="H29" s="26" t="str">
        <f>IFERROR(__xludf.DUMMYFUNCTION("""COMPUTED_VALUE"""),"All fields in Links &amp; Contact should display a relevant icon (e.g., Instagram icon, TikTok icon, phone icon, email icon, share icon)")</f>
        <v>All fields in Links &amp; Contact should display a relevant icon (e.g., Instagram icon, TikTok icon, phone icon, email icon, share icon)</v>
      </c>
      <c r="I29" s="26" t="str">
        <f>IFERROR(__xludf.DUMMYFUNCTION("""COMPUTED_VALUE"""),"Icons are missing")</f>
        <v>Icons are missing</v>
      </c>
      <c r="J29" s="26" t="str">
        <f>IFERROR(__xludf.DUMMYFUNCTION("""COMPUTED_VALUE"""),"Fail")</f>
        <v>Fail</v>
      </c>
      <c r="K29" s="26" t="str">
        <f>IFERROR(__xludf.DUMMYFUNCTION("""COMPUTED_VALUE"""),"Low")</f>
        <v>Low</v>
      </c>
      <c r="L29" s="27" t="str">
        <f>IFERROR(__xludf.DUMMYFUNCTION("""COMPUTED_VALUE"""),"https://jam.dev/c/f4449482-7957-4926-89e0-b7fbe9dcd357")</f>
        <v>https://jam.dev/c/f4449482-7957-4926-89e0-b7fbe9dcd357</v>
      </c>
      <c r="M29" s="26"/>
      <c r="N29" s="26" t="str">
        <f>IFERROR(__xludf.DUMMYFUNCTION("""COMPUTED_VALUE"""),"Tahsin")</f>
        <v>Tahsin</v>
      </c>
      <c r="O29" s="26"/>
      <c r="P29" s="26"/>
      <c r="Q29" s="24"/>
      <c r="R29" s="24"/>
      <c r="S29" s="24"/>
      <c r="T29" s="24"/>
      <c r="U29" s="24"/>
      <c r="V29" s="24"/>
      <c r="W29" s="24"/>
      <c r="X29" s="24"/>
      <c r="Y29" s="24"/>
      <c r="Z29" s="24"/>
      <c r="AA29" s="24"/>
    </row>
    <row r="30">
      <c r="A30" s="25" t="s">
        <v>49</v>
      </c>
      <c r="B30" s="26" t="str">
        <f>IFERROR(__xludf.DUMMYFUNCTION("""COMPUTED_VALUE"""),"Club Owner -&gt; Forget Password")</f>
        <v>Club Owner -&gt; Forget Password</v>
      </c>
      <c r="C30" s="26" t="str">
        <f>IFERROR(__xludf.DUMMYFUNCTION("""COMPUTED_VALUE"""),"Forget Password")</f>
        <v>Forget Password</v>
      </c>
      <c r="D30" s="26" t="str">
        <f>IFERROR(__xludf.DUMMYFUNCTION("""COMPUTED_VALUE"""),"Verify password change success message is displayed after forgot password reset")</f>
        <v>Verify password change success message is displayed after forgot password reset</v>
      </c>
      <c r="E30" s="26" t="str">
        <f>IFERROR(__xludf.DUMMYFUNCTION("""COMPUTED_VALUE"""),"App installed and user account exists")</f>
        <v>App installed and user account exists</v>
      </c>
      <c r="F30" s="26" t="str">
        <f>IFERROR(__xludf.DUMMYFUNCTION("""COMPUTED_VALUE"""),"1. Open the app  
2. Go to Forgot Password  
3. Enter registered email/phone and request reset  
4. Complete verification and set a new password")</f>
        <v>1. Open the app  
2. Go to Forgot Password  
3. Enter registered email/phone and request reset  
4. Complete verification and set a new password</v>
      </c>
      <c r="G30" s="26" t="str">
        <f>IFERROR(__xludf.DUMMYFUNCTION("""COMPUTED_VALUE"""),"Registered email/phone with valid verification code")</f>
        <v>Registered email/phone with valid verification code</v>
      </c>
      <c r="H30" s="26" t="str">
        <f>IFERROR(__xludf.DUMMYFUNCTION("""COMPUTED_VALUE"""),"After password reset, app should display ""Password changed successfully"" message with a Login button or navigate to login page")</f>
        <v>After password reset, app should display "Password changed successfully" message with a Login button or navigate to login page</v>
      </c>
      <c r="I30" s="26" t="str">
        <f>IFERROR(__xludf.DUMMYFUNCTION("""COMPUTED_VALUE"""),"Redirected to welcome page instead of  login option")</f>
        <v>Redirected to welcome page instead of  login option</v>
      </c>
      <c r="J30" s="26" t="str">
        <f>IFERROR(__xludf.DUMMYFUNCTION("""COMPUTED_VALUE"""),"Fail")</f>
        <v>Fail</v>
      </c>
      <c r="K30" s="26" t="str">
        <f>IFERROR(__xludf.DUMMYFUNCTION("""COMPUTED_VALUE"""),"Medium")</f>
        <v>Medium</v>
      </c>
      <c r="L30" s="28" t="str">
        <f>IFERROR(__xludf.DUMMYFUNCTION("""COMPUTED_VALUE"""),"Screenrecording_20251001_101859.mp4")</f>
        <v>Screenrecording_20251001_101859.mp4</v>
      </c>
      <c r="M30" s="26"/>
      <c r="N30" s="26" t="str">
        <f>IFERROR(__xludf.DUMMYFUNCTION("""COMPUTED_VALUE"""),"Tahsin")</f>
        <v>Tahsin</v>
      </c>
      <c r="O30" s="26"/>
      <c r="P30" s="26"/>
      <c r="Q30" s="24"/>
      <c r="R30" s="24"/>
      <c r="S30" s="24"/>
      <c r="T30" s="24"/>
      <c r="U30" s="24"/>
      <c r="V30" s="24"/>
      <c r="W30" s="24"/>
      <c r="X30" s="24"/>
      <c r="Y30" s="24"/>
      <c r="Z30" s="24"/>
      <c r="AA30" s="24"/>
    </row>
    <row r="31">
      <c r="A31" s="25" t="s">
        <v>50</v>
      </c>
      <c r="B31" s="26" t="str">
        <f>IFERROR(__xludf.DUMMYFUNCTION("""COMPUTED_VALUE"""),"Club Owner -&gt; Settings")</f>
        <v>Club Owner -&gt; Settings</v>
      </c>
      <c r="C31" s="26" t="str">
        <f>IFERROR(__xludf.DUMMYFUNCTION("""COMPUTED_VALUE"""),"Profile")</f>
        <v>Profile</v>
      </c>
      <c r="D31" s="26" t="str">
        <f>IFERROR(__xludf.DUMMYFUNCTION("""COMPUTED_VALUE"""),"Verify profile page navigation from Settings")</f>
        <v>Verify profile page navigation from Settings</v>
      </c>
      <c r="E31" s="26" t="str">
        <f>IFERROR(__xludf.DUMMYFUNCTION("""COMPUTED_VALUE"""),"App installed and user logged in")</f>
        <v>App installed and user logged in</v>
      </c>
      <c r="F31" s="26" t="str">
        <f>IFERROR(__xludf.DUMMYFUNCTION("""COMPUTED_VALUE"""),"1. Open the app  
2. Navigate to Settings  
3. Tap on Profile option")</f>
        <v>1. Open the app  
2. Navigate to Settings  
3. Tap on Profile option</v>
      </c>
      <c r="G31" s="26" t="str">
        <f>IFERROR(__xludf.DUMMYFUNCTION("""COMPUTED_VALUE"""),"None")</f>
        <v>None</v>
      </c>
      <c r="H31" s="26" t="str">
        <f>IFERROR(__xludf.DUMMYFUNCTION("""COMPUTED_VALUE"""),"Tapping on Profile in Settings should navigate to the user Profile page")</f>
        <v>Tapping on Profile in Settings should navigate to the user Profile page</v>
      </c>
      <c r="I31" s="26" t="str">
        <f>IFERROR(__xludf.DUMMYFUNCTION("""COMPUTED_VALUE"""),"Blank page is displayed instead of Profile page")</f>
        <v>Blank page is displayed instead of Profile page</v>
      </c>
      <c r="J31" s="26" t="str">
        <f>IFERROR(__xludf.DUMMYFUNCTION("""COMPUTED_VALUE"""),"Fail")</f>
        <v>Fail</v>
      </c>
      <c r="K31" s="26" t="str">
        <f>IFERROR(__xludf.DUMMYFUNCTION("""COMPUTED_VALUE"""),"High")</f>
        <v>High</v>
      </c>
      <c r="L31" s="28" t="str">
        <f>IFERROR(__xludf.DUMMYFUNCTION("""COMPUTED_VALUE"""),"MicrosoftTeams-video.mp4")</f>
        <v>MicrosoftTeams-video.mp4</v>
      </c>
      <c r="M31" s="26"/>
      <c r="N31" s="26" t="str">
        <f>IFERROR(__xludf.DUMMYFUNCTION("""COMPUTED_VALUE"""),"Tahsin")</f>
        <v>Tahsin</v>
      </c>
      <c r="O31" s="26"/>
      <c r="P31" s="26"/>
      <c r="Q31" s="24"/>
      <c r="R31" s="24"/>
      <c r="S31" s="24"/>
      <c r="T31" s="24"/>
      <c r="U31" s="24"/>
      <c r="V31" s="24"/>
      <c r="W31" s="24"/>
      <c r="X31" s="24"/>
      <c r="Y31" s="24"/>
      <c r="Z31" s="24"/>
      <c r="AA31" s="24"/>
    </row>
    <row r="32">
      <c r="A32" s="25" t="s">
        <v>51</v>
      </c>
      <c r="B32" s="26" t="str">
        <f>IFERROR(__xludf.DUMMYFUNCTION("""COMPUTED_VALUE"""),"Favourite")</f>
        <v>Favourite</v>
      </c>
      <c r="C32" s="26" t="str">
        <f>IFERROR(__xludf.DUMMYFUNCTION("""COMPUTED_VALUE"""),"Favourite")</f>
        <v>Favourite</v>
      </c>
      <c r="D32" s="26" t="str">
        <f>IFERROR(__xludf.DUMMYFUNCTION("""COMPUTED_VALUE"""),"Flow missing")</f>
        <v>Flow missing</v>
      </c>
      <c r="E32" s="26" t="str">
        <f>IFERROR(__xludf.DUMMYFUNCTION("""COMPUTED_VALUE"""),"User need to install this apk in their phone")</f>
        <v>User need to install this apk in their phone</v>
      </c>
      <c r="F32" s="26" t="str">
        <f>IFERROR(__xludf.DUMMYFUNCTION("""COMPUTED_VALUE"""),"1. Open app
2. Click on User
3. Signin using valid credentials
4. Click on favourite")</f>
        <v>1. Open app
2. Click on User
3. Signin using valid credentials
4. Click on favourite</v>
      </c>
      <c r="G32" s="26" t="str">
        <f>IFERROR(__xludf.DUMMYFUNCTION("""COMPUTED_VALUE"""),"N/A")</f>
        <v>N/A</v>
      </c>
      <c r="H32" s="26" t="str">
        <f>IFERROR(__xludf.DUMMYFUNCTION("""COMPUTED_VALUE"""),"The flow should be maintained accurately to meet the client's requirements.")</f>
        <v>The flow should be maintained accurately to meet the client's requirements.</v>
      </c>
      <c r="I32" s="26" t="str">
        <f>IFERROR(__xludf.DUMMYFUNCTION("""COMPUTED_VALUE"""),"Missing flow has been noticed on following page")</f>
        <v>Missing flow has been noticed on following page</v>
      </c>
      <c r="J32" s="26" t="str">
        <f>IFERROR(__xludf.DUMMYFUNCTION("""COMPUTED_VALUE"""),"Fail")</f>
        <v>Fail</v>
      </c>
      <c r="K32" s="26" t="str">
        <f>IFERROR(__xludf.DUMMYFUNCTION("""COMPUTED_VALUE"""),"High")</f>
        <v>High</v>
      </c>
      <c r="L32" s="27" t="str">
        <f>IFERROR(__xludf.DUMMYFUNCTION("""COMPUTED_VALUE"""),"https://drive.google.com/file/d/1ltwckdd9GzeD3aiHb8x_W-4h3omPy0mg/view?usp=drive_link")</f>
        <v>https://drive.google.com/file/d/1ltwckdd9GzeD3aiHb8x_W-4h3omPy0mg/view?usp=drive_link</v>
      </c>
      <c r="M32" s="26"/>
      <c r="N32" s="26" t="str">
        <f>IFERROR(__xludf.DUMMYFUNCTION("""COMPUTED_VALUE"""),"Fahad")</f>
        <v>Fahad</v>
      </c>
      <c r="O32" s="26"/>
      <c r="P32" s="26"/>
      <c r="Q32" s="24"/>
      <c r="R32" s="24"/>
      <c r="S32" s="24"/>
      <c r="T32" s="24"/>
      <c r="U32" s="24"/>
      <c r="V32" s="24"/>
      <c r="W32" s="24"/>
      <c r="X32" s="24"/>
      <c r="Y32" s="24"/>
      <c r="Z32" s="24"/>
      <c r="AA32" s="24"/>
    </row>
    <row r="33">
      <c r="A33" s="25" t="s">
        <v>52</v>
      </c>
      <c r="B33" s="26" t="str">
        <f>IFERROR(__xludf.DUMMYFUNCTION("""COMPUTED_VALUE"""),"For you")</f>
        <v>For you</v>
      </c>
      <c r="C33" s="26" t="str">
        <f>IFERROR(__xludf.DUMMYFUNCTION("""COMPUTED_VALUE"""),"For you")</f>
        <v>For you</v>
      </c>
      <c r="D33" s="26" t="str">
        <f>IFERROR(__xludf.DUMMYFUNCTION("""COMPUTED_VALUE"""),"UI slightly change ")</f>
        <v>UI slightly change </v>
      </c>
      <c r="E33" s="26" t="str">
        <f>IFERROR(__xludf.DUMMYFUNCTION("""COMPUTED_VALUE"""),"User need to install this apk in their phone")</f>
        <v>User need to install this apk in their phone</v>
      </c>
      <c r="F33" s="26" t="str">
        <f>IFERROR(__xludf.DUMMYFUNCTION("""COMPUTED_VALUE"""),"1. Open app
2. Click on User
3. Signin using valid credentials
4. Click on For you")</f>
        <v>1. Open app
2. Click on User
3. Signin using valid credentials
4. Click on For you</v>
      </c>
      <c r="G33" s="26" t="str">
        <f>IFERROR(__xludf.DUMMYFUNCTION("""COMPUTED_VALUE"""),"N/A")</f>
        <v>N/A</v>
      </c>
      <c r="H33" s="26" t="str">
        <f>IFERROR(__xludf.DUMMYFUNCTION("""COMPUTED_VALUE"""),"The design and alignment need to be precise.")</f>
        <v>The design and alignment need to be precise.</v>
      </c>
      <c r="I33" s="26" t="str">
        <f>IFERROR(__xludf.DUMMYFUNCTION("""COMPUTED_VALUE"""),"A different design has been noticed.")</f>
        <v>A different design has been noticed.</v>
      </c>
      <c r="J33" s="26" t="str">
        <f>IFERROR(__xludf.DUMMYFUNCTION("""COMPUTED_VALUE"""),"Fail")</f>
        <v>Fail</v>
      </c>
      <c r="K33" s="26" t="str">
        <f>IFERROR(__xludf.DUMMYFUNCTION("""COMPUTED_VALUE"""),"Low")</f>
        <v>Low</v>
      </c>
      <c r="L33" s="27" t="str">
        <f>IFERROR(__xludf.DUMMYFUNCTION("""COMPUTED_VALUE"""),"https://drive.google.com/file/d/1_nHtyjvKSv_CmQxfVCtjJRc7OZ6JltQt/view?usp=drive_link")</f>
        <v>https://drive.google.com/file/d/1_nHtyjvKSv_CmQxfVCtjJRc7OZ6JltQt/view?usp=drive_link</v>
      </c>
      <c r="M33" s="26"/>
      <c r="N33" s="26" t="str">
        <f>IFERROR(__xludf.DUMMYFUNCTION("""COMPUTED_VALUE"""),"Fahad")</f>
        <v>Fahad</v>
      </c>
      <c r="O33" s="26"/>
      <c r="P33" s="26"/>
      <c r="Q33" s="24"/>
      <c r="R33" s="24"/>
      <c r="S33" s="24"/>
      <c r="T33" s="24"/>
      <c r="U33" s="24"/>
      <c r="V33" s="24"/>
      <c r="W33" s="24"/>
      <c r="X33" s="24"/>
      <c r="Y33" s="24"/>
      <c r="Z33" s="24"/>
      <c r="AA33" s="24"/>
    </row>
    <row r="34">
      <c r="A34" s="25" t="s">
        <v>53</v>
      </c>
      <c r="B34" s="26" t="str">
        <f>IFERROR(__xludf.DUMMYFUNCTION("""COMPUTED_VALUE"""),"For you")</f>
        <v>For you</v>
      </c>
      <c r="C34" s="26" t="str">
        <f>IFERROR(__xludf.DUMMYFUNCTION("""COMPUTED_VALUE"""),"For you")</f>
        <v>For you</v>
      </c>
      <c r="D34" s="26" t="str">
        <f>IFERROR(__xludf.DUMMYFUNCTION("""COMPUTED_VALUE"""),"UI slightly change ")</f>
        <v>UI slightly change </v>
      </c>
      <c r="E34" s="26" t="str">
        <f>IFERROR(__xludf.DUMMYFUNCTION("""COMPUTED_VALUE"""),"User need to install this apk in their phone")</f>
        <v>User need to install this apk in their phone</v>
      </c>
      <c r="F34" s="26" t="str">
        <f>IFERROR(__xludf.DUMMYFUNCTION("""COMPUTED_VALUE"""),"1. Open app
2. Click on User
3. Signin using valid credentials
4. Click on For you")</f>
        <v>1. Open app
2. Click on User
3. Signin using valid credentials
4. Click on For you</v>
      </c>
      <c r="G34" s="26" t="str">
        <f>IFERROR(__xludf.DUMMYFUNCTION("""COMPUTED_VALUE"""),"N/A")</f>
        <v>N/A</v>
      </c>
      <c r="H34" s="26" t="str">
        <f>IFERROR(__xludf.DUMMYFUNCTION("""COMPUTED_VALUE"""),"The design and alignment need to be precise.")</f>
        <v>The design and alignment need to be precise.</v>
      </c>
      <c r="I34" s="26" t="str">
        <f>IFERROR(__xludf.DUMMYFUNCTION("""COMPUTED_VALUE"""),"A different design has been noticed.")</f>
        <v>A different design has been noticed.</v>
      </c>
      <c r="J34" s="26" t="str">
        <f>IFERROR(__xludf.DUMMYFUNCTION("""COMPUTED_VALUE"""),"Fail")</f>
        <v>Fail</v>
      </c>
      <c r="K34" s="26" t="str">
        <f>IFERROR(__xludf.DUMMYFUNCTION("""COMPUTED_VALUE"""),"Low")</f>
        <v>Low</v>
      </c>
      <c r="L34" s="27" t="str">
        <f>IFERROR(__xludf.DUMMYFUNCTION("""COMPUTED_VALUE"""),"https://drive.google.com/file/d/15kXOmeGqrrotJmHxyKUsLyHIDt8cBvDi/view?usp=drive_link")</f>
        <v>https://drive.google.com/file/d/15kXOmeGqrrotJmHxyKUsLyHIDt8cBvDi/view?usp=drive_link</v>
      </c>
      <c r="M34" s="26"/>
      <c r="N34" s="26" t="str">
        <f>IFERROR(__xludf.DUMMYFUNCTION("""COMPUTED_VALUE"""),"Fahad")</f>
        <v>Fahad</v>
      </c>
      <c r="O34" s="26"/>
      <c r="P34" s="26"/>
      <c r="Q34" s="24"/>
      <c r="R34" s="24"/>
      <c r="S34" s="24"/>
      <c r="T34" s="24"/>
      <c r="U34" s="24"/>
      <c r="V34" s="24"/>
      <c r="W34" s="24"/>
      <c r="X34" s="24"/>
      <c r="Y34" s="24"/>
      <c r="Z34" s="24"/>
      <c r="AA34" s="24"/>
    </row>
    <row r="35">
      <c r="A35" s="25" t="s">
        <v>54</v>
      </c>
      <c r="B35" s="26" t="str">
        <f>IFERROR(__xludf.DUMMYFUNCTION("""COMPUTED_VALUE"""),"Foryou")</f>
        <v>Foryou</v>
      </c>
      <c r="C35" s="26" t="str">
        <f>IFERROR(__xludf.DUMMYFUNCTION("""COMPUTED_VALUE"""),"Foryou")</f>
        <v>Foryou</v>
      </c>
      <c r="D35" s="26" t="str">
        <f>IFERROR(__xludf.DUMMYFUNCTION("""COMPUTED_VALUE"""),"Overflow has been noticed")</f>
        <v>Overflow has been noticed</v>
      </c>
      <c r="E35" s="26" t="str">
        <f>IFERROR(__xludf.DUMMYFUNCTION("""COMPUTED_VALUE"""),"User need to install this apk in their phone")</f>
        <v>User need to install this apk in their phone</v>
      </c>
      <c r="F35" s="26" t="str">
        <f>IFERROR(__xludf.DUMMYFUNCTION("""COMPUTED_VALUE"""),"1. Open app
2. Click on User
3. Signin using valid credentials
4. Click on For you")</f>
        <v>1. Open app
2. Click on User
3. Signin using valid credentials
4. Click on For you</v>
      </c>
      <c r="G35" s="26" t="str">
        <f>IFERROR(__xludf.DUMMYFUNCTION("""COMPUTED_VALUE"""),"N/A")</f>
        <v>N/A</v>
      </c>
      <c r="H35" s="26" t="str">
        <f>IFERROR(__xludf.DUMMYFUNCTION("""COMPUTED_VALUE"""),"No overflow should be displayed in the app")</f>
        <v>No overflow should be displayed in the app</v>
      </c>
      <c r="I35" s="26" t="str">
        <f>IFERROR(__xludf.DUMMYFUNCTION("""COMPUTED_VALUE"""),"The banner overflow has been noticed.")</f>
        <v>The banner overflow has been noticed.</v>
      </c>
      <c r="J35" s="26" t="str">
        <f>IFERROR(__xludf.DUMMYFUNCTION("""COMPUTED_VALUE"""),"Fail")</f>
        <v>Fail</v>
      </c>
      <c r="K35" s="26" t="str">
        <f>IFERROR(__xludf.DUMMYFUNCTION("""COMPUTED_VALUE"""),"Low")</f>
        <v>Low</v>
      </c>
      <c r="L35" s="27" t="str">
        <f>IFERROR(__xludf.DUMMYFUNCTION("""COMPUTED_VALUE"""),"https://drive.google.com/file/d/1FcOxxr4FYoMt333WQWHmLO8TLtWRekGh/view?usp=drive_link")</f>
        <v>https://drive.google.com/file/d/1FcOxxr4FYoMt333WQWHmLO8TLtWRekGh/view?usp=drive_link</v>
      </c>
      <c r="M35" s="26"/>
      <c r="N35" s="26" t="str">
        <f>IFERROR(__xludf.DUMMYFUNCTION("""COMPUTED_VALUE"""),"Fahad")</f>
        <v>Fahad</v>
      </c>
      <c r="O35" s="26"/>
      <c r="P35" s="26"/>
      <c r="Q35" s="24"/>
      <c r="R35" s="24"/>
      <c r="S35" s="24"/>
      <c r="T35" s="24"/>
      <c r="U35" s="24"/>
      <c r="V35" s="24"/>
      <c r="W35" s="24"/>
      <c r="X35" s="24"/>
      <c r="Y35" s="24"/>
      <c r="Z35" s="24"/>
      <c r="AA35" s="24"/>
    </row>
    <row r="36">
      <c r="A36" s="25" t="s">
        <v>55</v>
      </c>
      <c r="B36" s="26" t="str">
        <f>IFERROR(__xludf.DUMMYFUNCTION("""COMPUTED_VALUE"""),"Home")</f>
        <v>Home</v>
      </c>
      <c r="C36" s="26" t="str">
        <f>IFERROR(__xludf.DUMMYFUNCTION("""COMPUTED_VALUE"""),"Explore")</f>
        <v>Explore</v>
      </c>
      <c r="D36" s="26" t="str">
        <f>IFERROR(__xludf.DUMMYFUNCTION("""COMPUTED_VALUE"""),"Failed to load map")</f>
        <v>Failed to load map</v>
      </c>
      <c r="E36" s="26" t="str">
        <f>IFERROR(__xludf.DUMMYFUNCTION("""COMPUTED_VALUE"""),"User need to install this apk in their phone")</f>
        <v>User need to install this apk in their phone</v>
      </c>
      <c r="F36" s="26" t="str">
        <f>IFERROR(__xludf.DUMMYFUNCTION("""COMPUTED_VALUE"""),"1. Open app
2. Click on User
3. Signin using valid credentials
4. Click on explore")</f>
        <v>1. Open app
2. Click on User
3. Signin using valid credentials
4. Click on explore</v>
      </c>
      <c r="G36" s="26" t="str">
        <f>IFERROR(__xludf.DUMMYFUNCTION("""COMPUTED_VALUE"""),"N/A")</f>
        <v>N/A</v>
      </c>
      <c r="H36" s="26" t="str">
        <f>IFERROR(__xludf.DUMMYFUNCTION("""COMPUTED_VALUE"""),"The map should load accurately in the explore section and filter nearby recommended locations.")</f>
        <v>The map should load accurately in the explore section and filter nearby recommended locations.</v>
      </c>
      <c r="I36" s="26" t="str">
        <f>IFERROR(__xludf.DUMMYFUNCTION("""COMPUTED_VALUE"""),"Failed to load map in the screen")</f>
        <v>Failed to load map in the screen</v>
      </c>
      <c r="J36" s="26" t="str">
        <f>IFERROR(__xludf.DUMMYFUNCTION("""COMPUTED_VALUE"""),"Fail")</f>
        <v>Fail</v>
      </c>
      <c r="K36" s="26" t="str">
        <f>IFERROR(__xludf.DUMMYFUNCTION("""COMPUTED_VALUE"""),"High")</f>
        <v>High</v>
      </c>
      <c r="L36" s="27" t="str">
        <f>IFERROR(__xludf.DUMMYFUNCTION("""COMPUTED_VALUE"""),"https://drive.google.com/file/d/1CX9DBys55M7kI0fIAeiWmRbQ0FV6l8_3/view?usp=drive_link")</f>
        <v>https://drive.google.com/file/d/1CX9DBys55M7kI0fIAeiWmRbQ0FV6l8_3/view?usp=drive_link</v>
      </c>
      <c r="M36" s="26"/>
      <c r="N36" s="26" t="str">
        <f>IFERROR(__xludf.DUMMYFUNCTION("""COMPUTED_VALUE"""),"Fahad")</f>
        <v>Fahad</v>
      </c>
      <c r="O36" s="26"/>
      <c r="P36" s="26"/>
      <c r="Q36" s="24"/>
      <c r="R36" s="24"/>
      <c r="S36" s="24"/>
      <c r="T36" s="24"/>
      <c r="U36" s="24"/>
      <c r="V36" s="24"/>
      <c r="W36" s="24"/>
      <c r="X36" s="24"/>
      <c r="Y36" s="24"/>
      <c r="Z36" s="24"/>
      <c r="AA36" s="24"/>
    </row>
    <row r="37">
      <c r="A37" s="25" t="s">
        <v>56</v>
      </c>
      <c r="B37" s="26" t="str">
        <f>IFERROR(__xludf.DUMMYFUNCTION("""COMPUTED_VALUE"""),"Home")</f>
        <v>Home</v>
      </c>
      <c r="C37" s="26" t="str">
        <f>IFERROR(__xludf.DUMMYFUNCTION("""COMPUTED_VALUE"""),"Home")</f>
        <v>Home</v>
      </c>
      <c r="D37" s="26" t="str">
        <f>IFERROR(__xludf.DUMMYFUNCTION("""COMPUTED_VALUE"""),"The module placement was swapped.")</f>
        <v>The module placement was swapped.</v>
      </c>
      <c r="E37" s="26" t="str">
        <f>IFERROR(__xludf.DUMMYFUNCTION("""COMPUTED_VALUE"""),"User need to install this apk in their phone")</f>
        <v>User need to install this apk in their phone</v>
      </c>
      <c r="F37" s="26" t="str">
        <f>IFERROR(__xludf.DUMMYFUNCTION("""COMPUTED_VALUE"""),"1. Open app
2. Click on User
3. Signin using valid credentials")</f>
        <v>1. Open app
2. Click on User
3. Signin using valid credentials</v>
      </c>
      <c r="G37" s="26" t="str">
        <f>IFERROR(__xludf.DUMMYFUNCTION("""COMPUTED_VALUE"""),"N/A")</f>
        <v>N/A</v>
      </c>
      <c r="H37" s="26" t="str">
        <f>IFERROR(__xludf.DUMMYFUNCTION("""COMPUTED_VALUE"""),"Features need to be placed accurately, just like in design.")</f>
        <v>Features need to be placed accurately, just like in design.</v>
      </c>
      <c r="I37" s="26" t="str">
        <f>IFERROR(__xludf.DUMMYFUNCTION("""COMPUTED_VALUE"""),"A module position swap has been observed.")</f>
        <v>A module position swap has been observed.</v>
      </c>
      <c r="J37" s="26" t="str">
        <f>IFERROR(__xludf.DUMMYFUNCTION("""COMPUTED_VALUE"""),"Fail")</f>
        <v>Fail</v>
      </c>
      <c r="K37" s="26" t="str">
        <f>IFERROR(__xludf.DUMMYFUNCTION("""COMPUTED_VALUE"""),"Low")</f>
        <v>Low</v>
      </c>
      <c r="L37" s="27" t="str">
        <f>IFERROR(__xludf.DUMMYFUNCTION("""COMPUTED_VALUE"""),"https://drive.google.com/file/d/1YRBrx-Yn4WBwsiUwZW54fnTlzpgIw6x2/view?usp=drive_link")</f>
        <v>https://drive.google.com/file/d/1YRBrx-Yn4WBwsiUwZW54fnTlzpgIw6x2/view?usp=drive_link</v>
      </c>
      <c r="M37" s="26"/>
      <c r="N37" s="26" t="str">
        <f>IFERROR(__xludf.DUMMYFUNCTION("""COMPUTED_VALUE"""),"Fahad")</f>
        <v>Fahad</v>
      </c>
      <c r="O37" s="26"/>
      <c r="P37" s="26"/>
      <c r="Q37" s="24"/>
      <c r="R37" s="24"/>
      <c r="S37" s="24"/>
      <c r="T37" s="24"/>
      <c r="U37" s="24"/>
      <c r="V37" s="24"/>
      <c r="W37" s="24"/>
      <c r="X37" s="24"/>
      <c r="Y37" s="24"/>
      <c r="Z37" s="24"/>
      <c r="AA37" s="24"/>
    </row>
    <row r="38">
      <c r="A38" s="25" t="s">
        <v>57</v>
      </c>
      <c r="B38" s="26" t="str">
        <f>IFERROR(__xludf.DUMMYFUNCTION("""COMPUTED_VALUE"""),"Home")</f>
        <v>Home</v>
      </c>
      <c r="C38" s="26" t="str">
        <f>IFERROR(__xludf.DUMMYFUNCTION("""COMPUTED_VALUE"""),"Home")</f>
        <v>Home</v>
      </c>
      <c r="D38" s="26" t="str">
        <f>IFERROR(__xludf.DUMMYFUNCTION("""COMPUTED_VALUE"""),"The UI does not match the client's requirements.")</f>
        <v>The UI does not match the client's requirements.</v>
      </c>
      <c r="E38" s="26" t="str">
        <f>IFERROR(__xludf.DUMMYFUNCTION("""COMPUTED_VALUE"""),"User need to install this apk in their phone")</f>
        <v>User need to install this apk in their phone</v>
      </c>
      <c r="F38" s="26" t="str">
        <f>IFERROR(__xludf.DUMMYFUNCTION("""COMPUTED_VALUE"""),"1. Open app
2. Click on User
3. Signin using valid credentials")</f>
        <v>1. Open app
2. Click on User
3. Signin using valid credentials</v>
      </c>
      <c r="G38" s="26" t="str">
        <f>IFERROR(__xludf.DUMMYFUNCTION("""COMPUTED_VALUE"""),"N/A")</f>
        <v>N/A</v>
      </c>
      <c r="H38" s="26" t="str">
        <f>IFERROR(__xludf.DUMMYFUNCTION("""COMPUTED_VALUE"""),"The design and alignment need to be precise.")</f>
        <v>The design and alignment need to be precise.</v>
      </c>
      <c r="I38" s="26" t="str">
        <f>IFERROR(__xludf.DUMMYFUNCTION("""COMPUTED_VALUE"""),"A different design has been noticed.")</f>
        <v>A different design has been noticed.</v>
      </c>
      <c r="J38" s="26" t="str">
        <f>IFERROR(__xludf.DUMMYFUNCTION("""COMPUTED_VALUE"""),"Fail")</f>
        <v>Fail</v>
      </c>
      <c r="K38" s="26" t="str">
        <f>IFERROR(__xludf.DUMMYFUNCTION("""COMPUTED_VALUE"""),"Low")</f>
        <v>Low</v>
      </c>
      <c r="L38" s="27" t="str">
        <f>IFERROR(__xludf.DUMMYFUNCTION("""COMPUTED_VALUE"""),"https://drive.google.com/file/d/1WCdXoPKFRgUKt6Iv1Zg6M-dz8GsLyBtF/view?usp=drive_link")</f>
        <v>https://drive.google.com/file/d/1WCdXoPKFRgUKt6Iv1Zg6M-dz8GsLyBtF/view?usp=drive_link</v>
      </c>
      <c r="M38" s="26"/>
      <c r="N38" s="26" t="str">
        <f>IFERROR(__xludf.DUMMYFUNCTION("""COMPUTED_VALUE"""),"Fahad")</f>
        <v>Fahad</v>
      </c>
      <c r="O38" s="26"/>
      <c r="P38" s="26"/>
      <c r="Q38" s="24"/>
      <c r="R38" s="24"/>
      <c r="S38" s="24"/>
      <c r="T38" s="24"/>
      <c r="U38" s="24"/>
      <c r="V38" s="24"/>
      <c r="W38" s="24"/>
      <c r="X38" s="24"/>
      <c r="Y38" s="24"/>
      <c r="Z38" s="24"/>
      <c r="AA38" s="24"/>
    </row>
    <row r="39">
      <c r="A39" s="25" t="s">
        <v>58</v>
      </c>
      <c r="B39" s="26" t="str">
        <f>IFERROR(__xludf.DUMMYFUNCTION("""COMPUTED_VALUE"""),"Home")</f>
        <v>Home</v>
      </c>
      <c r="C39" s="26" t="str">
        <f>IFERROR(__xludf.DUMMYFUNCTION("""COMPUTED_VALUE"""),"Home")</f>
        <v>Home</v>
      </c>
      <c r="D39" s="26" t="str">
        <f>IFERROR(__xludf.DUMMYFUNCTION("""COMPUTED_VALUE"""),"The user profile and other elements are missing in the header section of the app.")</f>
        <v>The user profile and other elements are missing in the header section of the app.</v>
      </c>
      <c r="E39" s="26" t="str">
        <f>IFERROR(__xludf.DUMMYFUNCTION("""COMPUTED_VALUE"""),"User need to install this apk in their phone")</f>
        <v>User need to install this apk in their phone</v>
      </c>
      <c r="F39" s="26" t="str">
        <f>IFERROR(__xludf.DUMMYFUNCTION("""COMPUTED_VALUE"""),"1. Open app
2. Click on User
3. Signin using valid credentials")</f>
        <v>1. Open app
2. Click on User
3. Signin using valid credentials</v>
      </c>
      <c r="G39" s="26" t="str">
        <f>IFERROR(__xludf.DUMMYFUNCTION("""COMPUTED_VALUE"""),"N/A")</f>
        <v>N/A</v>
      </c>
      <c r="H39" s="26" t="str">
        <f>IFERROR(__xludf.DUMMYFUNCTION("""COMPUTED_VALUE"""),"All modules and features should be perfectly aligned with the client specifications.")</f>
        <v>All modules and features should be perfectly aligned with the client specifications.</v>
      </c>
      <c r="I39" s="26" t="str">
        <f>IFERROR(__xludf.DUMMYFUNCTION("""COMPUTED_VALUE"""),"Module missing in the home page")</f>
        <v>Module missing in the home page</v>
      </c>
      <c r="J39" s="26" t="str">
        <f>IFERROR(__xludf.DUMMYFUNCTION("""COMPUTED_VALUE"""),"Fail")</f>
        <v>Fail</v>
      </c>
      <c r="K39" s="26" t="str">
        <f>IFERROR(__xludf.DUMMYFUNCTION("""COMPUTED_VALUE"""),"High")</f>
        <v>High</v>
      </c>
      <c r="L39" s="27" t="str">
        <f>IFERROR(__xludf.DUMMYFUNCTION("""COMPUTED_VALUE"""),"https://drive.google.com/file/d/1IFz3t8DTlHXYjQuZzc6eRC557plVi12O/view?usp=drive_link")</f>
        <v>https://drive.google.com/file/d/1IFz3t8DTlHXYjQuZzc6eRC557plVi12O/view?usp=drive_link</v>
      </c>
      <c r="M39" s="26"/>
      <c r="N39" s="26" t="str">
        <f>IFERROR(__xludf.DUMMYFUNCTION("""COMPUTED_VALUE"""),"Fahad")</f>
        <v>Fahad</v>
      </c>
      <c r="O39" s="26"/>
      <c r="P39" s="26"/>
      <c r="Q39" s="24"/>
      <c r="R39" s="24"/>
      <c r="S39" s="24"/>
      <c r="T39" s="24"/>
      <c r="U39" s="24"/>
      <c r="V39" s="24"/>
      <c r="W39" s="24"/>
      <c r="X39" s="24"/>
      <c r="Y39" s="24"/>
      <c r="Z39" s="24"/>
      <c r="AA39" s="24"/>
    </row>
    <row r="40">
      <c r="A40" s="25" t="s">
        <v>59</v>
      </c>
      <c r="B40" s="26" t="str">
        <f>IFERROR(__xludf.DUMMYFUNCTION("""COMPUTED_VALUE"""),"Home")</f>
        <v>Home</v>
      </c>
      <c r="C40" s="26" t="str">
        <f>IFERROR(__xludf.DUMMYFUNCTION("""COMPUTED_VALUE"""),"Home")</f>
        <v>Home</v>
      </c>
      <c r="D40" s="26" t="str">
        <f>IFERROR(__xludf.DUMMYFUNCTION("""COMPUTED_VALUE"""),"filter option missing in the home page")</f>
        <v>filter option missing in the home page</v>
      </c>
      <c r="E40" s="26" t="str">
        <f>IFERROR(__xludf.DUMMYFUNCTION("""COMPUTED_VALUE"""),"User need to install this apk in their phone")</f>
        <v>User need to install this apk in their phone</v>
      </c>
      <c r="F40" s="26" t="str">
        <f>IFERROR(__xludf.DUMMYFUNCTION("""COMPUTED_VALUE"""),"1. Open app
2. Click on User
3. Signin using valid credentials")</f>
        <v>1. Open app
2. Click on User
3. Signin using valid credentials</v>
      </c>
      <c r="G40" s="26" t="str">
        <f>IFERROR(__xludf.DUMMYFUNCTION("""COMPUTED_VALUE"""),"N/A")</f>
        <v>N/A</v>
      </c>
      <c r="H40" s="26" t="str">
        <f>IFERROR(__xludf.DUMMYFUNCTION("""COMPUTED_VALUE"""),"All modules and features should be perfectly aligned with the client specifications.")</f>
        <v>All modules and features should be perfectly aligned with the client specifications.</v>
      </c>
      <c r="I40" s="26" t="str">
        <f>IFERROR(__xludf.DUMMYFUNCTION("""COMPUTED_VALUE"""),"Module missing in the home page")</f>
        <v>Module missing in the home page</v>
      </c>
      <c r="J40" s="26" t="str">
        <f>IFERROR(__xludf.DUMMYFUNCTION("""COMPUTED_VALUE"""),"Fail")</f>
        <v>Fail</v>
      </c>
      <c r="K40" s="26" t="str">
        <f>IFERROR(__xludf.DUMMYFUNCTION("""COMPUTED_VALUE"""),"High")</f>
        <v>High</v>
      </c>
      <c r="L40" s="27" t="str">
        <f>IFERROR(__xludf.DUMMYFUNCTION("""COMPUTED_VALUE"""),"https://drive.google.com/file/d/1TGXEofC4LSp8qAeuzECeGjJHONfWFH39/view?usp=drive_link")</f>
        <v>https://drive.google.com/file/d/1TGXEofC4LSp8qAeuzECeGjJHONfWFH39/view?usp=drive_link</v>
      </c>
      <c r="M40" s="26"/>
      <c r="N40" s="26" t="str">
        <f>IFERROR(__xludf.DUMMYFUNCTION("""COMPUTED_VALUE"""),"Fahad")</f>
        <v>Fahad</v>
      </c>
      <c r="O40" s="26"/>
      <c r="P40" s="26"/>
      <c r="Q40" s="24"/>
      <c r="R40" s="24"/>
      <c r="S40" s="24"/>
      <c r="T40" s="24"/>
      <c r="U40" s="24"/>
      <c r="V40" s="24"/>
      <c r="W40" s="24"/>
      <c r="X40" s="24"/>
      <c r="Y40" s="24"/>
      <c r="Z40" s="24"/>
      <c r="AA40" s="24"/>
    </row>
    <row r="41">
      <c r="A41" s="25" t="s">
        <v>60</v>
      </c>
      <c r="B41" s="26" t="str">
        <f>IFERROR(__xludf.DUMMYFUNCTION("""COMPUTED_VALUE"""),"Landing page")</f>
        <v>Landing page</v>
      </c>
      <c r="C41" s="26" t="str">
        <f>IFERROR(__xludf.DUMMYFUNCTION("""COMPUTED_VALUE"""),"Landing page")</f>
        <v>Landing page</v>
      </c>
      <c r="D41" s="26" t="str">
        <f>IFERROR(__xludf.DUMMYFUNCTION("""COMPUTED_VALUE"""),"Icon and app name spacing")</f>
        <v>Icon and app name spacing</v>
      </c>
      <c r="E41" s="26" t="str">
        <f>IFERROR(__xludf.DUMMYFUNCTION("""COMPUTED_VALUE"""),"User need to install this apk in their phone")</f>
        <v>User need to install this apk in their phone</v>
      </c>
      <c r="F41" s="26" t="str">
        <f>IFERROR(__xludf.DUMMYFUNCTION("""COMPUTED_VALUE"""),"1. Open app")</f>
        <v>1. Open app</v>
      </c>
      <c r="G41" s="26" t="str">
        <f>IFERROR(__xludf.DUMMYFUNCTION("""COMPUTED_VALUE"""),"N/A")</f>
        <v>N/A</v>
      </c>
      <c r="H41" s="26" t="str">
        <f>IFERROR(__xludf.DUMMYFUNCTION("""COMPUTED_VALUE"""),"Design and alignment should match the requirements.")</f>
        <v>Design and alignment should match the requirements.</v>
      </c>
      <c r="I41" s="26" t="str">
        <f>IFERROR(__xludf.DUMMYFUNCTION("""COMPUTED_VALUE"""),"Different design has been noticed")</f>
        <v>Different design has been noticed</v>
      </c>
      <c r="J41" s="26" t="str">
        <f>IFERROR(__xludf.DUMMYFUNCTION("""COMPUTED_VALUE"""),"Fail")</f>
        <v>Fail</v>
      </c>
      <c r="K41" s="26" t="str">
        <f>IFERROR(__xludf.DUMMYFUNCTION("""COMPUTED_VALUE"""),"Low")</f>
        <v>Low</v>
      </c>
      <c r="L41" s="27" t="str">
        <f>IFERROR(__xludf.DUMMYFUNCTION("""COMPUTED_VALUE"""),"https://drive.google.com/file/d/12kJ_338TSjVpxvP6vpCSQyyKMXvM4fMd/view?usp=sharing")</f>
        <v>https://drive.google.com/file/d/12kJ_338TSjVpxvP6vpCSQyyKMXvM4fMd/view?usp=sharing</v>
      </c>
      <c r="M41" s="26"/>
      <c r="N41" s="26" t="str">
        <f>IFERROR(__xludf.DUMMYFUNCTION("""COMPUTED_VALUE"""),"Fahad")</f>
        <v>Fahad</v>
      </c>
      <c r="O41" s="26"/>
      <c r="P41" s="26"/>
      <c r="Q41" s="24"/>
      <c r="R41" s="24"/>
      <c r="S41" s="24"/>
      <c r="T41" s="24"/>
      <c r="U41" s="24"/>
      <c r="V41" s="24"/>
      <c r="W41" s="24"/>
      <c r="X41" s="24"/>
      <c r="Y41" s="24"/>
      <c r="Z41" s="24"/>
      <c r="AA41" s="24"/>
    </row>
    <row r="42">
      <c r="A42" s="25" t="s">
        <v>61</v>
      </c>
      <c r="B42" s="26" t="str">
        <f>IFERROR(__xludf.DUMMYFUNCTION("""COMPUTED_VALUE"""),"Landing page")</f>
        <v>Landing page</v>
      </c>
      <c r="C42" s="26" t="str">
        <f>IFERROR(__xludf.DUMMYFUNCTION("""COMPUTED_VALUE"""),"Landing page")</f>
        <v>Landing page</v>
      </c>
      <c r="D42" s="26" t="str">
        <f>IFERROR(__xludf.DUMMYFUNCTION("""COMPUTED_VALUE"""),"The landing page image is different.")</f>
        <v>The landing page image is different.</v>
      </c>
      <c r="E42" s="26" t="str">
        <f>IFERROR(__xludf.DUMMYFUNCTION("""COMPUTED_VALUE"""),"User need to install this apk in their phone")</f>
        <v>User need to install this apk in their phone</v>
      </c>
      <c r="F42" s="26" t="str">
        <f>IFERROR(__xludf.DUMMYFUNCTION("""COMPUTED_VALUE"""),"1. Open app")</f>
        <v>1. Open app</v>
      </c>
      <c r="G42" s="26" t="str">
        <f>IFERROR(__xludf.DUMMYFUNCTION("""COMPUTED_VALUE"""),"N/A")</f>
        <v>N/A</v>
      </c>
      <c r="H42" s="26" t="str">
        <f>IFERROR(__xludf.DUMMYFUNCTION("""COMPUTED_VALUE"""),"Design and alignment should be as same as requirement")</f>
        <v>Design and alignment should be as same as requirement</v>
      </c>
      <c r="I42" s="26" t="str">
        <f>IFERROR(__xludf.DUMMYFUNCTION("""COMPUTED_VALUE"""),"Different design has been noticed")</f>
        <v>Different design has been noticed</v>
      </c>
      <c r="J42" s="26" t="str">
        <f>IFERROR(__xludf.DUMMYFUNCTION("""COMPUTED_VALUE"""),"Fail")</f>
        <v>Fail</v>
      </c>
      <c r="K42" s="26" t="str">
        <f>IFERROR(__xludf.DUMMYFUNCTION("""COMPUTED_VALUE"""),"Low")</f>
        <v>Low</v>
      </c>
      <c r="L42" s="27" t="str">
        <f>IFERROR(__xludf.DUMMYFUNCTION("""COMPUTED_VALUE"""),"https://drive.google.com/file/d/1N0JkA_UR1Vq-NR9mYUiC31Fekl7UTPVj/view?usp=drive_link")</f>
        <v>https://drive.google.com/file/d/1N0JkA_UR1Vq-NR9mYUiC31Fekl7UTPVj/view?usp=drive_link</v>
      </c>
      <c r="M42" s="26"/>
      <c r="N42" s="26" t="str">
        <f>IFERROR(__xludf.DUMMYFUNCTION("""COMPUTED_VALUE"""),"Fahad")</f>
        <v>Fahad</v>
      </c>
      <c r="O42" s="26"/>
      <c r="P42" s="26"/>
      <c r="Q42" s="24"/>
      <c r="R42" s="24"/>
      <c r="S42" s="24"/>
      <c r="T42" s="24"/>
      <c r="U42" s="24"/>
      <c r="V42" s="24"/>
      <c r="W42" s="24"/>
      <c r="X42" s="24"/>
      <c r="Y42" s="24"/>
      <c r="Z42" s="24"/>
      <c r="AA42" s="24"/>
    </row>
    <row r="43">
      <c r="A43" s="25" t="s">
        <v>62</v>
      </c>
      <c r="B43" s="26" t="str">
        <f>IFERROR(__xludf.DUMMYFUNCTION("""COMPUTED_VALUE"""),"Landing page")</f>
        <v>Landing page</v>
      </c>
      <c r="C43" s="26" t="str">
        <f>IFERROR(__xludf.DUMMYFUNCTION("""COMPUTED_VALUE"""),"Landing page")</f>
        <v>Landing page</v>
      </c>
      <c r="D43" s="26" t="str">
        <f>IFERROR(__xludf.DUMMYFUNCTION("""COMPUTED_VALUE"""),"The app name is different from the design.")</f>
        <v>The app name is different from the design.</v>
      </c>
      <c r="E43" s="26" t="str">
        <f>IFERROR(__xludf.DUMMYFUNCTION("""COMPUTED_VALUE"""),"User need to install this apk in their phone")</f>
        <v>User need to install this apk in their phone</v>
      </c>
      <c r="F43" s="26" t="str">
        <f>IFERROR(__xludf.DUMMYFUNCTION("""COMPUTED_VALUE"""),"1. Open app
2. Click on User")</f>
        <v>1. Open app
2. Click on User</v>
      </c>
      <c r="G43" s="26" t="str">
        <f>IFERROR(__xludf.DUMMYFUNCTION("""COMPUTED_VALUE"""),"N/A")</f>
        <v>N/A</v>
      </c>
      <c r="H43" s="26" t="str">
        <f>IFERROR(__xludf.DUMMYFUNCTION("""COMPUTED_VALUE"""),"The app name and its design on the landing page should match the client's requirements.")</f>
        <v>The app name and its design on the landing page should match the client's requirements.</v>
      </c>
      <c r="I43" s="26" t="str">
        <f>IFERROR(__xludf.DUMMYFUNCTION("""COMPUTED_VALUE"""),"The app name and design on the device do not match the requirements.")</f>
        <v>The app name and design on the device do not match the requirements.</v>
      </c>
      <c r="J43" s="26" t="str">
        <f>IFERROR(__xludf.DUMMYFUNCTION("""COMPUTED_VALUE"""),"Fail")</f>
        <v>Fail</v>
      </c>
      <c r="K43" s="26" t="str">
        <f>IFERROR(__xludf.DUMMYFUNCTION("""COMPUTED_VALUE"""),"Low")</f>
        <v>Low</v>
      </c>
      <c r="L43" s="27" t="str">
        <f>IFERROR(__xludf.DUMMYFUNCTION("""COMPUTED_VALUE"""),"https://drive.google.com/file/d/1-_UAQBhCvWXDuEdK2McjnjvoOkZZMLDl/view?usp=drive_link")</f>
        <v>https://drive.google.com/file/d/1-_UAQBhCvWXDuEdK2McjnjvoOkZZMLDl/view?usp=drive_link</v>
      </c>
      <c r="M43" s="26"/>
      <c r="N43" s="26" t="str">
        <f>IFERROR(__xludf.DUMMYFUNCTION("""COMPUTED_VALUE"""),"Fahad")</f>
        <v>Fahad</v>
      </c>
      <c r="O43" s="26"/>
      <c r="P43" s="26"/>
      <c r="Q43" s="24"/>
      <c r="R43" s="24"/>
      <c r="S43" s="24"/>
      <c r="T43" s="24"/>
      <c r="U43" s="24"/>
      <c r="V43" s="24"/>
      <c r="W43" s="24"/>
      <c r="X43" s="24"/>
      <c r="Y43" s="24"/>
      <c r="Z43" s="24"/>
      <c r="AA43" s="24"/>
    </row>
    <row r="44">
      <c r="A44" s="25" t="s">
        <v>63</v>
      </c>
      <c r="B44" s="26" t="str">
        <f>IFERROR(__xludf.DUMMYFUNCTION("""COMPUTED_VALUE"""),"Nearby")</f>
        <v>Nearby</v>
      </c>
      <c r="C44" s="26" t="str">
        <f>IFERROR(__xludf.DUMMYFUNCTION("""COMPUTED_VALUE"""),"Nearby")</f>
        <v>Nearby</v>
      </c>
      <c r="D44" s="26" t="str">
        <f>IFERROR(__xludf.DUMMYFUNCTION("""COMPUTED_VALUE"""),"Overflow has been noticed")</f>
        <v>Overflow has been noticed</v>
      </c>
      <c r="E44" s="26" t="str">
        <f>IFERROR(__xludf.DUMMYFUNCTION("""COMPUTED_VALUE"""),"User need to install this apk in their phone")</f>
        <v>User need to install this apk in their phone</v>
      </c>
      <c r="F44" s="26" t="str">
        <f>IFERROR(__xludf.DUMMYFUNCTION("""COMPUTED_VALUE"""),"1. Open app
2. Click on User
3. Signin using valid credentials
4. Click on Nearby")</f>
        <v>1. Open app
2. Click on User
3. Signin using valid credentials
4. Click on Nearby</v>
      </c>
      <c r="G44" s="26" t="str">
        <f>IFERROR(__xludf.DUMMYFUNCTION("""COMPUTED_VALUE"""),"N/A")</f>
        <v>N/A</v>
      </c>
      <c r="H44" s="26" t="str">
        <f>IFERROR(__xludf.DUMMYFUNCTION("""COMPUTED_VALUE"""),"No overflow should be displayed in the app")</f>
        <v>No overflow should be displayed in the app</v>
      </c>
      <c r="I44" s="26" t="str">
        <f>IFERROR(__xludf.DUMMYFUNCTION("""COMPUTED_VALUE"""),"The banner overflow has been noticed.")</f>
        <v>The banner overflow has been noticed.</v>
      </c>
      <c r="J44" s="26" t="str">
        <f>IFERROR(__xludf.DUMMYFUNCTION("""COMPUTED_VALUE"""),"Fail")</f>
        <v>Fail</v>
      </c>
      <c r="K44" s="26" t="str">
        <f>IFERROR(__xludf.DUMMYFUNCTION("""COMPUTED_VALUE"""),"Low")</f>
        <v>Low</v>
      </c>
      <c r="L44" s="27" t="str">
        <f>IFERROR(__xludf.DUMMYFUNCTION("""COMPUTED_VALUE"""),"https://drive.google.com/file/d/10OrnC0cHUOHJOVk6g0G6IYV1v-KaTJqr/view?usp=drive_link")</f>
        <v>https://drive.google.com/file/d/10OrnC0cHUOHJOVk6g0G6IYV1v-KaTJqr/view?usp=drive_link</v>
      </c>
      <c r="M44" s="26"/>
      <c r="N44" s="26" t="str">
        <f>IFERROR(__xludf.DUMMYFUNCTION("""COMPUTED_VALUE"""),"Fahad")</f>
        <v>Fahad</v>
      </c>
      <c r="O44" s="26"/>
      <c r="P44" s="26"/>
      <c r="Q44" s="24"/>
      <c r="R44" s="24"/>
      <c r="S44" s="24"/>
      <c r="T44" s="24"/>
      <c r="U44" s="24"/>
      <c r="V44" s="24"/>
      <c r="W44" s="24"/>
      <c r="X44" s="24"/>
      <c r="Y44" s="24"/>
      <c r="Z44" s="24"/>
      <c r="AA44" s="24"/>
    </row>
    <row r="45">
      <c r="A45" s="25" t="s">
        <v>64</v>
      </c>
      <c r="B45" s="26" t="str">
        <f>IFERROR(__xludf.DUMMYFUNCTION("""COMPUTED_VALUE"""),"Review")</f>
        <v>Review</v>
      </c>
      <c r="C45" s="26" t="str">
        <f>IFERROR(__xludf.DUMMYFUNCTION("""COMPUTED_VALUE"""),"Review")</f>
        <v>Review</v>
      </c>
      <c r="D45" s="26" t="str">
        <f>IFERROR(__xludf.DUMMYFUNCTION("""COMPUTED_VALUE"""),"UI slightly change")</f>
        <v>UI slightly change</v>
      </c>
      <c r="E45" s="26" t="str">
        <f>IFERROR(__xludf.DUMMYFUNCTION("""COMPUTED_VALUE"""),"User need to install this apk in their phone")</f>
        <v>User need to install this apk in their phone</v>
      </c>
      <c r="F45" s="26" t="str">
        <f>IFERROR(__xludf.DUMMYFUNCTION("""COMPUTED_VALUE"""),"1. Open app
2. Click on User
3. Signin using valid credentials
4. Click on For you
5. Click on suggested bar
6. Click on review")</f>
        <v>1. Open app
2. Click on User
3. Signin using valid credentials
4. Click on For you
5. Click on suggested bar
6. Click on review</v>
      </c>
      <c r="G45" s="26" t="str">
        <f>IFERROR(__xludf.DUMMYFUNCTION("""COMPUTED_VALUE"""),"N/A")</f>
        <v>N/A</v>
      </c>
      <c r="H45" s="26" t="str">
        <f>IFERROR(__xludf.DUMMYFUNCTION("""COMPUTED_VALUE"""),"The design and alignment need to be precise.")</f>
        <v>The design and alignment need to be precise.</v>
      </c>
      <c r="I45" s="26" t="str">
        <f>IFERROR(__xludf.DUMMYFUNCTION("""COMPUTED_VALUE"""),"A different design has been noticed.")</f>
        <v>A different design has been noticed.</v>
      </c>
      <c r="J45" s="26" t="str">
        <f>IFERROR(__xludf.DUMMYFUNCTION("""COMPUTED_VALUE"""),"Fail")</f>
        <v>Fail</v>
      </c>
      <c r="K45" s="26" t="str">
        <f>IFERROR(__xludf.DUMMYFUNCTION("""COMPUTED_VALUE"""),"Low")</f>
        <v>Low</v>
      </c>
      <c r="L45" s="27" t="str">
        <f>IFERROR(__xludf.DUMMYFUNCTION("""COMPUTED_VALUE"""),"https://drive.google.com/file/d/14nIcegTorXa6CyIyt6wRgtu-ZMZOtbUI/view?usp=drive_link")</f>
        <v>https://drive.google.com/file/d/14nIcegTorXa6CyIyt6wRgtu-ZMZOtbUI/view?usp=drive_link</v>
      </c>
      <c r="M45" s="26"/>
      <c r="N45" s="26" t="str">
        <f>IFERROR(__xludf.DUMMYFUNCTION("""COMPUTED_VALUE"""),"Fahad")</f>
        <v>Fahad</v>
      </c>
      <c r="O45" s="26"/>
      <c r="P45" s="26"/>
      <c r="Q45" s="24"/>
      <c r="R45" s="24"/>
      <c r="S45" s="24"/>
      <c r="T45" s="24"/>
      <c r="U45" s="24"/>
      <c r="V45" s="24"/>
      <c r="W45" s="24"/>
      <c r="X45" s="24"/>
      <c r="Y45" s="24"/>
      <c r="Z45" s="24"/>
      <c r="AA45" s="24"/>
    </row>
    <row r="46">
      <c r="A46" s="25" t="s">
        <v>65</v>
      </c>
      <c r="B46" s="26" t="str">
        <f>IFERROR(__xludf.DUMMYFUNCTION("""COMPUTED_VALUE"""),"Social")</f>
        <v>Social</v>
      </c>
      <c r="C46" s="26" t="str">
        <f>IFERROR(__xludf.DUMMYFUNCTION("""COMPUTED_VALUE"""),"Social")</f>
        <v>Social</v>
      </c>
      <c r="D46" s="26" t="str">
        <f>IFERROR(__xludf.DUMMYFUNCTION("""COMPUTED_VALUE"""),"Overflow has been noticed")</f>
        <v>Overflow has been noticed</v>
      </c>
      <c r="E46" s="26" t="str">
        <f>IFERROR(__xludf.DUMMYFUNCTION("""COMPUTED_VALUE"""),"User need to install this apk in their phone")</f>
        <v>User need to install this apk in their phone</v>
      </c>
      <c r="F46" s="26" t="str">
        <f>IFERROR(__xludf.DUMMYFUNCTION("""COMPUTED_VALUE"""),"1. Open app
2. Click on User
3. Signin using valid credentials
4. Click on Social")</f>
        <v>1. Open app
2. Click on User
3. Signin using valid credentials
4. Click on Social</v>
      </c>
      <c r="G46" s="26" t="str">
        <f>IFERROR(__xludf.DUMMYFUNCTION("""COMPUTED_VALUE"""),"N/A")</f>
        <v>N/A</v>
      </c>
      <c r="H46" s="26" t="str">
        <f>IFERROR(__xludf.DUMMYFUNCTION("""COMPUTED_VALUE"""),"No overflow should be displayed in the app")</f>
        <v>No overflow should be displayed in the app</v>
      </c>
      <c r="I46" s="26" t="str">
        <f>IFERROR(__xludf.DUMMYFUNCTION("""COMPUTED_VALUE"""),"The banner overflow has been noticed.")</f>
        <v>The banner overflow has been noticed.</v>
      </c>
      <c r="J46" s="26" t="str">
        <f>IFERROR(__xludf.DUMMYFUNCTION("""COMPUTED_VALUE"""),"Fail")</f>
        <v>Fail</v>
      </c>
      <c r="K46" s="26" t="str">
        <f>IFERROR(__xludf.DUMMYFUNCTION("""COMPUTED_VALUE"""),"Low")</f>
        <v>Low</v>
      </c>
      <c r="L46" s="27" t="str">
        <f>IFERROR(__xludf.DUMMYFUNCTION("""COMPUTED_VALUE"""),"https://drive.google.com/file/d/1gpThVUVqjTmIkpSLCTrQxau3rAVecCQo/view?usp=drive_link")</f>
        <v>https://drive.google.com/file/d/1gpThVUVqjTmIkpSLCTrQxau3rAVecCQo/view?usp=drive_link</v>
      </c>
      <c r="M46" s="26"/>
      <c r="N46" s="26" t="str">
        <f>IFERROR(__xludf.DUMMYFUNCTION("""COMPUTED_VALUE"""),"Fahad")</f>
        <v>Fahad</v>
      </c>
      <c r="O46" s="26"/>
      <c r="P46" s="26"/>
      <c r="Q46" s="24"/>
      <c r="R46" s="24"/>
      <c r="S46" s="24"/>
      <c r="T46" s="24"/>
      <c r="U46" s="24"/>
      <c r="V46" s="24"/>
      <c r="W46" s="24"/>
      <c r="X46" s="24"/>
      <c r="Y46" s="24"/>
      <c r="Z46" s="24"/>
      <c r="AA46" s="24"/>
    </row>
    <row r="47">
      <c r="A47" s="25" t="s">
        <v>66</v>
      </c>
      <c r="B47" s="26" t="str">
        <f>IFERROR(__xludf.DUMMYFUNCTION("""COMPUTED_VALUE"""),"Social")</f>
        <v>Social</v>
      </c>
      <c r="C47" s="26" t="str">
        <f>IFERROR(__xludf.DUMMYFUNCTION("""COMPUTED_VALUE"""),"Social")</f>
        <v>Social</v>
      </c>
      <c r="D47" s="26" t="str">
        <f>IFERROR(__xludf.DUMMYFUNCTION("""COMPUTED_VALUE"""),"Flow missing")</f>
        <v>Flow missing</v>
      </c>
      <c r="E47" s="26" t="str">
        <f>IFERROR(__xludf.DUMMYFUNCTION("""COMPUTED_VALUE"""),"User need to install this apk in their phone")</f>
        <v>User need to install this apk in their phone</v>
      </c>
      <c r="F47" s="26" t="str">
        <f>IFERROR(__xludf.DUMMYFUNCTION("""COMPUTED_VALUE"""),"1. Open app
2. Click on User
3. Signin using valid credentials
4. Click on Social")</f>
        <v>1. Open app
2. Click on User
3. Signin using valid credentials
4. Click on Social</v>
      </c>
      <c r="G47" s="26" t="str">
        <f>IFERROR(__xludf.DUMMYFUNCTION("""COMPUTED_VALUE"""),"N/A")</f>
        <v>N/A</v>
      </c>
      <c r="H47" s="26" t="str">
        <f>IFERROR(__xludf.DUMMYFUNCTION("""COMPUTED_VALUE"""),"The flow should be maintained accurately to meet the client's requirements.")</f>
        <v>The flow should be maintained accurately to meet the client's requirements.</v>
      </c>
      <c r="I47" s="26" t="str">
        <f>IFERROR(__xludf.DUMMYFUNCTION("""COMPUTED_VALUE"""),"Missing flow has been noticed on following page")</f>
        <v>Missing flow has been noticed on following page</v>
      </c>
      <c r="J47" s="26" t="str">
        <f>IFERROR(__xludf.DUMMYFUNCTION("""COMPUTED_VALUE"""),"Fail")</f>
        <v>Fail</v>
      </c>
      <c r="K47" s="26" t="str">
        <f>IFERROR(__xludf.DUMMYFUNCTION("""COMPUTED_VALUE"""),"High")</f>
        <v>High</v>
      </c>
      <c r="L47" s="27" t="str">
        <f>IFERROR(__xludf.DUMMYFUNCTION("""COMPUTED_VALUE"""),"https://drive.google.com/file/d/1AI5F1CdKCx41xSt11NMQgZ_Q1F0LoSN6/view?usp=drive_link")</f>
        <v>https://drive.google.com/file/d/1AI5F1CdKCx41xSt11NMQgZ_Q1F0LoSN6/view?usp=drive_link</v>
      </c>
      <c r="M47" s="26"/>
      <c r="N47" s="26" t="str">
        <f>IFERROR(__xludf.DUMMYFUNCTION("""COMPUTED_VALUE"""),"Fahad")</f>
        <v>Fahad</v>
      </c>
      <c r="O47" s="26"/>
      <c r="P47" s="26"/>
      <c r="Q47" s="24"/>
      <c r="R47" s="24"/>
      <c r="S47" s="24"/>
      <c r="T47" s="24"/>
      <c r="U47" s="24"/>
      <c r="V47" s="24"/>
      <c r="W47" s="24"/>
      <c r="X47" s="24"/>
      <c r="Y47" s="24"/>
      <c r="Z47" s="24"/>
      <c r="AA47" s="24"/>
    </row>
    <row r="48">
      <c r="A48" s="25" t="s">
        <v>67</v>
      </c>
      <c r="B48" s="26" t="str">
        <f>IFERROR(__xludf.DUMMYFUNCTION("""COMPUTED_VALUE"""),"Specific bar")</f>
        <v>Specific bar</v>
      </c>
      <c r="C48" s="26" t="str">
        <f>IFERROR(__xludf.DUMMYFUNCTION("""COMPUTED_VALUE"""),"Specific bar")</f>
        <v>Specific bar</v>
      </c>
      <c r="D48" s="26" t="str">
        <f>IFERROR(__xludf.DUMMYFUNCTION("""COMPUTED_VALUE"""),"module missing in the page")</f>
        <v>module missing in the page</v>
      </c>
      <c r="E48" s="26" t="str">
        <f>IFERROR(__xludf.DUMMYFUNCTION("""COMPUTED_VALUE"""),"User need to install this apk in their phone")</f>
        <v>User need to install this apk in their phone</v>
      </c>
      <c r="F48" s="26" t="str">
        <f>IFERROR(__xludf.DUMMYFUNCTION("""COMPUTED_VALUE"""),"1. Open app
2. Click on User
3. Signin using valid credentials
4. Click on For you
5. Click on suggested bar")</f>
        <v>1. Open app
2. Click on User
3. Signin using valid credentials
4. Click on For you
5. Click on suggested bar</v>
      </c>
      <c r="G48" s="26" t="str">
        <f>IFERROR(__xludf.DUMMYFUNCTION("""COMPUTED_VALUE"""),"N/A")</f>
        <v>N/A</v>
      </c>
      <c r="H48" s="26" t="str">
        <f>IFERROR(__xludf.DUMMYFUNCTION("""COMPUTED_VALUE"""),"All modules and features should be perfectly aligned with the client specifications.")</f>
        <v>All modules and features should be perfectly aligned with the client specifications.</v>
      </c>
      <c r="I48" s="26" t="str">
        <f>IFERROR(__xludf.DUMMYFUNCTION("""COMPUTED_VALUE"""),"Module missing in the page")</f>
        <v>Module missing in the page</v>
      </c>
      <c r="J48" s="26" t="str">
        <f>IFERROR(__xludf.DUMMYFUNCTION("""COMPUTED_VALUE"""),"Fail")</f>
        <v>Fail</v>
      </c>
      <c r="K48" s="26" t="str">
        <f>IFERROR(__xludf.DUMMYFUNCTION("""COMPUTED_VALUE"""),"High")</f>
        <v>High</v>
      </c>
      <c r="L48" s="27" t="str">
        <f>IFERROR(__xludf.DUMMYFUNCTION("""COMPUTED_VALUE"""),"https://drive.google.com/file/d/1DiMg6JH8ScKH8wM1nmVTHwvBxnzlMVm8/view?usp=drive_link")</f>
        <v>https://drive.google.com/file/d/1DiMg6JH8ScKH8wM1nmVTHwvBxnzlMVm8/view?usp=drive_link</v>
      </c>
      <c r="M48" s="26"/>
      <c r="N48" s="26" t="str">
        <f>IFERROR(__xludf.DUMMYFUNCTION("""COMPUTED_VALUE"""),"Fahad")</f>
        <v>Fahad</v>
      </c>
      <c r="O48" s="26"/>
      <c r="P48" s="26"/>
      <c r="Q48" s="24"/>
      <c r="R48" s="24"/>
      <c r="S48" s="24"/>
      <c r="T48" s="24"/>
      <c r="U48" s="24"/>
      <c r="V48" s="24"/>
      <c r="W48" s="24"/>
      <c r="X48" s="24"/>
      <c r="Y48" s="24"/>
      <c r="Z48" s="24"/>
      <c r="AA48" s="24"/>
    </row>
    <row r="49">
      <c r="A49" s="25" t="s">
        <v>68</v>
      </c>
      <c r="B49" s="26" t="str">
        <f>IFERROR(__xludf.DUMMYFUNCTION("""COMPUTED_VALUE"""),"Specific bar")</f>
        <v>Specific bar</v>
      </c>
      <c r="C49" s="26" t="str">
        <f>IFERROR(__xludf.DUMMYFUNCTION("""COMPUTED_VALUE"""),"Specific bar")</f>
        <v>Specific bar</v>
      </c>
      <c r="D49" s="26" t="str">
        <f>IFERROR(__xludf.DUMMYFUNCTION("""COMPUTED_VALUE"""),"UI slightly change")</f>
        <v>UI slightly change</v>
      </c>
      <c r="E49" s="26" t="str">
        <f>IFERROR(__xludf.DUMMYFUNCTION("""COMPUTED_VALUE"""),"User need to install this apk in their phone")</f>
        <v>User need to install this apk in their phone</v>
      </c>
      <c r="F49" s="26" t="str">
        <f>IFERROR(__xludf.DUMMYFUNCTION("""COMPUTED_VALUE"""),"1. Open app
2. Click on User
3. Signin using valid credentials
4. Click on For you
5. Click on suggested bar")</f>
        <v>1. Open app
2. Click on User
3. Signin using valid credentials
4. Click on For you
5. Click on suggested bar</v>
      </c>
      <c r="G49" s="26" t="str">
        <f>IFERROR(__xludf.DUMMYFUNCTION("""COMPUTED_VALUE"""),"N/A")</f>
        <v>N/A</v>
      </c>
      <c r="H49" s="26" t="str">
        <f>IFERROR(__xludf.DUMMYFUNCTION("""COMPUTED_VALUE"""),"The design and alignment need to be precise.")</f>
        <v>The design and alignment need to be precise.</v>
      </c>
      <c r="I49" s="26" t="str">
        <f>IFERROR(__xludf.DUMMYFUNCTION("""COMPUTED_VALUE"""),"A different design has been noticed.")</f>
        <v>A different design has been noticed.</v>
      </c>
      <c r="J49" s="26" t="str">
        <f>IFERROR(__xludf.DUMMYFUNCTION("""COMPUTED_VALUE"""),"Fail")</f>
        <v>Fail</v>
      </c>
      <c r="K49" s="26" t="str">
        <f>IFERROR(__xludf.DUMMYFUNCTION("""COMPUTED_VALUE"""),"Medium")</f>
        <v>Medium</v>
      </c>
      <c r="L49" s="27" t="str">
        <f>IFERROR(__xludf.DUMMYFUNCTION("""COMPUTED_VALUE"""),"https://drive.google.com/file/d/1q5Cvzdrz1b9Lkhzw6B86zn1nuzz5nLym/view?usp=drive_link")</f>
        <v>https://drive.google.com/file/d/1q5Cvzdrz1b9Lkhzw6B86zn1nuzz5nLym/view?usp=drive_link</v>
      </c>
      <c r="M49" s="26"/>
      <c r="N49" s="26" t="str">
        <f>IFERROR(__xludf.DUMMYFUNCTION("""COMPUTED_VALUE"""),"Fahad")</f>
        <v>Fahad</v>
      </c>
      <c r="O49" s="26"/>
      <c r="P49" s="26"/>
      <c r="Q49" s="24"/>
      <c r="R49" s="24"/>
      <c r="S49" s="24"/>
      <c r="T49" s="24"/>
      <c r="U49" s="24"/>
      <c r="V49" s="24"/>
      <c r="W49" s="24"/>
      <c r="X49" s="24"/>
      <c r="Y49" s="24"/>
      <c r="Z49" s="24"/>
      <c r="AA49" s="24"/>
    </row>
    <row r="50">
      <c r="A50" s="25" t="s">
        <v>69</v>
      </c>
      <c r="B50" s="26"/>
      <c r="C50" s="26"/>
      <c r="D50" s="26"/>
      <c r="E50" s="26"/>
      <c r="F50" s="26"/>
      <c r="G50" s="26"/>
      <c r="H50" s="26"/>
      <c r="I50" s="26"/>
      <c r="J50" s="26"/>
      <c r="K50" s="26"/>
      <c r="L50" s="26"/>
      <c r="M50" s="26"/>
      <c r="N50" s="26"/>
      <c r="O50" s="26"/>
      <c r="P50" s="26"/>
      <c r="Q50" s="24"/>
      <c r="R50" s="24"/>
      <c r="S50" s="24"/>
      <c r="T50" s="24"/>
      <c r="U50" s="24"/>
      <c r="V50" s="24"/>
      <c r="W50" s="24"/>
      <c r="X50" s="24"/>
      <c r="Y50" s="24"/>
      <c r="Z50" s="24"/>
      <c r="AA50" s="24"/>
    </row>
    <row r="51">
      <c r="A51" s="25" t="s">
        <v>69</v>
      </c>
      <c r="B51" s="26"/>
      <c r="C51" s="26"/>
      <c r="D51" s="26"/>
      <c r="E51" s="26"/>
      <c r="F51" s="26"/>
      <c r="G51" s="26"/>
      <c r="H51" s="26"/>
      <c r="I51" s="26"/>
      <c r="J51" s="26"/>
      <c r="K51" s="26"/>
      <c r="L51" s="26"/>
      <c r="M51" s="26"/>
      <c r="N51" s="26"/>
      <c r="O51" s="26"/>
      <c r="P51" s="26"/>
      <c r="Q51" s="24"/>
      <c r="R51" s="24"/>
      <c r="S51" s="24"/>
      <c r="T51" s="24"/>
      <c r="U51" s="24"/>
      <c r="V51" s="24"/>
      <c r="W51" s="24"/>
      <c r="X51" s="24"/>
      <c r="Y51" s="24"/>
      <c r="Z51" s="24"/>
      <c r="AA51" s="24"/>
    </row>
    <row r="52">
      <c r="A52" s="25" t="s">
        <v>69</v>
      </c>
      <c r="B52" s="26"/>
      <c r="C52" s="26"/>
      <c r="D52" s="26"/>
      <c r="E52" s="26"/>
      <c r="F52" s="26"/>
      <c r="G52" s="26"/>
      <c r="H52" s="26"/>
      <c r="I52" s="26"/>
      <c r="J52" s="26"/>
      <c r="K52" s="26"/>
      <c r="L52" s="26"/>
      <c r="M52" s="26"/>
      <c r="N52" s="26"/>
      <c r="O52" s="26"/>
      <c r="P52" s="26"/>
      <c r="Q52" s="24"/>
      <c r="R52" s="24"/>
      <c r="S52" s="24"/>
      <c r="T52" s="24"/>
      <c r="U52" s="24"/>
      <c r="V52" s="24"/>
      <c r="W52" s="24"/>
      <c r="X52" s="24"/>
      <c r="Y52" s="24"/>
      <c r="Z52" s="24"/>
      <c r="AA52" s="24"/>
    </row>
    <row r="53">
      <c r="A53" s="25" t="s">
        <v>69</v>
      </c>
      <c r="B53" s="26"/>
      <c r="C53" s="26"/>
      <c r="D53" s="26"/>
      <c r="E53" s="26"/>
      <c r="F53" s="26"/>
      <c r="G53" s="26"/>
      <c r="H53" s="26"/>
      <c r="I53" s="26"/>
      <c r="J53" s="26"/>
      <c r="K53" s="26"/>
      <c r="L53" s="26"/>
      <c r="M53" s="26"/>
      <c r="N53" s="26"/>
      <c r="O53" s="26"/>
      <c r="P53" s="26"/>
      <c r="Q53" s="24"/>
      <c r="R53" s="24"/>
      <c r="S53" s="24"/>
      <c r="T53" s="24"/>
      <c r="U53" s="24"/>
      <c r="V53" s="24"/>
      <c r="W53" s="24"/>
      <c r="X53" s="24"/>
      <c r="Y53" s="24"/>
      <c r="Z53" s="24"/>
      <c r="AA53" s="24"/>
    </row>
    <row r="54">
      <c r="A54" s="25" t="s">
        <v>69</v>
      </c>
      <c r="B54" s="26"/>
      <c r="C54" s="26"/>
      <c r="D54" s="26"/>
      <c r="E54" s="26"/>
      <c r="F54" s="26"/>
      <c r="G54" s="26"/>
      <c r="H54" s="26"/>
      <c r="I54" s="26"/>
      <c r="J54" s="26"/>
      <c r="K54" s="26"/>
      <c r="L54" s="26"/>
      <c r="M54" s="26"/>
      <c r="N54" s="26"/>
      <c r="O54" s="26"/>
      <c r="P54" s="26"/>
      <c r="Q54" s="24"/>
      <c r="R54" s="24"/>
      <c r="S54" s="24"/>
      <c r="T54" s="24"/>
      <c r="U54" s="24"/>
      <c r="V54" s="24"/>
      <c r="W54" s="24"/>
      <c r="X54" s="24"/>
      <c r="Y54" s="24"/>
      <c r="Z54" s="24"/>
      <c r="AA54" s="24"/>
    </row>
    <row r="55">
      <c r="A55" s="25" t="s">
        <v>69</v>
      </c>
      <c r="B55" s="26"/>
      <c r="C55" s="26"/>
      <c r="D55" s="26"/>
      <c r="E55" s="26"/>
      <c r="F55" s="26"/>
      <c r="G55" s="26"/>
      <c r="H55" s="26"/>
      <c r="I55" s="26"/>
      <c r="J55" s="26"/>
      <c r="K55" s="26"/>
      <c r="L55" s="26"/>
      <c r="M55" s="26"/>
      <c r="N55" s="26"/>
      <c r="O55" s="26"/>
      <c r="P55" s="26"/>
      <c r="Q55" s="24"/>
      <c r="R55" s="24"/>
      <c r="S55" s="24"/>
      <c r="T55" s="24"/>
      <c r="U55" s="24"/>
      <c r="V55" s="24"/>
      <c r="W55" s="24"/>
      <c r="X55" s="24"/>
      <c r="Y55" s="24"/>
      <c r="Z55" s="24"/>
      <c r="AA55" s="24"/>
    </row>
    <row r="56">
      <c r="A56" s="25" t="s">
        <v>69</v>
      </c>
      <c r="B56" s="26"/>
      <c r="C56" s="26"/>
      <c r="D56" s="26"/>
      <c r="E56" s="26"/>
      <c r="F56" s="26"/>
      <c r="G56" s="26"/>
      <c r="H56" s="26"/>
      <c r="I56" s="26"/>
      <c r="J56" s="26"/>
      <c r="K56" s="26"/>
      <c r="L56" s="26"/>
      <c r="M56" s="26"/>
      <c r="N56" s="26"/>
      <c r="O56" s="26"/>
      <c r="P56" s="26"/>
      <c r="Q56" s="24"/>
      <c r="R56" s="24"/>
      <c r="S56" s="24"/>
      <c r="T56" s="24"/>
      <c r="U56" s="24"/>
      <c r="V56" s="24"/>
      <c r="W56" s="24"/>
      <c r="X56" s="24"/>
      <c r="Y56" s="24"/>
      <c r="Z56" s="24"/>
      <c r="AA56" s="24"/>
    </row>
    <row r="57">
      <c r="A57" s="25" t="s">
        <v>69</v>
      </c>
      <c r="B57" s="26"/>
      <c r="C57" s="26"/>
      <c r="D57" s="26"/>
      <c r="E57" s="26"/>
      <c r="F57" s="26"/>
      <c r="G57" s="26"/>
      <c r="H57" s="26"/>
      <c r="I57" s="26"/>
      <c r="J57" s="26"/>
      <c r="K57" s="26"/>
      <c r="L57" s="26"/>
      <c r="M57" s="26"/>
      <c r="N57" s="26"/>
      <c r="O57" s="26"/>
      <c r="P57" s="26"/>
      <c r="Q57" s="24"/>
      <c r="R57" s="24"/>
      <c r="S57" s="24"/>
      <c r="T57" s="24"/>
      <c r="U57" s="24"/>
      <c r="V57" s="24"/>
      <c r="W57" s="24"/>
      <c r="X57" s="24"/>
      <c r="Y57" s="24"/>
      <c r="Z57" s="24"/>
      <c r="AA57" s="24"/>
    </row>
    <row r="58">
      <c r="A58" s="25" t="s">
        <v>69</v>
      </c>
      <c r="B58" s="26"/>
      <c r="C58" s="26"/>
      <c r="D58" s="26"/>
      <c r="E58" s="26"/>
      <c r="F58" s="26"/>
      <c r="G58" s="26"/>
      <c r="H58" s="26"/>
      <c r="I58" s="26"/>
      <c r="J58" s="26"/>
      <c r="K58" s="26"/>
      <c r="L58" s="26"/>
      <c r="M58" s="26"/>
      <c r="N58" s="26"/>
      <c r="O58" s="26"/>
      <c r="P58" s="26"/>
      <c r="Q58" s="24"/>
      <c r="R58" s="24"/>
      <c r="S58" s="24"/>
      <c r="T58" s="24"/>
      <c r="U58" s="24"/>
      <c r="V58" s="24"/>
      <c r="W58" s="24"/>
      <c r="X58" s="24"/>
      <c r="Y58" s="24"/>
      <c r="Z58" s="24"/>
      <c r="AA58" s="24"/>
    </row>
    <row r="59">
      <c r="A59" s="25" t="s">
        <v>69</v>
      </c>
      <c r="B59" s="26"/>
      <c r="C59" s="26"/>
      <c r="D59" s="26"/>
      <c r="E59" s="26"/>
      <c r="F59" s="26"/>
      <c r="G59" s="26"/>
      <c r="H59" s="26"/>
      <c r="I59" s="26"/>
      <c r="J59" s="26"/>
      <c r="K59" s="26"/>
      <c r="L59" s="26"/>
      <c r="M59" s="26"/>
      <c r="N59" s="26"/>
      <c r="O59" s="26"/>
      <c r="P59" s="26"/>
      <c r="Q59" s="24"/>
      <c r="R59" s="24"/>
      <c r="S59" s="24"/>
      <c r="T59" s="24"/>
      <c r="U59" s="24"/>
      <c r="V59" s="24"/>
      <c r="W59" s="24"/>
      <c r="X59" s="24"/>
      <c r="Y59" s="24"/>
      <c r="Z59" s="24"/>
      <c r="AA59" s="24"/>
    </row>
    <row r="60">
      <c r="A60" s="25" t="s">
        <v>69</v>
      </c>
      <c r="B60" s="26"/>
      <c r="C60" s="26"/>
      <c r="D60" s="26"/>
      <c r="E60" s="26"/>
      <c r="F60" s="26"/>
      <c r="G60" s="26"/>
      <c r="H60" s="26"/>
      <c r="I60" s="26"/>
      <c r="J60" s="26"/>
      <c r="K60" s="26"/>
      <c r="L60" s="26"/>
      <c r="M60" s="26"/>
      <c r="N60" s="26"/>
      <c r="O60" s="26"/>
      <c r="P60" s="26"/>
      <c r="Q60" s="24"/>
      <c r="R60" s="24"/>
      <c r="S60" s="24"/>
      <c r="T60" s="24"/>
      <c r="U60" s="24"/>
      <c r="V60" s="24"/>
      <c r="W60" s="24"/>
      <c r="X60" s="24"/>
      <c r="Y60" s="24"/>
      <c r="Z60" s="24"/>
      <c r="AA60" s="24"/>
    </row>
    <row r="61">
      <c r="A61" s="25" t="s">
        <v>69</v>
      </c>
      <c r="B61" s="26"/>
      <c r="C61" s="26"/>
      <c r="D61" s="26"/>
      <c r="E61" s="26"/>
      <c r="F61" s="26"/>
      <c r="G61" s="26"/>
      <c r="H61" s="26"/>
      <c r="I61" s="26"/>
      <c r="J61" s="26"/>
      <c r="K61" s="26"/>
      <c r="L61" s="26"/>
      <c r="M61" s="26"/>
      <c r="N61" s="26"/>
      <c r="O61" s="26"/>
      <c r="P61" s="26"/>
      <c r="Q61" s="24"/>
      <c r="R61" s="24"/>
      <c r="S61" s="24"/>
      <c r="T61" s="24"/>
      <c r="U61" s="24"/>
      <c r="V61" s="24"/>
      <c r="W61" s="24"/>
      <c r="X61" s="24"/>
      <c r="Y61" s="24"/>
      <c r="Z61" s="24"/>
      <c r="AA61" s="24"/>
    </row>
    <row r="62">
      <c r="A62" s="25" t="s">
        <v>69</v>
      </c>
      <c r="B62" s="26"/>
      <c r="C62" s="26"/>
      <c r="D62" s="26"/>
      <c r="E62" s="26"/>
      <c r="F62" s="26"/>
      <c r="G62" s="26"/>
      <c r="H62" s="26"/>
      <c r="I62" s="26"/>
      <c r="J62" s="26"/>
      <c r="K62" s="26"/>
      <c r="L62" s="26"/>
      <c r="M62" s="26"/>
      <c r="N62" s="26"/>
      <c r="O62" s="26"/>
      <c r="P62" s="26"/>
      <c r="Q62" s="24"/>
      <c r="R62" s="24"/>
      <c r="S62" s="24"/>
      <c r="T62" s="24"/>
      <c r="U62" s="24"/>
      <c r="V62" s="24"/>
      <c r="W62" s="24"/>
      <c r="X62" s="24"/>
      <c r="Y62" s="24"/>
      <c r="Z62" s="24"/>
      <c r="AA62" s="24"/>
    </row>
    <row r="63">
      <c r="A63" s="25" t="s">
        <v>69</v>
      </c>
      <c r="B63" s="26"/>
      <c r="C63" s="26"/>
      <c r="D63" s="26"/>
      <c r="E63" s="26"/>
      <c r="F63" s="26"/>
      <c r="G63" s="26"/>
      <c r="H63" s="26"/>
      <c r="I63" s="26"/>
      <c r="J63" s="26"/>
      <c r="K63" s="26"/>
      <c r="L63" s="26"/>
      <c r="M63" s="26"/>
      <c r="N63" s="26"/>
      <c r="O63" s="26"/>
      <c r="P63" s="26"/>
      <c r="Q63" s="24"/>
      <c r="R63" s="24"/>
      <c r="S63" s="24"/>
      <c r="T63" s="24"/>
      <c r="U63" s="24"/>
      <c r="V63" s="24"/>
      <c r="W63" s="24"/>
      <c r="X63" s="24"/>
      <c r="Y63" s="24"/>
      <c r="Z63" s="24"/>
      <c r="AA63" s="24"/>
    </row>
    <row r="64">
      <c r="A64" s="25" t="s">
        <v>69</v>
      </c>
      <c r="B64" s="26"/>
      <c r="C64" s="26"/>
      <c r="D64" s="26"/>
      <c r="E64" s="26"/>
      <c r="F64" s="26"/>
      <c r="G64" s="26"/>
      <c r="H64" s="26"/>
      <c r="I64" s="26"/>
      <c r="J64" s="26"/>
      <c r="K64" s="26"/>
      <c r="L64" s="26"/>
      <c r="M64" s="26"/>
      <c r="N64" s="26"/>
      <c r="O64" s="26"/>
      <c r="P64" s="26"/>
      <c r="Q64" s="24"/>
      <c r="R64" s="24"/>
      <c r="S64" s="24"/>
      <c r="T64" s="24"/>
      <c r="U64" s="24"/>
      <c r="V64" s="24"/>
      <c r="W64" s="24"/>
      <c r="X64" s="24"/>
      <c r="Y64" s="24"/>
      <c r="Z64" s="24"/>
      <c r="AA64" s="24"/>
    </row>
    <row r="65">
      <c r="A65" s="29" t="s">
        <v>69</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9" t="s">
        <v>69</v>
      </c>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9" t="s">
        <v>69</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9" t="s">
        <v>69</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9" t="s">
        <v>69</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9" t="s">
        <v>69</v>
      </c>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9" t="s">
        <v>69</v>
      </c>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9" t="s">
        <v>69</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9" t="s">
        <v>69</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9" t="s">
        <v>69</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9" t="s">
        <v>69</v>
      </c>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9" t="s">
        <v>69</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9" t="s">
        <v>69</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9" t="s">
        <v>69</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9" t="s">
        <v>69</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9" t="s">
        <v>69</v>
      </c>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9" t="s">
        <v>69</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9" t="s">
        <v>69</v>
      </c>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9" t="s">
        <v>69</v>
      </c>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9" t="s">
        <v>69</v>
      </c>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9" t="s">
        <v>69</v>
      </c>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9" t="s">
        <v>69</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9" t="s">
        <v>69</v>
      </c>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9" t="s">
        <v>69</v>
      </c>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9" t="s">
        <v>69</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9" t="s">
        <v>69</v>
      </c>
    </row>
    <row r="91">
      <c r="A91" s="29" t="s">
        <v>69</v>
      </c>
    </row>
    <row r="92">
      <c r="A92" s="29" t="s">
        <v>69</v>
      </c>
    </row>
    <row r="93">
      <c r="A93" s="29" t="s">
        <v>69</v>
      </c>
    </row>
    <row r="94">
      <c r="A94" s="29" t="s">
        <v>69</v>
      </c>
    </row>
    <row r="95">
      <c r="A95" s="29" t="s">
        <v>69</v>
      </c>
    </row>
    <row r="96">
      <c r="A96" s="29" t="s">
        <v>69</v>
      </c>
    </row>
    <row r="97">
      <c r="A97" s="29" t="s">
        <v>69</v>
      </c>
    </row>
    <row r="98">
      <c r="A98" s="29" t="s">
        <v>69</v>
      </c>
    </row>
    <row r="99">
      <c r="A99" s="29" t="s">
        <v>69</v>
      </c>
    </row>
    <row r="100">
      <c r="A100" s="30" t="s">
        <v>69</v>
      </c>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 t="s">
        <v>0</v>
      </c>
      <c r="B1" s="31" t="s">
        <v>70</v>
      </c>
      <c r="C1" s="1"/>
      <c r="D1" s="1"/>
      <c r="E1" s="1"/>
      <c r="F1" s="1"/>
      <c r="G1" s="1"/>
      <c r="H1" s="1"/>
      <c r="I1" s="1"/>
      <c r="J1" s="1"/>
      <c r="K1" s="1"/>
      <c r="L1" s="1"/>
      <c r="M1" s="1"/>
      <c r="N1" s="1"/>
    </row>
    <row r="2">
      <c r="A2" s="2" t="s">
        <v>4</v>
      </c>
      <c r="B2" s="32"/>
      <c r="C2" s="1"/>
      <c r="D2" s="1"/>
      <c r="E2" s="1"/>
      <c r="F2" s="1"/>
      <c r="G2" s="1"/>
      <c r="H2" s="1"/>
      <c r="I2" s="1"/>
      <c r="J2" s="1"/>
      <c r="K2" s="1"/>
      <c r="L2" s="1"/>
      <c r="M2" s="1"/>
      <c r="N2" s="1"/>
    </row>
    <row r="3">
      <c r="A3" s="2" t="s">
        <v>9</v>
      </c>
      <c r="B3" s="33"/>
      <c r="C3" s="1"/>
      <c r="D3" s="1"/>
      <c r="E3" s="1"/>
      <c r="F3" s="1"/>
      <c r="G3" s="1"/>
      <c r="H3" s="1"/>
      <c r="I3" s="1"/>
      <c r="J3" s="1"/>
      <c r="K3" s="1"/>
      <c r="L3" s="1"/>
      <c r="M3" s="1"/>
      <c r="N3" s="1"/>
    </row>
    <row r="4">
      <c r="A4" s="2" t="s">
        <v>12</v>
      </c>
      <c r="B4" s="34" t="s">
        <v>71</v>
      </c>
      <c r="C4" s="1"/>
      <c r="D4" s="1"/>
      <c r="E4" s="1"/>
      <c r="F4" s="1"/>
      <c r="G4" s="1"/>
      <c r="H4" s="1"/>
      <c r="I4" s="1"/>
      <c r="J4" s="1"/>
      <c r="K4" s="1"/>
      <c r="L4" s="1"/>
      <c r="M4" s="1"/>
      <c r="N4" s="1"/>
    </row>
    <row r="5">
      <c r="A5" s="35" t="s">
        <v>72</v>
      </c>
      <c r="B5" s="36" t="s">
        <v>73</v>
      </c>
      <c r="C5" s="1"/>
      <c r="D5" s="1"/>
      <c r="E5" s="1"/>
      <c r="F5" s="1"/>
      <c r="G5" s="1"/>
      <c r="H5" s="1"/>
      <c r="I5" s="1"/>
      <c r="J5" s="1"/>
      <c r="K5" s="1"/>
      <c r="L5" s="1"/>
      <c r="M5" s="1"/>
      <c r="N5" s="1"/>
    </row>
    <row r="6">
      <c r="A6" s="1"/>
      <c r="B6" s="1"/>
      <c r="C6" s="1"/>
      <c r="D6" s="1"/>
      <c r="E6" s="1"/>
      <c r="F6" s="1"/>
      <c r="G6" s="1"/>
      <c r="H6" s="1"/>
      <c r="I6" s="1"/>
      <c r="J6" s="1"/>
      <c r="K6" s="1"/>
      <c r="L6" s="1"/>
      <c r="M6" s="1"/>
      <c r="N6" s="1"/>
    </row>
    <row r="7">
      <c r="A7" s="37" t="s">
        <v>74</v>
      </c>
      <c r="B7" s="37" t="s">
        <v>17</v>
      </c>
      <c r="C7" s="37" t="s">
        <v>18</v>
      </c>
      <c r="D7" s="37" t="s">
        <v>19</v>
      </c>
      <c r="E7" s="37" t="s">
        <v>20</v>
      </c>
      <c r="F7" s="37" t="s">
        <v>21</v>
      </c>
      <c r="G7" s="37" t="s">
        <v>22</v>
      </c>
      <c r="H7" s="37" t="s">
        <v>23</v>
      </c>
      <c r="I7" s="37" t="s">
        <v>24</v>
      </c>
      <c r="J7" s="37" t="s">
        <v>25</v>
      </c>
      <c r="K7" s="37" t="s">
        <v>2</v>
      </c>
      <c r="L7" s="37" t="s">
        <v>26</v>
      </c>
      <c r="M7" s="37" t="s">
        <v>27</v>
      </c>
      <c r="N7" s="37" t="s">
        <v>29</v>
      </c>
      <c r="O7" s="38"/>
      <c r="P7" s="38"/>
      <c r="Q7" s="38"/>
      <c r="R7" s="38"/>
      <c r="S7" s="38"/>
      <c r="T7" s="38"/>
      <c r="U7" s="38"/>
      <c r="V7" s="38"/>
      <c r="W7" s="38"/>
      <c r="X7" s="38"/>
      <c r="Y7" s="38"/>
      <c r="Z7" s="38"/>
    </row>
    <row r="8">
      <c r="A8" s="39" t="s">
        <v>75</v>
      </c>
      <c r="B8" s="40" t="s">
        <v>76</v>
      </c>
      <c r="C8" s="40" t="s">
        <v>76</v>
      </c>
      <c r="D8" s="39" t="s">
        <v>77</v>
      </c>
      <c r="E8" s="39" t="s">
        <v>78</v>
      </c>
      <c r="F8" s="41" t="s">
        <v>79</v>
      </c>
      <c r="G8" s="42" t="s">
        <v>80</v>
      </c>
      <c r="H8" s="39" t="s">
        <v>81</v>
      </c>
      <c r="I8" s="39" t="s">
        <v>82</v>
      </c>
      <c r="J8" s="39" t="s">
        <v>83</v>
      </c>
      <c r="K8" s="39" t="s">
        <v>11</v>
      </c>
      <c r="L8" s="43" t="s">
        <v>84</v>
      </c>
      <c r="M8" s="42"/>
      <c r="N8" s="42"/>
      <c r="O8" s="24"/>
      <c r="P8" s="24"/>
      <c r="Q8" s="24"/>
      <c r="R8" s="24"/>
      <c r="S8" s="24"/>
      <c r="T8" s="24"/>
      <c r="U8" s="24"/>
      <c r="V8" s="24"/>
      <c r="W8" s="24"/>
      <c r="X8" s="24"/>
      <c r="Y8" s="24"/>
      <c r="Z8" s="24"/>
    </row>
    <row r="9">
      <c r="A9" s="24"/>
      <c r="B9" s="24"/>
      <c r="C9" s="24"/>
      <c r="D9" s="24"/>
      <c r="E9" s="24"/>
      <c r="F9" s="44"/>
      <c r="G9" s="24"/>
      <c r="H9" s="24"/>
      <c r="I9" s="24"/>
      <c r="J9" s="24"/>
      <c r="K9" s="24"/>
      <c r="L9" s="24"/>
      <c r="M9" s="24"/>
      <c r="N9" s="24"/>
      <c r="O9" s="24"/>
      <c r="P9" s="24"/>
      <c r="Q9" s="24"/>
      <c r="R9" s="24"/>
      <c r="S9" s="24"/>
      <c r="T9" s="24"/>
      <c r="U9" s="24"/>
      <c r="V9" s="24"/>
      <c r="W9" s="24"/>
      <c r="X9" s="24"/>
      <c r="Y9" s="24"/>
      <c r="Z9" s="24"/>
    </row>
    <row r="10">
      <c r="A10" s="40" t="s">
        <v>85</v>
      </c>
      <c r="B10" s="40" t="s">
        <v>76</v>
      </c>
      <c r="C10" s="40" t="s">
        <v>76</v>
      </c>
      <c r="D10" s="40" t="s">
        <v>86</v>
      </c>
      <c r="E10" s="40" t="s">
        <v>78</v>
      </c>
      <c r="F10" s="45" t="s">
        <v>79</v>
      </c>
      <c r="G10" s="11" t="s">
        <v>80</v>
      </c>
      <c r="H10" s="40" t="s">
        <v>87</v>
      </c>
      <c r="I10" s="40" t="s">
        <v>82</v>
      </c>
      <c r="J10" s="40" t="s">
        <v>83</v>
      </c>
      <c r="K10" s="40" t="s">
        <v>11</v>
      </c>
      <c r="L10" s="46" t="s">
        <v>88</v>
      </c>
      <c r="M10" s="11"/>
      <c r="N10" s="11"/>
      <c r="O10" s="24"/>
      <c r="P10" s="24"/>
      <c r="Q10" s="24"/>
      <c r="R10" s="24"/>
      <c r="S10" s="24"/>
      <c r="T10" s="24"/>
      <c r="U10" s="24"/>
      <c r="V10" s="24"/>
      <c r="W10" s="24"/>
      <c r="X10" s="24"/>
      <c r="Y10" s="24"/>
      <c r="Z10" s="24"/>
    </row>
    <row r="11">
      <c r="A11" s="24"/>
      <c r="B11" s="24"/>
      <c r="C11" s="24"/>
      <c r="D11" s="24"/>
      <c r="E11" s="24"/>
      <c r="F11" s="44"/>
      <c r="G11" s="24"/>
      <c r="H11" s="24"/>
      <c r="I11" s="24"/>
      <c r="J11" s="24"/>
      <c r="K11" s="24"/>
      <c r="L11" s="24"/>
      <c r="M11" s="24"/>
      <c r="N11" s="24"/>
      <c r="O11" s="24"/>
      <c r="P11" s="24"/>
      <c r="Q11" s="24"/>
      <c r="R11" s="24"/>
      <c r="S11" s="24"/>
      <c r="T11" s="24"/>
      <c r="U11" s="24"/>
      <c r="V11" s="24"/>
      <c r="W11" s="24"/>
      <c r="X11" s="24"/>
      <c r="Y11" s="24"/>
      <c r="Z11" s="24"/>
    </row>
    <row r="12">
      <c r="A12" s="40" t="s">
        <v>89</v>
      </c>
      <c r="B12" s="40" t="s">
        <v>90</v>
      </c>
      <c r="C12" s="40" t="s">
        <v>91</v>
      </c>
      <c r="D12" s="40" t="s">
        <v>92</v>
      </c>
      <c r="E12" s="40" t="s">
        <v>78</v>
      </c>
      <c r="F12" s="45" t="s">
        <v>93</v>
      </c>
      <c r="G12" s="11" t="s">
        <v>80</v>
      </c>
      <c r="H12" s="40" t="s">
        <v>94</v>
      </c>
      <c r="I12" s="40" t="s">
        <v>95</v>
      </c>
      <c r="J12" s="40" t="s">
        <v>83</v>
      </c>
      <c r="K12" s="40" t="s">
        <v>11</v>
      </c>
      <c r="L12" s="47" t="s">
        <v>96</v>
      </c>
      <c r="M12" s="48"/>
      <c r="N12" s="11"/>
      <c r="O12" s="24"/>
      <c r="P12" s="24"/>
      <c r="Q12" s="24"/>
      <c r="R12" s="24"/>
      <c r="S12" s="24"/>
      <c r="T12" s="24"/>
      <c r="U12" s="24"/>
      <c r="V12" s="24"/>
      <c r="W12" s="24"/>
      <c r="X12" s="24"/>
      <c r="Y12" s="24"/>
      <c r="Z12" s="24"/>
    </row>
    <row r="13">
      <c r="A13" s="24"/>
      <c r="B13" s="24"/>
      <c r="C13" s="24"/>
      <c r="D13" s="24"/>
      <c r="E13" s="24"/>
      <c r="F13" s="44"/>
      <c r="G13" s="24"/>
      <c r="H13" s="24"/>
      <c r="I13" s="24"/>
      <c r="J13" s="24"/>
      <c r="K13" s="24"/>
      <c r="L13" s="24"/>
      <c r="M13" s="24"/>
      <c r="N13" s="24"/>
      <c r="O13" s="24"/>
      <c r="P13" s="24"/>
      <c r="Q13" s="24"/>
      <c r="R13" s="24"/>
      <c r="S13" s="24"/>
      <c r="T13" s="24"/>
      <c r="U13" s="24"/>
      <c r="V13" s="24"/>
      <c r="W13" s="24"/>
      <c r="X13" s="24"/>
      <c r="Y13" s="24"/>
      <c r="Z13" s="24"/>
    </row>
    <row r="14">
      <c r="A14" s="40" t="s">
        <v>97</v>
      </c>
      <c r="B14" s="40" t="s">
        <v>90</v>
      </c>
      <c r="C14" s="40" t="s">
        <v>91</v>
      </c>
      <c r="D14" s="40" t="s">
        <v>98</v>
      </c>
      <c r="E14" s="40" t="s">
        <v>78</v>
      </c>
      <c r="F14" s="45" t="s">
        <v>93</v>
      </c>
      <c r="G14" s="11" t="s">
        <v>80</v>
      </c>
      <c r="H14" s="40" t="s">
        <v>87</v>
      </c>
      <c r="I14" s="40" t="s">
        <v>82</v>
      </c>
      <c r="J14" s="40" t="s">
        <v>83</v>
      </c>
      <c r="K14" s="40" t="s">
        <v>11</v>
      </c>
      <c r="L14" s="46" t="s">
        <v>99</v>
      </c>
      <c r="M14" s="49"/>
      <c r="N14" s="11"/>
      <c r="O14" s="24"/>
      <c r="P14" s="24"/>
      <c r="Q14" s="24"/>
      <c r="R14" s="24"/>
      <c r="S14" s="24"/>
      <c r="T14" s="24"/>
      <c r="U14" s="24"/>
      <c r="V14" s="24"/>
      <c r="W14" s="24"/>
      <c r="X14" s="24"/>
      <c r="Y14" s="24"/>
      <c r="Z14" s="24"/>
    </row>
    <row r="15">
      <c r="A15" s="24"/>
      <c r="B15" s="24"/>
      <c r="C15" s="24"/>
      <c r="D15" s="24"/>
      <c r="E15" s="24"/>
      <c r="F15" s="44"/>
      <c r="G15" s="24"/>
      <c r="H15" s="24"/>
      <c r="I15" s="24"/>
      <c r="J15" s="24"/>
      <c r="K15" s="24"/>
      <c r="L15" s="24"/>
      <c r="M15" s="24"/>
      <c r="N15" s="24"/>
      <c r="O15" s="24"/>
      <c r="P15" s="24"/>
      <c r="Q15" s="24"/>
      <c r="R15" s="24"/>
      <c r="S15" s="24"/>
      <c r="T15" s="24"/>
      <c r="U15" s="24"/>
      <c r="V15" s="24"/>
      <c r="W15" s="24"/>
      <c r="X15" s="24"/>
      <c r="Y15" s="24"/>
      <c r="Z15" s="24"/>
    </row>
    <row r="16">
      <c r="A16" s="40" t="s">
        <v>100</v>
      </c>
      <c r="B16" s="40" t="s">
        <v>90</v>
      </c>
      <c r="C16" s="40" t="s">
        <v>91</v>
      </c>
      <c r="D16" s="40" t="s">
        <v>101</v>
      </c>
      <c r="E16" s="40" t="s">
        <v>78</v>
      </c>
      <c r="F16" s="45" t="s">
        <v>93</v>
      </c>
      <c r="G16" s="11" t="s">
        <v>80</v>
      </c>
      <c r="H16" s="40" t="s">
        <v>102</v>
      </c>
      <c r="I16" s="40" t="s">
        <v>103</v>
      </c>
      <c r="J16" s="40" t="s">
        <v>83</v>
      </c>
      <c r="K16" s="40" t="s">
        <v>11</v>
      </c>
      <c r="L16" s="46" t="s">
        <v>104</v>
      </c>
      <c r="M16" s="50"/>
      <c r="N16" s="40"/>
      <c r="O16" s="51"/>
      <c r="P16" s="51"/>
      <c r="Q16" s="51"/>
      <c r="R16" s="51"/>
      <c r="S16" s="51"/>
      <c r="T16" s="51"/>
      <c r="U16" s="51"/>
      <c r="V16" s="51"/>
      <c r="W16" s="51"/>
      <c r="X16" s="51"/>
      <c r="Y16" s="51"/>
      <c r="Z16" s="51"/>
    </row>
    <row r="17">
      <c r="A17" s="24"/>
      <c r="B17" s="24"/>
      <c r="C17" s="24"/>
      <c r="D17" s="24"/>
      <c r="E17" s="24"/>
      <c r="F17" s="44"/>
      <c r="G17" s="24"/>
      <c r="H17" s="24"/>
      <c r="I17" s="24"/>
      <c r="J17" s="24"/>
      <c r="K17" s="24"/>
      <c r="L17" s="24"/>
      <c r="M17" s="24"/>
      <c r="N17" s="24"/>
      <c r="O17" s="24"/>
      <c r="P17" s="24"/>
      <c r="Q17" s="24"/>
      <c r="R17" s="24"/>
      <c r="S17" s="24"/>
      <c r="T17" s="24"/>
      <c r="U17" s="24"/>
      <c r="V17" s="24"/>
      <c r="W17" s="24"/>
      <c r="X17" s="24"/>
      <c r="Y17" s="24"/>
      <c r="Z17" s="24"/>
    </row>
    <row r="18">
      <c r="A18" s="40" t="s">
        <v>105</v>
      </c>
      <c r="B18" s="40" t="s">
        <v>76</v>
      </c>
      <c r="C18" s="40" t="s">
        <v>76</v>
      </c>
      <c r="D18" s="40" t="s">
        <v>106</v>
      </c>
      <c r="E18" s="40" t="s">
        <v>78</v>
      </c>
      <c r="F18" s="45" t="s">
        <v>93</v>
      </c>
      <c r="G18" s="11" t="s">
        <v>80</v>
      </c>
      <c r="H18" s="40" t="s">
        <v>107</v>
      </c>
      <c r="I18" s="40" t="s">
        <v>108</v>
      </c>
      <c r="J18" s="40" t="s">
        <v>83</v>
      </c>
      <c r="K18" s="40" t="s">
        <v>11</v>
      </c>
      <c r="L18" s="46" t="s">
        <v>109</v>
      </c>
      <c r="M18" s="48"/>
      <c r="N18" s="11"/>
      <c r="O18" s="24"/>
      <c r="P18" s="24"/>
      <c r="Q18" s="24"/>
      <c r="R18" s="24"/>
      <c r="S18" s="24"/>
      <c r="T18" s="24"/>
      <c r="U18" s="24"/>
      <c r="V18" s="24"/>
      <c r="W18" s="24"/>
      <c r="X18" s="24"/>
      <c r="Y18" s="24"/>
      <c r="Z18" s="24"/>
    </row>
    <row r="19">
      <c r="A19" s="24"/>
      <c r="B19" s="24"/>
      <c r="C19" s="24"/>
      <c r="D19" s="24"/>
      <c r="E19" s="24"/>
      <c r="F19" s="44"/>
      <c r="G19" s="24"/>
      <c r="H19" s="24"/>
      <c r="I19" s="24"/>
      <c r="J19" s="24"/>
      <c r="K19" s="24"/>
      <c r="L19" s="24"/>
      <c r="M19" s="24"/>
      <c r="N19" s="24"/>
      <c r="O19" s="24"/>
      <c r="P19" s="24"/>
      <c r="Q19" s="24"/>
      <c r="R19" s="24"/>
      <c r="S19" s="24"/>
      <c r="T19" s="24"/>
      <c r="U19" s="24"/>
      <c r="V19" s="24"/>
      <c r="W19" s="24"/>
      <c r="X19" s="24"/>
      <c r="Y19" s="24"/>
      <c r="Z19" s="24"/>
    </row>
    <row r="20">
      <c r="A20" s="40" t="s">
        <v>110</v>
      </c>
      <c r="B20" s="40" t="s">
        <v>90</v>
      </c>
      <c r="C20" s="40" t="s">
        <v>111</v>
      </c>
      <c r="D20" s="40" t="s">
        <v>112</v>
      </c>
      <c r="E20" s="40" t="s">
        <v>78</v>
      </c>
      <c r="F20" s="45" t="s">
        <v>113</v>
      </c>
      <c r="G20" s="11" t="s">
        <v>80</v>
      </c>
      <c r="H20" s="40" t="s">
        <v>114</v>
      </c>
      <c r="I20" s="40" t="s">
        <v>115</v>
      </c>
      <c r="J20" s="40" t="s">
        <v>83</v>
      </c>
      <c r="K20" s="40" t="s">
        <v>11</v>
      </c>
      <c r="L20" s="46" t="s">
        <v>116</v>
      </c>
      <c r="M20" s="48"/>
      <c r="N20" s="11"/>
      <c r="O20" s="24"/>
      <c r="P20" s="24"/>
      <c r="Q20" s="24"/>
      <c r="R20" s="24"/>
      <c r="S20" s="24"/>
      <c r="T20" s="24"/>
      <c r="U20" s="24"/>
      <c r="V20" s="24"/>
      <c r="W20" s="24"/>
      <c r="X20" s="24"/>
      <c r="Y20" s="24"/>
      <c r="Z20" s="24"/>
    </row>
    <row r="21">
      <c r="A21" s="24"/>
      <c r="B21" s="24"/>
      <c r="C21" s="24"/>
      <c r="D21" s="24"/>
      <c r="E21" s="24"/>
      <c r="F21" s="44"/>
      <c r="G21" s="24"/>
      <c r="H21" s="24"/>
      <c r="I21" s="24"/>
      <c r="J21" s="24"/>
      <c r="K21" s="24"/>
      <c r="L21" s="24"/>
      <c r="M21" s="24"/>
      <c r="N21" s="24"/>
      <c r="O21" s="24"/>
      <c r="P21" s="24"/>
      <c r="Q21" s="24"/>
      <c r="R21" s="24"/>
      <c r="S21" s="24"/>
      <c r="T21" s="24"/>
      <c r="U21" s="24"/>
      <c r="V21" s="24"/>
      <c r="W21" s="24"/>
      <c r="X21" s="24"/>
      <c r="Y21" s="24"/>
      <c r="Z21" s="24"/>
    </row>
    <row r="22">
      <c r="A22" s="40" t="s">
        <v>117</v>
      </c>
      <c r="B22" s="40" t="s">
        <v>90</v>
      </c>
      <c r="C22" s="40" t="s">
        <v>118</v>
      </c>
      <c r="D22" s="40" t="s">
        <v>119</v>
      </c>
      <c r="E22" s="40" t="s">
        <v>78</v>
      </c>
      <c r="F22" s="45" t="s">
        <v>120</v>
      </c>
      <c r="G22" s="11" t="s">
        <v>80</v>
      </c>
      <c r="H22" s="40" t="s">
        <v>121</v>
      </c>
      <c r="I22" s="40" t="s">
        <v>122</v>
      </c>
      <c r="J22" s="40" t="s">
        <v>83</v>
      </c>
      <c r="K22" s="40" t="s">
        <v>11</v>
      </c>
      <c r="L22" s="46" t="s">
        <v>123</v>
      </c>
      <c r="M22" s="48"/>
      <c r="N22" s="11"/>
      <c r="O22" s="24"/>
      <c r="P22" s="24"/>
      <c r="Q22" s="24"/>
      <c r="R22" s="24"/>
      <c r="S22" s="24"/>
      <c r="T22" s="24"/>
      <c r="U22" s="24"/>
      <c r="V22" s="24"/>
      <c r="W22" s="24"/>
      <c r="X22" s="24"/>
      <c r="Y22" s="24"/>
      <c r="Z22" s="24"/>
    </row>
    <row r="23">
      <c r="A23" s="24"/>
      <c r="B23" s="24"/>
      <c r="C23" s="24"/>
      <c r="D23" s="24"/>
      <c r="E23" s="24"/>
      <c r="F23" s="44"/>
      <c r="G23" s="24"/>
      <c r="H23" s="24"/>
      <c r="I23" s="24"/>
      <c r="J23" s="24"/>
      <c r="K23" s="24"/>
      <c r="L23" s="24"/>
      <c r="M23" s="24"/>
      <c r="N23" s="24"/>
      <c r="O23" s="24"/>
      <c r="P23" s="24"/>
      <c r="Q23" s="24"/>
      <c r="R23" s="24"/>
      <c r="S23" s="24"/>
      <c r="T23" s="24"/>
      <c r="U23" s="24"/>
      <c r="V23" s="24"/>
      <c r="W23" s="24"/>
      <c r="X23" s="24"/>
      <c r="Y23" s="24"/>
      <c r="Z23" s="24"/>
    </row>
    <row r="24">
      <c r="A24" s="40" t="s">
        <v>124</v>
      </c>
      <c r="B24" s="40" t="s">
        <v>90</v>
      </c>
      <c r="C24" s="40" t="s">
        <v>118</v>
      </c>
      <c r="D24" s="40" t="s">
        <v>125</v>
      </c>
      <c r="E24" s="40" t="s">
        <v>78</v>
      </c>
      <c r="F24" s="45" t="s">
        <v>120</v>
      </c>
      <c r="G24" s="11" t="s">
        <v>80</v>
      </c>
      <c r="H24" s="40" t="s">
        <v>126</v>
      </c>
      <c r="I24" s="40" t="s">
        <v>127</v>
      </c>
      <c r="J24" s="40" t="s">
        <v>83</v>
      </c>
      <c r="K24" s="40" t="s">
        <v>11</v>
      </c>
      <c r="L24" s="46" t="s">
        <v>128</v>
      </c>
      <c r="M24" s="48"/>
      <c r="N24" s="48"/>
      <c r="O24" s="24"/>
      <c r="P24" s="24"/>
      <c r="Q24" s="24"/>
      <c r="R24" s="24"/>
      <c r="S24" s="24"/>
      <c r="T24" s="24"/>
      <c r="U24" s="24"/>
      <c r="V24" s="24"/>
      <c r="W24" s="24"/>
      <c r="X24" s="24"/>
      <c r="Y24" s="24"/>
      <c r="Z24" s="24"/>
    </row>
    <row r="25">
      <c r="A25" s="24"/>
      <c r="B25" s="24"/>
      <c r="C25" s="24"/>
      <c r="D25" s="24"/>
      <c r="E25" s="24"/>
      <c r="F25" s="44"/>
      <c r="G25" s="24"/>
      <c r="H25" s="24"/>
      <c r="I25" s="24"/>
      <c r="J25" s="24"/>
      <c r="K25" s="24"/>
      <c r="L25" s="24"/>
      <c r="M25" s="24"/>
      <c r="N25" s="24"/>
      <c r="O25" s="24"/>
      <c r="P25" s="24"/>
      <c r="Q25" s="24"/>
      <c r="R25" s="24"/>
      <c r="S25" s="24"/>
      <c r="T25" s="24"/>
      <c r="U25" s="24"/>
      <c r="V25" s="24"/>
      <c r="W25" s="24"/>
      <c r="X25" s="24"/>
      <c r="Y25" s="24"/>
      <c r="Z25" s="24"/>
    </row>
    <row r="26">
      <c r="A26" s="40" t="s">
        <v>129</v>
      </c>
      <c r="B26" s="40" t="s">
        <v>90</v>
      </c>
      <c r="C26" s="40" t="s">
        <v>111</v>
      </c>
      <c r="D26" s="40" t="s">
        <v>103</v>
      </c>
      <c r="E26" s="40" t="s">
        <v>78</v>
      </c>
      <c r="F26" s="45" t="s">
        <v>130</v>
      </c>
      <c r="G26" s="11" t="s">
        <v>80</v>
      </c>
      <c r="H26" s="40" t="s">
        <v>131</v>
      </c>
      <c r="I26" s="40" t="s">
        <v>132</v>
      </c>
      <c r="J26" s="40" t="s">
        <v>83</v>
      </c>
      <c r="K26" s="40" t="s">
        <v>11</v>
      </c>
      <c r="L26" s="47" t="s">
        <v>133</v>
      </c>
      <c r="M26" s="48"/>
      <c r="N26" s="48"/>
      <c r="O26" s="24"/>
      <c r="P26" s="24"/>
      <c r="Q26" s="24"/>
      <c r="R26" s="24"/>
      <c r="S26" s="24"/>
      <c r="T26" s="24"/>
      <c r="U26" s="24"/>
      <c r="V26" s="24"/>
      <c r="W26" s="24"/>
      <c r="X26" s="24"/>
      <c r="Y26" s="24"/>
      <c r="Z26" s="24"/>
    </row>
    <row r="27">
      <c r="A27" s="24"/>
      <c r="B27" s="24"/>
      <c r="C27" s="24"/>
      <c r="D27" s="24"/>
      <c r="E27" s="24"/>
      <c r="F27" s="44"/>
      <c r="G27" s="24"/>
      <c r="H27" s="24"/>
      <c r="I27" s="24"/>
      <c r="J27" s="24"/>
      <c r="K27" s="24"/>
      <c r="L27" s="24"/>
      <c r="M27" s="24"/>
      <c r="N27" s="24"/>
      <c r="O27" s="24"/>
      <c r="P27" s="24"/>
      <c r="Q27" s="24"/>
      <c r="R27" s="24"/>
      <c r="S27" s="24"/>
      <c r="T27" s="24"/>
      <c r="U27" s="24"/>
      <c r="V27" s="24"/>
      <c r="W27" s="24"/>
      <c r="X27" s="24"/>
      <c r="Y27" s="24"/>
      <c r="Z27" s="24"/>
    </row>
    <row r="28">
      <c r="A28" s="40" t="s">
        <v>134</v>
      </c>
      <c r="B28" s="40" t="s">
        <v>90</v>
      </c>
      <c r="C28" s="40" t="s">
        <v>111</v>
      </c>
      <c r="D28" s="40" t="s">
        <v>135</v>
      </c>
      <c r="E28" s="40" t="s">
        <v>78</v>
      </c>
      <c r="F28" s="45" t="s">
        <v>130</v>
      </c>
      <c r="G28" s="11" t="s">
        <v>80</v>
      </c>
      <c r="H28" s="40" t="s">
        <v>114</v>
      </c>
      <c r="I28" s="40" t="s">
        <v>115</v>
      </c>
      <c r="J28" s="40" t="s">
        <v>83</v>
      </c>
      <c r="K28" s="40" t="s">
        <v>11</v>
      </c>
      <c r="L28" s="46" t="s">
        <v>136</v>
      </c>
      <c r="M28" s="48"/>
      <c r="N28" s="48"/>
      <c r="O28" s="24"/>
      <c r="P28" s="24"/>
      <c r="Q28" s="24"/>
      <c r="R28" s="24"/>
      <c r="S28" s="24"/>
      <c r="T28" s="24"/>
      <c r="U28" s="24"/>
      <c r="V28" s="24"/>
      <c r="W28" s="24"/>
      <c r="X28" s="24"/>
      <c r="Y28" s="24"/>
      <c r="Z28" s="24"/>
    </row>
    <row r="29">
      <c r="A29" s="24"/>
      <c r="B29" s="24"/>
      <c r="C29" s="24"/>
      <c r="D29" s="24"/>
      <c r="E29" s="24"/>
      <c r="F29" s="44"/>
      <c r="G29" s="24"/>
      <c r="H29" s="24"/>
      <c r="I29" s="24"/>
      <c r="J29" s="24"/>
      <c r="K29" s="24"/>
      <c r="L29" s="24"/>
      <c r="M29" s="24"/>
      <c r="N29" s="24"/>
      <c r="O29" s="24"/>
      <c r="P29" s="24"/>
      <c r="Q29" s="24"/>
      <c r="R29" s="24"/>
      <c r="S29" s="24"/>
      <c r="T29" s="24"/>
      <c r="U29" s="24"/>
      <c r="V29" s="24"/>
      <c r="W29" s="24"/>
      <c r="X29" s="24"/>
      <c r="Y29" s="24"/>
      <c r="Z29" s="24"/>
    </row>
    <row r="30">
      <c r="A30" s="40" t="s">
        <v>137</v>
      </c>
      <c r="B30" s="40" t="s">
        <v>138</v>
      </c>
      <c r="C30" s="40" t="s">
        <v>139</v>
      </c>
      <c r="D30" s="40" t="s">
        <v>140</v>
      </c>
      <c r="E30" s="40" t="s">
        <v>78</v>
      </c>
      <c r="F30" s="45" t="s">
        <v>141</v>
      </c>
      <c r="G30" s="11" t="s">
        <v>80</v>
      </c>
      <c r="H30" s="40" t="s">
        <v>142</v>
      </c>
      <c r="I30" s="40" t="s">
        <v>143</v>
      </c>
      <c r="J30" s="40" t="s">
        <v>83</v>
      </c>
      <c r="K30" s="40" t="s">
        <v>6</v>
      </c>
      <c r="L30" s="46" t="s">
        <v>144</v>
      </c>
      <c r="M30" s="48"/>
      <c r="N30" s="48"/>
      <c r="O30" s="24"/>
      <c r="P30" s="24"/>
      <c r="Q30" s="24"/>
      <c r="R30" s="24"/>
      <c r="S30" s="24"/>
      <c r="T30" s="24"/>
      <c r="U30" s="24"/>
      <c r="V30" s="24"/>
      <c r="W30" s="24"/>
      <c r="X30" s="24"/>
      <c r="Y30" s="24"/>
      <c r="Z30" s="24"/>
    </row>
    <row r="31">
      <c r="A31" s="24"/>
      <c r="B31" s="24"/>
      <c r="C31" s="24"/>
      <c r="D31" s="24"/>
      <c r="E31" s="24"/>
      <c r="F31" s="44"/>
      <c r="G31" s="24"/>
      <c r="H31" s="24"/>
      <c r="I31" s="24"/>
      <c r="J31" s="24"/>
      <c r="K31" s="24"/>
      <c r="L31" s="24"/>
      <c r="M31" s="24"/>
      <c r="N31" s="24"/>
      <c r="O31" s="24"/>
      <c r="P31" s="24"/>
      <c r="Q31" s="24"/>
      <c r="R31" s="24"/>
      <c r="S31" s="24"/>
      <c r="T31" s="24"/>
      <c r="U31" s="24"/>
      <c r="V31" s="24"/>
      <c r="W31" s="24"/>
      <c r="X31" s="24"/>
      <c r="Y31" s="24"/>
      <c r="Z31" s="24"/>
    </row>
    <row r="32">
      <c r="A32" s="40" t="s">
        <v>145</v>
      </c>
      <c r="B32" s="40" t="s">
        <v>138</v>
      </c>
      <c r="C32" s="40" t="s">
        <v>138</v>
      </c>
      <c r="D32" s="40" t="s">
        <v>146</v>
      </c>
      <c r="E32" s="40" t="s">
        <v>78</v>
      </c>
      <c r="F32" s="45" t="s">
        <v>147</v>
      </c>
      <c r="G32" s="11" t="s">
        <v>80</v>
      </c>
      <c r="H32" s="40" t="s">
        <v>148</v>
      </c>
      <c r="I32" s="40" t="s">
        <v>149</v>
      </c>
      <c r="J32" s="40" t="s">
        <v>83</v>
      </c>
      <c r="K32" s="40" t="s">
        <v>11</v>
      </c>
      <c r="L32" s="46" t="s">
        <v>150</v>
      </c>
      <c r="M32" s="48"/>
      <c r="N32" s="48"/>
      <c r="O32" s="24"/>
      <c r="P32" s="24"/>
      <c r="Q32" s="24"/>
      <c r="R32" s="24"/>
      <c r="S32" s="24"/>
      <c r="T32" s="24"/>
      <c r="U32" s="24"/>
      <c r="V32" s="24"/>
      <c r="W32" s="24"/>
      <c r="X32" s="24"/>
      <c r="Y32" s="24"/>
      <c r="Z32" s="24"/>
    </row>
    <row r="33">
      <c r="A33" s="24"/>
      <c r="B33" s="24"/>
      <c r="C33" s="24"/>
      <c r="D33" s="24"/>
      <c r="E33" s="24"/>
      <c r="F33" s="44"/>
      <c r="G33" s="24"/>
      <c r="H33" s="24"/>
      <c r="I33" s="24"/>
      <c r="J33" s="24"/>
      <c r="K33" s="24"/>
      <c r="L33" s="24"/>
      <c r="M33" s="24"/>
      <c r="N33" s="24"/>
      <c r="O33" s="24"/>
      <c r="P33" s="24"/>
      <c r="Q33" s="24"/>
      <c r="R33" s="24"/>
      <c r="S33" s="24"/>
      <c r="T33" s="24"/>
      <c r="U33" s="24"/>
      <c r="V33" s="24"/>
      <c r="W33" s="24"/>
      <c r="X33" s="24"/>
      <c r="Y33" s="24"/>
      <c r="Z33" s="24"/>
    </row>
    <row r="34">
      <c r="A34" s="40" t="s">
        <v>151</v>
      </c>
      <c r="B34" s="40" t="s">
        <v>138</v>
      </c>
      <c r="C34" s="40" t="s">
        <v>138</v>
      </c>
      <c r="D34" s="40" t="s">
        <v>152</v>
      </c>
      <c r="E34" s="40" t="s">
        <v>78</v>
      </c>
      <c r="F34" s="45" t="s">
        <v>147</v>
      </c>
      <c r="G34" s="11" t="s">
        <v>80</v>
      </c>
      <c r="H34" s="40" t="s">
        <v>114</v>
      </c>
      <c r="I34" s="40" t="s">
        <v>115</v>
      </c>
      <c r="J34" s="40" t="s">
        <v>83</v>
      </c>
      <c r="K34" s="40" t="s">
        <v>11</v>
      </c>
      <c r="L34" s="46" t="s">
        <v>153</v>
      </c>
      <c r="M34" s="48"/>
      <c r="N34" s="48"/>
      <c r="O34" s="24"/>
      <c r="P34" s="24"/>
      <c r="Q34" s="24"/>
      <c r="R34" s="24"/>
      <c r="S34" s="24"/>
      <c r="T34" s="24"/>
      <c r="U34" s="24"/>
      <c r="V34" s="24"/>
      <c r="W34" s="24"/>
      <c r="X34" s="24"/>
      <c r="Y34" s="24"/>
      <c r="Z34" s="24"/>
    </row>
    <row r="35">
      <c r="A35" s="24"/>
      <c r="B35" s="24"/>
      <c r="C35" s="24"/>
      <c r="D35" s="24"/>
      <c r="E35" s="24"/>
      <c r="F35" s="44"/>
      <c r="G35" s="24"/>
      <c r="H35" s="24"/>
      <c r="I35" s="24"/>
      <c r="J35" s="24"/>
      <c r="K35" s="24"/>
      <c r="L35" s="24"/>
      <c r="M35" s="24"/>
      <c r="N35" s="24"/>
      <c r="O35" s="24"/>
      <c r="P35" s="24"/>
      <c r="Q35" s="24"/>
      <c r="R35" s="24"/>
      <c r="S35" s="24"/>
      <c r="T35" s="24"/>
      <c r="U35" s="24"/>
      <c r="V35" s="24"/>
      <c r="W35" s="24"/>
      <c r="X35" s="24"/>
      <c r="Y35" s="24"/>
      <c r="Z35" s="24"/>
    </row>
    <row r="36">
      <c r="A36" s="40" t="s">
        <v>154</v>
      </c>
      <c r="B36" s="40" t="s">
        <v>138</v>
      </c>
      <c r="C36" s="40" t="s">
        <v>138</v>
      </c>
      <c r="D36" s="40" t="s">
        <v>155</v>
      </c>
      <c r="E36" s="40" t="s">
        <v>78</v>
      </c>
      <c r="F36" s="45" t="s">
        <v>147</v>
      </c>
      <c r="G36" s="11" t="s">
        <v>80</v>
      </c>
      <c r="H36" s="40" t="s">
        <v>156</v>
      </c>
      <c r="I36" s="40" t="s">
        <v>157</v>
      </c>
      <c r="J36" s="40" t="s">
        <v>83</v>
      </c>
      <c r="K36" s="40" t="s">
        <v>6</v>
      </c>
      <c r="L36" s="46" t="s">
        <v>158</v>
      </c>
      <c r="M36" s="48"/>
      <c r="N36" s="48"/>
      <c r="O36" s="24"/>
      <c r="P36" s="24"/>
      <c r="Q36" s="24"/>
      <c r="R36" s="24"/>
      <c r="S36" s="24"/>
      <c r="T36" s="24"/>
      <c r="U36" s="24"/>
      <c r="V36" s="24"/>
      <c r="W36" s="24"/>
      <c r="X36" s="24"/>
      <c r="Y36" s="24"/>
      <c r="Z36" s="24"/>
    </row>
    <row r="37">
      <c r="A37" s="24"/>
      <c r="B37" s="24"/>
      <c r="C37" s="24"/>
      <c r="D37" s="24"/>
      <c r="E37" s="24"/>
      <c r="F37" s="44"/>
      <c r="G37" s="24"/>
      <c r="H37" s="24"/>
      <c r="I37" s="24"/>
      <c r="J37" s="24"/>
      <c r="K37" s="24"/>
      <c r="L37" s="24"/>
      <c r="M37" s="24"/>
      <c r="N37" s="24"/>
      <c r="O37" s="24"/>
      <c r="P37" s="24"/>
      <c r="Q37" s="24"/>
      <c r="R37" s="24"/>
      <c r="S37" s="24"/>
      <c r="T37" s="24"/>
      <c r="U37" s="24"/>
      <c r="V37" s="24"/>
      <c r="W37" s="24"/>
      <c r="X37" s="24"/>
      <c r="Y37" s="24"/>
      <c r="Z37" s="24"/>
    </row>
    <row r="38">
      <c r="A38" s="40" t="s">
        <v>159</v>
      </c>
      <c r="B38" s="40" t="s">
        <v>138</v>
      </c>
      <c r="C38" s="40" t="s">
        <v>138</v>
      </c>
      <c r="D38" s="40" t="s">
        <v>160</v>
      </c>
      <c r="E38" s="40" t="s">
        <v>78</v>
      </c>
      <c r="F38" s="45" t="s">
        <v>147</v>
      </c>
      <c r="G38" s="11" t="s">
        <v>80</v>
      </c>
      <c r="H38" s="40" t="s">
        <v>156</v>
      </c>
      <c r="I38" s="40" t="s">
        <v>157</v>
      </c>
      <c r="J38" s="40" t="s">
        <v>83</v>
      </c>
      <c r="K38" s="40" t="s">
        <v>6</v>
      </c>
      <c r="L38" s="46" t="s">
        <v>161</v>
      </c>
      <c r="M38" s="48"/>
      <c r="N38" s="48"/>
      <c r="O38" s="24"/>
      <c r="P38" s="24"/>
      <c r="Q38" s="24"/>
      <c r="R38" s="24"/>
      <c r="S38" s="24"/>
      <c r="T38" s="24"/>
      <c r="U38" s="24"/>
      <c r="V38" s="24"/>
      <c r="W38" s="24"/>
      <c r="X38" s="24"/>
      <c r="Y38" s="24"/>
      <c r="Z38" s="24"/>
    </row>
    <row r="39">
      <c r="A39" s="24"/>
      <c r="B39" s="24"/>
      <c r="C39" s="24"/>
      <c r="D39" s="24"/>
      <c r="E39" s="24"/>
      <c r="F39" s="44"/>
      <c r="G39" s="24"/>
      <c r="H39" s="24"/>
      <c r="I39" s="24"/>
      <c r="J39" s="24"/>
      <c r="K39" s="24"/>
      <c r="L39" s="24"/>
      <c r="M39" s="24"/>
      <c r="N39" s="24"/>
      <c r="O39" s="24"/>
      <c r="P39" s="24"/>
      <c r="Q39" s="24"/>
      <c r="R39" s="24"/>
      <c r="S39" s="24"/>
      <c r="T39" s="24"/>
      <c r="U39" s="24"/>
      <c r="V39" s="24"/>
      <c r="W39" s="24"/>
      <c r="X39" s="24"/>
      <c r="Y39" s="24"/>
      <c r="Z39" s="24"/>
    </row>
    <row r="40">
      <c r="A40" s="40" t="s">
        <v>162</v>
      </c>
      <c r="B40" s="40" t="s">
        <v>163</v>
      </c>
      <c r="C40" s="40" t="s">
        <v>163</v>
      </c>
      <c r="D40" s="40" t="s">
        <v>164</v>
      </c>
      <c r="E40" s="40" t="s">
        <v>78</v>
      </c>
      <c r="F40" s="45" t="s">
        <v>165</v>
      </c>
      <c r="G40" s="11" t="s">
        <v>80</v>
      </c>
      <c r="H40" s="40" t="s">
        <v>166</v>
      </c>
      <c r="I40" s="40" t="s">
        <v>167</v>
      </c>
      <c r="J40" s="40" t="s">
        <v>83</v>
      </c>
      <c r="K40" s="40" t="s">
        <v>11</v>
      </c>
      <c r="L40" s="46" t="s">
        <v>168</v>
      </c>
      <c r="M40" s="48"/>
      <c r="N40" s="48"/>
      <c r="O40" s="24"/>
      <c r="P40" s="24"/>
      <c r="Q40" s="24"/>
      <c r="R40" s="24"/>
      <c r="S40" s="24"/>
      <c r="T40" s="24"/>
      <c r="U40" s="24"/>
      <c r="V40" s="24"/>
      <c r="W40" s="24"/>
      <c r="X40" s="24"/>
      <c r="Y40" s="24"/>
      <c r="Z40" s="24"/>
    </row>
    <row r="41">
      <c r="A41" s="24"/>
      <c r="B41" s="24"/>
      <c r="C41" s="24"/>
      <c r="D41" s="24"/>
      <c r="E41" s="24"/>
      <c r="F41" s="44"/>
      <c r="G41" s="24"/>
      <c r="H41" s="24"/>
      <c r="I41" s="24"/>
      <c r="J41" s="24"/>
      <c r="K41" s="24"/>
      <c r="L41" s="24"/>
      <c r="M41" s="24"/>
      <c r="N41" s="24"/>
      <c r="O41" s="24"/>
      <c r="P41" s="24"/>
      <c r="Q41" s="24"/>
      <c r="R41" s="24"/>
      <c r="S41" s="24"/>
      <c r="T41" s="24"/>
      <c r="U41" s="24"/>
      <c r="V41" s="24"/>
      <c r="W41" s="24"/>
      <c r="X41" s="24"/>
      <c r="Y41" s="24"/>
      <c r="Z41" s="24"/>
    </row>
    <row r="42">
      <c r="A42" s="40" t="s">
        <v>169</v>
      </c>
      <c r="B42" s="40" t="s">
        <v>170</v>
      </c>
      <c r="C42" s="40" t="s">
        <v>170</v>
      </c>
      <c r="D42" s="40" t="s">
        <v>164</v>
      </c>
      <c r="E42" s="40" t="s">
        <v>78</v>
      </c>
      <c r="F42" s="45" t="s">
        <v>171</v>
      </c>
      <c r="G42" s="11" t="s">
        <v>80</v>
      </c>
      <c r="H42" s="40" t="s">
        <v>166</v>
      </c>
      <c r="I42" s="40" t="s">
        <v>167</v>
      </c>
      <c r="J42" s="40" t="s">
        <v>83</v>
      </c>
      <c r="K42" s="40" t="s">
        <v>11</v>
      </c>
      <c r="L42" s="46" t="s">
        <v>172</v>
      </c>
      <c r="M42" s="48"/>
      <c r="N42" s="48"/>
      <c r="O42" s="24"/>
      <c r="P42" s="24"/>
      <c r="Q42" s="24"/>
      <c r="R42" s="24"/>
      <c r="S42" s="24"/>
      <c r="T42" s="24"/>
      <c r="U42" s="24"/>
      <c r="V42" s="24"/>
      <c r="W42" s="24"/>
      <c r="X42" s="24"/>
      <c r="Y42" s="24"/>
      <c r="Z42" s="24"/>
    </row>
    <row r="43">
      <c r="A43" s="24"/>
      <c r="B43" s="24"/>
      <c r="C43" s="24"/>
      <c r="D43" s="24"/>
      <c r="E43" s="24"/>
      <c r="F43" s="44"/>
      <c r="G43" s="24"/>
      <c r="H43" s="24"/>
      <c r="I43" s="24"/>
      <c r="J43" s="24"/>
      <c r="K43" s="24"/>
      <c r="L43" s="24"/>
      <c r="M43" s="24"/>
      <c r="N43" s="24"/>
      <c r="O43" s="24"/>
      <c r="P43" s="24"/>
      <c r="Q43" s="24"/>
      <c r="R43" s="24"/>
      <c r="S43" s="24"/>
      <c r="T43" s="24"/>
      <c r="U43" s="24"/>
      <c r="V43" s="24"/>
      <c r="W43" s="24"/>
      <c r="X43" s="24"/>
      <c r="Y43" s="24"/>
      <c r="Z43" s="24"/>
    </row>
    <row r="44">
      <c r="A44" s="40" t="s">
        <v>173</v>
      </c>
      <c r="B44" s="40" t="s">
        <v>174</v>
      </c>
      <c r="C44" s="40" t="s">
        <v>174</v>
      </c>
      <c r="D44" s="40" t="s">
        <v>175</v>
      </c>
      <c r="E44" s="40" t="s">
        <v>78</v>
      </c>
      <c r="F44" s="45" t="s">
        <v>171</v>
      </c>
      <c r="G44" s="11" t="s">
        <v>80</v>
      </c>
      <c r="H44" s="40" t="s">
        <v>114</v>
      </c>
      <c r="I44" s="40" t="s">
        <v>115</v>
      </c>
      <c r="J44" s="40" t="s">
        <v>83</v>
      </c>
      <c r="K44" s="40" t="s">
        <v>11</v>
      </c>
      <c r="L44" s="46" t="s">
        <v>176</v>
      </c>
      <c r="M44" s="48"/>
      <c r="N44" s="48"/>
      <c r="O44" s="24"/>
      <c r="P44" s="24"/>
      <c r="Q44" s="24"/>
      <c r="R44" s="24"/>
      <c r="S44" s="24"/>
      <c r="T44" s="24"/>
      <c r="U44" s="24"/>
      <c r="V44" s="24"/>
      <c r="W44" s="24"/>
      <c r="X44" s="24"/>
      <c r="Y44" s="24"/>
      <c r="Z44" s="24"/>
    </row>
    <row r="45">
      <c r="A45" s="24"/>
      <c r="B45" s="24"/>
      <c r="C45" s="24"/>
      <c r="D45" s="24"/>
      <c r="E45" s="24"/>
      <c r="F45" s="44"/>
      <c r="G45" s="24"/>
      <c r="H45" s="24"/>
      <c r="I45" s="24"/>
      <c r="J45" s="24"/>
      <c r="K45" s="24"/>
      <c r="L45" s="24"/>
      <c r="M45" s="24"/>
      <c r="N45" s="24"/>
      <c r="O45" s="24"/>
      <c r="P45" s="24"/>
      <c r="Q45" s="24"/>
      <c r="R45" s="24"/>
      <c r="S45" s="24"/>
      <c r="T45" s="24"/>
      <c r="U45" s="24"/>
      <c r="V45" s="24"/>
      <c r="W45" s="24"/>
      <c r="X45" s="24"/>
      <c r="Y45" s="24"/>
      <c r="Z45" s="24"/>
    </row>
    <row r="46">
      <c r="A46" s="40" t="s">
        <v>177</v>
      </c>
      <c r="B46" s="40" t="s">
        <v>178</v>
      </c>
      <c r="C46" s="40" t="s">
        <v>178</v>
      </c>
      <c r="D46" s="40" t="s">
        <v>179</v>
      </c>
      <c r="E46" s="40" t="s">
        <v>78</v>
      </c>
      <c r="F46" s="45" t="s">
        <v>180</v>
      </c>
      <c r="G46" s="11" t="s">
        <v>80</v>
      </c>
      <c r="H46" s="40" t="s">
        <v>156</v>
      </c>
      <c r="I46" s="40" t="s">
        <v>181</v>
      </c>
      <c r="J46" s="40" t="s">
        <v>83</v>
      </c>
      <c r="K46" s="40" t="s">
        <v>6</v>
      </c>
      <c r="L46" s="46" t="s">
        <v>182</v>
      </c>
      <c r="M46" s="48"/>
      <c r="N46" s="48"/>
      <c r="O46" s="24"/>
      <c r="P46" s="24"/>
      <c r="Q46" s="24"/>
      <c r="R46" s="24"/>
      <c r="S46" s="24"/>
      <c r="T46" s="24"/>
      <c r="U46" s="24"/>
      <c r="V46" s="24"/>
      <c r="W46" s="24"/>
      <c r="X46" s="24"/>
      <c r="Y46" s="24"/>
      <c r="Z46" s="24"/>
    </row>
    <row r="47">
      <c r="A47" s="24"/>
      <c r="B47" s="24"/>
      <c r="C47" s="24"/>
      <c r="D47" s="24"/>
      <c r="E47" s="24"/>
      <c r="F47" s="44"/>
      <c r="G47" s="24"/>
      <c r="H47" s="24"/>
      <c r="I47" s="24"/>
      <c r="J47" s="24"/>
      <c r="K47" s="24"/>
      <c r="L47" s="24"/>
      <c r="M47" s="24"/>
      <c r="N47" s="24"/>
      <c r="O47" s="24"/>
      <c r="P47" s="24"/>
      <c r="Q47" s="24"/>
      <c r="R47" s="24"/>
      <c r="S47" s="24"/>
      <c r="T47" s="24"/>
      <c r="U47" s="24"/>
      <c r="V47" s="24"/>
      <c r="W47" s="24"/>
      <c r="X47" s="24"/>
      <c r="Y47" s="24"/>
      <c r="Z47" s="24"/>
    </row>
    <row r="48">
      <c r="A48" s="40" t="s">
        <v>183</v>
      </c>
      <c r="B48" s="40" t="s">
        <v>178</v>
      </c>
      <c r="C48" s="40" t="s">
        <v>178</v>
      </c>
      <c r="D48" s="40" t="s">
        <v>184</v>
      </c>
      <c r="E48" s="40" t="s">
        <v>78</v>
      </c>
      <c r="F48" s="45" t="s">
        <v>180</v>
      </c>
      <c r="G48" s="40" t="s">
        <v>80</v>
      </c>
      <c r="H48" s="40" t="s">
        <v>114</v>
      </c>
      <c r="I48" s="40" t="s">
        <v>115</v>
      </c>
      <c r="J48" s="40" t="s">
        <v>83</v>
      </c>
      <c r="K48" s="40" t="s">
        <v>8</v>
      </c>
      <c r="L48" s="46" t="s">
        <v>185</v>
      </c>
      <c r="M48" s="11"/>
      <c r="N48" s="48"/>
      <c r="O48" s="24"/>
      <c r="P48" s="24"/>
      <c r="Q48" s="24"/>
      <c r="R48" s="24"/>
      <c r="S48" s="24"/>
      <c r="T48" s="24"/>
      <c r="U48" s="24"/>
      <c r="V48" s="24"/>
      <c r="W48" s="24"/>
      <c r="X48" s="24"/>
      <c r="Y48" s="24"/>
      <c r="Z48" s="24"/>
    </row>
    <row r="49">
      <c r="A49" s="24"/>
      <c r="B49" s="24"/>
      <c r="C49" s="24"/>
      <c r="D49" s="24"/>
      <c r="E49" s="24"/>
      <c r="F49" s="44"/>
      <c r="G49" s="24"/>
      <c r="H49" s="24"/>
      <c r="I49" s="24"/>
      <c r="J49" s="24"/>
      <c r="K49" s="24"/>
      <c r="L49" s="24"/>
      <c r="M49" s="24"/>
      <c r="N49" s="24"/>
      <c r="O49" s="24"/>
      <c r="P49" s="24"/>
      <c r="Q49" s="24"/>
      <c r="R49" s="24"/>
      <c r="S49" s="24"/>
      <c r="T49" s="24"/>
      <c r="U49" s="24"/>
      <c r="V49" s="24"/>
      <c r="W49" s="24"/>
      <c r="X49" s="24"/>
      <c r="Y49" s="24"/>
      <c r="Z49" s="24"/>
    </row>
    <row r="50">
      <c r="A50" s="40" t="s">
        <v>186</v>
      </c>
      <c r="B50" s="40" t="s">
        <v>187</v>
      </c>
      <c r="C50" s="40" t="s">
        <v>187</v>
      </c>
      <c r="D50" s="40" t="s">
        <v>184</v>
      </c>
      <c r="E50" s="40" t="s">
        <v>78</v>
      </c>
      <c r="F50" s="45" t="s">
        <v>188</v>
      </c>
      <c r="G50" s="40" t="s">
        <v>80</v>
      </c>
      <c r="H50" s="40" t="s">
        <v>114</v>
      </c>
      <c r="I50" s="40" t="s">
        <v>115</v>
      </c>
      <c r="J50" s="40" t="s">
        <v>83</v>
      </c>
      <c r="K50" s="40" t="s">
        <v>11</v>
      </c>
      <c r="L50" s="46" t="s">
        <v>189</v>
      </c>
      <c r="M50" s="48"/>
      <c r="N50" s="48"/>
      <c r="O50" s="24"/>
      <c r="P50" s="24"/>
      <c r="Q50" s="24"/>
      <c r="R50" s="24"/>
      <c r="S50" s="24"/>
      <c r="T50" s="24"/>
      <c r="U50" s="24"/>
      <c r="V50" s="24"/>
      <c r="W50" s="24"/>
      <c r="X50" s="24"/>
      <c r="Y50" s="24"/>
      <c r="Z50" s="24"/>
    </row>
    <row r="51">
      <c r="A51" s="24"/>
      <c r="B51" s="24"/>
      <c r="C51" s="24"/>
      <c r="D51" s="24"/>
      <c r="E51" s="24"/>
      <c r="F51" s="44"/>
      <c r="G51" s="24"/>
      <c r="H51" s="24"/>
      <c r="I51" s="24"/>
      <c r="J51" s="24"/>
      <c r="K51" s="24"/>
      <c r="L51" s="24"/>
      <c r="M51" s="24"/>
      <c r="N51" s="24"/>
      <c r="O51" s="24"/>
      <c r="P51" s="24"/>
      <c r="Q51" s="24"/>
      <c r="R51" s="24"/>
      <c r="S51" s="24"/>
      <c r="T51" s="24"/>
      <c r="U51" s="24"/>
      <c r="V51" s="24"/>
      <c r="W51" s="24"/>
      <c r="X51" s="24"/>
      <c r="Y51" s="24"/>
      <c r="Z51" s="24"/>
    </row>
    <row r="52">
      <c r="A52" s="40" t="s">
        <v>190</v>
      </c>
      <c r="B52" s="40" t="s">
        <v>174</v>
      </c>
      <c r="C52" s="40" t="s">
        <v>174</v>
      </c>
      <c r="D52" s="40" t="s">
        <v>175</v>
      </c>
      <c r="E52" s="40" t="s">
        <v>78</v>
      </c>
      <c r="F52" s="45" t="s">
        <v>171</v>
      </c>
      <c r="G52" s="11" t="s">
        <v>80</v>
      </c>
      <c r="H52" s="40" t="s">
        <v>114</v>
      </c>
      <c r="I52" s="40" t="s">
        <v>115</v>
      </c>
      <c r="J52" s="40" t="s">
        <v>83</v>
      </c>
      <c r="K52" s="40" t="s">
        <v>11</v>
      </c>
      <c r="L52" s="47" t="s">
        <v>191</v>
      </c>
      <c r="M52" s="48"/>
      <c r="N52" s="48"/>
      <c r="O52" s="24"/>
      <c r="P52" s="24"/>
      <c r="Q52" s="24"/>
      <c r="R52" s="24"/>
      <c r="S52" s="24"/>
      <c r="T52" s="24"/>
      <c r="U52" s="24"/>
      <c r="V52" s="24"/>
      <c r="W52" s="24"/>
      <c r="X52" s="24"/>
      <c r="Y52" s="24"/>
      <c r="Z52" s="24"/>
    </row>
    <row r="53">
      <c r="A53" s="24"/>
      <c r="B53" s="24"/>
      <c r="C53" s="24"/>
      <c r="D53" s="24"/>
      <c r="E53" s="24"/>
      <c r="F53" s="44"/>
      <c r="G53" s="24"/>
      <c r="H53" s="24"/>
      <c r="I53" s="24"/>
      <c r="J53" s="24"/>
      <c r="K53" s="24"/>
      <c r="L53" s="24"/>
      <c r="M53" s="24"/>
      <c r="N53" s="24"/>
      <c r="O53" s="24"/>
      <c r="P53" s="24"/>
      <c r="Q53" s="24"/>
      <c r="R53" s="24"/>
      <c r="S53" s="24"/>
      <c r="T53" s="24"/>
      <c r="U53" s="24"/>
      <c r="V53" s="24"/>
      <c r="W53" s="24"/>
      <c r="X53" s="24"/>
      <c r="Y53" s="24"/>
      <c r="Z53" s="24"/>
    </row>
    <row r="54">
      <c r="A54" s="40" t="s">
        <v>192</v>
      </c>
      <c r="B54" s="40" t="s">
        <v>193</v>
      </c>
      <c r="C54" s="40" t="s">
        <v>193</v>
      </c>
      <c r="D54" s="40" t="s">
        <v>164</v>
      </c>
      <c r="E54" s="40" t="s">
        <v>78</v>
      </c>
      <c r="F54" s="45" t="s">
        <v>194</v>
      </c>
      <c r="G54" s="11" t="s">
        <v>80</v>
      </c>
      <c r="H54" s="40" t="s">
        <v>166</v>
      </c>
      <c r="I54" s="40" t="s">
        <v>167</v>
      </c>
      <c r="J54" s="40" t="s">
        <v>83</v>
      </c>
      <c r="K54" s="40" t="s">
        <v>11</v>
      </c>
      <c r="L54" s="46" t="s">
        <v>195</v>
      </c>
      <c r="M54" s="48"/>
      <c r="N54" s="48"/>
      <c r="O54" s="24"/>
      <c r="P54" s="24"/>
      <c r="Q54" s="24"/>
      <c r="R54" s="24"/>
      <c r="S54" s="24"/>
      <c r="T54" s="24"/>
      <c r="U54" s="24"/>
      <c r="V54" s="24"/>
      <c r="W54" s="24"/>
      <c r="X54" s="24"/>
      <c r="Y54" s="24"/>
      <c r="Z54" s="24"/>
    </row>
    <row r="55">
      <c r="A55" s="24"/>
      <c r="B55" s="24"/>
      <c r="C55" s="24"/>
      <c r="D55" s="24"/>
      <c r="E55" s="24"/>
      <c r="F55" s="44"/>
      <c r="G55" s="24"/>
      <c r="H55" s="24"/>
      <c r="I55" s="24"/>
      <c r="J55" s="24"/>
      <c r="K55" s="24"/>
      <c r="L55" s="24"/>
      <c r="M55" s="24"/>
      <c r="N55" s="24"/>
      <c r="O55" s="24"/>
      <c r="P55" s="24"/>
      <c r="Q55" s="24"/>
      <c r="R55" s="24"/>
      <c r="S55" s="24"/>
      <c r="T55" s="24"/>
      <c r="U55" s="24"/>
      <c r="V55" s="24"/>
      <c r="W55" s="24"/>
      <c r="X55" s="24"/>
      <c r="Y55" s="24"/>
      <c r="Z55" s="24"/>
    </row>
    <row r="56">
      <c r="A56" s="40" t="s">
        <v>196</v>
      </c>
      <c r="B56" s="40" t="s">
        <v>193</v>
      </c>
      <c r="C56" s="40" t="s">
        <v>193</v>
      </c>
      <c r="D56" s="40" t="s">
        <v>197</v>
      </c>
      <c r="E56" s="40" t="s">
        <v>78</v>
      </c>
      <c r="F56" s="45" t="s">
        <v>194</v>
      </c>
      <c r="G56" s="11" t="s">
        <v>80</v>
      </c>
      <c r="H56" s="40" t="s">
        <v>198</v>
      </c>
      <c r="I56" s="40" t="s">
        <v>199</v>
      </c>
      <c r="J56" s="40" t="s">
        <v>83</v>
      </c>
      <c r="K56" s="40" t="s">
        <v>6</v>
      </c>
      <c r="L56" s="46" t="s">
        <v>200</v>
      </c>
      <c r="M56" s="48"/>
      <c r="N56" s="48"/>
      <c r="O56" s="24"/>
      <c r="P56" s="24"/>
      <c r="Q56" s="24"/>
      <c r="R56" s="24"/>
      <c r="S56" s="24"/>
      <c r="T56" s="24"/>
      <c r="U56" s="24"/>
      <c r="V56" s="24"/>
      <c r="W56" s="24"/>
      <c r="X56" s="24"/>
      <c r="Y56" s="24"/>
      <c r="Z56" s="24"/>
    </row>
    <row r="57">
      <c r="A57" s="24"/>
      <c r="B57" s="24"/>
      <c r="C57" s="24"/>
      <c r="D57" s="24"/>
      <c r="E57" s="24"/>
      <c r="F57" s="44"/>
      <c r="G57" s="24"/>
      <c r="H57" s="24"/>
      <c r="I57" s="24"/>
      <c r="J57" s="24"/>
      <c r="K57" s="24"/>
      <c r="L57" s="24"/>
      <c r="M57" s="24"/>
      <c r="N57" s="24"/>
      <c r="O57" s="24"/>
      <c r="P57" s="24"/>
      <c r="Q57" s="24"/>
      <c r="R57" s="24"/>
      <c r="S57" s="24"/>
      <c r="T57" s="24"/>
      <c r="U57" s="24"/>
      <c r="V57" s="24"/>
      <c r="W57" s="24"/>
      <c r="X57" s="24"/>
      <c r="Y57" s="24"/>
      <c r="Z57" s="24"/>
    </row>
    <row r="58">
      <c r="A58" s="40" t="s">
        <v>201</v>
      </c>
      <c r="B58" s="40" t="s">
        <v>202</v>
      </c>
      <c r="C58" s="40" t="s">
        <v>202</v>
      </c>
      <c r="D58" s="40" t="s">
        <v>197</v>
      </c>
      <c r="E58" s="40" t="s">
        <v>78</v>
      </c>
      <c r="F58" s="45" t="s">
        <v>203</v>
      </c>
      <c r="G58" s="11" t="s">
        <v>80</v>
      </c>
      <c r="H58" s="40" t="s">
        <v>198</v>
      </c>
      <c r="I58" s="40" t="s">
        <v>199</v>
      </c>
      <c r="J58" s="40" t="s">
        <v>83</v>
      </c>
      <c r="K58" s="40" t="s">
        <v>6</v>
      </c>
      <c r="L58" s="46" t="s">
        <v>204</v>
      </c>
      <c r="M58" s="48"/>
      <c r="N58" s="48"/>
      <c r="O58" s="24"/>
      <c r="P58" s="24"/>
      <c r="Q58" s="24"/>
      <c r="R58" s="24"/>
      <c r="S58" s="24"/>
      <c r="T58" s="24"/>
      <c r="U58" s="24"/>
      <c r="V58" s="24"/>
      <c r="W58" s="24"/>
      <c r="X58" s="24"/>
      <c r="Y58" s="24"/>
      <c r="Z58" s="24"/>
    </row>
    <row r="59">
      <c r="A59" s="24"/>
      <c r="B59" s="24"/>
      <c r="C59" s="24"/>
      <c r="D59" s="24"/>
      <c r="E59" s="24"/>
      <c r="F59" s="44"/>
      <c r="G59" s="24"/>
      <c r="H59" s="24"/>
      <c r="I59" s="24"/>
      <c r="J59" s="24"/>
      <c r="K59" s="24"/>
      <c r="L59" s="24"/>
      <c r="M59" s="24"/>
      <c r="N59" s="24"/>
      <c r="O59" s="24"/>
      <c r="P59" s="24"/>
      <c r="Q59" s="24"/>
      <c r="R59" s="24"/>
      <c r="S59" s="24"/>
      <c r="T59" s="24"/>
      <c r="U59" s="24"/>
      <c r="V59" s="24"/>
      <c r="W59" s="24"/>
      <c r="X59" s="24"/>
      <c r="Y59" s="24"/>
      <c r="Z59" s="24"/>
    </row>
    <row r="60">
      <c r="A60" s="40"/>
      <c r="B60" s="40"/>
      <c r="C60" s="40"/>
      <c r="D60" s="40"/>
      <c r="E60" s="40"/>
      <c r="F60" s="45"/>
      <c r="G60" s="11"/>
      <c r="H60" s="40"/>
      <c r="I60" s="40"/>
      <c r="J60" s="40"/>
      <c r="K60" s="40"/>
      <c r="L60" s="46"/>
      <c r="M60" s="48"/>
      <c r="N60" s="48"/>
      <c r="O60" s="24"/>
      <c r="P60" s="24"/>
      <c r="Q60" s="24"/>
      <c r="R60" s="24"/>
      <c r="S60" s="24"/>
      <c r="T60" s="24"/>
      <c r="U60" s="24"/>
      <c r="V60" s="24"/>
      <c r="W60" s="24"/>
      <c r="X60" s="24"/>
      <c r="Y60" s="24"/>
      <c r="Z60" s="24"/>
    </row>
    <row r="61">
      <c r="A61" s="24"/>
      <c r="B61" s="24"/>
      <c r="C61" s="24"/>
      <c r="D61" s="24"/>
      <c r="E61" s="24"/>
      <c r="F61" s="44"/>
      <c r="G61" s="24"/>
      <c r="H61" s="24"/>
      <c r="I61" s="24"/>
      <c r="J61" s="24"/>
      <c r="K61" s="24"/>
      <c r="L61" s="24"/>
      <c r="M61" s="24"/>
      <c r="N61" s="24"/>
      <c r="O61" s="24"/>
      <c r="P61" s="24"/>
      <c r="Q61" s="24"/>
      <c r="R61" s="24"/>
      <c r="S61" s="24"/>
      <c r="T61" s="24"/>
      <c r="U61" s="24"/>
      <c r="V61" s="24"/>
      <c r="W61" s="24"/>
      <c r="X61" s="24"/>
      <c r="Y61" s="24"/>
      <c r="Z61" s="24"/>
    </row>
    <row r="62">
      <c r="A62" s="40"/>
      <c r="B62" s="50"/>
      <c r="C62" s="50"/>
      <c r="D62" s="50"/>
      <c r="E62" s="50"/>
      <c r="F62" s="52"/>
      <c r="G62" s="48"/>
      <c r="H62" s="50"/>
      <c r="I62" s="50"/>
      <c r="J62" s="50"/>
      <c r="K62" s="50"/>
      <c r="L62" s="53"/>
      <c r="M62" s="48"/>
      <c r="N62" s="48"/>
      <c r="O62" s="24"/>
      <c r="P62" s="24"/>
      <c r="Q62" s="24"/>
      <c r="R62" s="24"/>
      <c r="S62" s="24"/>
      <c r="T62" s="24"/>
      <c r="U62" s="24"/>
      <c r="V62" s="24"/>
      <c r="W62" s="24"/>
      <c r="X62" s="24"/>
      <c r="Y62" s="24"/>
      <c r="Z62" s="24"/>
    </row>
    <row r="63">
      <c r="A63" s="24"/>
      <c r="B63" s="24"/>
      <c r="C63" s="24"/>
      <c r="D63" s="24"/>
      <c r="E63" s="24"/>
      <c r="F63" s="44"/>
      <c r="G63" s="24"/>
      <c r="H63" s="24"/>
      <c r="I63" s="24"/>
      <c r="J63" s="24"/>
      <c r="K63" s="24"/>
      <c r="L63" s="24"/>
      <c r="M63" s="24"/>
      <c r="N63" s="24"/>
      <c r="O63" s="24"/>
      <c r="P63" s="24"/>
      <c r="Q63" s="24"/>
      <c r="R63" s="24"/>
      <c r="S63" s="24"/>
      <c r="T63" s="24"/>
      <c r="U63" s="24"/>
      <c r="V63" s="24"/>
      <c r="W63" s="24"/>
      <c r="X63" s="24"/>
      <c r="Y63" s="24"/>
      <c r="Z63" s="24"/>
    </row>
    <row r="64">
      <c r="A64" s="40"/>
      <c r="B64" s="50"/>
      <c r="C64" s="50"/>
      <c r="D64" s="50"/>
      <c r="E64" s="50"/>
      <c r="F64" s="52"/>
      <c r="G64" s="48"/>
      <c r="H64" s="50"/>
      <c r="I64" s="50"/>
      <c r="J64" s="50"/>
      <c r="K64" s="50"/>
      <c r="L64" s="53"/>
      <c r="M64" s="48"/>
      <c r="N64" s="48"/>
      <c r="O64" s="24"/>
      <c r="P64" s="24"/>
      <c r="Q64" s="24"/>
      <c r="R64" s="24"/>
      <c r="S64" s="24"/>
      <c r="T64" s="24"/>
      <c r="U64" s="24"/>
      <c r="V64" s="24"/>
      <c r="W64" s="24"/>
      <c r="X64" s="24"/>
      <c r="Y64" s="24"/>
      <c r="Z64" s="24"/>
    </row>
    <row r="65">
      <c r="A65" s="24"/>
      <c r="B65" s="24"/>
      <c r="C65" s="24"/>
      <c r="D65" s="24"/>
      <c r="E65" s="24"/>
      <c r="F65" s="44"/>
      <c r="G65" s="24"/>
      <c r="H65" s="24"/>
      <c r="I65" s="24"/>
      <c r="J65" s="24"/>
      <c r="K65" s="24"/>
      <c r="L65" s="24"/>
      <c r="M65" s="24"/>
      <c r="N65" s="24"/>
      <c r="O65" s="24"/>
      <c r="P65" s="24"/>
      <c r="Q65" s="24"/>
      <c r="R65" s="24"/>
      <c r="S65" s="24"/>
      <c r="T65" s="24"/>
      <c r="U65" s="24"/>
      <c r="V65" s="24"/>
      <c r="W65" s="24"/>
      <c r="X65" s="24"/>
      <c r="Y65" s="24"/>
      <c r="Z65" s="24"/>
    </row>
    <row r="66">
      <c r="A66" s="40"/>
      <c r="B66" s="50"/>
      <c r="C66" s="50"/>
      <c r="D66" s="50"/>
      <c r="E66" s="50"/>
      <c r="F66" s="52"/>
      <c r="G66" s="48"/>
      <c r="H66" s="50"/>
      <c r="I66" s="50"/>
      <c r="J66" s="50"/>
      <c r="K66" s="50"/>
      <c r="L66" s="53"/>
      <c r="M66" s="48"/>
      <c r="N66" s="48"/>
      <c r="O66" s="24"/>
      <c r="P66" s="24"/>
      <c r="Q66" s="24"/>
      <c r="R66" s="24"/>
      <c r="S66" s="24"/>
      <c r="T66" s="24"/>
      <c r="U66" s="24"/>
      <c r="V66" s="24"/>
      <c r="W66" s="24"/>
      <c r="X66" s="24"/>
      <c r="Y66" s="24"/>
      <c r="Z66" s="24"/>
    </row>
    <row r="67">
      <c r="A67" s="24"/>
      <c r="B67" s="24"/>
      <c r="C67" s="24"/>
      <c r="D67" s="24"/>
      <c r="E67" s="24"/>
      <c r="F67" s="44"/>
      <c r="G67" s="24"/>
      <c r="H67" s="24"/>
      <c r="I67" s="24"/>
      <c r="J67" s="24"/>
      <c r="K67" s="24"/>
      <c r="L67" s="24"/>
      <c r="M67" s="24"/>
      <c r="N67" s="24"/>
      <c r="O67" s="24"/>
      <c r="P67" s="24"/>
      <c r="Q67" s="24"/>
      <c r="R67" s="24"/>
      <c r="S67" s="24"/>
      <c r="T67" s="24"/>
      <c r="U67" s="24"/>
      <c r="V67" s="24"/>
      <c r="W67" s="24"/>
      <c r="X67" s="24"/>
      <c r="Y67" s="24"/>
      <c r="Z67" s="24"/>
    </row>
    <row r="68">
      <c r="A68" s="40"/>
      <c r="B68" s="50"/>
      <c r="C68" s="50"/>
      <c r="D68" s="50"/>
      <c r="E68" s="50"/>
      <c r="F68" s="52"/>
      <c r="G68" s="48"/>
      <c r="H68" s="50"/>
      <c r="I68" s="50"/>
      <c r="J68" s="50"/>
      <c r="K68" s="50"/>
      <c r="L68" s="53"/>
      <c r="M68" s="48"/>
      <c r="N68" s="48"/>
      <c r="O68" s="24"/>
      <c r="P68" s="24"/>
      <c r="Q68" s="24"/>
      <c r="R68" s="24"/>
      <c r="S68" s="24"/>
      <c r="T68" s="24"/>
      <c r="U68" s="24"/>
      <c r="V68" s="24"/>
      <c r="W68" s="24"/>
      <c r="X68" s="24"/>
      <c r="Y68" s="24"/>
      <c r="Z68" s="24"/>
    </row>
    <row r="69">
      <c r="A69" s="24"/>
      <c r="B69" s="24"/>
      <c r="C69" s="24"/>
      <c r="D69" s="24"/>
      <c r="E69" s="24"/>
      <c r="F69" s="44"/>
      <c r="G69" s="24"/>
      <c r="H69" s="24"/>
      <c r="I69" s="24"/>
      <c r="J69" s="24"/>
      <c r="K69" s="24"/>
      <c r="L69" s="24"/>
      <c r="M69" s="24"/>
      <c r="N69" s="24"/>
      <c r="O69" s="24"/>
      <c r="P69" s="24"/>
      <c r="Q69" s="24"/>
      <c r="R69" s="24"/>
      <c r="S69" s="24"/>
      <c r="T69" s="24"/>
      <c r="U69" s="24"/>
      <c r="V69" s="24"/>
      <c r="W69" s="24"/>
      <c r="X69" s="24"/>
      <c r="Y69" s="24"/>
      <c r="Z69" s="24"/>
    </row>
    <row r="70">
      <c r="A70" s="40"/>
      <c r="B70" s="50"/>
      <c r="C70" s="50"/>
      <c r="D70" s="50"/>
      <c r="E70" s="50"/>
      <c r="F70" s="52"/>
      <c r="G70" s="48"/>
      <c r="H70" s="50"/>
      <c r="I70" s="50"/>
      <c r="J70" s="50"/>
      <c r="K70" s="50"/>
      <c r="L70" s="53"/>
      <c r="M70" s="48"/>
      <c r="N70" s="48"/>
      <c r="O70" s="24"/>
      <c r="P70" s="24"/>
      <c r="Q70" s="24"/>
      <c r="R70" s="24"/>
      <c r="S70" s="24"/>
      <c r="T70" s="24"/>
      <c r="U70" s="24"/>
      <c r="V70" s="24"/>
      <c r="W70" s="24"/>
      <c r="X70" s="24"/>
      <c r="Y70" s="24"/>
      <c r="Z70" s="24"/>
    </row>
    <row r="71">
      <c r="A71" s="24"/>
      <c r="B71" s="24"/>
      <c r="C71" s="24"/>
      <c r="D71" s="24"/>
      <c r="E71" s="24"/>
      <c r="F71" s="44"/>
      <c r="G71" s="24"/>
      <c r="H71" s="24"/>
      <c r="I71" s="24"/>
      <c r="J71" s="24"/>
      <c r="K71" s="24"/>
      <c r="L71" s="24"/>
      <c r="M71" s="24"/>
      <c r="N71" s="24"/>
      <c r="O71" s="24"/>
      <c r="P71" s="24"/>
      <c r="Q71" s="24"/>
      <c r="R71" s="24"/>
      <c r="S71" s="24"/>
      <c r="T71" s="24"/>
      <c r="U71" s="24"/>
      <c r="V71" s="24"/>
      <c r="W71" s="24"/>
      <c r="X71" s="24"/>
      <c r="Y71" s="24"/>
      <c r="Z71" s="24"/>
    </row>
    <row r="72">
      <c r="A72" s="40"/>
      <c r="B72" s="50"/>
      <c r="C72" s="50"/>
      <c r="D72" s="50"/>
      <c r="E72" s="50"/>
      <c r="F72" s="52"/>
      <c r="G72" s="48"/>
      <c r="H72" s="50"/>
      <c r="I72" s="50"/>
      <c r="J72" s="50"/>
      <c r="K72" s="50"/>
      <c r="L72" s="53"/>
      <c r="M72" s="48"/>
      <c r="N72" s="48"/>
      <c r="O72" s="24"/>
      <c r="P72" s="24"/>
      <c r="Q72" s="24"/>
      <c r="R72" s="24"/>
      <c r="S72" s="24"/>
      <c r="T72" s="24"/>
      <c r="U72" s="24"/>
      <c r="V72" s="24"/>
      <c r="W72" s="24"/>
      <c r="X72" s="24"/>
      <c r="Y72" s="24"/>
      <c r="Z72" s="24"/>
    </row>
    <row r="73">
      <c r="A73" s="24"/>
      <c r="B73" s="24"/>
      <c r="C73" s="24"/>
      <c r="D73" s="24"/>
      <c r="E73" s="24"/>
      <c r="F73" s="44"/>
      <c r="G73" s="24"/>
      <c r="H73" s="24"/>
      <c r="I73" s="24"/>
      <c r="J73" s="24"/>
      <c r="K73" s="24"/>
      <c r="L73" s="24"/>
      <c r="M73" s="24"/>
      <c r="N73" s="24"/>
      <c r="O73" s="24"/>
      <c r="P73" s="24"/>
      <c r="Q73" s="24"/>
      <c r="R73" s="24"/>
      <c r="S73" s="24"/>
      <c r="T73" s="24"/>
      <c r="U73" s="24"/>
      <c r="V73" s="24"/>
      <c r="W73" s="24"/>
      <c r="X73" s="24"/>
      <c r="Y73" s="24"/>
      <c r="Z73" s="24"/>
    </row>
    <row r="74">
      <c r="A74" s="40"/>
      <c r="B74" s="50"/>
      <c r="C74" s="50"/>
      <c r="D74" s="50"/>
      <c r="E74" s="50"/>
      <c r="F74" s="52"/>
      <c r="G74" s="48"/>
      <c r="H74" s="50"/>
      <c r="I74" s="50"/>
      <c r="J74" s="50"/>
      <c r="K74" s="50"/>
      <c r="L74" s="53"/>
      <c r="M74" s="48"/>
      <c r="N74" s="48"/>
      <c r="O74" s="24"/>
      <c r="P74" s="24"/>
      <c r="Q74" s="24"/>
      <c r="R74" s="24"/>
      <c r="S74" s="24"/>
      <c r="T74" s="24"/>
      <c r="U74" s="24"/>
      <c r="V74" s="24"/>
      <c r="W74" s="24"/>
      <c r="X74" s="24"/>
      <c r="Y74" s="24"/>
      <c r="Z74" s="24"/>
    </row>
    <row r="75">
      <c r="A75" s="24"/>
      <c r="B75" s="24"/>
      <c r="C75" s="24"/>
      <c r="D75" s="24"/>
      <c r="E75" s="24"/>
      <c r="F75" s="44"/>
      <c r="G75" s="24"/>
      <c r="H75" s="24"/>
      <c r="I75" s="24"/>
      <c r="J75" s="24"/>
      <c r="K75" s="24"/>
      <c r="L75" s="24"/>
      <c r="M75" s="24"/>
      <c r="N75" s="24"/>
      <c r="O75" s="24"/>
      <c r="P75" s="24"/>
      <c r="Q75" s="24"/>
      <c r="R75" s="24"/>
      <c r="S75" s="24"/>
      <c r="T75" s="24"/>
      <c r="U75" s="24"/>
      <c r="V75" s="24"/>
      <c r="W75" s="24"/>
      <c r="X75" s="24"/>
      <c r="Y75" s="24"/>
      <c r="Z75" s="24"/>
    </row>
    <row r="76">
      <c r="A76" s="40"/>
      <c r="B76" s="50"/>
      <c r="C76" s="50"/>
      <c r="D76" s="50"/>
      <c r="E76" s="50"/>
      <c r="F76" s="52"/>
      <c r="G76" s="48"/>
      <c r="H76" s="50"/>
      <c r="I76" s="50"/>
      <c r="J76" s="50"/>
      <c r="K76" s="50"/>
      <c r="L76" s="53"/>
      <c r="M76" s="48"/>
      <c r="N76" s="48"/>
      <c r="O76" s="24"/>
      <c r="P76" s="24"/>
      <c r="Q76" s="24"/>
      <c r="R76" s="24"/>
      <c r="S76" s="24"/>
      <c r="T76" s="24"/>
      <c r="U76" s="24"/>
      <c r="V76" s="24"/>
      <c r="W76" s="24"/>
      <c r="X76" s="24"/>
      <c r="Y76" s="24"/>
      <c r="Z76" s="24"/>
    </row>
    <row r="77">
      <c r="A77" s="24"/>
      <c r="B77" s="24"/>
      <c r="C77" s="24"/>
      <c r="D77" s="24"/>
      <c r="E77" s="24"/>
      <c r="F77" s="44"/>
      <c r="G77" s="24"/>
      <c r="H77" s="24"/>
      <c r="I77" s="24"/>
      <c r="J77" s="24"/>
      <c r="K77" s="24"/>
      <c r="L77" s="24"/>
      <c r="M77" s="24"/>
      <c r="N77" s="24"/>
      <c r="O77" s="24"/>
      <c r="P77" s="24"/>
      <c r="Q77" s="24"/>
      <c r="R77" s="24"/>
      <c r="S77" s="24"/>
      <c r="T77" s="24"/>
      <c r="U77" s="24"/>
      <c r="V77" s="24"/>
      <c r="W77" s="24"/>
      <c r="X77" s="24"/>
      <c r="Y77" s="24"/>
      <c r="Z77" s="24"/>
    </row>
    <row r="78">
      <c r="A78" s="40"/>
      <c r="B78" s="50"/>
      <c r="C78" s="50"/>
      <c r="D78" s="50"/>
      <c r="E78" s="50"/>
      <c r="F78" s="52"/>
      <c r="G78" s="48"/>
      <c r="H78" s="50"/>
      <c r="I78" s="50"/>
      <c r="J78" s="50"/>
      <c r="K78" s="50"/>
      <c r="L78" s="53"/>
      <c r="M78" s="48"/>
      <c r="N78" s="48"/>
      <c r="O78" s="24"/>
      <c r="P78" s="24"/>
      <c r="Q78" s="24"/>
      <c r="R78" s="24"/>
      <c r="S78" s="24"/>
      <c r="T78" s="24"/>
      <c r="U78" s="24"/>
      <c r="V78" s="24"/>
      <c r="W78" s="24"/>
      <c r="X78" s="24"/>
      <c r="Y78" s="24"/>
      <c r="Z78" s="24"/>
    </row>
    <row r="79">
      <c r="A79" s="24"/>
      <c r="B79" s="24"/>
      <c r="C79" s="24"/>
      <c r="D79" s="24"/>
      <c r="E79" s="24"/>
      <c r="F79" s="44"/>
      <c r="G79" s="24"/>
      <c r="H79" s="24"/>
      <c r="I79" s="24"/>
      <c r="J79" s="24"/>
      <c r="K79" s="24"/>
      <c r="L79" s="24"/>
      <c r="M79" s="24"/>
      <c r="N79" s="24"/>
      <c r="O79" s="24"/>
      <c r="P79" s="24"/>
      <c r="Q79" s="24"/>
      <c r="R79" s="24"/>
      <c r="S79" s="24"/>
      <c r="T79" s="24"/>
      <c r="U79" s="24"/>
      <c r="V79" s="24"/>
      <c r="W79" s="24"/>
      <c r="X79" s="24"/>
      <c r="Y79" s="24"/>
      <c r="Z79" s="24"/>
    </row>
    <row r="80">
      <c r="A80" s="40"/>
      <c r="B80" s="50"/>
      <c r="C80" s="50"/>
      <c r="D80" s="50"/>
      <c r="E80" s="50"/>
      <c r="F80" s="52"/>
      <c r="G80" s="48"/>
      <c r="H80" s="50"/>
      <c r="I80" s="50"/>
      <c r="J80" s="50"/>
      <c r="K80" s="50"/>
      <c r="L80" s="53"/>
      <c r="M80" s="48"/>
      <c r="N80" s="48"/>
      <c r="O80" s="24"/>
      <c r="P80" s="24"/>
      <c r="Q80" s="24"/>
      <c r="R80" s="24"/>
      <c r="S80" s="24"/>
      <c r="T80" s="24"/>
      <c r="U80" s="24"/>
      <c r="V80" s="24"/>
      <c r="W80" s="24"/>
      <c r="X80" s="24"/>
      <c r="Y80" s="24"/>
      <c r="Z80" s="24"/>
    </row>
    <row r="81">
      <c r="A81" s="24"/>
      <c r="B81" s="24"/>
      <c r="C81" s="24"/>
      <c r="D81" s="24"/>
      <c r="E81" s="24"/>
      <c r="F81" s="44"/>
      <c r="G81" s="24"/>
      <c r="H81" s="24"/>
      <c r="I81" s="24"/>
      <c r="J81" s="24"/>
      <c r="K81" s="24"/>
      <c r="L81" s="24"/>
      <c r="M81" s="24"/>
      <c r="N81" s="24"/>
      <c r="O81" s="24"/>
      <c r="P81" s="24"/>
      <c r="Q81" s="24"/>
      <c r="R81" s="24"/>
      <c r="S81" s="24"/>
      <c r="T81" s="24"/>
      <c r="U81" s="24"/>
      <c r="V81" s="24"/>
      <c r="W81" s="24"/>
      <c r="X81" s="24"/>
      <c r="Y81" s="24"/>
      <c r="Z81" s="24"/>
    </row>
    <row r="82">
      <c r="A82" s="40"/>
      <c r="B82" s="50"/>
      <c r="C82" s="50"/>
      <c r="D82" s="50"/>
      <c r="E82" s="50"/>
      <c r="F82" s="50"/>
      <c r="G82" s="48"/>
      <c r="H82" s="50"/>
      <c r="I82" s="50"/>
      <c r="J82" s="50"/>
      <c r="K82" s="50"/>
      <c r="L82" s="53"/>
      <c r="M82" s="48"/>
      <c r="N82" s="48"/>
      <c r="O82" s="24"/>
      <c r="P82" s="24"/>
      <c r="Q82" s="24"/>
      <c r="R82" s="24"/>
      <c r="S82" s="24"/>
      <c r="T82" s="24"/>
      <c r="U82" s="24"/>
      <c r="V82" s="24"/>
      <c r="W82" s="24"/>
      <c r="X82" s="24"/>
      <c r="Y82" s="24"/>
      <c r="Z82" s="24"/>
    </row>
  </sheetData>
  <dataValidations>
    <dataValidation type="list" allowBlank="1" showErrorMessage="1" sqref="N8 N10 N12 N14 N16 N18 N20 N22 N24 N26 N28 N30 N32 N34 N36 N38 N40 N42 N44 N46 N48 N50 N52 N54 N56 N58 N60 N62 N64 N66 N68 N70 N72 N74 N76 N78 N80 N82">
      <formula1>"Solved,Unsolve"</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4"/>
      <c r="B1" s="54"/>
      <c r="C1" s="54"/>
      <c r="D1" s="54"/>
      <c r="E1" s="1"/>
      <c r="F1" s="1"/>
      <c r="G1" s="54"/>
      <c r="H1" s="54"/>
      <c r="I1" s="54"/>
      <c r="J1" s="54"/>
      <c r="K1" s="54"/>
      <c r="L1" s="54"/>
      <c r="M1" s="54"/>
      <c r="N1" s="54"/>
      <c r="O1" s="54"/>
      <c r="P1" s="54"/>
    </row>
    <row r="2">
      <c r="A2" s="55" t="s">
        <v>0</v>
      </c>
      <c r="B2" s="56"/>
      <c r="C2" s="54"/>
      <c r="D2" s="4" t="s">
        <v>2</v>
      </c>
      <c r="E2" s="4" t="s">
        <v>3</v>
      </c>
      <c r="F2" s="54"/>
      <c r="G2" s="54"/>
      <c r="H2" s="54"/>
      <c r="I2" s="54"/>
      <c r="J2" s="54"/>
      <c r="K2" s="54"/>
      <c r="L2" s="54"/>
      <c r="M2" s="54"/>
      <c r="N2" s="54"/>
      <c r="O2" s="54"/>
      <c r="P2" s="54"/>
    </row>
    <row r="3">
      <c r="A3" s="55" t="s">
        <v>4</v>
      </c>
      <c r="B3" s="57"/>
      <c r="C3" s="54"/>
      <c r="D3" s="58" t="s">
        <v>6</v>
      </c>
      <c r="E3" s="59">
        <f>COUNTIF(K14:K1005, "High")</f>
        <v>2</v>
      </c>
      <c r="F3" s="54"/>
      <c r="G3" s="54"/>
      <c r="H3" s="54"/>
      <c r="I3" s="54"/>
      <c r="J3" s="54"/>
      <c r="K3" s="54"/>
      <c r="L3" s="54"/>
      <c r="M3" s="54"/>
      <c r="N3" s="54"/>
      <c r="O3" s="54"/>
      <c r="P3" s="54"/>
    </row>
    <row r="4">
      <c r="A4" s="55" t="s">
        <v>7</v>
      </c>
      <c r="B4" s="60"/>
      <c r="C4" s="54"/>
      <c r="D4" s="58" t="s">
        <v>8</v>
      </c>
      <c r="E4" s="59">
        <f>COUNTIF(K14:K1006, "Medium")</f>
        <v>2</v>
      </c>
      <c r="F4" s="54"/>
      <c r="G4" s="54"/>
      <c r="H4" s="54"/>
      <c r="I4" s="54"/>
      <c r="J4" s="54"/>
      <c r="K4" s="54"/>
      <c r="L4" s="54"/>
      <c r="M4" s="54"/>
      <c r="N4" s="54"/>
      <c r="O4" s="54"/>
      <c r="P4" s="54"/>
    </row>
    <row r="5">
      <c r="A5" s="55" t="s">
        <v>9</v>
      </c>
      <c r="B5" s="61"/>
      <c r="C5" s="54"/>
      <c r="D5" s="58" t="s">
        <v>11</v>
      </c>
      <c r="E5" s="59">
        <f>COUNTIF(K14:K1007, "Low") </f>
        <v>9</v>
      </c>
      <c r="F5" s="54"/>
      <c r="G5" s="54"/>
      <c r="H5" s="54"/>
      <c r="I5" s="54"/>
      <c r="J5" s="54"/>
      <c r="K5" s="54"/>
      <c r="L5" s="54"/>
      <c r="M5" s="54"/>
      <c r="N5" s="54"/>
      <c r="O5" s="54"/>
      <c r="P5" s="54"/>
    </row>
    <row r="6">
      <c r="A6" s="55" t="s">
        <v>12</v>
      </c>
      <c r="B6" s="61"/>
      <c r="C6" s="54"/>
      <c r="D6" s="54"/>
      <c r="E6" s="54"/>
      <c r="F6" s="54"/>
      <c r="G6" s="54"/>
      <c r="H6" s="54"/>
      <c r="I6" s="54"/>
      <c r="J6" s="54"/>
      <c r="K6" s="54"/>
      <c r="L6" s="54"/>
      <c r="M6" s="54"/>
      <c r="N6" s="54"/>
      <c r="O6" s="54"/>
      <c r="P6" s="54"/>
    </row>
    <row r="7">
      <c r="A7" s="62" t="s">
        <v>13</v>
      </c>
      <c r="B7" s="61"/>
      <c r="C7" s="54"/>
      <c r="D7" s="63" t="s">
        <v>14</v>
      </c>
      <c r="E7" s="64">
        <f>SUM(E3:E5)</f>
        <v>13</v>
      </c>
      <c r="F7" s="54"/>
      <c r="G7" s="54"/>
      <c r="H7" s="54"/>
      <c r="I7" s="54"/>
      <c r="J7" s="54"/>
      <c r="K7" s="54"/>
      <c r="L7" s="54"/>
      <c r="M7" s="54"/>
      <c r="N7" s="54"/>
      <c r="O7" s="54"/>
      <c r="P7" s="54"/>
    </row>
    <row r="8">
      <c r="A8" s="54"/>
      <c r="B8" s="54"/>
      <c r="C8" s="54"/>
      <c r="D8" s="63" t="s">
        <v>15</v>
      </c>
      <c r="E8" s="61"/>
      <c r="F8" s="54"/>
      <c r="G8" s="54"/>
      <c r="H8" s="54"/>
      <c r="I8" s="54"/>
      <c r="J8" s="54"/>
      <c r="K8" s="54"/>
      <c r="L8" s="54"/>
      <c r="M8" s="54"/>
      <c r="N8" s="54"/>
      <c r="O8" s="54"/>
      <c r="P8" s="54"/>
    </row>
    <row r="9">
      <c r="A9" s="54"/>
      <c r="B9" s="54"/>
      <c r="C9" s="54"/>
      <c r="D9" s="54"/>
      <c r="E9" s="54"/>
      <c r="F9" s="54"/>
      <c r="G9" s="54"/>
      <c r="H9" s="54"/>
      <c r="I9" s="54"/>
      <c r="J9" s="54"/>
      <c r="K9" s="54"/>
      <c r="L9" s="54"/>
      <c r="M9" s="54"/>
      <c r="N9" s="54"/>
      <c r="O9" s="54"/>
      <c r="P9" s="54"/>
    </row>
    <row r="10">
      <c r="A10" s="54"/>
      <c r="B10" s="54"/>
      <c r="C10" s="54"/>
      <c r="D10" s="54"/>
      <c r="E10" s="54"/>
      <c r="F10" s="54"/>
      <c r="G10" s="54"/>
      <c r="H10" s="54"/>
      <c r="I10" s="54"/>
      <c r="J10" s="54"/>
      <c r="K10" s="54"/>
      <c r="L10" s="54"/>
      <c r="M10" s="54"/>
      <c r="N10" s="54"/>
      <c r="O10" s="54"/>
      <c r="P10" s="54"/>
    </row>
    <row r="11">
      <c r="A11" s="54"/>
      <c r="B11" s="54"/>
      <c r="C11" s="54"/>
      <c r="D11" s="54"/>
      <c r="E11" s="54"/>
      <c r="F11" s="54"/>
      <c r="G11" s="54"/>
      <c r="H11" s="54"/>
      <c r="I11" s="54"/>
      <c r="J11" s="54"/>
      <c r="K11" s="54"/>
      <c r="L11" s="54"/>
      <c r="M11" s="54"/>
      <c r="N11" s="54"/>
      <c r="O11" s="54"/>
      <c r="P11" s="54"/>
    </row>
    <row r="12">
      <c r="A12" s="54"/>
      <c r="B12" s="54"/>
      <c r="C12" s="54"/>
      <c r="D12" s="54"/>
      <c r="E12" s="54"/>
      <c r="F12" s="54"/>
      <c r="G12" s="54"/>
      <c r="H12" s="54"/>
      <c r="I12" s="54"/>
      <c r="J12" s="54"/>
      <c r="K12" s="54"/>
      <c r="L12" s="54"/>
      <c r="M12" s="54"/>
      <c r="N12" s="54"/>
      <c r="O12" s="54"/>
      <c r="P12" s="54"/>
    </row>
    <row r="13">
      <c r="A13" s="54"/>
      <c r="B13" s="54"/>
      <c r="C13" s="54"/>
      <c r="D13" s="54"/>
      <c r="E13" s="54"/>
      <c r="F13" s="54"/>
      <c r="G13" s="54"/>
      <c r="H13" s="54"/>
      <c r="I13" s="54"/>
      <c r="J13" s="54"/>
      <c r="K13" s="54"/>
      <c r="L13" s="54"/>
      <c r="M13" s="54"/>
      <c r="N13" s="54"/>
      <c r="O13" s="54"/>
      <c r="P13" s="54"/>
    </row>
    <row r="14">
      <c r="A14" s="65" t="s">
        <v>16</v>
      </c>
      <c r="B14" s="65" t="s">
        <v>17</v>
      </c>
      <c r="C14" s="65" t="s">
        <v>18</v>
      </c>
      <c r="D14" s="65" t="s">
        <v>19</v>
      </c>
      <c r="E14" s="65" t="s">
        <v>20</v>
      </c>
      <c r="F14" s="65" t="s">
        <v>21</v>
      </c>
      <c r="G14" s="65" t="s">
        <v>22</v>
      </c>
      <c r="H14" s="65" t="s">
        <v>23</v>
      </c>
      <c r="I14" s="65" t="s">
        <v>24</v>
      </c>
      <c r="J14" s="65" t="s">
        <v>25</v>
      </c>
      <c r="K14" s="65" t="s">
        <v>2</v>
      </c>
      <c r="L14" s="65" t="s">
        <v>26</v>
      </c>
      <c r="M14" s="65" t="s">
        <v>27</v>
      </c>
      <c r="N14" s="65" t="s">
        <v>29</v>
      </c>
      <c r="O14" s="54"/>
      <c r="P14" s="54"/>
    </row>
    <row r="15">
      <c r="A15" s="66" t="s">
        <v>205</v>
      </c>
      <c r="B15" s="66" t="s">
        <v>206</v>
      </c>
      <c r="C15" s="66" t="s">
        <v>207</v>
      </c>
      <c r="D15" s="66" t="s">
        <v>208</v>
      </c>
      <c r="E15" s="66" t="s">
        <v>209</v>
      </c>
      <c r="F15" s="66" t="s">
        <v>210</v>
      </c>
      <c r="G15" s="66" t="s">
        <v>80</v>
      </c>
      <c r="H15" s="66" t="s">
        <v>211</v>
      </c>
      <c r="I15" s="66" t="s">
        <v>212</v>
      </c>
      <c r="J15" s="66" t="s">
        <v>83</v>
      </c>
      <c r="K15" s="66" t="s">
        <v>6</v>
      </c>
      <c r="L15" s="67" t="s">
        <v>213</v>
      </c>
      <c r="M15" s="68"/>
      <c r="N15" s="68"/>
      <c r="O15" s="54"/>
      <c r="P15" s="54"/>
    </row>
    <row r="16">
      <c r="A16" s="66" t="s">
        <v>214</v>
      </c>
      <c r="B16" s="66" t="s">
        <v>215</v>
      </c>
      <c r="C16" s="66" t="s">
        <v>118</v>
      </c>
      <c r="D16" s="66" t="s">
        <v>216</v>
      </c>
      <c r="E16" s="66" t="s">
        <v>217</v>
      </c>
      <c r="F16" s="66" t="s">
        <v>218</v>
      </c>
      <c r="G16" s="66" t="s">
        <v>219</v>
      </c>
      <c r="H16" s="66" t="s">
        <v>220</v>
      </c>
      <c r="I16" s="66" t="s">
        <v>221</v>
      </c>
      <c r="J16" s="66" t="s">
        <v>83</v>
      </c>
      <c r="K16" s="66" t="s">
        <v>8</v>
      </c>
      <c r="L16" s="67" t="s">
        <v>222</v>
      </c>
      <c r="M16" s="68"/>
      <c r="N16" s="69"/>
      <c r="O16" s="54"/>
      <c r="P16" s="54"/>
    </row>
    <row r="17">
      <c r="A17" s="66" t="s">
        <v>223</v>
      </c>
      <c r="B17" s="66" t="s">
        <v>224</v>
      </c>
      <c r="C17" s="66" t="s">
        <v>225</v>
      </c>
      <c r="D17" s="66" t="s">
        <v>226</v>
      </c>
      <c r="E17" s="66" t="s">
        <v>227</v>
      </c>
      <c r="F17" s="66" t="s">
        <v>228</v>
      </c>
      <c r="G17" s="66" t="s">
        <v>229</v>
      </c>
      <c r="H17" s="66" t="s">
        <v>230</v>
      </c>
      <c r="I17" s="66" t="s">
        <v>231</v>
      </c>
      <c r="J17" s="66" t="s">
        <v>83</v>
      </c>
      <c r="K17" s="66" t="s">
        <v>11</v>
      </c>
      <c r="L17" s="67" t="s">
        <v>232</v>
      </c>
      <c r="M17" s="68"/>
      <c r="N17" s="68"/>
      <c r="O17" s="54"/>
      <c r="P17" s="54"/>
    </row>
    <row r="18">
      <c r="A18" s="66" t="s">
        <v>233</v>
      </c>
      <c r="B18" s="66" t="s">
        <v>224</v>
      </c>
      <c r="C18" s="66" t="s">
        <v>225</v>
      </c>
      <c r="D18" s="66" t="s">
        <v>234</v>
      </c>
      <c r="E18" s="66" t="s">
        <v>227</v>
      </c>
      <c r="F18" s="66" t="s">
        <v>235</v>
      </c>
      <c r="G18" s="70" t="s">
        <v>229</v>
      </c>
      <c r="H18" s="66" t="s">
        <v>236</v>
      </c>
      <c r="I18" s="66" t="s">
        <v>237</v>
      </c>
      <c r="J18" s="66" t="s">
        <v>83</v>
      </c>
      <c r="K18" s="66" t="s">
        <v>11</v>
      </c>
      <c r="L18" s="67" t="s">
        <v>238</v>
      </c>
      <c r="M18" s="68"/>
      <c r="N18" s="69"/>
      <c r="O18" s="54"/>
      <c r="P18" s="54"/>
    </row>
    <row r="19">
      <c r="A19" s="66" t="s">
        <v>239</v>
      </c>
      <c r="B19" s="66" t="s">
        <v>224</v>
      </c>
      <c r="C19" s="66" t="s">
        <v>225</v>
      </c>
      <c r="D19" s="66" t="s">
        <v>240</v>
      </c>
      <c r="E19" s="66" t="s">
        <v>227</v>
      </c>
      <c r="F19" s="66" t="s">
        <v>241</v>
      </c>
      <c r="G19" s="66" t="s">
        <v>229</v>
      </c>
      <c r="H19" s="66" t="s">
        <v>242</v>
      </c>
      <c r="I19" s="66" t="s">
        <v>243</v>
      </c>
      <c r="J19" s="66" t="s">
        <v>83</v>
      </c>
      <c r="K19" s="66" t="s">
        <v>8</v>
      </c>
      <c r="L19" s="67" t="s">
        <v>244</v>
      </c>
      <c r="M19" s="68"/>
      <c r="N19" s="68"/>
      <c r="O19" s="54"/>
      <c r="P19" s="54"/>
    </row>
    <row r="20">
      <c r="A20" s="66" t="s">
        <v>245</v>
      </c>
      <c r="B20" s="66" t="s">
        <v>224</v>
      </c>
      <c r="C20" s="66" t="s">
        <v>246</v>
      </c>
      <c r="D20" s="66" t="s">
        <v>247</v>
      </c>
      <c r="E20" s="66" t="s">
        <v>227</v>
      </c>
      <c r="F20" s="66" t="s">
        <v>248</v>
      </c>
      <c r="G20" s="66" t="s">
        <v>229</v>
      </c>
      <c r="H20" s="66" t="s">
        <v>249</v>
      </c>
      <c r="I20" s="66" t="s">
        <v>250</v>
      </c>
      <c r="J20" s="66" t="s">
        <v>83</v>
      </c>
      <c r="K20" s="66" t="s">
        <v>11</v>
      </c>
      <c r="L20" s="67" t="s">
        <v>251</v>
      </c>
      <c r="M20" s="68"/>
      <c r="N20" s="69"/>
      <c r="O20" s="54"/>
      <c r="P20" s="54"/>
    </row>
    <row r="21">
      <c r="A21" s="66" t="s">
        <v>252</v>
      </c>
      <c r="B21" s="66" t="s">
        <v>224</v>
      </c>
      <c r="C21" s="66" t="s">
        <v>253</v>
      </c>
      <c r="D21" s="66" t="s">
        <v>254</v>
      </c>
      <c r="E21" s="66" t="s">
        <v>227</v>
      </c>
      <c r="F21" s="66" t="s">
        <v>255</v>
      </c>
      <c r="G21" s="66" t="s">
        <v>229</v>
      </c>
      <c r="H21" s="66" t="s">
        <v>256</v>
      </c>
      <c r="I21" s="66" t="s">
        <v>257</v>
      </c>
      <c r="J21" s="66" t="s">
        <v>83</v>
      </c>
      <c r="K21" s="66" t="s">
        <v>11</v>
      </c>
      <c r="L21" s="67" t="s">
        <v>258</v>
      </c>
      <c r="M21" s="68"/>
      <c r="N21" s="68"/>
      <c r="O21" s="54"/>
      <c r="P21" s="54"/>
    </row>
    <row r="22">
      <c r="A22" s="66" t="s">
        <v>259</v>
      </c>
      <c r="B22" s="66" t="s">
        <v>224</v>
      </c>
      <c r="C22" s="66" t="s">
        <v>253</v>
      </c>
      <c r="D22" s="66" t="s">
        <v>260</v>
      </c>
      <c r="E22" s="66" t="s">
        <v>227</v>
      </c>
      <c r="F22" s="66" t="s">
        <v>261</v>
      </c>
      <c r="G22" s="66" t="s">
        <v>229</v>
      </c>
      <c r="H22" s="66" t="s">
        <v>262</v>
      </c>
      <c r="I22" s="66" t="s">
        <v>263</v>
      </c>
      <c r="J22" s="66" t="s">
        <v>83</v>
      </c>
      <c r="K22" s="66" t="s">
        <v>11</v>
      </c>
      <c r="L22" s="67" t="s">
        <v>264</v>
      </c>
      <c r="M22" s="68"/>
      <c r="N22" s="69"/>
      <c r="O22" s="54"/>
      <c r="P22" s="54"/>
    </row>
    <row r="23">
      <c r="A23" s="66" t="s">
        <v>265</v>
      </c>
      <c r="B23" s="66" t="s">
        <v>266</v>
      </c>
      <c r="C23" s="66" t="s">
        <v>225</v>
      </c>
      <c r="D23" s="66" t="s">
        <v>267</v>
      </c>
      <c r="E23" s="66" t="s">
        <v>268</v>
      </c>
      <c r="F23" s="66" t="s">
        <v>269</v>
      </c>
      <c r="G23" s="66" t="s">
        <v>229</v>
      </c>
      <c r="H23" s="66" t="s">
        <v>270</v>
      </c>
      <c r="I23" s="66" t="s">
        <v>271</v>
      </c>
      <c r="J23" s="66" t="s">
        <v>83</v>
      </c>
      <c r="K23" s="66" t="s">
        <v>11</v>
      </c>
      <c r="L23" s="71" t="s">
        <v>272</v>
      </c>
      <c r="M23" s="72"/>
      <c r="N23" s="68"/>
      <c r="O23" s="54"/>
      <c r="P23" s="54"/>
    </row>
    <row r="24">
      <c r="A24" s="66" t="s">
        <v>273</v>
      </c>
      <c r="B24" s="66" t="s">
        <v>266</v>
      </c>
      <c r="C24" s="66" t="s">
        <v>225</v>
      </c>
      <c r="D24" s="66" t="s">
        <v>274</v>
      </c>
      <c r="E24" s="66" t="s">
        <v>268</v>
      </c>
      <c r="F24" s="66" t="s">
        <v>275</v>
      </c>
      <c r="G24" s="66" t="s">
        <v>229</v>
      </c>
      <c r="H24" s="66" t="s">
        <v>276</v>
      </c>
      <c r="I24" s="66" t="s">
        <v>277</v>
      </c>
      <c r="J24" s="66" t="s">
        <v>83</v>
      </c>
      <c r="K24" s="66" t="s">
        <v>11</v>
      </c>
      <c r="L24" s="71" t="s">
        <v>278</v>
      </c>
      <c r="M24" s="72"/>
      <c r="N24" s="69"/>
      <c r="O24" s="54"/>
      <c r="P24" s="54"/>
    </row>
    <row r="25">
      <c r="A25" s="66" t="s">
        <v>279</v>
      </c>
      <c r="B25" s="66" t="s">
        <v>266</v>
      </c>
      <c r="C25" s="66" t="s">
        <v>225</v>
      </c>
      <c r="D25" s="66" t="s">
        <v>280</v>
      </c>
      <c r="E25" s="66" t="s">
        <v>268</v>
      </c>
      <c r="F25" s="66" t="s">
        <v>281</v>
      </c>
      <c r="G25" s="66" t="s">
        <v>229</v>
      </c>
      <c r="H25" s="66" t="s">
        <v>282</v>
      </c>
      <c r="I25" s="66" t="s">
        <v>283</v>
      </c>
      <c r="J25" s="66" t="s">
        <v>83</v>
      </c>
      <c r="K25" s="66" t="s">
        <v>11</v>
      </c>
      <c r="L25" s="71" t="s">
        <v>284</v>
      </c>
      <c r="M25" s="72"/>
      <c r="N25" s="68"/>
      <c r="O25" s="54"/>
      <c r="P25" s="54"/>
    </row>
    <row r="26">
      <c r="A26" s="66" t="s">
        <v>285</v>
      </c>
      <c r="B26" s="66" t="s">
        <v>266</v>
      </c>
      <c r="C26" s="66" t="s">
        <v>225</v>
      </c>
      <c r="D26" s="66" t="s">
        <v>286</v>
      </c>
      <c r="E26" s="66" t="s">
        <v>287</v>
      </c>
      <c r="F26" s="66" t="s">
        <v>288</v>
      </c>
      <c r="G26" s="66" t="s">
        <v>229</v>
      </c>
      <c r="H26" s="66" t="s">
        <v>289</v>
      </c>
      <c r="I26" s="66" t="s">
        <v>290</v>
      </c>
      <c r="J26" s="66" t="s">
        <v>83</v>
      </c>
      <c r="K26" s="66" t="s">
        <v>11</v>
      </c>
      <c r="L26" s="71" t="s">
        <v>291</v>
      </c>
      <c r="M26" s="72"/>
      <c r="N26" s="69"/>
      <c r="O26" s="54"/>
      <c r="P26" s="54"/>
    </row>
    <row r="27">
      <c r="A27" s="66" t="s">
        <v>292</v>
      </c>
      <c r="B27" s="66" t="s">
        <v>293</v>
      </c>
      <c r="C27" s="66" t="s">
        <v>294</v>
      </c>
      <c r="D27" s="66" t="s">
        <v>295</v>
      </c>
      <c r="E27" s="66" t="s">
        <v>268</v>
      </c>
      <c r="F27" s="66" t="s">
        <v>296</v>
      </c>
      <c r="G27" s="66" t="s">
        <v>229</v>
      </c>
      <c r="H27" s="66" t="s">
        <v>297</v>
      </c>
      <c r="I27" s="66" t="s">
        <v>298</v>
      </c>
      <c r="J27" s="66" t="s">
        <v>83</v>
      </c>
      <c r="K27" s="66" t="s">
        <v>6</v>
      </c>
      <c r="L27" s="73" t="s">
        <v>299</v>
      </c>
      <c r="M27" s="72"/>
      <c r="N27" s="68"/>
      <c r="O27" s="54"/>
      <c r="P27" s="54"/>
    </row>
    <row r="28">
      <c r="A28" s="66" t="s">
        <v>300</v>
      </c>
      <c r="B28" s="66"/>
      <c r="C28" s="66"/>
      <c r="D28" s="66"/>
      <c r="E28" s="66"/>
      <c r="F28" s="66"/>
      <c r="G28" s="66"/>
      <c r="H28" s="66"/>
      <c r="I28" s="66"/>
      <c r="J28" s="66"/>
      <c r="K28" s="66"/>
      <c r="L28" s="66"/>
      <c r="M28" s="72"/>
      <c r="N28" s="69"/>
      <c r="O28" s="54"/>
      <c r="P28" s="54"/>
    </row>
    <row r="29">
      <c r="A29" s="66" t="s">
        <v>301</v>
      </c>
      <c r="B29" s="66"/>
      <c r="C29" s="66"/>
      <c r="D29" s="66"/>
      <c r="E29" s="66"/>
      <c r="F29" s="66"/>
      <c r="G29" s="66"/>
      <c r="H29" s="66"/>
      <c r="I29" s="66"/>
      <c r="J29" s="66"/>
      <c r="K29" s="66"/>
      <c r="L29" s="66"/>
      <c r="M29" s="72"/>
      <c r="N29" s="68"/>
      <c r="O29" s="54"/>
      <c r="P29" s="54"/>
    </row>
    <row r="30">
      <c r="A30" s="66" t="s">
        <v>302</v>
      </c>
      <c r="B30" s="72"/>
      <c r="C30" s="72"/>
      <c r="D30" s="72"/>
      <c r="E30" s="72"/>
      <c r="F30" s="72"/>
      <c r="G30" s="72"/>
      <c r="H30" s="72"/>
      <c r="I30" s="72"/>
      <c r="J30" s="72"/>
      <c r="K30" s="72"/>
      <c r="L30" s="72"/>
      <c r="M30" s="72"/>
      <c r="N30" s="69"/>
      <c r="O30" s="54"/>
      <c r="P30" s="54"/>
    </row>
    <row r="31">
      <c r="A31" s="66" t="s">
        <v>303</v>
      </c>
      <c r="B31" s="72"/>
      <c r="C31" s="72"/>
      <c r="D31" s="72"/>
      <c r="E31" s="72"/>
      <c r="F31" s="72"/>
      <c r="G31" s="72"/>
      <c r="H31" s="72"/>
      <c r="I31" s="72"/>
      <c r="J31" s="72"/>
      <c r="K31" s="72"/>
      <c r="L31" s="72"/>
      <c r="M31" s="72"/>
      <c r="N31" s="68"/>
      <c r="O31" s="54"/>
      <c r="P31" s="54"/>
    </row>
    <row r="32">
      <c r="A32" s="66"/>
      <c r="B32" s="72"/>
      <c r="C32" s="72"/>
      <c r="D32" s="72"/>
      <c r="E32" s="72"/>
      <c r="F32" s="72"/>
      <c r="G32" s="72"/>
      <c r="H32" s="72"/>
      <c r="I32" s="72"/>
      <c r="J32" s="72"/>
      <c r="K32" s="72"/>
      <c r="L32" s="72"/>
      <c r="M32" s="72"/>
      <c r="N32" s="69"/>
      <c r="O32" s="54"/>
      <c r="P32" s="54"/>
    </row>
    <row r="33">
      <c r="A33" s="66"/>
      <c r="B33" s="72"/>
      <c r="C33" s="72"/>
      <c r="D33" s="72"/>
      <c r="E33" s="72"/>
      <c r="F33" s="72"/>
      <c r="G33" s="72"/>
      <c r="H33" s="72"/>
      <c r="I33" s="72"/>
      <c r="J33" s="72"/>
      <c r="K33" s="72"/>
      <c r="L33" s="72"/>
      <c r="M33" s="72"/>
      <c r="N33" s="68"/>
      <c r="O33" s="54"/>
      <c r="P33" s="54"/>
    </row>
    <row r="34">
      <c r="A34" s="66"/>
      <c r="B34" s="72"/>
      <c r="C34" s="72"/>
      <c r="D34" s="72"/>
      <c r="E34" s="72"/>
      <c r="F34" s="72"/>
      <c r="G34" s="72"/>
      <c r="H34" s="72"/>
      <c r="I34" s="72"/>
      <c r="J34" s="72"/>
      <c r="K34" s="72"/>
      <c r="L34" s="72"/>
      <c r="M34" s="72"/>
      <c r="N34" s="69"/>
      <c r="O34" s="54"/>
      <c r="P34" s="54"/>
    </row>
    <row r="35">
      <c r="A35" s="66"/>
      <c r="B35" s="72"/>
      <c r="C35" s="72"/>
      <c r="D35" s="72"/>
      <c r="E35" s="72"/>
      <c r="F35" s="72"/>
      <c r="G35" s="72"/>
      <c r="H35" s="72"/>
      <c r="I35" s="72"/>
      <c r="J35" s="72"/>
      <c r="K35" s="72"/>
      <c r="L35" s="72"/>
      <c r="M35" s="72"/>
      <c r="N35" s="68"/>
      <c r="O35" s="54"/>
      <c r="P35" s="54"/>
    </row>
    <row r="36">
      <c r="A36" s="66"/>
      <c r="B36" s="72"/>
      <c r="C36" s="72"/>
      <c r="D36" s="72"/>
      <c r="E36" s="72"/>
      <c r="F36" s="72"/>
      <c r="G36" s="72"/>
      <c r="H36" s="72"/>
      <c r="I36" s="72"/>
      <c r="J36" s="72"/>
      <c r="K36" s="72"/>
      <c r="L36" s="72"/>
      <c r="M36" s="72"/>
      <c r="N36" s="69"/>
      <c r="O36" s="54"/>
      <c r="P36" s="54"/>
    </row>
    <row r="37">
      <c r="A37" s="66"/>
      <c r="B37" s="72"/>
      <c r="C37" s="72"/>
      <c r="D37" s="72"/>
      <c r="E37" s="72"/>
      <c r="F37" s="72"/>
      <c r="G37" s="72"/>
      <c r="H37" s="72"/>
      <c r="I37" s="72"/>
      <c r="J37" s="72"/>
      <c r="K37" s="72"/>
      <c r="L37" s="72"/>
      <c r="M37" s="72"/>
      <c r="N37" s="68"/>
      <c r="O37" s="54"/>
      <c r="P37" s="54"/>
    </row>
    <row r="38">
      <c r="A38" s="66"/>
      <c r="B38" s="72"/>
      <c r="C38" s="72"/>
      <c r="D38" s="72"/>
      <c r="E38" s="72"/>
      <c r="F38" s="72"/>
      <c r="G38" s="72"/>
      <c r="H38" s="72"/>
      <c r="I38" s="72"/>
      <c r="J38" s="72"/>
      <c r="K38" s="72"/>
      <c r="L38" s="72"/>
      <c r="M38" s="72"/>
      <c r="N38" s="69"/>
      <c r="O38" s="54"/>
      <c r="P38" s="54"/>
    </row>
    <row r="39">
      <c r="A39" s="66"/>
      <c r="B39" s="72"/>
      <c r="C39" s="72"/>
      <c r="D39" s="72"/>
      <c r="E39" s="72"/>
      <c r="F39" s="72"/>
      <c r="G39" s="72"/>
      <c r="H39" s="72"/>
      <c r="I39" s="72"/>
      <c r="J39" s="72"/>
      <c r="K39" s="72"/>
      <c r="L39" s="72"/>
      <c r="M39" s="72"/>
      <c r="N39" s="68"/>
      <c r="O39" s="54"/>
      <c r="P39" s="54"/>
    </row>
    <row r="40">
      <c r="A40" s="66"/>
      <c r="B40" s="72"/>
      <c r="C40" s="72"/>
      <c r="D40" s="72"/>
      <c r="E40" s="72"/>
      <c r="F40" s="72"/>
      <c r="G40" s="72"/>
      <c r="H40" s="72"/>
      <c r="I40" s="72"/>
      <c r="J40" s="72"/>
      <c r="K40" s="72"/>
      <c r="L40" s="72"/>
      <c r="M40" s="72"/>
      <c r="N40" s="69"/>
      <c r="O40" s="54"/>
      <c r="P40" s="54"/>
    </row>
    <row r="41">
      <c r="A41" s="66"/>
      <c r="B41" s="72"/>
      <c r="C41" s="72"/>
      <c r="D41" s="72"/>
      <c r="E41" s="72"/>
      <c r="F41" s="72"/>
      <c r="G41" s="72"/>
      <c r="H41" s="72"/>
      <c r="I41" s="72"/>
      <c r="J41" s="72"/>
      <c r="K41" s="72"/>
      <c r="L41" s="72"/>
      <c r="M41" s="72"/>
      <c r="N41" s="68"/>
      <c r="O41" s="54"/>
      <c r="P41" s="54"/>
    </row>
    <row r="42">
      <c r="A42" s="66"/>
      <c r="B42" s="72"/>
      <c r="C42" s="72"/>
      <c r="D42" s="72"/>
      <c r="E42" s="72"/>
      <c r="F42" s="72"/>
      <c r="G42" s="72"/>
      <c r="H42" s="72"/>
      <c r="I42" s="72"/>
      <c r="J42" s="72"/>
      <c r="K42" s="72"/>
      <c r="L42" s="72"/>
      <c r="M42" s="72"/>
      <c r="N42" s="69"/>
      <c r="O42" s="54"/>
      <c r="P42" s="54"/>
    </row>
    <row r="43">
      <c r="A43" s="66"/>
      <c r="B43" s="72"/>
      <c r="C43" s="72"/>
      <c r="D43" s="72"/>
      <c r="E43" s="72"/>
      <c r="F43" s="72"/>
      <c r="G43" s="72"/>
      <c r="H43" s="72"/>
      <c r="I43" s="72"/>
      <c r="J43" s="72"/>
      <c r="K43" s="72"/>
      <c r="L43" s="72"/>
      <c r="M43" s="72"/>
      <c r="N43" s="68"/>
      <c r="O43" s="54"/>
      <c r="P43" s="54"/>
    </row>
    <row r="44">
      <c r="A44" s="66"/>
      <c r="B44" s="72"/>
      <c r="C44" s="72"/>
      <c r="D44" s="72"/>
      <c r="E44" s="72"/>
      <c r="F44" s="72"/>
      <c r="G44" s="72"/>
      <c r="H44" s="72"/>
      <c r="I44" s="72"/>
      <c r="J44" s="72"/>
      <c r="K44" s="72"/>
      <c r="L44" s="72"/>
      <c r="M44" s="72"/>
      <c r="N44" s="69"/>
      <c r="O44" s="54"/>
      <c r="P44" s="54"/>
    </row>
    <row r="45">
      <c r="A45" s="66"/>
      <c r="B45" s="72"/>
      <c r="C45" s="72"/>
      <c r="D45" s="72"/>
      <c r="E45" s="72"/>
      <c r="F45" s="72"/>
      <c r="G45" s="72"/>
      <c r="H45" s="72"/>
      <c r="I45" s="72"/>
      <c r="J45" s="72"/>
      <c r="K45" s="72"/>
      <c r="L45" s="72"/>
      <c r="M45" s="72"/>
      <c r="N45" s="68"/>
      <c r="O45" s="54"/>
      <c r="P45" s="54"/>
    </row>
    <row r="46">
      <c r="A46" s="66"/>
      <c r="B46" s="72"/>
      <c r="C46" s="72"/>
      <c r="D46" s="72"/>
      <c r="E46" s="72"/>
      <c r="F46" s="72"/>
      <c r="G46" s="72"/>
      <c r="H46" s="72"/>
      <c r="I46" s="72"/>
      <c r="J46" s="72"/>
      <c r="K46" s="72"/>
      <c r="L46" s="72"/>
      <c r="M46" s="72"/>
      <c r="N46" s="69"/>
      <c r="O46" s="54"/>
      <c r="P46" s="54"/>
    </row>
    <row r="47">
      <c r="A47" s="66"/>
      <c r="B47" s="72"/>
      <c r="C47" s="72"/>
      <c r="D47" s="72"/>
      <c r="E47" s="72"/>
      <c r="F47" s="72"/>
      <c r="G47" s="72"/>
      <c r="H47" s="72"/>
      <c r="I47" s="72"/>
      <c r="J47" s="72"/>
      <c r="K47" s="72"/>
      <c r="L47" s="72"/>
      <c r="M47" s="72"/>
      <c r="N47" s="68"/>
      <c r="O47" s="54"/>
      <c r="P47" s="54"/>
    </row>
    <row r="48">
      <c r="A48" s="66"/>
      <c r="B48" s="72"/>
      <c r="C48" s="72"/>
      <c r="D48" s="72"/>
      <c r="E48" s="72"/>
      <c r="F48" s="72"/>
      <c r="G48" s="72"/>
      <c r="H48" s="72"/>
      <c r="I48" s="72"/>
      <c r="J48" s="72"/>
      <c r="K48" s="72"/>
      <c r="L48" s="72"/>
      <c r="M48" s="72"/>
      <c r="N48" s="69"/>
      <c r="O48" s="54"/>
      <c r="P48" s="54"/>
    </row>
    <row r="49">
      <c r="A49" s="66"/>
      <c r="B49" s="72"/>
      <c r="C49" s="72"/>
      <c r="D49" s="72"/>
      <c r="E49" s="72"/>
      <c r="F49" s="72"/>
      <c r="G49" s="72"/>
      <c r="H49" s="72"/>
      <c r="I49" s="72"/>
      <c r="J49" s="72"/>
      <c r="K49" s="72"/>
      <c r="L49" s="72"/>
      <c r="M49" s="72"/>
      <c r="N49" s="68"/>
      <c r="O49" s="54"/>
      <c r="P49" s="54"/>
    </row>
    <row r="50">
      <c r="A50" s="66"/>
      <c r="B50" s="72"/>
      <c r="C50" s="72"/>
      <c r="D50" s="72"/>
      <c r="E50" s="72"/>
      <c r="F50" s="72"/>
      <c r="G50" s="72"/>
      <c r="H50" s="72"/>
      <c r="I50" s="72"/>
      <c r="J50" s="72"/>
      <c r="K50" s="72"/>
      <c r="L50" s="72"/>
      <c r="M50" s="72"/>
      <c r="N50" s="69"/>
      <c r="O50" s="54"/>
      <c r="P50" s="54"/>
    </row>
    <row r="51">
      <c r="A51" s="66"/>
      <c r="B51" s="72"/>
      <c r="C51" s="72"/>
      <c r="D51" s="72"/>
      <c r="E51" s="72"/>
      <c r="F51" s="72"/>
      <c r="G51" s="72"/>
      <c r="H51" s="72"/>
      <c r="I51" s="72"/>
      <c r="J51" s="72"/>
      <c r="K51" s="72"/>
      <c r="L51" s="72"/>
      <c r="M51" s="72"/>
      <c r="N51" s="68"/>
      <c r="O51" s="54"/>
      <c r="P51" s="54"/>
    </row>
    <row r="52">
      <c r="A52" s="66"/>
      <c r="B52" s="72"/>
      <c r="C52" s="72"/>
      <c r="D52" s="72"/>
      <c r="E52" s="72"/>
      <c r="F52" s="72"/>
      <c r="G52" s="72"/>
      <c r="H52" s="72"/>
      <c r="I52" s="72"/>
      <c r="J52" s="72"/>
      <c r="K52" s="72"/>
      <c r="L52" s="72"/>
      <c r="M52" s="72"/>
      <c r="N52" s="69"/>
      <c r="O52" s="54"/>
      <c r="P52" s="54"/>
    </row>
    <row r="53">
      <c r="A53" s="66"/>
      <c r="B53" s="72"/>
      <c r="C53" s="72"/>
      <c r="D53" s="72"/>
      <c r="E53" s="72"/>
      <c r="F53" s="72"/>
      <c r="G53" s="72"/>
      <c r="H53" s="72"/>
      <c r="I53" s="72"/>
      <c r="J53" s="72"/>
      <c r="K53" s="72"/>
      <c r="L53" s="72"/>
      <c r="M53" s="72"/>
      <c r="N53" s="68"/>
      <c r="O53" s="54"/>
      <c r="P53" s="54"/>
    </row>
    <row r="54">
      <c r="A54" s="66"/>
      <c r="B54" s="72"/>
      <c r="C54" s="72"/>
      <c r="D54" s="72"/>
      <c r="E54" s="72"/>
      <c r="F54" s="72"/>
      <c r="G54" s="72"/>
      <c r="H54" s="72"/>
      <c r="I54" s="72"/>
      <c r="J54" s="72"/>
      <c r="K54" s="72"/>
      <c r="L54" s="72"/>
      <c r="M54" s="72"/>
      <c r="N54" s="69"/>
      <c r="O54" s="54"/>
      <c r="P54" s="54"/>
    </row>
    <row r="55">
      <c r="A55" s="66"/>
      <c r="B55" s="72"/>
      <c r="C55" s="72"/>
      <c r="D55" s="72"/>
      <c r="E55" s="72"/>
      <c r="F55" s="72"/>
      <c r="G55" s="72"/>
      <c r="H55" s="72"/>
      <c r="I55" s="72"/>
      <c r="J55" s="72"/>
      <c r="K55" s="72"/>
      <c r="L55" s="72"/>
      <c r="M55" s="72"/>
      <c r="N55" s="68"/>
      <c r="O55" s="54"/>
      <c r="P55" s="54"/>
    </row>
    <row r="56">
      <c r="A56" s="66"/>
      <c r="B56" s="72"/>
      <c r="C56" s="72"/>
      <c r="D56" s="72"/>
      <c r="E56" s="72"/>
      <c r="F56" s="72"/>
      <c r="G56" s="72"/>
      <c r="H56" s="72"/>
      <c r="I56" s="72"/>
      <c r="J56" s="72"/>
      <c r="K56" s="72"/>
      <c r="L56" s="72"/>
      <c r="M56" s="72"/>
      <c r="N56" s="69"/>
      <c r="O56" s="54"/>
      <c r="P56" s="54"/>
    </row>
    <row r="57">
      <c r="A57" s="66"/>
      <c r="B57" s="72"/>
      <c r="C57" s="72"/>
      <c r="D57" s="72"/>
      <c r="E57" s="72"/>
      <c r="F57" s="72"/>
      <c r="G57" s="72"/>
      <c r="H57" s="72"/>
      <c r="I57" s="72"/>
      <c r="J57" s="72"/>
      <c r="K57" s="72"/>
      <c r="L57" s="72"/>
      <c r="M57" s="72"/>
      <c r="N57" s="68"/>
      <c r="O57" s="54"/>
      <c r="P57" s="54"/>
    </row>
    <row r="58">
      <c r="A58" s="66"/>
      <c r="B58" s="72"/>
      <c r="C58" s="72"/>
      <c r="D58" s="72"/>
      <c r="E58" s="72"/>
      <c r="F58" s="72"/>
      <c r="G58" s="72"/>
      <c r="H58" s="72"/>
      <c r="I58" s="72"/>
      <c r="J58" s="72"/>
      <c r="K58" s="72"/>
      <c r="L58" s="72"/>
      <c r="M58" s="72"/>
      <c r="N58" s="69"/>
      <c r="O58" s="54"/>
      <c r="P58" s="54"/>
    </row>
    <row r="59">
      <c r="A59" s="66"/>
      <c r="B59" s="72"/>
      <c r="C59" s="72"/>
      <c r="D59" s="72"/>
      <c r="E59" s="72"/>
      <c r="F59" s="72"/>
      <c r="G59" s="72"/>
      <c r="H59" s="72"/>
      <c r="I59" s="72"/>
      <c r="J59" s="72"/>
      <c r="K59" s="72"/>
      <c r="L59" s="72"/>
      <c r="M59" s="72"/>
      <c r="N59" s="68"/>
      <c r="O59" s="54"/>
      <c r="P59" s="54"/>
    </row>
    <row r="60">
      <c r="A60" s="66"/>
      <c r="B60" s="72"/>
      <c r="C60" s="72"/>
      <c r="D60" s="72"/>
      <c r="E60" s="72"/>
      <c r="F60" s="72"/>
      <c r="G60" s="72"/>
      <c r="H60" s="72"/>
      <c r="I60" s="72"/>
      <c r="J60" s="72"/>
      <c r="K60" s="72"/>
      <c r="L60" s="72"/>
      <c r="M60" s="72"/>
      <c r="N60" s="69"/>
      <c r="O60" s="54"/>
      <c r="P60" s="54"/>
    </row>
    <row r="61">
      <c r="A61" s="66"/>
      <c r="B61" s="72"/>
      <c r="C61" s="72"/>
      <c r="D61" s="72"/>
      <c r="E61" s="72"/>
      <c r="F61" s="72"/>
      <c r="G61" s="72"/>
      <c r="H61" s="72"/>
      <c r="I61" s="72"/>
      <c r="J61" s="72"/>
      <c r="K61" s="72"/>
      <c r="L61" s="72"/>
      <c r="M61" s="72"/>
      <c r="N61" s="68"/>
      <c r="O61" s="54"/>
      <c r="P61" s="54"/>
    </row>
    <row r="62">
      <c r="A62" s="66"/>
      <c r="B62" s="72"/>
      <c r="C62" s="72"/>
      <c r="D62" s="72"/>
      <c r="E62" s="72"/>
      <c r="F62" s="72"/>
      <c r="G62" s="72"/>
      <c r="H62" s="72"/>
      <c r="I62" s="72"/>
      <c r="J62" s="72"/>
      <c r="K62" s="72"/>
      <c r="L62" s="72"/>
      <c r="M62" s="72"/>
      <c r="N62" s="69"/>
      <c r="O62" s="54"/>
      <c r="P62" s="54"/>
    </row>
    <row r="63">
      <c r="A63" s="66"/>
      <c r="B63" s="72"/>
      <c r="C63" s="72"/>
      <c r="D63" s="72"/>
      <c r="E63" s="72"/>
      <c r="F63" s="72"/>
      <c r="G63" s="72"/>
      <c r="H63" s="72"/>
      <c r="I63" s="72"/>
      <c r="J63" s="72"/>
      <c r="K63" s="72"/>
      <c r="L63" s="72"/>
      <c r="M63" s="72"/>
      <c r="N63" s="68"/>
      <c r="O63" s="54"/>
      <c r="P63" s="54"/>
    </row>
    <row r="64">
      <c r="A64" s="66"/>
      <c r="B64" s="72"/>
      <c r="C64" s="72"/>
      <c r="D64" s="72"/>
      <c r="E64" s="72"/>
      <c r="F64" s="72"/>
      <c r="G64" s="72"/>
      <c r="H64" s="72"/>
      <c r="I64" s="72"/>
      <c r="J64" s="72"/>
      <c r="K64" s="72"/>
      <c r="L64" s="72"/>
      <c r="M64" s="72"/>
      <c r="N64" s="69"/>
      <c r="O64" s="54"/>
      <c r="P64" s="54"/>
    </row>
    <row r="65">
      <c r="A65" s="66"/>
      <c r="B65" s="68"/>
      <c r="C65" s="68"/>
      <c r="D65" s="68"/>
      <c r="E65" s="68"/>
      <c r="F65" s="68"/>
      <c r="G65" s="68"/>
      <c r="H65" s="68"/>
      <c r="I65" s="68"/>
      <c r="J65" s="68"/>
      <c r="K65" s="68"/>
      <c r="L65" s="68"/>
      <c r="M65" s="68"/>
      <c r="N65" s="68"/>
      <c r="O65" s="54"/>
      <c r="P65" s="54"/>
    </row>
    <row r="66">
      <c r="A66" s="66"/>
      <c r="B66" s="68"/>
      <c r="C66" s="68"/>
      <c r="D66" s="68"/>
      <c r="E66" s="68"/>
      <c r="F66" s="68"/>
      <c r="G66" s="68"/>
      <c r="H66" s="68"/>
      <c r="I66" s="68"/>
      <c r="J66" s="68"/>
      <c r="K66" s="68"/>
      <c r="L66" s="68"/>
      <c r="M66" s="68"/>
      <c r="N66" s="69"/>
      <c r="O66" s="54"/>
      <c r="P66" s="54"/>
    </row>
    <row r="67">
      <c r="A67" s="66"/>
      <c r="B67" s="68"/>
      <c r="C67" s="68"/>
      <c r="D67" s="68"/>
      <c r="E67" s="68"/>
      <c r="F67" s="68"/>
      <c r="G67" s="68"/>
      <c r="H67" s="68"/>
      <c r="I67" s="68"/>
      <c r="J67" s="68"/>
      <c r="K67" s="68"/>
      <c r="L67" s="68"/>
      <c r="M67" s="68"/>
      <c r="N67" s="68"/>
      <c r="O67" s="54"/>
      <c r="P67" s="54"/>
    </row>
    <row r="68">
      <c r="A68" s="66"/>
      <c r="B68" s="68"/>
      <c r="C68" s="68"/>
      <c r="D68" s="68"/>
      <c r="E68" s="68"/>
      <c r="F68" s="68"/>
      <c r="G68" s="68"/>
      <c r="H68" s="68"/>
      <c r="I68" s="68"/>
      <c r="J68" s="68"/>
      <c r="K68" s="68"/>
      <c r="L68" s="68"/>
      <c r="M68" s="68"/>
      <c r="N68" s="69"/>
      <c r="O68" s="54"/>
      <c r="P68" s="54"/>
    </row>
    <row r="69">
      <c r="A69" s="66"/>
      <c r="B69" s="68"/>
      <c r="C69" s="68"/>
      <c r="D69" s="68"/>
      <c r="E69" s="68"/>
      <c r="F69" s="68"/>
      <c r="G69" s="68"/>
      <c r="H69" s="68"/>
      <c r="I69" s="68"/>
      <c r="J69" s="68"/>
      <c r="K69" s="68"/>
      <c r="L69" s="68"/>
      <c r="M69" s="68"/>
      <c r="N69" s="68"/>
      <c r="O69" s="54"/>
      <c r="P69" s="54"/>
    </row>
    <row r="70">
      <c r="A70" s="66"/>
      <c r="B70" s="68"/>
      <c r="C70" s="68"/>
      <c r="D70" s="68"/>
      <c r="E70" s="68"/>
      <c r="F70" s="68"/>
      <c r="G70" s="68"/>
      <c r="H70" s="68"/>
      <c r="I70" s="68"/>
      <c r="J70" s="68"/>
      <c r="K70" s="68"/>
      <c r="L70" s="68"/>
      <c r="M70" s="68"/>
      <c r="N70" s="69"/>
      <c r="O70" s="54"/>
      <c r="P70" s="54"/>
    </row>
    <row r="71">
      <c r="A71" s="66"/>
      <c r="B71" s="68"/>
      <c r="C71" s="68"/>
      <c r="D71" s="68"/>
      <c r="E71" s="68"/>
      <c r="F71" s="68"/>
      <c r="G71" s="68"/>
      <c r="H71" s="68"/>
      <c r="I71" s="68"/>
      <c r="J71" s="68"/>
      <c r="K71" s="68"/>
      <c r="L71" s="68"/>
      <c r="M71" s="68"/>
      <c r="N71" s="68"/>
      <c r="O71" s="54"/>
      <c r="P71" s="54"/>
    </row>
    <row r="72">
      <c r="A72" s="66"/>
      <c r="B72" s="68"/>
      <c r="C72" s="68"/>
      <c r="D72" s="68"/>
      <c r="E72" s="68"/>
      <c r="F72" s="68"/>
      <c r="G72" s="68"/>
      <c r="H72" s="68"/>
      <c r="I72" s="68"/>
      <c r="J72" s="68"/>
      <c r="K72" s="68"/>
      <c r="L72" s="68"/>
      <c r="M72" s="68"/>
      <c r="N72" s="69"/>
      <c r="O72" s="54"/>
      <c r="P72" s="54"/>
    </row>
    <row r="73">
      <c r="A73" s="66"/>
      <c r="B73" s="68"/>
      <c r="C73" s="68"/>
      <c r="D73" s="68"/>
      <c r="E73" s="68"/>
      <c r="F73" s="68"/>
      <c r="G73" s="68"/>
      <c r="H73" s="68"/>
      <c r="I73" s="68"/>
      <c r="J73" s="68"/>
      <c r="K73" s="68"/>
      <c r="L73" s="68"/>
      <c r="M73" s="68"/>
      <c r="N73" s="68"/>
      <c r="O73" s="54"/>
      <c r="P73" s="54"/>
    </row>
    <row r="74">
      <c r="A74" s="66"/>
      <c r="B74" s="68"/>
      <c r="C74" s="68"/>
      <c r="D74" s="68"/>
      <c r="E74" s="68"/>
      <c r="F74" s="68"/>
      <c r="G74" s="68"/>
      <c r="H74" s="68"/>
      <c r="I74" s="68"/>
      <c r="J74" s="68"/>
      <c r="K74" s="68"/>
      <c r="L74" s="68"/>
      <c r="M74" s="68"/>
      <c r="N74" s="69"/>
      <c r="O74" s="54"/>
      <c r="P74" s="54"/>
    </row>
    <row r="75">
      <c r="A75" s="66"/>
      <c r="B75" s="68"/>
      <c r="C75" s="68"/>
      <c r="D75" s="68"/>
      <c r="E75" s="68"/>
      <c r="F75" s="68"/>
      <c r="G75" s="68"/>
      <c r="H75" s="68"/>
      <c r="I75" s="68"/>
      <c r="J75" s="68"/>
      <c r="K75" s="68"/>
      <c r="L75" s="68"/>
      <c r="M75" s="68"/>
      <c r="N75" s="68"/>
      <c r="O75" s="54"/>
      <c r="P75" s="54"/>
    </row>
    <row r="76">
      <c r="A76" s="66"/>
      <c r="B76" s="68"/>
      <c r="C76" s="68"/>
      <c r="D76" s="68"/>
      <c r="E76" s="68"/>
      <c r="F76" s="68"/>
      <c r="G76" s="68"/>
      <c r="H76" s="68"/>
      <c r="I76" s="68"/>
      <c r="J76" s="68"/>
      <c r="K76" s="68"/>
      <c r="L76" s="68"/>
      <c r="M76" s="68"/>
      <c r="N76" s="69"/>
      <c r="O76" s="54"/>
      <c r="P76" s="54"/>
    </row>
    <row r="77">
      <c r="A77" s="66"/>
      <c r="B77" s="68"/>
      <c r="C77" s="68"/>
      <c r="D77" s="68"/>
      <c r="E77" s="68"/>
      <c r="F77" s="68"/>
      <c r="G77" s="68"/>
      <c r="H77" s="68"/>
      <c r="I77" s="68"/>
      <c r="J77" s="68"/>
      <c r="K77" s="68"/>
      <c r="L77" s="68"/>
      <c r="M77" s="68"/>
      <c r="N77" s="68"/>
      <c r="O77" s="54"/>
      <c r="P77" s="54"/>
    </row>
    <row r="78">
      <c r="A78" s="66"/>
      <c r="B78" s="68"/>
      <c r="C78" s="68"/>
      <c r="D78" s="68"/>
      <c r="E78" s="68"/>
      <c r="F78" s="68"/>
      <c r="G78" s="68"/>
      <c r="H78" s="68"/>
      <c r="I78" s="68"/>
      <c r="J78" s="68"/>
      <c r="K78" s="68"/>
      <c r="L78" s="68"/>
      <c r="M78" s="68"/>
      <c r="N78" s="69"/>
      <c r="O78" s="54"/>
      <c r="P78" s="54"/>
    </row>
    <row r="79">
      <c r="A79" s="72"/>
      <c r="B79" s="68"/>
      <c r="C79" s="68"/>
      <c r="D79" s="68"/>
      <c r="E79" s="68"/>
      <c r="F79" s="68"/>
      <c r="G79" s="68"/>
      <c r="H79" s="68"/>
      <c r="I79" s="68"/>
      <c r="J79" s="68"/>
      <c r="K79" s="68"/>
      <c r="L79" s="68"/>
      <c r="M79" s="68"/>
      <c r="N79" s="68"/>
      <c r="O79" s="54"/>
      <c r="P79" s="54"/>
    </row>
    <row r="80">
      <c r="A80" s="68"/>
      <c r="B80" s="68"/>
      <c r="C80" s="68"/>
      <c r="D80" s="68"/>
      <c r="E80" s="68"/>
      <c r="F80" s="68"/>
      <c r="G80" s="68"/>
      <c r="H80" s="68"/>
      <c r="I80" s="68"/>
      <c r="J80" s="68"/>
      <c r="K80" s="68"/>
      <c r="L80" s="68"/>
      <c r="M80" s="68"/>
      <c r="N80" s="69"/>
      <c r="O80" s="54"/>
      <c r="P80" s="54"/>
    </row>
    <row r="81">
      <c r="A81" s="68"/>
      <c r="B81" s="68"/>
      <c r="C81" s="68"/>
      <c r="D81" s="68"/>
      <c r="E81" s="68"/>
      <c r="F81" s="68"/>
      <c r="G81" s="68"/>
      <c r="H81" s="68"/>
      <c r="I81" s="68"/>
      <c r="J81" s="68"/>
      <c r="K81" s="68"/>
      <c r="L81" s="68"/>
      <c r="M81" s="68"/>
      <c r="N81" s="68"/>
      <c r="O81" s="54"/>
      <c r="P81" s="54"/>
    </row>
    <row r="82">
      <c r="A82" s="68"/>
      <c r="B82" s="68"/>
      <c r="C82" s="68"/>
      <c r="D82" s="68"/>
      <c r="E82" s="68"/>
      <c r="F82" s="68"/>
      <c r="G82" s="68"/>
      <c r="H82" s="68"/>
      <c r="I82" s="68"/>
      <c r="J82" s="68"/>
      <c r="K82" s="68"/>
      <c r="L82" s="68"/>
      <c r="M82" s="68"/>
      <c r="N82" s="69"/>
      <c r="O82" s="54"/>
      <c r="P82" s="54"/>
    </row>
    <row r="83">
      <c r="A83" s="68"/>
      <c r="B83" s="68"/>
      <c r="C83" s="68"/>
      <c r="D83" s="68"/>
      <c r="E83" s="68"/>
      <c r="F83" s="68"/>
      <c r="G83" s="68"/>
      <c r="H83" s="68"/>
      <c r="I83" s="68"/>
      <c r="J83" s="68"/>
      <c r="K83" s="68"/>
      <c r="L83" s="68"/>
      <c r="M83" s="68"/>
      <c r="N83" s="68"/>
      <c r="O83" s="54"/>
      <c r="P83" s="54"/>
    </row>
    <row r="84">
      <c r="A84" s="68"/>
      <c r="B84" s="68"/>
      <c r="C84" s="68"/>
      <c r="D84" s="68"/>
      <c r="E84" s="68"/>
      <c r="F84" s="68"/>
      <c r="G84" s="68"/>
      <c r="H84" s="68"/>
      <c r="I84" s="68"/>
      <c r="J84" s="68"/>
      <c r="K84" s="68"/>
      <c r="L84" s="68"/>
      <c r="M84" s="68"/>
      <c r="N84" s="69"/>
      <c r="O84" s="54"/>
      <c r="P84" s="54"/>
    </row>
    <row r="85">
      <c r="A85" s="68"/>
      <c r="B85" s="68"/>
      <c r="C85" s="68"/>
      <c r="D85" s="68"/>
      <c r="E85" s="68"/>
      <c r="F85" s="68"/>
      <c r="G85" s="68"/>
      <c r="H85" s="68"/>
      <c r="I85" s="68"/>
      <c r="J85" s="68"/>
      <c r="K85" s="68"/>
      <c r="L85" s="68"/>
      <c r="M85" s="68"/>
      <c r="N85" s="68"/>
      <c r="O85" s="54"/>
      <c r="P85" s="54"/>
    </row>
    <row r="86">
      <c r="A86" s="68"/>
      <c r="B86" s="68"/>
      <c r="C86" s="68"/>
      <c r="D86" s="68"/>
      <c r="E86" s="68"/>
      <c r="F86" s="68"/>
      <c r="G86" s="68"/>
      <c r="H86" s="68"/>
      <c r="I86" s="68"/>
      <c r="J86" s="68"/>
      <c r="K86" s="68"/>
      <c r="L86" s="68"/>
      <c r="M86" s="68"/>
      <c r="N86" s="69"/>
      <c r="O86" s="54"/>
      <c r="P86" s="54"/>
    </row>
    <row r="87">
      <c r="A87" s="68"/>
      <c r="B87" s="68"/>
      <c r="C87" s="68"/>
      <c r="D87" s="68"/>
      <c r="E87" s="68"/>
      <c r="F87" s="68"/>
      <c r="G87" s="68"/>
      <c r="H87" s="68"/>
      <c r="I87" s="68"/>
      <c r="J87" s="68"/>
      <c r="K87" s="68"/>
      <c r="L87" s="68"/>
      <c r="M87" s="68"/>
      <c r="N87" s="68"/>
      <c r="O87" s="54"/>
      <c r="P87" s="54"/>
    </row>
    <row r="88">
      <c r="A88" s="68"/>
      <c r="B88" s="68"/>
      <c r="C88" s="68"/>
      <c r="D88" s="68"/>
      <c r="E88" s="68"/>
      <c r="F88" s="68"/>
      <c r="G88" s="68"/>
      <c r="H88" s="68"/>
      <c r="I88" s="68"/>
      <c r="J88" s="68"/>
      <c r="K88" s="68"/>
      <c r="L88" s="68"/>
      <c r="M88" s="68"/>
      <c r="N88" s="69"/>
      <c r="O88" s="54"/>
      <c r="P88" s="54"/>
    </row>
    <row r="89">
      <c r="A89" s="68"/>
      <c r="B89" s="68"/>
      <c r="C89" s="68"/>
      <c r="D89" s="68"/>
      <c r="E89" s="68"/>
      <c r="F89" s="68"/>
      <c r="G89" s="68"/>
      <c r="H89" s="68"/>
      <c r="I89" s="68"/>
      <c r="J89" s="68"/>
      <c r="K89" s="68"/>
      <c r="L89" s="68"/>
      <c r="M89" s="68"/>
      <c r="N89" s="68"/>
      <c r="O89" s="54"/>
      <c r="P89" s="54"/>
    </row>
    <row r="90">
      <c r="A90" s="68"/>
      <c r="B90" s="68"/>
      <c r="C90" s="68"/>
      <c r="D90" s="68"/>
      <c r="E90" s="68"/>
      <c r="F90" s="68"/>
      <c r="G90" s="68"/>
      <c r="H90" s="68"/>
      <c r="I90" s="68"/>
      <c r="J90" s="68"/>
      <c r="K90" s="68"/>
      <c r="L90" s="68"/>
      <c r="M90" s="68"/>
      <c r="N90" s="69"/>
      <c r="O90" s="54"/>
      <c r="P90" s="54"/>
    </row>
    <row r="91">
      <c r="A91" s="68"/>
      <c r="B91" s="68"/>
      <c r="C91" s="68"/>
      <c r="D91" s="68"/>
      <c r="E91" s="68"/>
      <c r="F91" s="68"/>
      <c r="G91" s="68"/>
      <c r="H91" s="68"/>
      <c r="I91" s="68"/>
      <c r="J91" s="68"/>
      <c r="K91" s="68"/>
      <c r="L91" s="68"/>
      <c r="M91" s="68"/>
      <c r="N91" s="68"/>
      <c r="O91" s="54"/>
      <c r="P91" s="54"/>
    </row>
    <row r="92">
      <c r="A92" s="68"/>
      <c r="B92" s="68"/>
      <c r="C92" s="68"/>
      <c r="D92" s="68"/>
      <c r="E92" s="68"/>
      <c r="F92" s="68"/>
      <c r="G92" s="68"/>
      <c r="H92" s="68"/>
      <c r="I92" s="68"/>
      <c r="J92" s="68"/>
      <c r="K92" s="68"/>
      <c r="L92" s="68"/>
      <c r="M92" s="68"/>
      <c r="N92" s="69"/>
      <c r="O92" s="54"/>
      <c r="P92" s="54"/>
    </row>
    <row r="93">
      <c r="A93" s="68"/>
      <c r="B93" s="68"/>
      <c r="C93" s="68"/>
      <c r="D93" s="68"/>
      <c r="E93" s="68"/>
      <c r="F93" s="68"/>
      <c r="G93" s="68"/>
      <c r="H93" s="68"/>
      <c r="I93" s="68"/>
      <c r="J93" s="68"/>
      <c r="K93" s="68"/>
      <c r="L93" s="68"/>
      <c r="M93" s="68"/>
      <c r="N93" s="68"/>
      <c r="O93" s="54"/>
      <c r="P93" s="54"/>
    </row>
    <row r="94">
      <c r="A94" s="68"/>
      <c r="B94" s="68"/>
      <c r="C94" s="68"/>
      <c r="D94" s="68"/>
      <c r="E94" s="68"/>
      <c r="F94" s="68"/>
      <c r="G94" s="68"/>
      <c r="H94" s="68"/>
      <c r="I94" s="68"/>
      <c r="J94" s="68"/>
      <c r="K94" s="68"/>
      <c r="L94" s="68"/>
      <c r="M94" s="68"/>
      <c r="N94" s="69"/>
      <c r="O94" s="54"/>
      <c r="P94" s="54"/>
    </row>
    <row r="95">
      <c r="A95" s="74"/>
      <c r="B95" s="66"/>
      <c r="C95" s="66"/>
      <c r="D95" s="66"/>
      <c r="E95" s="66"/>
      <c r="F95" s="66"/>
      <c r="G95" s="66"/>
      <c r="H95" s="66"/>
      <c r="I95" s="66"/>
      <c r="J95" s="66"/>
      <c r="K95" s="66"/>
      <c r="L95" s="75"/>
      <c r="M95" s="66"/>
      <c r="N95" s="66"/>
      <c r="O95" s="54"/>
      <c r="P95" s="54"/>
    </row>
    <row r="96">
      <c r="A96" s="66"/>
      <c r="B96" s="76"/>
      <c r="C96" s="76"/>
      <c r="D96" s="76"/>
      <c r="E96" s="76"/>
      <c r="F96" s="76"/>
      <c r="G96" s="76"/>
      <c r="H96" s="76"/>
      <c r="I96" s="76"/>
      <c r="J96" s="76"/>
      <c r="K96" s="76"/>
      <c r="L96" s="77"/>
      <c r="M96" s="76"/>
      <c r="N96" s="78"/>
      <c r="O96" s="54"/>
      <c r="P96" s="54"/>
    </row>
    <row r="97">
      <c r="A97" s="79"/>
      <c r="B97" s="80"/>
      <c r="C97" s="80"/>
      <c r="D97" s="80"/>
      <c r="E97" s="80"/>
      <c r="F97" s="80"/>
      <c r="G97" s="80"/>
      <c r="H97" s="80"/>
      <c r="I97" s="80"/>
      <c r="J97" s="80"/>
      <c r="K97" s="80"/>
      <c r="L97" s="81"/>
      <c r="M97" s="80"/>
      <c r="N97" s="80"/>
      <c r="O97" s="54"/>
      <c r="P97" s="54"/>
    </row>
    <row r="98">
      <c r="A98" s="82"/>
      <c r="B98" s="79"/>
      <c r="C98" s="79"/>
      <c r="D98" s="79"/>
      <c r="E98" s="79"/>
      <c r="F98" s="79"/>
      <c r="G98" s="79"/>
      <c r="H98" s="79"/>
      <c r="I98" s="79"/>
      <c r="J98" s="79"/>
      <c r="K98" s="79"/>
      <c r="L98" s="83"/>
      <c r="M98" s="79"/>
      <c r="N98" s="84"/>
      <c r="O98" s="54"/>
      <c r="P98" s="54"/>
    </row>
    <row r="99">
      <c r="A99" s="80"/>
      <c r="B99" s="80"/>
      <c r="C99" s="80"/>
      <c r="D99" s="80"/>
      <c r="E99" s="80"/>
      <c r="F99" s="80"/>
      <c r="G99" s="80"/>
      <c r="H99" s="80"/>
      <c r="I99" s="80"/>
      <c r="J99" s="80"/>
      <c r="K99" s="80"/>
      <c r="L99" s="81"/>
      <c r="M99" s="80"/>
      <c r="N99" s="80"/>
      <c r="O99" s="54"/>
      <c r="P99" s="54"/>
    </row>
    <row r="100">
      <c r="A100" s="54"/>
      <c r="B100" s="54"/>
      <c r="C100" s="54"/>
      <c r="D100" s="54"/>
      <c r="E100" s="54"/>
      <c r="F100" s="54"/>
      <c r="G100" s="54"/>
      <c r="H100" s="54"/>
      <c r="I100" s="54"/>
      <c r="J100" s="54"/>
      <c r="K100" s="54"/>
      <c r="L100" s="54"/>
      <c r="M100" s="54"/>
      <c r="N100" s="54"/>
      <c r="O100" s="54"/>
      <c r="P100" s="54"/>
    </row>
    <row r="101">
      <c r="A101" s="54"/>
      <c r="B101" s="54"/>
      <c r="C101" s="54"/>
      <c r="D101" s="54"/>
      <c r="E101" s="54"/>
      <c r="F101" s="54"/>
      <c r="G101" s="54"/>
      <c r="H101" s="54"/>
      <c r="I101" s="54"/>
      <c r="J101" s="54"/>
      <c r="K101" s="54"/>
      <c r="L101" s="54"/>
      <c r="M101" s="54"/>
      <c r="N101" s="54"/>
      <c r="O101" s="54"/>
      <c r="P101" s="54"/>
    </row>
    <row r="102">
      <c r="A102" s="54"/>
      <c r="B102" s="54"/>
      <c r="C102" s="54"/>
      <c r="D102" s="54"/>
      <c r="E102" s="54"/>
      <c r="F102" s="54"/>
      <c r="G102" s="54"/>
      <c r="H102" s="54"/>
      <c r="I102" s="54"/>
      <c r="J102" s="54"/>
      <c r="K102" s="54"/>
      <c r="L102" s="54"/>
      <c r="M102" s="54"/>
      <c r="N102" s="54"/>
      <c r="O102" s="54"/>
      <c r="P102" s="54"/>
    </row>
    <row r="103">
      <c r="A103" s="54"/>
      <c r="B103" s="54"/>
      <c r="C103" s="54"/>
      <c r="D103" s="54"/>
      <c r="E103" s="54"/>
      <c r="F103" s="54"/>
      <c r="G103" s="54"/>
      <c r="H103" s="54"/>
      <c r="I103" s="54"/>
      <c r="J103" s="54"/>
      <c r="K103" s="54"/>
      <c r="L103" s="54"/>
      <c r="M103" s="54"/>
      <c r="N103" s="54"/>
      <c r="O103" s="54"/>
      <c r="P103" s="54"/>
    </row>
    <row r="104">
      <c r="A104" s="54"/>
      <c r="B104" s="54"/>
      <c r="C104" s="54"/>
      <c r="D104" s="54"/>
      <c r="E104" s="54"/>
      <c r="F104" s="54"/>
      <c r="G104" s="54"/>
      <c r="H104" s="54"/>
      <c r="I104" s="54"/>
      <c r="J104" s="54"/>
      <c r="K104" s="54"/>
      <c r="L104" s="54"/>
      <c r="M104" s="54"/>
      <c r="N104" s="54"/>
      <c r="O104" s="54"/>
      <c r="P104" s="54"/>
    </row>
    <row r="105">
      <c r="A105" s="54"/>
      <c r="B105" s="54"/>
      <c r="C105" s="54"/>
      <c r="D105" s="54"/>
      <c r="E105" s="54"/>
      <c r="F105" s="54"/>
      <c r="G105" s="54"/>
      <c r="H105" s="54"/>
      <c r="I105" s="54"/>
      <c r="J105" s="54"/>
      <c r="K105" s="54"/>
      <c r="L105" s="54"/>
      <c r="M105" s="54"/>
      <c r="N105" s="54"/>
      <c r="O105" s="54"/>
      <c r="P105" s="54"/>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hyperlinks>
    <hyperlink r:id="rId1" ref="L15"/>
    <hyperlink r:id="rId2" ref="L16"/>
    <hyperlink r:id="rId3" ref="L17"/>
    <hyperlink r:id="rId4" ref="L18"/>
    <hyperlink r:id="rId5" ref="L19"/>
    <hyperlink r:id="rId6" ref="L20"/>
    <hyperlink r:id="rId7" ref="L21"/>
    <hyperlink r:id="rId8" ref="L22"/>
    <hyperlink r:id="rId9" ref="L23"/>
    <hyperlink r:id="rId10" ref="L24"/>
    <hyperlink r:id="rId11" ref="L25"/>
    <hyperlink r:id="rId12" ref="L26"/>
    <hyperlink r:id="rId13" ref="L27"/>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8.0"/>
    <col customWidth="1" min="3" max="3" width="19.63"/>
    <col customWidth="1" min="4" max="4" width="11.25"/>
    <col customWidth="1" min="5" max="5" width="12.63"/>
    <col customWidth="1" min="6" max="6" width="16.38"/>
  </cols>
  <sheetData>
    <row r="1">
      <c r="A1" s="85" t="s">
        <v>17</v>
      </c>
      <c r="B1" s="85" t="s">
        <v>18</v>
      </c>
      <c r="C1" s="86" t="s">
        <v>16</v>
      </c>
      <c r="D1" s="85" t="s">
        <v>304</v>
      </c>
      <c r="E1" s="85" t="s">
        <v>305</v>
      </c>
      <c r="F1" s="87" t="s">
        <v>306</v>
      </c>
      <c r="G1" s="88"/>
      <c r="H1" s="88"/>
      <c r="I1" s="88"/>
      <c r="J1" s="88"/>
      <c r="K1" s="88"/>
      <c r="L1" s="88"/>
      <c r="M1" s="88"/>
      <c r="N1" s="88"/>
      <c r="O1" s="88"/>
      <c r="P1" s="88"/>
      <c r="Q1" s="88"/>
      <c r="R1" s="88"/>
      <c r="S1" s="88"/>
      <c r="T1" s="88"/>
      <c r="U1" s="88"/>
      <c r="V1" s="88"/>
      <c r="W1" s="88"/>
      <c r="X1" s="88"/>
      <c r="Y1" s="88"/>
      <c r="Z1" s="88"/>
      <c r="AA1" s="88"/>
    </row>
    <row r="2">
      <c r="A2" s="89" t="str">
        <f>IFERROR(__xludf.DUMMYFUNCTION("SORT(
  SPLIT(
    UNIQUE(
      FILTER('Main Report'!B11:B100 &amp; ""♦"" &amp; 'Main Report'!C11:C100, LEN('Main Report'!C11:C100))
    ),
    ""♦""
  ),
  1, TRUE, 2, TRUE
)
"),"Authentication(User)")</f>
        <v>Authentication(User)</v>
      </c>
      <c r="B2" s="89" t="str">
        <f>IFERROR(__xludf.DUMMYFUNCTION("""COMPUTED_VALUE"""),"Forget Password")</f>
        <v>Forget Password</v>
      </c>
      <c r="C2" s="89" t="str">
        <f>IFERROR(__xludf.DUMMYFUNCTION("TEXTJOIN("", "", TRUE, 
  FILTER('Main Report'!$A$11:$A$100, 
    ('Main Report'!$B$11:$B$100=A2) * ('Main Report'!$C$11:$C$100=B2)
  )
)
"),"BR-001, BR-002")</f>
        <v>BR-001, BR-002</v>
      </c>
      <c r="D2" s="89">
        <f>IFERROR(__xludf.DUMMYFUNCTION("COUNTA(UNIQUE(TRANSPOSE(SPLIT(C2, "", ""))))
"),2.0)</f>
        <v>2</v>
      </c>
      <c r="E2" s="89" t="str">
        <f>IF(D2="", "", TEXT((D2 / 'Main Report'!$E$7), "0.00%"))
</f>
        <v>5.13%</v>
      </c>
      <c r="F2" s="90" t="str">
        <f>IFERROR(__xludf.DUMMYFUNCTION("IF(C2="""", """", 
   TEXTJOIN("", "", TRUE, 
      ""High: "" &amp; COUNTIF(FILTER('Main Report'!$K$11:$K$100, ISNUMBER(MATCH('Main Report'!$A$11:$A$100, SPLIT(C2, "", ""), 0))), ""High"") &amp; CHAR(10) &amp;
      ""Medium: "" &amp; COUNTIF(FILTER('Main Report'!$K$11:"&amp;"$K$100, ISNUMBER(MATCH('Main Report'!$A$11:$A$100, SPLIT(C2, "", ""), 0))), ""Medium"") &amp; CHAR(10) &amp;
      ""Low: "" &amp; COUNTIF(FILTER('Main Report'!$K$11:$K$100, ISNUMBER(MATCH('Main Report'!$A$11:$A$100, SPLIT(C2, "", ""), 0))), ""Low"")
   )
)
"),"High: 0
Medium: 0
Low: 2")</f>
        <v>High: 0
Medium: 0
Low: 2</v>
      </c>
      <c r="G2" s="88"/>
      <c r="H2" s="88"/>
      <c r="I2" s="88"/>
      <c r="J2" s="88"/>
      <c r="K2" s="88"/>
      <c r="L2" s="88"/>
      <c r="M2" s="88"/>
      <c r="N2" s="88"/>
      <c r="O2" s="88"/>
      <c r="P2" s="88"/>
      <c r="Q2" s="88"/>
      <c r="R2" s="88"/>
      <c r="S2" s="88"/>
      <c r="T2" s="88"/>
      <c r="U2" s="88"/>
      <c r="V2" s="88"/>
      <c r="W2" s="88"/>
      <c r="X2" s="88"/>
      <c r="Y2" s="88"/>
      <c r="Z2" s="88"/>
      <c r="AA2" s="88"/>
    </row>
    <row r="3">
      <c r="A3" s="48" t="str">
        <f>IFERROR(__xludf.DUMMYFUNCTION("""COMPUTED_VALUE"""),"Authentication(User)")</f>
        <v>Authentication(User)</v>
      </c>
      <c r="B3" s="48" t="str">
        <f>IFERROR(__xludf.DUMMYFUNCTION("""COMPUTED_VALUE"""),"SignIn")</f>
        <v>SignIn</v>
      </c>
      <c r="C3" s="89" t="str">
        <f>IFERROR(__xludf.DUMMYFUNCTION("TEXTJOIN("", "", TRUE, 
  FILTER('Main Report'!$A$11:$A$100, 
    ('Main Report'!$B$11:$B$100=A3) * ('Main Report'!$C$11:$C$100=B3)
  )
)
"),"BR-003, BR-004, BR-005")</f>
        <v>BR-003, BR-004, BR-005</v>
      </c>
      <c r="D3" s="89">
        <f>IFERROR(__xludf.DUMMYFUNCTION("COUNTA(UNIQUE(TRANSPOSE(SPLIT(C3, "", ""))))
"),3.0)</f>
        <v>3</v>
      </c>
      <c r="E3" s="48" t="str">
        <f>IF(D3="", "", TEXT((D3 / 'Main Report'!$E$7), "0.00%"))
</f>
        <v>7.69%</v>
      </c>
      <c r="F3" s="90" t="str">
        <f>IFERROR(__xludf.DUMMYFUNCTION("IF(C3="""", """", 
   TEXTJOIN("", "", TRUE, 
      ""High: "" &amp; COUNTIF(FILTER('Main Report'!$K$11:$K$100, ISNUMBER(MATCH('Main Report'!$A$11:$A$100, SPLIT(C3, "", ""), 0))), ""High"") &amp; CHAR(10) &amp;
      ""Medium: "" &amp; COUNTIF(FILTER('Main Report'!$K$11:"&amp;"$K$100, ISNUMBER(MATCH('Main Report'!$A$11:$A$100, SPLIT(C3, "", ""), 0))), ""Medium"") &amp; CHAR(10) &amp;
      ""Low: "" &amp; COUNTIF(FILTER('Main Report'!$K$11:$K$100, ISNUMBER(MATCH('Main Report'!$A$11:$A$100, SPLIT(C3, "", ""), 0))), ""Low"")
   )
)
"),"High: 0
Medium: 0
Low: 3")</f>
        <v>High: 0
Medium: 0
Low: 3</v>
      </c>
      <c r="G3" s="88"/>
      <c r="H3" s="88"/>
      <c r="I3" s="88"/>
      <c r="J3" s="88"/>
      <c r="K3" s="88"/>
      <c r="L3" s="88"/>
      <c r="M3" s="88"/>
      <c r="N3" s="88"/>
      <c r="O3" s="88"/>
      <c r="P3" s="88"/>
      <c r="Q3" s="88"/>
      <c r="R3" s="88"/>
      <c r="S3" s="88"/>
      <c r="T3" s="88"/>
      <c r="U3" s="88"/>
      <c r="V3" s="88"/>
      <c r="W3" s="88"/>
      <c r="X3" s="88"/>
      <c r="Y3" s="88"/>
      <c r="Z3" s="88"/>
      <c r="AA3" s="88"/>
    </row>
    <row r="4">
      <c r="A4" s="48" t="str">
        <f>IFERROR(__xludf.DUMMYFUNCTION("""COMPUTED_VALUE"""),"Authentication(User)")</f>
        <v>Authentication(User)</v>
      </c>
      <c r="B4" s="48" t="str">
        <f>IFERROR(__xludf.DUMMYFUNCTION("""COMPUTED_VALUE"""),"SignUp")</f>
        <v>SignUp</v>
      </c>
      <c r="C4" s="89" t="str">
        <f>IFERROR(__xludf.DUMMYFUNCTION("TEXTJOIN("", "", TRUE, 
  FILTER('Main Report'!$A$11:$A$100, 
    ('Main Report'!$B$11:$B$100=A4) * ('Main Report'!$C$11:$C$100=B4)
  )
)
"),"BR-006, BR-007, BR-008")</f>
        <v>BR-006, BR-007, BR-008</v>
      </c>
      <c r="D4" s="89">
        <f>IFERROR(__xludf.DUMMYFUNCTION("COUNTA(UNIQUE(TRANSPOSE(SPLIT(C4, "", ""))))
"),3.0)</f>
        <v>3</v>
      </c>
      <c r="E4" s="48" t="str">
        <f>IF(D4="", "", TEXT((D4 / 'Main Report'!$E$7), "0.00%"))
</f>
        <v>7.69%</v>
      </c>
      <c r="F4" s="90" t="str">
        <f>IFERROR(__xludf.DUMMYFUNCTION("IF(C4="""", """", 
   TEXTJOIN("", "", TRUE, 
      ""High: "" &amp; COUNTIF(FILTER('Main Report'!$K$11:$K$100, ISNUMBER(MATCH('Main Report'!$A$11:$A$100, SPLIT(C4, "", ""), 0))), ""High"") &amp; CHAR(10) &amp;
      ""Medium: "" &amp; COUNTIF(FILTER('Main Report'!$K$11:"&amp;"$K$100, ISNUMBER(MATCH('Main Report'!$A$11:$A$100, SPLIT(C4, "", ""), 0))), ""Medium"") &amp; CHAR(10) &amp;
      ""Low: "" &amp; COUNTIF(FILTER('Main Report'!$K$11:$K$100, ISNUMBER(MATCH('Main Report'!$A$11:$A$100, SPLIT(C4, "", ""), 0))), ""Low"")
   )
)
"),"High: 0
Medium: 0
Low: 3")</f>
        <v>High: 0
Medium: 0
Low: 3</v>
      </c>
      <c r="G4" s="88"/>
      <c r="H4" s="88"/>
      <c r="I4" s="88"/>
      <c r="J4" s="88"/>
      <c r="K4" s="88"/>
      <c r="L4" s="88"/>
      <c r="M4" s="88"/>
      <c r="N4" s="88"/>
      <c r="O4" s="88"/>
      <c r="P4" s="88"/>
      <c r="Q4" s="88"/>
      <c r="R4" s="88"/>
      <c r="S4" s="88"/>
      <c r="T4" s="88"/>
      <c r="U4" s="88"/>
      <c r="V4" s="88"/>
      <c r="W4" s="88"/>
      <c r="X4" s="88"/>
      <c r="Y4" s="88"/>
      <c r="Z4" s="88"/>
      <c r="AA4" s="88"/>
    </row>
    <row r="5">
      <c r="A5" s="48" t="str">
        <f>IFERROR(__xludf.DUMMYFUNCTION("""COMPUTED_VALUE"""),"Club Owner -&gt; Analytics")</f>
        <v>Club Owner -&gt; Analytics</v>
      </c>
      <c r="B5" s="48" t="str">
        <f>IFERROR(__xludf.DUMMYFUNCTION("""COMPUTED_VALUE"""),"UI")</f>
        <v>UI</v>
      </c>
      <c r="C5" s="89" t="str">
        <f>IFERROR(__xludf.DUMMYFUNCTION("TEXTJOIN("", "", TRUE, 
  FILTER('Main Report'!$A$11:$A$100, 
    ('Main Report'!$B$11:$B$100=A5) * ('Main Report'!$C$11:$C$100=B5)
  )
)
"),"BR-010, BR-011, BR-012, BR-013")</f>
        <v>BR-010, BR-011, BR-012, BR-013</v>
      </c>
      <c r="D5" s="89">
        <f>IFERROR(__xludf.DUMMYFUNCTION("COUNTA(UNIQUE(TRANSPOSE(SPLIT(C5, "", ""))))
"),4.0)</f>
        <v>4</v>
      </c>
      <c r="E5" s="48" t="str">
        <f>IF(D5="", "", TEXT((D5 / 'Main Report'!$E$7), "0.00%"))
</f>
        <v>10.26%</v>
      </c>
      <c r="F5" s="90" t="str">
        <f>IFERROR(__xludf.DUMMYFUNCTION("IF(C5="""", """", 
   TEXTJOIN("", "", TRUE, 
      ""High: "" &amp; COUNTIF(FILTER('Main Report'!$K$11:$K$100, ISNUMBER(MATCH('Main Report'!$A$11:$A$100, SPLIT(C5, "", ""), 0))), ""High"") &amp; CHAR(10) &amp;
      ""Medium: "" &amp; COUNTIF(FILTER('Main Report'!$K$11:"&amp;"$K$100, ISNUMBER(MATCH('Main Report'!$A$11:$A$100, SPLIT(C5, "", ""), 0))), ""Medium"") &amp; CHAR(10) &amp;
      ""Low: "" &amp; COUNTIF(FILTER('Main Report'!$K$11:$K$100, ISNUMBER(MATCH('Main Report'!$A$11:$A$100, SPLIT(C5, "", ""), 0))), ""Low"")
   )
)
"),"High: 0
Medium: 0
Low: 4")</f>
        <v>High: 0
Medium: 0
Low: 4</v>
      </c>
      <c r="G5" s="88"/>
      <c r="H5" s="88"/>
      <c r="I5" s="88"/>
      <c r="J5" s="88"/>
      <c r="K5" s="88"/>
      <c r="L5" s="88"/>
      <c r="M5" s="88"/>
      <c r="N5" s="88"/>
      <c r="O5" s="88"/>
      <c r="P5" s="88"/>
      <c r="Q5" s="88"/>
      <c r="R5" s="88"/>
      <c r="S5" s="88"/>
      <c r="T5" s="88"/>
      <c r="U5" s="88"/>
      <c r="V5" s="88"/>
      <c r="W5" s="88"/>
      <c r="X5" s="88"/>
      <c r="Y5" s="88"/>
      <c r="Z5" s="88"/>
      <c r="AA5" s="88"/>
    </row>
    <row r="6">
      <c r="A6" s="48" t="str">
        <f>IFERROR(__xludf.DUMMYFUNCTION("""COMPUTED_VALUE"""),"Club Owner -&gt; Club Profile")</f>
        <v>Club Owner -&gt; Club Profile</v>
      </c>
      <c r="B6" s="48" t="str">
        <f>IFERROR(__xludf.DUMMYFUNCTION("""COMPUTED_VALUE"""),"Footer")</f>
        <v>Footer</v>
      </c>
      <c r="C6" s="89" t="str">
        <f>IFERROR(__xludf.DUMMYFUNCTION("TEXTJOIN("", "", TRUE, 
  FILTER('Main Report'!$A$11:$A$100, 
    ('Main Report'!$B$11:$B$100=A6) * ('Main Report'!$C$11:$C$100=B6)
  )
)
"),"BR-014")</f>
        <v>BR-014</v>
      </c>
      <c r="D6" s="89">
        <f>IFERROR(__xludf.DUMMYFUNCTION("COUNTA(UNIQUE(TRANSPOSE(SPLIT(C6, "", ""))))
"),1.0)</f>
        <v>1</v>
      </c>
      <c r="E6" s="48" t="str">
        <f>IF(D6="", "", TEXT((D6 / 'Main Report'!$E$7), "0.00%"))
</f>
        <v>2.56%</v>
      </c>
      <c r="F6" s="90" t="str">
        <f>IFERROR(__xludf.DUMMYFUNCTION("IF(C6="""", """", 
   TEXTJOIN("", "", TRUE, 
      ""High: "" &amp; COUNTIF(FILTER('Main Report'!$K$11:$K$100, ISNUMBER(MATCH('Main Report'!$A$11:$A$100, SPLIT(C6, "", ""), 0))), ""High"") &amp; CHAR(10) &amp;
      ""Medium: "" &amp; COUNTIF(FILTER('Main Report'!$K$11:"&amp;"$K$100, ISNUMBER(MATCH('Main Report'!$A$11:$A$100, SPLIT(C6, "", ""), 0))), ""Medium"") &amp; CHAR(10) &amp;
      ""Low: "" &amp; COUNTIF(FILTER('Main Report'!$K$11:$K$100, ISNUMBER(MATCH('Main Report'!$A$11:$A$100, SPLIT(C6, "", ""), 0))), ""Low"")
   )
)
"),"High: 0
Medium: 0
Low: 1")</f>
        <v>High: 0
Medium: 0
Low: 1</v>
      </c>
      <c r="G6" s="88"/>
      <c r="H6" s="88"/>
      <c r="I6" s="88"/>
      <c r="J6" s="88"/>
      <c r="K6" s="88"/>
      <c r="L6" s="88"/>
      <c r="M6" s="88"/>
      <c r="N6" s="88"/>
      <c r="O6" s="88"/>
      <c r="P6" s="88"/>
      <c r="Q6" s="88"/>
      <c r="R6" s="88"/>
      <c r="S6" s="88"/>
      <c r="T6" s="88"/>
      <c r="U6" s="88"/>
      <c r="V6" s="88"/>
      <c r="W6" s="88"/>
      <c r="X6" s="88"/>
      <c r="Y6" s="88"/>
      <c r="Z6" s="88"/>
      <c r="AA6" s="88"/>
    </row>
    <row r="7">
      <c r="A7" s="48" t="str">
        <f>IFERROR(__xludf.DUMMYFUNCTION("""COMPUTED_VALUE"""),"Club Owner -&gt; Club Profile")</f>
        <v>Club Owner -&gt; Club Profile</v>
      </c>
      <c r="B7" s="48" t="str">
        <f>IFERROR(__xludf.DUMMYFUNCTION("""COMPUTED_VALUE"""),"UI")</f>
        <v>UI</v>
      </c>
      <c r="C7" s="89" t="str">
        <f>IFERROR(__xludf.DUMMYFUNCTION("TEXTJOIN("", "", TRUE, 
  FILTER('Main Report'!$A$11:$A$100, 
    ('Main Report'!$B$11:$B$100=A7) * ('Main Report'!$C$11:$C$100=B7)
  )
)
"),"BR-015, BR-016, BR-017")</f>
        <v>BR-015, BR-016, BR-017</v>
      </c>
      <c r="D7" s="89">
        <f>IFERROR(__xludf.DUMMYFUNCTION("COUNTA(UNIQUE(TRANSPOSE(SPLIT(C7, "", ""))))
"),3.0)</f>
        <v>3</v>
      </c>
      <c r="E7" s="48" t="str">
        <f>IF(D7="", "", TEXT((D7 / 'Main Report'!$E$7), "0.00%"))
</f>
        <v>7.69%</v>
      </c>
      <c r="F7" s="90" t="str">
        <f>IFERROR(__xludf.DUMMYFUNCTION("IF(C7="""", """", 
   TEXTJOIN("", "", TRUE, 
      ""High: "" &amp; COUNTIF(FILTER('Main Report'!$K$11:$K$100, ISNUMBER(MATCH('Main Report'!$A$11:$A$100, SPLIT(C7, "", ""), 0))), ""High"") &amp; CHAR(10) &amp;
      ""Medium: "" &amp; COUNTIF(FILTER('Main Report'!$K$11:"&amp;"$K$100, ISNUMBER(MATCH('Main Report'!$A$11:$A$100, SPLIT(C7, "", ""), 0))), ""Medium"") &amp; CHAR(10) &amp;
      ""Low: "" &amp; COUNTIF(FILTER('Main Report'!$K$11:$K$100, ISNUMBER(MATCH('Main Report'!$A$11:$A$100, SPLIT(C7, "", ""), 0))), ""Low"")
   )
)
"),"High: 0
Medium: 1
Low: 2")</f>
        <v>High: 0
Medium: 1
Low: 2</v>
      </c>
      <c r="G7" s="88"/>
      <c r="H7" s="88"/>
      <c r="I7" s="88"/>
      <c r="J7" s="88"/>
      <c r="K7" s="88"/>
      <c r="L7" s="88"/>
      <c r="M7" s="88"/>
      <c r="N7" s="88"/>
      <c r="O7" s="88"/>
      <c r="P7" s="88"/>
      <c r="Q7" s="88"/>
      <c r="R7" s="88"/>
      <c r="S7" s="88"/>
      <c r="T7" s="88"/>
      <c r="U7" s="88"/>
      <c r="V7" s="88"/>
      <c r="W7" s="88"/>
      <c r="X7" s="88"/>
      <c r="Y7" s="88"/>
      <c r="Z7" s="88"/>
      <c r="AA7" s="88"/>
    </row>
    <row r="8">
      <c r="A8" s="48" t="str">
        <f>IFERROR(__xludf.DUMMYFUNCTION("""COMPUTED_VALUE"""),"Club Owner -&gt; Club Profile")</f>
        <v>Club Owner -&gt; Club Profile</v>
      </c>
      <c r="B8" s="48" t="str">
        <f>IFERROR(__xludf.DUMMYFUNCTION("""COMPUTED_VALUE"""),"UI -&gt; The Moonlight Night")</f>
        <v>UI -&gt; The Moonlight Night</v>
      </c>
      <c r="C8" s="89" t="str">
        <f>IFERROR(__xludf.DUMMYFUNCTION("TEXTJOIN("", "", TRUE, 
  FILTER('Main Report'!$A$11:$A$100, 
    ('Main Report'!$B$11:$B$100=A8) * ('Main Report'!$C$11:$C$100=B8)
  )
)
"),"BR-018, BR-019")</f>
        <v>BR-018, BR-019</v>
      </c>
      <c r="D8" s="89">
        <f>IFERROR(__xludf.DUMMYFUNCTION("COUNTA(UNIQUE(TRANSPOSE(SPLIT(C8, "", ""))))
"),2.0)</f>
        <v>2</v>
      </c>
      <c r="E8" s="48" t="str">
        <f>IF(D8="", "", TEXT((D8 / 'Main Report'!$E$7), "0.00%"))
</f>
        <v>5.13%</v>
      </c>
      <c r="F8" s="90" t="str">
        <f>IFERROR(__xludf.DUMMYFUNCTION("IF(C8="""", """", 
   TEXTJOIN("", "", TRUE, 
      ""High: "" &amp; COUNTIF(FILTER('Main Report'!$K$11:$K$100, ISNUMBER(MATCH('Main Report'!$A$11:$A$100, SPLIT(C8, "", ""), 0))), ""High"") &amp; CHAR(10) &amp;
      ""Medium: "" &amp; COUNTIF(FILTER('Main Report'!$K$11:"&amp;"$K$100, ISNUMBER(MATCH('Main Report'!$A$11:$A$100, SPLIT(C8, "", ""), 0))), ""Medium"") &amp; CHAR(10) &amp;
      ""Low: "" &amp; COUNTIF(FILTER('Main Report'!$K$11:$K$100, ISNUMBER(MATCH('Main Report'!$A$11:$A$100, SPLIT(C8, "", ""), 0))), ""Low"")
   )
)
"),"High: 0
Medium: 0
Low: 2")</f>
        <v>High: 0
Medium: 0
Low: 2</v>
      </c>
      <c r="G8" s="88"/>
      <c r="H8" s="88"/>
      <c r="I8" s="88"/>
      <c r="J8" s="88"/>
      <c r="K8" s="88"/>
      <c r="L8" s="88"/>
      <c r="M8" s="88"/>
      <c r="N8" s="88"/>
      <c r="O8" s="88"/>
      <c r="P8" s="88"/>
      <c r="Q8" s="88"/>
      <c r="R8" s="88"/>
      <c r="S8" s="88"/>
      <c r="T8" s="88"/>
      <c r="U8" s="88"/>
      <c r="V8" s="88"/>
      <c r="W8" s="88"/>
      <c r="X8" s="88"/>
      <c r="Y8" s="88"/>
      <c r="Z8" s="88"/>
      <c r="AA8" s="88"/>
    </row>
    <row r="9">
      <c r="A9" s="48" t="str">
        <f>IFERROR(__xludf.DUMMYFUNCTION("""COMPUTED_VALUE"""),"Club Owner -&gt; Forget Password")</f>
        <v>Club Owner -&gt; Forget Password</v>
      </c>
      <c r="B9" s="48" t="str">
        <f>IFERROR(__xludf.DUMMYFUNCTION("""COMPUTED_VALUE"""),"Forget Password")</f>
        <v>Forget Password</v>
      </c>
      <c r="C9" s="89" t="str">
        <f>IFERROR(__xludf.DUMMYFUNCTION("TEXTJOIN("", "", TRUE, 
  FILTER('Main Report'!$A$11:$A$100, 
    ('Main Report'!$B$11:$B$100=A9) * ('Main Report'!$C$11:$C$100=B9)
  )
)
"),"BR-020")</f>
        <v>BR-020</v>
      </c>
      <c r="D9" s="89">
        <f>IFERROR(__xludf.DUMMYFUNCTION("COUNTA(UNIQUE(TRANSPOSE(SPLIT(C9, "", ""))))
"),1.0)</f>
        <v>1</v>
      </c>
      <c r="E9" s="48" t="str">
        <f>IF(D9="", "", TEXT((D9 / 'Main Report'!$E$7), "0.00%"))
</f>
        <v>2.56%</v>
      </c>
      <c r="F9" s="90" t="str">
        <f>IFERROR(__xludf.DUMMYFUNCTION("IF(C9="""", """", 
   TEXTJOIN("", "", TRUE, 
      ""High: "" &amp; COUNTIF(FILTER('Main Report'!$K$11:$K$100, ISNUMBER(MATCH('Main Report'!$A$11:$A$100, SPLIT(C9, "", ""), 0))), ""High"") &amp; CHAR(10) &amp;
      ""Medium: "" &amp; COUNTIF(FILTER('Main Report'!$K$11:"&amp;"$K$100, ISNUMBER(MATCH('Main Report'!$A$11:$A$100, SPLIT(C9, "", ""), 0))), ""Medium"") &amp; CHAR(10) &amp;
      ""Low: "" &amp; COUNTIF(FILTER('Main Report'!$K$11:$K$100, ISNUMBER(MATCH('Main Report'!$A$11:$A$100, SPLIT(C9, "", ""), 0))), ""Low"")
   )
)
"),"High: 0
Medium: 1
Low: 0")</f>
        <v>High: 0
Medium: 1
Low: 0</v>
      </c>
      <c r="G9" s="88"/>
      <c r="H9" s="88"/>
      <c r="I9" s="88"/>
      <c r="J9" s="88"/>
      <c r="K9" s="88"/>
      <c r="L9" s="88"/>
      <c r="M9" s="88"/>
      <c r="N9" s="88"/>
      <c r="O9" s="88"/>
      <c r="P9" s="88"/>
      <c r="Q9" s="88"/>
      <c r="R9" s="88"/>
      <c r="S9" s="88"/>
      <c r="T9" s="88"/>
      <c r="U9" s="88"/>
      <c r="V9" s="88"/>
      <c r="W9" s="88"/>
      <c r="X9" s="88"/>
      <c r="Y9" s="88"/>
      <c r="Z9" s="88"/>
      <c r="AA9" s="88"/>
    </row>
    <row r="10">
      <c r="A10" s="48" t="str">
        <f>IFERROR(__xludf.DUMMYFUNCTION("""COMPUTED_VALUE"""),"Club Owner -&gt; Settings")</f>
        <v>Club Owner -&gt; Settings</v>
      </c>
      <c r="B10" s="48" t="str">
        <f>IFERROR(__xludf.DUMMYFUNCTION("""COMPUTED_VALUE"""),"Profile")</f>
        <v>Profile</v>
      </c>
      <c r="C10" s="89" t="str">
        <f>IFERROR(__xludf.DUMMYFUNCTION("TEXTJOIN("", "", TRUE, 
  FILTER('Main Report'!$A$11:$A$100, 
    ('Main Report'!$B$11:$B$100=A10) * ('Main Report'!$C$11:$C$100=B10)
  )
)
"),"BR-021")</f>
        <v>BR-021</v>
      </c>
      <c r="D10" s="89">
        <f>IFERROR(__xludf.DUMMYFUNCTION("COUNTA(UNIQUE(TRANSPOSE(SPLIT(C10, "", ""))))
"),1.0)</f>
        <v>1</v>
      </c>
      <c r="E10" s="48" t="str">
        <f>IF(D10="", "", TEXT((D10 / 'Main Report'!$E$7), "0.00%"))
</f>
        <v>2.56%</v>
      </c>
      <c r="F10" s="90" t="str">
        <f>IFERROR(__xludf.DUMMYFUNCTION("IF(C10="""", """", 
   TEXTJOIN("", "", TRUE, 
      ""High: "" &amp; COUNTIF(FILTER('Main Report'!$K$11:$K$100, ISNUMBER(MATCH('Main Report'!$A$11:$A$100, SPLIT(C10, "", ""), 0))), ""High"") &amp; CHAR(10) &amp;
      ""Medium: "" &amp; COUNTIF(FILTER('Main Report'!$K$1"&amp;"1:$K$100, ISNUMBER(MATCH('Main Report'!$A$11:$A$100, SPLIT(C10, "", ""), 0))), ""Medium"") &amp; CHAR(10) &amp;
      ""Low: "" &amp; COUNTIF(FILTER('Main Report'!$K$11:$K$100, ISNUMBER(MATCH('Main Report'!$A$11:$A$100, SPLIT(C10, "", ""), 0))), ""Low"")
   )
)
"),"High: 1
Medium: 0
Low: 0")</f>
        <v>High: 1
Medium: 0
Low: 0</v>
      </c>
      <c r="G10" s="88"/>
      <c r="H10" s="88"/>
      <c r="I10" s="88"/>
      <c r="J10" s="88"/>
      <c r="K10" s="88"/>
      <c r="L10" s="88"/>
      <c r="M10" s="88"/>
      <c r="N10" s="88"/>
      <c r="O10" s="88"/>
      <c r="P10" s="88"/>
      <c r="Q10" s="88"/>
      <c r="R10" s="88"/>
      <c r="S10" s="88"/>
      <c r="T10" s="88"/>
      <c r="U10" s="88"/>
      <c r="V10" s="88"/>
      <c r="W10" s="88"/>
      <c r="X10" s="88"/>
      <c r="Y10" s="88"/>
      <c r="Z10" s="88"/>
      <c r="AA10" s="88"/>
    </row>
    <row r="11">
      <c r="A11" s="48" t="str">
        <f>IFERROR(__xludf.DUMMYFUNCTION("""COMPUTED_VALUE"""),"Club Owner (Sign Up)")</f>
        <v>Club Owner (Sign Up)</v>
      </c>
      <c r="B11" s="48" t="str">
        <f>IFERROR(__xludf.DUMMYFUNCTION("""COMPUTED_VALUE"""),"Sign Up")</f>
        <v>Sign Up</v>
      </c>
      <c r="C11" s="89" t="str">
        <f>IFERROR(__xludf.DUMMYFUNCTION("TEXTJOIN("", "", TRUE, 
  FILTER('Main Report'!$A$11:$A$100, 
    ('Main Report'!$B$11:$B$100=A11) * ('Main Report'!$C$11:$C$100=B11)
  )
)
"),"BR-009")</f>
        <v>BR-009</v>
      </c>
      <c r="D11" s="89">
        <f>IFERROR(__xludf.DUMMYFUNCTION("COUNTA(UNIQUE(TRANSPOSE(SPLIT(C11, "", ""))))
"),1.0)</f>
        <v>1</v>
      </c>
      <c r="E11" s="48" t="str">
        <f>IF(D11="", "", TEXT((D11 / 'Main Report'!$E$7), "0.00%"))
</f>
        <v>2.56%</v>
      </c>
      <c r="F11" s="90" t="str">
        <f>IFERROR(__xludf.DUMMYFUNCTION("IF(C11="""", """", 
   TEXTJOIN("", "", TRUE, 
      ""High: "" &amp; COUNTIF(FILTER('Main Report'!$K$11:$K$100, ISNUMBER(MATCH('Main Report'!$A$11:$A$100, SPLIT(C11, "", ""), 0))), ""High"") &amp; CHAR(10) &amp;
      ""Medium: "" &amp; COUNTIF(FILTER('Main Report'!$K$1"&amp;"1:$K$100, ISNUMBER(MATCH('Main Report'!$A$11:$A$100, SPLIT(C11, "", ""), 0))), ""Medium"") &amp; CHAR(10) &amp;
      ""Low: "" &amp; COUNTIF(FILTER('Main Report'!$K$11:$K$100, ISNUMBER(MATCH('Main Report'!$A$11:$A$100, SPLIT(C11, "", ""), 0))), ""Low"")
   )
)
"),"High: 1
Medium: 0
Low: 0")</f>
        <v>High: 1
Medium: 0
Low: 0</v>
      </c>
      <c r="G11" s="88"/>
      <c r="H11" s="88"/>
      <c r="I11" s="88"/>
      <c r="J11" s="88"/>
      <c r="K11" s="88"/>
      <c r="L11" s="88"/>
      <c r="M11" s="88"/>
      <c r="N11" s="88"/>
      <c r="O11" s="88"/>
      <c r="P11" s="88"/>
      <c r="Q11" s="88"/>
      <c r="R11" s="88"/>
      <c r="S11" s="88"/>
      <c r="T11" s="88"/>
      <c r="U11" s="88"/>
      <c r="V11" s="88"/>
      <c r="W11" s="88"/>
      <c r="X11" s="88"/>
      <c r="Y11" s="88"/>
      <c r="Z11" s="88"/>
      <c r="AA11" s="88"/>
    </row>
    <row r="12">
      <c r="A12" s="48" t="str">
        <f>IFERROR(__xludf.DUMMYFUNCTION("""COMPUTED_VALUE"""),"Favourite")</f>
        <v>Favourite</v>
      </c>
      <c r="B12" s="48" t="str">
        <f>IFERROR(__xludf.DUMMYFUNCTION("""COMPUTED_VALUE"""),"Favourite")</f>
        <v>Favourite</v>
      </c>
      <c r="C12" s="89" t="str">
        <f>IFERROR(__xludf.DUMMYFUNCTION("TEXTJOIN("", "", TRUE, 
  FILTER('Main Report'!$A$11:$A$100, 
    ('Main Report'!$B$11:$B$100=A12) * ('Main Report'!$C$11:$C$100=B12)
  )
)
"),"BR-022")</f>
        <v>BR-022</v>
      </c>
      <c r="D12" s="89">
        <f>IFERROR(__xludf.DUMMYFUNCTION("COUNTA(UNIQUE(TRANSPOSE(SPLIT(C12, "", ""))))
"),1.0)</f>
        <v>1</v>
      </c>
      <c r="E12" s="48" t="str">
        <f>IF(D12="", "", TEXT((D12 / 'Main Report'!$E$7), "0.00%"))
</f>
        <v>2.56%</v>
      </c>
      <c r="F12" s="90" t="str">
        <f>IFERROR(__xludf.DUMMYFUNCTION("IF(C12="""", """", 
   TEXTJOIN("", "", TRUE, 
      ""High: "" &amp; COUNTIF(FILTER('Main Report'!$K$11:$K$100, ISNUMBER(MATCH('Main Report'!$A$11:$A$100, SPLIT(C12, "", ""), 0))), ""High"") &amp; CHAR(10) &amp;
      ""Medium: "" &amp; COUNTIF(FILTER('Main Report'!$K$1"&amp;"1:$K$100, ISNUMBER(MATCH('Main Report'!$A$11:$A$100, SPLIT(C12, "", ""), 0))), ""Medium"") &amp; CHAR(10) &amp;
      ""Low: "" &amp; COUNTIF(FILTER('Main Report'!$K$11:$K$100, ISNUMBER(MATCH('Main Report'!$A$11:$A$100, SPLIT(C12, "", ""), 0))), ""Low"")
   )
)
"),"High: 1
Medium: 0
Low: 0")</f>
        <v>High: 1
Medium: 0
Low: 0</v>
      </c>
      <c r="G12" s="88"/>
      <c r="H12" s="88"/>
      <c r="I12" s="88"/>
      <c r="J12" s="88"/>
      <c r="K12" s="88"/>
      <c r="L12" s="88"/>
      <c r="M12" s="88"/>
      <c r="N12" s="88"/>
      <c r="O12" s="88"/>
      <c r="P12" s="88"/>
      <c r="Q12" s="88"/>
      <c r="R12" s="88"/>
      <c r="S12" s="88"/>
      <c r="T12" s="88"/>
      <c r="U12" s="88"/>
      <c r="V12" s="88"/>
      <c r="W12" s="88"/>
      <c r="X12" s="88"/>
      <c r="Y12" s="88"/>
      <c r="Z12" s="88"/>
      <c r="AA12" s="88"/>
    </row>
    <row r="13">
      <c r="A13" s="48" t="str">
        <f>IFERROR(__xludf.DUMMYFUNCTION("""COMPUTED_VALUE"""),"For you")</f>
        <v>For you</v>
      </c>
      <c r="B13" s="48" t="str">
        <f>IFERROR(__xludf.DUMMYFUNCTION("""COMPUTED_VALUE"""),"For you")</f>
        <v>For you</v>
      </c>
      <c r="C13" s="89" t="str">
        <f>IFERROR(__xludf.DUMMYFUNCTION("TEXTJOIN("", "", TRUE, 
  FILTER('Main Report'!$A$11:$A$100, 
    ('Main Report'!$B$11:$B$100=A13) * ('Main Report'!$C$11:$C$100=B13)
  )
)
"),"BR-023, BR-024")</f>
        <v>BR-023, BR-024</v>
      </c>
      <c r="D13" s="89">
        <f>IFERROR(__xludf.DUMMYFUNCTION("COUNTA(UNIQUE(TRANSPOSE(SPLIT(C13, "", ""))))
"),2.0)</f>
        <v>2</v>
      </c>
      <c r="E13" s="48" t="str">
        <f>IF(D13="", "", TEXT((D13 / 'Main Report'!$E$7), "0.00%"))
</f>
        <v>5.13%</v>
      </c>
      <c r="F13" s="90" t="str">
        <f>IFERROR(__xludf.DUMMYFUNCTION("IF(C13="""", """", 
   TEXTJOIN("", "", TRUE, 
      ""High: "" &amp; COUNTIF(FILTER('Main Report'!$K$11:$K$100, ISNUMBER(MATCH('Main Report'!$A$11:$A$100, SPLIT(C13, "", ""), 0))), ""High"") &amp; CHAR(10) &amp;
      ""Medium: "" &amp; COUNTIF(FILTER('Main Report'!$K$1"&amp;"1:$K$100, ISNUMBER(MATCH('Main Report'!$A$11:$A$100, SPLIT(C13, "", ""), 0))), ""Medium"") &amp; CHAR(10) &amp;
      ""Low: "" &amp; COUNTIF(FILTER('Main Report'!$K$11:$K$100, ISNUMBER(MATCH('Main Report'!$A$11:$A$100, SPLIT(C13, "", ""), 0))), ""Low"")
   )
)
"),"High: 0
Medium: 0
Low: 2")</f>
        <v>High: 0
Medium: 0
Low: 2</v>
      </c>
      <c r="G13" s="88"/>
      <c r="H13" s="88"/>
      <c r="I13" s="88"/>
      <c r="J13" s="88"/>
      <c r="K13" s="88"/>
      <c r="L13" s="88"/>
      <c r="M13" s="88"/>
      <c r="N13" s="88"/>
      <c r="O13" s="88"/>
      <c r="P13" s="88"/>
      <c r="Q13" s="88"/>
      <c r="R13" s="88"/>
      <c r="S13" s="88"/>
      <c r="T13" s="88"/>
      <c r="U13" s="88"/>
      <c r="V13" s="88"/>
      <c r="W13" s="88"/>
      <c r="X13" s="88"/>
      <c r="Y13" s="88"/>
      <c r="Z13" s="88"/>
      <c r="AA13" s="88"/>
    </row>
    <row r="14">
      <c r="A14" s="48" t="str">
        <f>IFERROR(__xludf.DUMMYFUNCTION("""COMPUTED_VALUE"""),"Foryou")</f>
        <v>Foryou</v>
      </c>
      <c r="B14" s="48" t="str">
        <f>IFERROR(__xludf.DUMMYFUNCTION("""COMPUTED_VALUE"""),"Foryou")</f>
        <v>Foryou</v>
      </c>
      <c r="C14" s="48" t="str">
        <f>IFERROR(__xludf.DUMMYFUNCTION("TEXTJOIN("", "", TRUE, 
  FILTER('Main Report'!A23:A112, 
    ('Main Report'!B23:B112=A14) * ('Main Report'!C23:C112=B14)
  )
)
"),"BR-025")</f>
        <v>BR-025</v>
      </c>
      <c r="D14" s="89">
        <f>IFERROR(__xludf.DUMMYFUNCTION("COUNTA(UNIQUE(TRANSPOSE(SPLIT(C14, "", ""))))
"),1.0)</f>
        <v>1</v>
      </c>
      <c r="E14" s="48" t="str">
        <f>IF(D14="", "", TEXT((D14 / 'Main Report'!$E$7), "0.00%"))
</f>
        <v>2.56%</v>
      </c>
      <c r="F14" s="90" t="str">
        <f>IFERROR(__xludf.DUMMYFUNCTION("IF(C14="""", """", 
   TEXTJOIN("", "", TRUE, 
      ""High: "" &amp; COUNTIF(FILTER('Main Report'!$K$11:$K$100, ISNUMBER(MATCH('Main Report'!$A$11:$A$100, SPLIT(C14, "", ""), 0))), ""High"") &amp; CHAR(10) &amp;
      ""Medium: "" &amp; COUNTIF(FILTER('Main Report'!$K$1"&amp;"1:$K$100, ISNUMBER(MATCH('Main Report'!$A$11:$A$100, SPLIT(C14, "", ""), 0))), ""Medium"") &amp; CHAR(10) &amp;
      ""Low: "" &amp; COUNTIF(FILTER('Main Report'!$K$11:$K$100, ISNUMBER(MATCH('Main Report'!$A$11:$A$100, SPLIT(C14, "", ""), 0))), ""Low"")
   )
)
"),"High: 0
Medium: 0
Low: 1")</f>
        <v>High: 0
Medium: 0
Low: 1</v>
      </c>
      <c r="G14" s="88"/>
      <c r="H14" s="88"/>
      <c r="I14" s="88"/>
      <c r="J14" s="88"/>
      <c r="K14" s="88"/>
      <c r="L14" s="88"/>
      <c r="M14" s="88"/>
      <c r="N14" s="88"/>
      <c r="O14" s="88"/>
      <c r="P14" s="88"/>
      <c r="Q14" s="88"/>
      <c r="R14" s="88"/>
      <c r="S14" s="88"/>
      <c r="T14" s="88"/>
      <c r="U14" s="88"/>
      <c r="V14" s="88"/>
      <c r="W14" s="88"/>
      <c r="X14" s="88"/>
      <c r="Y14" s="88"/>
      <c r="Z14" s="88"/>
      <c r="AA14" s="88"/>
    </row>
    <row r="15">
      <c r="A15" s="48" t="str">
        <f>IFERROR(__xludf.DUMMYFUNCTION("""COMPUTED_VALUE"""),"Home")</f>
        <v>Home</v>
      </c>
      <c r="B15" s="48" t="str">
        <f>IFERROR(__xludf.DUMMYFUNCTION("""COMPUTED_VALUE"""),"Explore")</f>
        <v>Explore</v>
      </c>
      <c r="C15" s="48" t="str">
        <f>IFERROR(__xludf.DUMMYFUNCTION("TEXTJOIN("", "", TRUE, 
  FILTER('Main Report'!A24:A113, 
    ('Main Report'!B24:B113=A15) * ('Main Report'!C24:C113=B15)
  )
)
"),"BR-026")</f>
        <v>BR-026</v>
      </c>
      <c r="D15" s="89">
        <f>IFERROR(__xludf.DUMMYFUNCTION("COUNTA(UNIQUE(TRANSPOSE(SPLIT(C15, "", ""))))
"),1.0)</f>
        <v>1</v>
      </c>
      <c r="E15" s="48" t="str">
        <f>IF(D15="", "", TEXT((D15 / 'Main Report'!$E$7), "0.00%"))
</f>
        <v>2.56%</v>
      </c>
      <c r="F15" s="90" t="str">
        <f>IFERROR(__xludf.DUMMYFUNCTION("IF(C15="""", """", 
   TEXTJOIN("", "", TRUE, 
      ""High: "" &amp; COUNTIF(FILTER('Main Report'!$K$11:$K$100, ISNUMBER(MATCH('Main Report'!$A$11:$A$100, SPLIT(C15, "", ""), 0))), ""High"") &amp; CHAR(10) &amp;
      ""Medium: "" &amp; COUNTIF(FILTER('Main Report'!$K$1"&amp;"1:$K$100, ISNUMBER(MATCH('Main Report'!$A$11:$A$100, SPLIT(C15, "", ""), 0))), ""Medium"") &amp; CHAR(10) &amp;
      ""Low: "" &amp; COUNTIF(FILTER('Main Report'!$K$11:$K$100, ISNUMBER(MATCH('Main Report'!$A$11:$A$100, SPLIT(C15, "", ""), 0))), ""Low"")
   )
)
"),"High: 1
Medium: 0
Low: 0")</f>
        <v>High: 1
Medium: 0
Low: 0</v>
      </c>
      <c r="G15" s="88"/>
      <c r="H15" s="88"/>
      <c r="I15" s="88"/>
      <c r="J15" s="88"/>
      <c r="K15" s="88"/>
      <c r="L15" s="88"/>
      <c r="M15" s="88"/>
      <c r="N15" s="88"/>
      <c r="O15" s="88"/>
      <c r="P15" s="88"/>
      <c r="Q15" s="88"/>
      <c r="R15" s="88"/>
      <c r="S15" s="88"/>
      <c r="T15" s="88"/>
      <c r="U15" s="88"/>
      <c r="V15" s="88"/>
      <c r="W15" s="88"/>
      <c r="X15" s="88"/>
      <c r="Y15" s="88"/>
      <c r="Z15" s="88"/>
      <c r="AA15" s="88"/>
    </row>
    <row r="16">
      <c r="A16" s="48" t="str">
        <f>IFERROR(__xludf.DUMMYFUNCTION("""COMPUTED_VALUE"""),"Home")</f>
        <v>Home</v>
      </c>
      <c r="B16" s="48" t="str">
        <f>IFERROR(__xludf.DUMMYFUNCTION("""COMPUTED_VALUE"""),"Home")</f>
        <v>Home</v>
      </c>
      <c r="C16" s="48" t="str">
        <f>IFERROR(__xludf.DUMMYFUNCTION("TEXTJOIN("", "", TRUE, 
  FILTER('Main Report'!A25:A114, 
    ('Main Report'!B25:B114=A16) * ('Main Report'!C25:C114=B16)
  )
)
"),"BR-027, BR-028, BR-029, BR-030")</f>
        <v>BR-027, BR-028, BR-029, BR-030</v>
      </c>
      <c r="D16" s="89">
        <f>IFERROR(__xludf.DUMMYFUNCTION("COUNTA(UNIQUE(TRANSPOSE(SPLIT(C16, "", ""))))
"),4.0)</f>
        <v>4</v>
      </c>
      <c r="E16" s="48" t="str">
        <f>IF(D16="", "", TEXT((D16 / 'Main Report'!$E$7), "0.00%"))
</f>
        <v>10.26%</v>
      </c>
      <c r="F16" s="90" t="str">
        <f>IFERROR(__xludf.DUMMYFUNCTION("IF(C16="""", """", 
   TEXTJOIN("", "", TRUE, 
      ""High: "" &amp; COUNTIF(FILTER('Main Report'!$K$11:$K$100, ISNUMBER(MATCH('Main Report'!$A$11:$A$100, SPLIT(C16, "", ""), 0))), ""High"") &amp; CHAR(10) &amp;
      ""Medium: "" &amp; COUNTIF(FILTER('Main Report'!$K$1"&amp;"1:$K$100, ISNUMBER(MATCH('Main Report'!$A$11:$A$100, SPLIT(C16, "", ""), 0))), ""Medium"") &amp; CHAR(10) &amp;
      ""Low: "" &amp; COUNTIF(FILTER('Main Report'!$K$11:$K$100, ISNUMBER(MATCH('Main Report'!$A$11:$A$100, SPLIT(C16, "", ""), 0))), ""Low"")
   )
)
"),"High: 2
Medium: 0
Low: 2")</f>
        <v>High: 2
Medium: 0
Low: 2</v>
      </c>
      <c r="G16" s="88"/>
      <c r="H16" s="88"/>
      <c r="I16" s="88"/>
      <c r="J16" s="88"/>
      <c r="K16" s="88"/>
      <c r="L16" s="88"/>
      <c r="M16" s="88"/>
      <c r="N16" s="88"/>
      <c r="O16" s="88"/>
      <c r="P16" s="88"/>
      <c r="Q16" s="88"/>
      <c r="R16" s="88"/>
      <c r="S16" s="88"/>
      <c r="T16" s="88"/>
      <c r="U16" s="88"/>
      <c r="V16" s="88"/>
      <c r="W16" s="88"/>
      <c r="X16" s="88"/>
      <c r="Y16" s="88"/>
      <c r="Z16" s="88"/>
      <c r="AA16" s="88"/>
    </row>
    <row r="17">
      <c r="A17" s="48" t="str">
        <f>IFERROR(__xludf.DUMMYFUNCTION("""COMPUTED_VALUE"""),"Landing page")</f>
        <v>Landing page</v>
      </c>
      <c r="B17" s="48" t="str">
        <f>IFERROR(__xludf.DUMMYFUNCTION("""COMPUTED_VALUE"""),"Landing page")</f>
        <v>Landing page</v>
      </c>
      <c r="C17" s="48" t="str">
        <f>IFERROR(__xludf.DUMMYFUNCTION("TEXTJOIN("", "", TRUE, 
  FILTER('Main Report'!A26:A115, 
    ('Main Report'!B26:B115=A17) * ('Main Report'!C26:C115=B17)
  )
)
"),"BR-031, BR-032, BR-033")</f>
        <v>BR-031, BR-032, BR-033</v>
      </c>
      <c r="D17" s="89">
        <f>IFERROR(__xludf.DUMMYFUNCTION("COUNTA(UNIQUE(TRANSPOSE(SPLIT(C17, "", ""))))
"),3.0)</f>
        <v>3</v>
      </c>
      <c r="E17" s="48" t="str">
        <f>IF(D17="", "", TEXT((D17 / 'Main Report'!$E$7), "0.00%"))
</f>
        <v>7.69%</v>
      </c>
      <c r="F17" s="90" t="str">
        <f>IFERROR(__xludf.DUMMYFUNCTION("IF(C17="""", """", 
   TEXTJOIN("", "", TRUE, 
      ""High: "" &amp; COUNTIF(FILTER('Main Report'!$K$11:$K$100, ISNUMBER(MATCH('Main Report'!$A$11:$A$100, SPLIT(C17, "", ""), 0))), ""High"") &amp; CHAR(10) &amp;
      ""Medium: "" &amp; COUNTIF(FILTER('Main Report'!$K$1"&amp;"1:$K$100, ISNUMBER(MATCH('Main Report'!$A$11:$A$100, SPLIT(C17, "", ""), 0))), ""Medium"") &amp; CHAR(10) &amp;
      ""Low: "" &amp; COUNTIF(FILTER('Main Report'!$K$11:$K$100, ISNUMBER(MATCH('Main Report'!$A$11:$A$100, SPLIT(C17, "", ""), 0))), ""Low"")
   )
)
"),"High: 0
Medium: 0
Low: 3")</f>
        <v>High: 0
Medium: 0
Low: 3</v>
      </c>
      <c r="G17" s="88"/>
      <c r="H17" s="88"/>
      <c r="I17" s="88"/>
      <c r="J17" s="88"/>
      <c r="K17" s="88"/>
      <c r="L17" s="88"/>
      <c r="M17" s="88"/>
      <c r="N17" s="88"/>
      <c r="O17" s="88"/>
      <c r="P17" s="88"/>
      <c r="Q17" s="88"/>
      <c r="R17" s="88"/>
      <c r="S17" s="88"/>
      <c r="T17" s="88"/>
      <c r="U17" s="88"/>
      <c r="V17" s="88"/>
      <c r="W17" s="88"/>
      <c r="X17" s="88"/>
      <c r="Y17" s="88"/>
      <c r="Z17" s="88"/>
      <c r="AA17" s="88"/>
    </row>
    <row r="18">
      <c r="A18" s="48" t="str">
        <f>IFERROR(__xludf.DUMMYFUNCTION("""COMPUTED_VALUE"""),"Nearby")</f>
        <v>Nearby</v>
      </c>
      <c r="B18" s="48" t="str">
        <f>IFERROR(__xludf.DUMMYFUNCTION("""COMPUTED_VALUE"""),"Nearby")</f>
        <v>Nearby</v>
      </c>
      <c r="C18" s="48" t="str">
        <f>IFERROR(__xludf.DUMMYFUNCTION("TEXTJOIN("", "", TRUE, 
  FILTER('Main Report'!A27:A116, 
    ('Main Report'!B27:B116=A18) * ('Main Report'!C27:C116=B18)
  )
)
"),"BR-034")</f>
        <v>BR-034</v>
      </c>
      <c r="D18" s="89">
        <f>IFERROR(__xludf.DUMMYFUNCTION("COUNTA(UNIQUE(TRANSPOSE(SPLIT(C18, "", ""))))
"),1.0)</f>
        <v>1</v>
      </c>
      <c r="E18" s="48" t="str">
        <f>IF(D18="", "", TEXT((D18 / 'Main Report'!$E$7), "0.00%"))
</f>
        <v>2.56%</v>
      </c>
      <c r="F18" s="90" t="str">
        <f>IFERROR(__xludf.DUMMYFUNCTION("IF(C18="""", """", 
   TEXTJOIN("", "", TRUE, 
      ""High: "" &amp; COUNTIF(FILTER('Main Report'!$K$11:$K$100, ISNUMBER(MATCH('Main Report'!$A$11:$A$100, SPLIT(C18, "", ""), 0))), ""High"") &amp; CHAR(10) &amp;
      ""Medium: "" &amp; COUNTIF(FILTER('Main Report'!$K$1"&amp;"1:$K$100, ISNUMBER(MATCH('Main Report'!$A$11:$A$100, SPLIT(C18, "", ""), 0))), ""Medium"") &amp; CHAR(10) &amp;
      ""Low: "" &amp; COUNTIF(FILTER('Main Report'!$K$11:$K$100, ISNUMBER(MATCH('Main Report'!$A$11:$A$100, SPLIT(C18, "", ""), 0))), ""Low"")
   )
)
"),"High: 0
Medium: 0
Low: 1")</f>
        <v>High: 0
Medium: 0
Low: 1</v>
      </c>
      <c r="G18" s="88"/>
      <c r="H18" s="88"/>
      <c r="I18" s="88"/>
      <c r="J18" s="88"/>
      <c r="K18" s="88"/>
      <c r="L18" s="88"/>
      <c r="M18" s="88"/>
      <c r="N18" s="88"/>
      <c r="O18" s="88"/>
      <c r="P18" s="88"/>
      <c r="Q18" s="88"/>
      <c r="R18" s="88"/>
      <c r="S18" s="88"/>
      <c r="T18" s="88"/>
      <c r="U18" s="88"/>
      <c r="V18" s="88"/>
      <c r="W18" s="88"/>
      <c r="X18" s="88"/>
      <c r="Y18" s="88"/>
      <c r="Z18" s="88"/>
      <c r="AA18" s="88"/>
    </row>
    <row r="19">
      <c r="A19" s="48" t="str">
        <f>IFERROR(__xludf.DUMMYFUNCTION("""COMPUTED_VALUE"""),"Review")</f>
        <v>Review</v>
      </c>
      <c r="B19" s="48" t="str">
        <f>IFERROR(__xludf.DUMMYFUNCTION("""COMPUTED_VALUE"""),"Review")</f>
        <v>Review</v>
      </c>
      <c r="C19" s="48" t="str">
        <f>IFERROR(__xludf.DUMMYFUNCTION("TEXTJOIN("", "", TRUE, 
  FILTER('Main Report'!A28:A117, 
    ('Main Report'!B28:B117=A19) * ('Main Report'!C28:C117=B19)
  )
)
"),"BR-035")</f>
        <v>BR-035</v>
      </c>
      <c r="D19" s="89">
        <f>IFERROR(__xludf.DUMMYFUNCTION("COUNTA(UNIQUE(TRANSPOSE(SPLIT(C19, "", ""))))
"),1.0)</f>
        <v>1</v>
      </c>
      <c r="E19" s="48" t="str">
        <f>IF(D19="", "", TEXT((D19 / 'Main Report'!$E$7), "0.00%"))
</f>
        <v>2.56%</v>
      </c>
      <c r="F19" s="90" t="str">
        <f>IFERROR(__xludf.DUMMYFUNCTION("IF(C19="""", """", 
   TEXTJOIN("", "", TRUE, 
      ""High: "" &amp; COUNTIF(FILTER('Main Report'!$K$11:$K$100, ISNUMBER(MATCH('Main Report'!$A$11:$A$100, SPLIT(C19, "", ""), 0))), ""High"") &amp; CHAR(10) &amp;
      ""Medium: "" &amp; COUNTIF(FILTER('Main Report'!$K$1"&amp;"1:$K$100, ISNUMBER(MATCH('Main Report'!$A$11:$A$100, SPLIT(C19, "", ""), 0))), ""Medium"") &amp; CHAR(10) &amp;
      ""Low: "" &amp; COUNTIF(FILTER('Main Report'!$K$11:$K$100, ISNUMBER(MATCH('Main Report'!$A$11:$A$100, SPLIT(C19, "", ""), 0))), ""Low"")
   )
)
"),"High: 0
Medium: 0
Low: 1")</f>
        <v>High: 0
Medium: 0
Low: 1</v>
      </c>
      <c r="G19" s="88"/>
      <c r="H19" s="88"/>
      <c r="I19" s="88"/>
      <c r="J19" s="88"/>
      <c r="K19" s="88"/>
      <c r="L19" s="88"/>
      <c r="M19" s="88"/>
      <c r="N19" s="88"/>
      <c r="O19" s="88"/>
      <c r="P19" s="88"/>
      <c r="Q19" s="88"/>
      <c r="R19" s="88"/>
      <c r="S19" s="88"/>
      <c r="T19" s="88"/>
      <c r="U19" s="88"/>
      <c r="V19" s="88"/>
      <c r="W19" s="88"/>
      <c r="X19" s="88"/>
      <c r="Y19" s="88"/>
      <c r="Z19" s="88"/>
      <c r="AA19" s="88"/>
    </row>
    <row r="20">
      <c r="A20" s="89" t="str">
        <f>IFERROR(__xludf.DUMMYFUNCTION("""COMPUTED_VALUE"""),"Social")</f>
        <v>Social</v>
      </c>
      <c r="B20" s="89" t="str">
        <f>IFERROR(__xludf.DUMMYFUNCTION("""COMPUTED_VALUE"""),"Social")</f>
        <v>Social</v>
      </c>
      <c r="C20" s="48" t="str">
        <f>IFERROR(__xludf.DUMMYFUNCTION("TEXTJOIN("", "", TRUE, 
  FILTER('Main Report'!A29:A118, 
    ('Main Report'!B29:B118=A20) * ('Main Report'!C29:C118=B20)
  )
)
"),"BR-036, BR-037")</f>
        <v>BR-036, BR-037</v>
      </c>
      <c r="D20" s="89">
        <f>IFERROR(__xludf.DUMMYFUNCTION("COUNTA(UNIQUE(TRANSPOSE(SPLIT(C20, "", ""))))
"),2.0)</f>
        <v>2</v>
      </c>
      <c r="E20" s="48" t="str">
        <f>IF(D20="", "", TEXT((D20 / 'Main Report'!$E$7), "0.00%"))
</f>
        <v>5.13%</v>
      </c>
      <c r="F20" s="90" t="str">
        <f>IFERROR(__xludf.DUMMYFUNCTION("IF(C20="""", """", 
   TEXTJOIN("", "", TRUE, 
      ""High: "" &amp; COUNTIF(FILTER('Main Report'!$K$11:$K$100, ISNUMBER(MATCH('Main Report'!$A$11:$A$100, SPLIT(C20, "", ""), 0))), ""High"") &amp; CHAR(10) &amp;
      ""Medium: "" &amp; COUNTIF(FILTER('Main Report'!$K$1"&amp;"1:$K$100, ISNUMBER(MATCH('Main Report'!$A$11:$A$100, SPLIT(C20, "", ""), 0))), ""Medium"") &amp; CHAR(10) &amp;
      ""Low: "" &amp; COUNTIF(FILTER('Main Report'!$K$11:$K$100, ISNUMBER(MATCH('Main Report'!$A$11:$A$100, SPLIT(C20, "", ""), 0))), ""Low"")
   )
)
"),"High: 1
Medium: 0
Low: 1")</f>
        <v>High: 1
Medium: 0
Low: 1</v>
      </c>
      <c r="G20" s="88"/>
      <c r="H20" s="88"/>
      <c r="I20" s="88"/>
      <c r="J20" s="88"/>
      <c r="K20" s="88"/>
      <c r="L20" s="88"/>
      <c r="M20" s="88"/>
      <c r="N20" s="88"/>
      <c r="O20" s="88"/>
      <c r="P20" s="88"/>
      <c r="Q20" s="88"/>
      <c r="R20" s="88"/>
      <c r="S20" s="88"/>
      <c r="T20" s="88"/>
      <c r="U20" s="88"/>
      <c r="V20" s="88"/>
      <c r="W20" s="88"/>
      <c r="X20" s="88"/>
      <c r="Y20" s="88"/>
      <c r="Z20" s="88"/>
      <c r="AA20" s="88"/>
    </row>
    <row r="21">
      <c r="A21" s="48" t="str">
        <f>IFERROR(__xludf.DUMMYFUNCTION("""COMPUTED_VALUE"""),"Specific bar")</f>
        <v>Specific bar</v>
      </c>
      <c r="B21" s="48" t="str">
        <f>IFERROR(__xludf.DUMMYFUNCTION("""COMPUTED_VALUE"""),"Specific bar")</f>
        <v>Specific bar</v>
      </c>
      <c r="C21" s="48" t="str">
        <f>IFERROR(__xludf.DUMMYFUNCTION("TEXTJOIN("", "", TRUE, 
  FILTER('Main Report'!A30:A119, 
    ('Main Report'!B30:B119=A21) * ('Main Report'!C30:C119=B21)
  )
)
"),"BR-038, BR-039")</f>
        <v>BR-038, BR-039</v>
      </c>
      <c r="D21" s="89">
        <f>IFERROR(__xludf.DUMMYFUNCTION("COUNTA(UNIQUE(TRANSPOSE(SPLIT(C21, "", ""))))
"),2.0)</f>
        <v>2</v>
      </c>
      <c r="E21" s="48" t="str">
        <f>IF(D21="", "", TEXT((D21 / 'Main Report'!$E$7), "0.00%"))
</f>
        <v>5.13%</v>
      </c>
      <c r="F21" s="91"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"),"High: 1
Medium: 1
Low: 0")</f>
        <v>High: 1
Medium: 1
Low: 0</v>
      </c>
      <c r="G21" s="88"/>
      <c r="H21" s="88"/>
      <c r="I21" s="88"/>
      <c r="J21" s="88"/>
      <c r="K21" s="88"/>
      <c r="L21" s="88"/>
      <c r="M21" s="88"/>
      <c r="N21" s="88"/>
      <c r="O21" s="88"/>
      <c r="P21" s="88"/>
      <c r="Q21" s="88"/>
      <c r="R21" s="88"/>
      <c r="S21" s="88"/>
      <c r="T21" s="88"/>
      <c r="U21" s="88"/>
      <c r="V21" s="88"/>
      <c r="W21" s="88"/>
      <c r="X21" s="88"/>
      <c r="Y21" s="88"/>
      <c r="Z21" s="88"/>
      <c r="AA21" s="88"/>
    </row>
    <row r="22">
      <c r="A22" s="48"/>
      <c r="B22" s="48"/>
      <c r="C22" s="48"/>
      <c r="D22" s="48"/>
      <c r="E22" s="48"/>
      <c r="F22" s="48"/>
      <c r="G22" s="88"/>
      <c r="H22" s="88"/>
      <c r="I22" s="88"/>
      <c r="J22" s="88"/>
      <c r="K22" s="88"/>
      <c r="L22" s="88"/>
      <c r="M22" s="88"/>
      <c r="N22" s="88"/>
      <c r="O22" s="88"/>
      <c r="P22" s="88"/>
      <c r="Q22" s="88"/>
      <c r="R22" s="88"/>
      <c r="S22" s="88"/>
      <c r="T22" s="88"/>
      <c r="U22" s="88"/>
      <c r="V22" s="88"/>
      <c r="W22" s="88"/>
      <c r="X22" s="88"/>
      <c r="Y22" s="88"/>
      <c r="Z22" s="88"/>
      <c r="AA22" s="88"/>
    </row>
    <row r="23">
      <c r="A23" s="48"/>
      <c r="B23" s="48"/>
      <c r="C23" s="48"/>
      <c r="D23" s="48"/>
      <c r="E23" s="48"/>
      <c r="F23" s="48"/>
      <c r="G23" s="88"/>
      <c r="H23" s="88"/>
      <c r="I23" s="88"/>
      <c r="J23" s="88"/>
      <c r="K23" s="88"/>
      <c r="L23" s="88"/>
      <c r="M23" s="88"/>
      <c r="N23" s="88"/>
      <c r="O23" s="88"/>
      <c r="P23" s="88"/>
      <c r="Q23" s="88"/>
      <c r="R23" s="88"/>
      <c r="S23" s="88"/>
      <c r="T23" s="88"/>
      <c r="U23" s="88"/>
      <c r="V23" s="88"/>
      <c r="W23" s="88"/>
      <c r="X23" s="88"/>
      <c r="Y23" s="88"/>
      <c r="Z23" s="88"/>
      <c r="AA23" s="88"/>
    </row>
    <row r="24">
      <c r="A24" s="48"/>
      <c r="B24" s="48"/>
      <c r="C24" s="48"/>
      <c r="D24" s="48"/>
      <c r="E24" s="48"/>
      <c r="F24" s="48"/>
      <c r="G24" s="88"/>
      <c r="H24" s="88"/>
      <c r="I24" s="88"/>
      <c r="J24" s="88"/>
      <c r="K24" s="88"/>
      <c r="L24" s="88"/>
      <c r="M24" s="88"/>
      <c r="N24" s="88"/>
      <c r="O24" s="88"/>
      <c r="P24" s="88"/>
      <c r="Q24" s="88"/>
      <c r="R24" s="88"/>
      <c r="S24" s="88"/>
      <c r="T24" s="88"/>
      <c r="U24" s="88"/>
      <c r="V24" s="88"/>
      <c r="W24" s="88"/>
      <c r="X24" s="88"/>
      <c r="Y24" s="88"/>
      <c r="Z24" s="88"/>
      <c r="AA24" s="88"/>
    </row>
    <row r="25">
      <c r="A25" s="48"/>
      <c r="B25" s="48"/>
      <c r="C25" s="48"/>
      <c r="D25" s="48"/>
      <c r="E25" s="48"/>
      <c r="F25" s="48"/>
      <c r="G25" s="88"/>
      <c r="H25" s="88"/>
      <c r="I25" s="88"/>
      <c r="J25" s="88"/>
      <c r="K25" s="88"/>
      <c r="L25" s="88"/>
      <c r="M25" s="88"/>
      <c r="N25" s="88"/>
      <c r="O25" s="88"/>
      <c r="P25" s="88"/>
      <c r="Q25" s="88"/>
      <c r="R25" s="88"/>
      <c r="S25" s="88"/>
      <c r="T25" s="88"/>
      <c r="U25" s="88"/>
      <c r="V25" s="88"/>
      <c r="W25" s="88"/>
      <c r="X25" s="88"/>
      <c r="Y25" s="88"/>
      <c r="Z25" s="88"/>
      <c r="AA25" s="88"/>
    </row>
    <row r="26">
      <c r="A26" s="48"/>
      <c r="B26" s="48"/>
      <c r="C26" s="48"/>
      <c r="D26" s="48"/>
      <c r="E26" s="48"/>
      <c r="F26" s="48"/>
      <c r="G26" s="88"/>
      <c r="H26" s="88"/>
      <c r="I26" s="88"/>
      <c r="J26" s="88"/>
      <c r="K26" s="88"/>
      <c r="L26" s="88"/>
      <c r="M26" s="88"/>
      <c r="N26" s="88"/>
      <c r="O26" s="88"/>
      <c r="P26" s="88"/>
      <c r="Q26" s="88"/>
      <c r="R26" s="88"/>
      <c r="S26" s="88"/>
      <c r="T26" s="88"/>
      <c r="U26" s="88"/>
      <c r="V26" s="88"/>
      <c r="W26" s="88"/>
      <c r="X26" s="88"/>
      <c r="Y26" s="88"/>
      <c r="Z26" s="88"/>
      <c r="AA26" s="88"/>
    </row>
    <row r="27">
      <c r="A27" s="48"/>
      <c r="B27" s="48"/>
      <c r="C27" s="48"/>
      <c r="D27" s="48"/>
      <c r="E27" s="48"/>
      <c r="F27" s="48"/>
      <c r="G27" s="88"/>
      <c r="H27" s="88"/>
      <c r="I27" s="88"/>
      <c r="J27" s="88"/>
      <c r="K27" s="88"/>
      <c r="L27" s="88"/>
      <c r="M27" s="88"/>
      <c r="N27" s="88"/>
      <c r="O27" s="88"/>
      <c r="P27" s="88"/>
      <c r="Q27" s="88"/>
      <c r="R27" s="88"/>
      <c r="S27" s="88"/>
      <c r="T27" s="88"/>
      <c r="U27" s="88"/>
      <c r="V27" s="88"/>
      <c r="W27" s="88"/>
      <c r="X27" s="88"/>
      <c r="Y27" s="88"/>
      <c r="Z27" s="88"/>
      <c r="AA27" s="88"/>
    </row>
    <row r="28">
      <c r="A28" s="48"/>
      <c r="B28" s="48"/>
      <c r="C28" s="48"/>
      <c r="D28" s="48"/>
      <c r="E28" s="48"/>
      <c r="F28" s="48"/>
      <c r="G28" s="88"/>
      <c r="H28" s="88"/>
      <c r="I28" s="88"/>
      <c r="J28" s="88"/>
      <c r="K28" s="88"/>
      <c r="L28" s="88"/>
      <c r="M28" s="88"/>
      <c r="N28" s="88"/>
      <c r="O28" s="88"/>
      <c r="P28" s="88"/>
      <c r="Q28" s="88"/>
      <c r="R28" s="88"/>
      <c r="S28" s="88"/>
      <c r="T28" s="88"/>
      <c r="U28" s="88"/>
      <c r="V28" s="88"/>
      <c r="W28" s="88"/>
      <c r="X28" s="88"/>
      <c r="Y28" s="88"/>
      <c r="Z28" s="88"/>
      <c r="AA28" s="88"/>
    </row>
    <row r="29">
      <c r="A29" s="48"/>
      <c r="B29" s="48"/>
      <c r="C29" s="48"/>
      <c r="D29" s="48"/>
      <c r="E29" s="48"/>
      <c r="F29" s="48"/>
      <c r="G29" s="88"/>
      <c r="H29" s="88"/>
      <c r="I29" s="88"/>
      <c r="J29" s="88"/>
      <c r="K29" s="88"/>
      <c r="L29" s="88"/>
      <c r="M29" s="88"/>
      <c r="N29" s="88"/>
      <c r="O29" s="88"/>
      <c r="P29" s="88"/>
      <c r="Q29" s="88"/>
      <c r="R29" s="88"/>
      <c r="S29" s="88"/>
      <c r="T29" s="88"/>
      <c r="U29" s="88"/>
      <c r="V29" s="88"/>
      <c r="W29" s="88"/>
      <c r="X29" s="88"/>
      <c r="Y29" s="88"/>
      <c r="Z29" s="88"/>
      <c r="AA29" s="88"/>
    </row>
    <row r="30">
      <c r="A30" s="48"/>
      <c r="B30" s="48"/>
      <c r="C30" s="48"/>
      <c r="D30" s="48"/>
      <c r="E30" s="48"/>
      <c r="F30" s="48"/>
      <c r="G30" s="88"/>
      <c r="H30" s="88"/>
      <c r="I30" s="88"/>
      <c r="J30" s="88"/>
      <c r="K30" s="88"/>
      <c r="L30" s="88"/>
      <c r="M30" s="88"/>
      <c r="N30" s="88"/>
      <c r="O30" s="88"/>
      <c r="P30" s="88"/>
      <c r="Q30" s="88"/>
      <c r="R30" s="88"/>
      <c r="S30" s="88"/>
      <c r="T30" s="88"/>
      <c r="U30" s="88"/>
      <c r="V30" s="88"/>
      <c r="W30" s="88"/>
      <c r="X30" s="88"/>
      <c r="Y30" s="88"/>
      <c r="Z30" s="88"/>
      <c r="AA30" s="88"/>
    </row>
    <row r="31">
      <c r="A31" s="48"/>
      <c r="B31" s="48"/>
      <c r="C31" s="48"/>
      <c r="D31" s="48"/>
      <c r="E31" s="48"/>
      <c r="F31" s="48"/>
      <c r="G31" s="88"/>
      <c r="H31" s="88"/>
      <c r="I31" s="88"/>
      <c r="J31" s="88"/>
      <c r="K31" s="88"/>
      <c r="L31" s="88"/>
      <c r="M31" s="88"/>
      <c r="N31" s="88"/>
      <c r="O31" s="88"/>
      <c r="P31" s="88"/>
      <c r="Q31" s="88"/>
      <c r="R31" s="88"/>
      <c r="S31" s="88"/>
      <c r="T31" s="88"/>
      <c r="U31" s="88"/>
      <c r="V31" s="88"/>
      <c r="W31" s="88"/>
      <c r="X31" s="88"/>
      <c r="Y31" s="88"/>
      <c r="Z31" s="88"/>
      <c r="AA31" s="88"/>
    </row>
    <row r="32">
      <c r="A32" s="48"/>
      <c r="B32" s="48"/>
      <c r="C32" s="48"/>
      <c r="D32" s="48"/>
      <c r="E32" s="48"/>
      <c r="F32" s="48"/>
      <c r="G32" s="88"/>
      <c r="H32" s="88"/>
      <c r="I32" s="88"/>
      <c r="J32" s="88"/>
      <c r="K32" s="88"/>
      <c r="L32" s="88"/>
      <c r="M32" s="88"/>
      <c r="N32" s="88"/>
      <c r="O32" s="88"/>
      <c r="P32" s="88"/>
      <c r="Q32" s="88"/>
      <c r="R32" s="88"/>
      <c r="S32" s="88"/>
      <c r="T32" s="88"/>
      <c r="U32" s="88"/>
      <c r="V32" s="88"/>
      <c r="W32" s="88"/>
      <c r="X32" s="88"/>
      <c r="Y32" s="88"/>
      <c r="Z32" s="88"/>
      <c r="AA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row>
  </sheetData>
  <drawing r:id="rId1"/>
</worksheet>
</file>