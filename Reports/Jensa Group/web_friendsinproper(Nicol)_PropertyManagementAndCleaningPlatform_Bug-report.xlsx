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had" sheetId="1" r:id="rId5"/>
    <sheet state="hidden" name="Tahsin" sheetId="2" r:id="rId6"/>
    <sheet state="visible" name="Main Report" sheetId="3" r:id="rId7"/>
    <sheet state="visible" name="Summary Report" sheetId="4" r:id="rId8"/>
  </sheets>
  <definedNames/>
  <calcPr/>
</workbook>
</file>

<file path=xl/sharedStrings.xml><?xml version="1.0" encoding="utf-8"?>
<sst xmlns="http://schemas.openxmlformats.org/spreadsheetml/2006/main" count="550" uniqueCount="240">
  <si>
    <t xml:space="preserve">Tester : </t>
  </si>
  <si>
    <t>Mohammed Fahad Faisal</t>
  </si>
  <si>
    <t>Project Name:</t>
  </si>
  <si>
    <t>Jensa Group</t>
  </si>
  <si>
    <t>Developer:</t>
  </si>
  <si>
    <t>AI Venture</t>
  </si>
  <si>
    <t xml:space="preserve">OS: </t>
  </si>
  <si>
    <t>Windows 11 Pro 
Version:24H2 
OS build:26100.4946</t>
  </si>
  <si>
    <t>Environment:</t>
  </si>
  <si>
    <t>Brave 1.81.135 
(Official Build) (64-bit)
Chromium: 139.0.7258.127</t>
  </si>
  <si>
    <t>Place solve if the issue resolves 
|
\/</t>
  </si>
  <si>
    <t>Mention which Stack solved the issue 
|
\/</t>
  </si>
  <si>
    <t>Test ID</t>
  </si>
  <si>
    <t>Module</t>
  </si>
  <si>
    <t>Sub Module</t>
  </si>
  <si>
    <t>Test Case Description</t>
  </si>
  <si>
    <t>Preconditions</t>
  </si>
  <si>
    <t>Test Steps</t>
  </si>
  <si>
    <t>Test Data</t>
  </si>
  <si>
    <t>Expected Result</t>
  </si>
  <si>
    <t>Actual Result</t>
  </si>
  <si>
    <t>Status</t>
  </si>
  <si>
    <t>Severity</t>
  </si>
  <si>
    <t>Screen Shots</t>
  </si>
  <si>
    <t>Suggestion</t>
  </si>
  <si>
    <t>Feedback</t>
  </si>
  <si>
    <t>Stack</t>
  </si>
  <si>
    <t>Comment</t>
  </si>
  <si>
    <t>BR_001</t>
  </si>
  <si>
    <t>Login</t>
  </si>
  <si>
    <t>Strong password indicator needs to be implemented.</t>
  </si>
  <si>
    <t>User needs to access the login portal using a web browser.</t>
  </si>
  <si>
    <t>1. Open browser
2. Login with admin credentials</t>
  </si>
  <si>
    <t>ADMIN Credentials</t>
  </si>
  <si>
    <t>Strong password indicator should be displayed while entering a password.</t>
  </si>
  <si>
    <t>Login page is missing a password field indicator.</t>
  </si>
  <si>
    <t>Fail</t>
  </si>
  <si>
    <t>Medium</t>
  </si>
  <si>
    <t>001.png</t>
  </si>
  <si>
    <t>BR_002</t>
  </si>
  <si>
    <t>Home</t>
  </si>
  <si>
    <t>Dashboard</t>
  </si>
  <si>
    <t>not connected to the route</t>
  </si>
  <si>
    <t>Clicking on the banners should redirect to the actual page.</t>
  </si>
  <si>
    <t>Static feature has been detected.</t>
  </si>
  <si>
    <t>High</t>
  </si>
  <si>
    <t>002.png</t>
  </si>
  <si>
    <t>BR_003</t>
  </si>
  <si>
    <t>Search module isn’t working.</t>
  </si>
  <si>
    <t>Search module should be functional</t>
  </si>
  <si>
    <t>Search module has been found to be non-functional.</t>
  </si>
  <si>
    <t>003.png</t>
  </si>
  <si>
    <t>BR_004</t>
  </si>
  <si>
    <t>Clicking on a username should take the user to their profile.</t>
  </si>
  <si>
    <t>Click on user name on dashboard should redirect to user to profile section</t>
  </si>
  <si>
    <t>Stay in place after clicking on the username.</t>
  </si>
  <si>
    <t>004.png</t>
  </si>
  <si>
    <t>BR_005</t>
  </si>
  <si>
    <t>Section title differs from Figma.</t>
  </si>
  <si>
    <t>Design and alignment should be exactly the same as in Figma.</t>
  </si>
  <si>
    <t>Section differs from Figma.</t>
  </si>
  <si>
    <t>Low</t>
  </si>
  <si>
    <t>005.png</t>
  </si>
  <si>
    <t>BR_006</t>
  </si>
  <si>
    <t>Content design mismatch from Figma</t>
  </si>
  <si>
    <t>006.png</t>
  </si>
  <si>
    <t>BR_007</t>
  </si>
  <si>
    <t>Showing a number instead of theassigned persons name.</t>
  </si>
  <si>
    <t>Assigned persons name should be displayed accurately in the Upcoming Tasks Today section</t>
  </si>
  <si>
    <t>Missing assigned persons name in Upcoming Tasks Today section</t>
  </si>
  <si>
    <t>007.png</t>
  </si>
  <si>
    <t>BR_008</t>
  </si>
  <si>
    <t>Failed to view attached media</t>
  </si>
  <si>
    <t>Media data should load perfectly.</t>
  </si>
  <si>
    <t>Failed to load media data.</t>
  </si>
  <si>
    <t>008.png</t>
  </si>
  <si>
    <t>BR_009</t>
  </si>
  <si>
    <t>Buildings</t>
  </si>
  <si>
    <t>Should be highlighted when the user is in the buildings section.</t>
  </si>
  <si>
    <t>1. Open browser
2. Login with admin credentials
3. Goto Buildings section</t>
  </si>
  <si>
    <t>Option should be highlighted when the user is within the segment.</t>
  </si>
  <si>
    <t>009.png</t>
  </si>
  <si>
    <t>BR_010</t>
  </si>
  <si>
    <t>Missing edit details for flat</t>
  </si>
  <si>
    <t>Design and feature implementation should match the Figma exactly.</t>
  </si>
  <si>
    <t>"Edit Details" option is missing from the frontend.</t>
  </si>
  <si>
    <t>010.png</t>
  </si>
  <si>
    <t>BR_011</t>
  </si>
  <si>
    <t>UI layout differs from Figma</t>
  </si>
  <si>
    <t>UI layout should match the Figma design to ensure client satisfaction.</t>
  </si>
  <si>
    <t>Different UI implementation has been found.</t>
  </si>
  <si>
    <t>011.png</t>
  </si>
  <si>
    <t>BR_012</t>
  </si>
  <si>
    <t>layout design issue</t>
  </si>
  <si>
    <t>012.png</t>
  </si>
  <si>
    <t>BR_013</t>
  </si>
  <si>
    <t>Maintenance</t>
  </si>
  <si>
    <t>Status filter option is missing.</t>
  </si>
  <si>
    <t>1. Open browser
2. Login with admin credentials
3. Goto Maintenance section</t>
  </si>
  <si>
    <t>"Edit Details" option is missing on frontend.</t>
  </si>
  <si>
    <t>013.png</t>
  </si>
  <si>
    <t>BR_014</t>
  </si>
  <si>
    <t>View option is missing from the action segment.</t>
  </si>
  <si>
    <t>"view" option is missing on frontend.</t>
  </si>
  <si>
    <t>014.png</t>
  </si>
  <si>
    <t>BR_015</t>
  </si>
  <si>
    <t>User Management</t>
  </si>
  <si>
    <t>Design layout differs from Figma.</t>
  </si>
  <si>
    <t>1. Open browser
2. Login with admin credentials
3. Goto User management section
4. Click on mini admin</t>
  </si>
  <si>
    <t>015.png</t>
  </si>
  <si>
    <t>BR_016</t>
  </si>
  <si>
    <t>Unable to upload the mini admin profile picture.</t>
  </si>
  <si>
    <t>User should be able to upload an admin profile.</t>
  </si>
  <si>
    <t xml:space="preserve">failed to upload image </t>
  </si>
  <si>
    <t>016.png</t>
  </si>
  <si>
    <t>BR_017</t>
  </si>
  <si>
    <t>Field should be required when adding an admin, cleaner, or maintenance worker.</t>
  </si>
  <si>
    <t xml:space="preserve">name , address , city etc fields should be required </t>
  </si>
  <si>
    <t xml:space="preserve">Fields are not required </t>
  </si>
  <si>
    <t>017.png</t>
  </si>
  <si>
    <t>BR_018</t>
  </si>
  <si>
    <t>should be drop-down list</t>
  </si>
  <si>
    <t>set as tag in frontend</t>
  </si>
  <si>
    <t>018.png</t>
  </si>
  <si>
    <t>BR_019</t>
  </si>
  <si>
    <t>Reports</t>
  </si>
  <si>
    <t>UI different from figma</t>
  </si>
  <si>
    <t>1. Open browser
2. Login with admin credentials
3. Goto Reports</t>
  </si>
  <si>
    <t>019.png</t>
  </si>
  <si>
    <t>BR_020</t>
  </si>
  <si>
    <t>Action field is non-functional.</t>
  </si>
  <si>
    <t>User should be able to view the full details of the issue according to the Figma design.</t>
  </si>
  <si>
    <t>Unable to view the issue details in the frontend.</t>
  </si>
  <si>
    <t>020.png</t>
  </si>
  <si>
    <t>BR_021</t>
  </si>
  <si>
    <t>Report export feature failed.</t>
  </si>
  <si>
    <t xml:space="preserve">user should be able to export report </t>
  </si>
  <si>
    <t>failed to export report</t>
  </si>
  <si>
    <t>021.png</t>
  </si>
  <si>
    <t>BR_022</t>
  </si>
  <si>
    <t>message history is not dynamically updated</t>
  </si>
  <si>
    <t xml:space="preserve">message history should dynamically update </t>
  </si>
  <si>
    <t>Failed to update message history dynamically.</t>
  </si>
  <si>
    <t>022.mp4</t>
  </si>
  <si>
    <t>BR_023</t>
  </si>
  <si>
    <t>Full admin report is showing up on the mini admin report page, which isn’t accurate.</t>
  </si>
  <si>
    <t>1. Open browser
2. Login with mini admin credentials
3. Goto Reports</t>
  </si>
  <si>
    <t>MINI-ADMIN Credentials</t>
  </si>
  <si>
    <t>mini-admins should be able to view only the reports that are aligned with them.</t>
  </si>
  <si>
    <t>Mini admin is able to see super admin report</t>
  </si>
  <si>
    <t>023.png</t>
  </si>
  <si>
    <t>BR_024</t>
  </si>
  <si>
    <t>Team Message</t>
  </si>
  <si>
    <t>Alignment gets messed up when the message is too long.</t>
  </si>
  <si>
    <t>1. Open browser
2. Login with mini admin credentials
3. Goto Team message</t>
  </si>
  <si>
    <t>Input limit should be set for the input field.</t>
  </si>
  <si>
    <t>Alignment issue happens because of a long input.</t>
  </si>
  <si>
    <t>024.mp4</t>
  </si>
  <si>
    <t>BR_025</t>
  </si>
  <si>
    <t>Unable to update cleaning or maintenance task status</t>
  </si>
  <si>
    <t>Admins should be able to update the status of tasks if they can manually enter the issue.</t>
  </si>
  <si>
    <t>Unable to update task status</t>
  </si>
  <si>
    <t>025.png</t>
  </si>
  <si>
    <t>BR_026</t>
  </si>
  <si>
    <t>Task calculation mismatch in the schedule and report section.</t>
  </si>
  <si>
    <t>Total task value should be shown accurately in the admin panel.</t>
  </si>
  <si>
    <t>Admin panel failed to show the correct task value.</t>
  </si>
  <si>
    <t>026.mp4</t>
  </si>
  <si>
    <t>BR_027</t>
  </si>
  <si>
    <t>Schedule</t>
  </si>
  <si>
    <t>Search feature is only applied to the Building column.</t>
  </si>
  <si>
    <t>1. Open browser
2. Login with mini admin credentials
3. Goto Schedule</t>
  </si>
  <si>
    <t>Search functionality should filter specific columns such as flat, building, assigned to, and others.</t>
  </si>
  <si>
    <t>Search only filter bulding column</t>
  </si>
  <si>
    <t>027.png</t>
  </si>
  <si>
    <t>BR_028</t>
  </si>
  <si>
    <t>Instruction/notes section is missing from the scheduled task section.</t>
  </si>
  <si>
    <t>Notes section is missing from the scheduled task input section.</t>
  </si>
  <si>
    <t>028.png</t>
  </si>
  <si>
    <t>BR_029</t>
  </si>
  <si>
    <t>Clicking on the notification icon changes the user name.</t>
  </si>
  <si>
    <t>1. Open browser
2. Login with admin credentials
3. Click on notification icon</t>
  </si>
  <si>
    <t>User name should be displayed correctly on the dashboard.</t>
  </si>
  <si>
    <t>Username changes when the notification icon is clicked.</t>
  </si>
  <si>
    <t>029.mp4</t>
  </si>
  <si>
    <t>BR_030</t>
  </si>
  <si>
    <t>Profile</t>
  </si>
  <si>
    <t>Failed to open notification under profile section</t>
  </si>
  <si>
    <t>1. Open browser
2. Login with admin credentials
3. Goto profile section
4. Click on notification icon</t>
  </si>
  <si>
    <t>User should be able to access notification panel if the icon is visible</t>
  </si>
  <si>
    <t>Unable to open notification from the profile section.</t>
  </si>
  <si>
    <t>030.png</t>
  </si>
  <si>
    <t>BR_031</t>
  </si>
  <si>
    <t>BR_032</t>
  </si>
  <si>
    <t>BR_033</t>
  </si>
  <si>
    <t>BR_034</t>
  </si>
  <si>
    <t>BR_035</t>
  </si>
  <si>
    <t>BR_036</t>
  </si>
  <si>
    <t>BR_037</t>
  </si>
  <si>
    <t>BR_038</t>
  </si>
  <si>
    <t>Issues</t>
  </si>
  <si>
    <t>Project URL:</t>
  </si>
  <si>
    <t>Environment</t>
  </si>
  <si>
    <t>Total Test Cases:</t>
  </si>
  <si>
    <t>Test Case Solved :</t>
  </si>
  <si>
    <t>Test Case ID</t>
  </si>
  <si>
    <t>Tester</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</si>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</sst>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2.0"/>
      <color theme="1"/>
      <name val="Calibri"/>
    </font>
    <font>
      <sz val="12.0"/>
      <color theme="1"/>
      <name val="Calibri"/>
    </font>
    <font>
      <color theme="1"/>
      <name val="Arial"/>
    </font>
    <font>
      <color rgb="FF1E2624"/>
      <name val="Inter"/>
    </font>
    <font>
      <b/>
      <color theme="1"/>
      <name val="Times New Roman"/>
    </font>
    <font>
      <color rgb="FF1E2624"/>
      <name val="Arial"/>
    </font>
    <font>
      <color theme="1"/>
      <name val="Times New Roman"/>
    </font>
    <font>
      <b/>
      <sz val="13.0"/>
      <color theme="1"/>
      <name val="Times New Roman"/>
    </font>
    <font>
      <b/>
      <sz val="15.0"/>
      <color theme="1"/>
      <name val="Calibri"/>
    </font>
    <font>
      <sz val="13.0"/>
      <color theme="1"/>
      <name val="Arial"/>
      <scheme val="minor"/>
    </font>
    <font>
      <sz val="12.0"/>
      <color theme="1"/>
      <name val="Times New Roman"/>
    </font>
    <font>
      <u/>
      <color theme="1"/>
      <name val="Arial"/>
      <scheme val="minor"/>
    </font>
    <font>
      <color theme="1"/>
      <name val="Arial"/>
      <scheme val="minor"/>
    </font>
    <font>
      <u/>
      <sz val="12.0"/>
      <color rgb="FF1155CC"/>
      <name val="Times New Roman"/>
    </font>
    <font>
      <u/>
      <color theme="1"/>
      <name val="Arial"/>
      <scheme val="minor"/>
    </font>
    <font>
      <u/>
      <sz val="12.0"/>
      <color rgb="FF1155CC"/>
      <name val="Times New Roman"/>
    </font>
    <font>
      <b/>
      <sz val="12.0"/>
      <color theme="1"/>
      <name val="Arial"/>
    </font>
    <font>
      <u/>
      <color rgb="FF1155CC"/>
      <name val="Arial"/>
    </font>
    <font>
      <b/>
      <sz val="11.0"/>
      <color theme="1"/>
      <name val="Calibri"/>
    </font>
    <font>
      <sz val="11.0"/>
      <color theme="1"/>
      <name val="Calibri"/>
    </font>
    <font>
      <b/>
      <color rgb="FF000000"/>
      <name val="Arial"/>
      <scheme val="minor"/>
    </font>
    <font>
      <b/>
      <color theme="1"/>
      <name val="Arial"/>
    </font>
    <font>
      <sz val="15.0"/>
      <color theme="1"/>
      <name val="Arial"/>
      <scheme val="minor"/>
    </font>
    <font>
      <u/>
      <color theme="1"/>
      <name val="Arial"/>
      <scheme val="minor"/>
    </font>
    <font>
      <u/>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FFD966"/>
        <bgColor rgb="FFFFD966"/>
      </patternFill>
    </fill>
    <fill>
      <patternFill patternType="solid">
        <fgColor rgb="FF00FF00"/>
        <bgColor rgb="FF00FF00"/>
      </patternFill>
    </fill>
    <fill>
      <patternFill patternType="solid">
        <fgColor rgb="FF00FFFF"/>
        <bgColor rgb="FF00FFFF"/>
      </patternFill>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F1C232"/>
        <bgColor rgb="FFF1C232"/>
      </patternFill>
    </fill>
  </fills>
  <borders count="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0" fontId="1" numFmtId="0" xfId="0" applyAlignment="1" applyBorder="1" applyFont="1">
      <alignment horizontal="right" shrinkToFit="0" vertical="center" wrapText="1"/>
    </xf>
    <xf borderId="1" fillId="0" fontId="2" numFmtId="0" xfId="0" applyAlignment="1" applyBorder="1" applyFont="1">
      <alignment horizontal="center" readingOrder="0" vertical="center"/>
    </xf>
    <xf borderId="0" fillId="0" fontId="3" numFmtId="0" xfId="0" applyFont="1"/>
    <xf borderId="1"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1" fillId="2" fontId="4" numFmtId="0" xfId="0" applyAlignment="1" applyBorder="1" applyFill="1" applyFont="1">
      <alignment horizontal="center" readingOrder="0" vertical="center"/>
    </xf>
    <xf borderId="0" fillId="0" fontId="5" numFmtId="0" xfId="0" applyAlignment="1" applyFont="1">
      <alignment horizontal="center" shrinkToFit="0" wrapText="1"/>
    </xf>
    <xf borderId="1" fillId="0" fontId="1" numFmtId="0" xfId="0" applyAlignment="1" applyBorder="1" applyFont="1">
      <alignment horizontal="right" readingOrder="0" vertical="center"/>
    </xf>
    <xf borderId="1" fillId="2" fontId="6" numFmtId="0" xfId="0" applyAlignment="1" applyBorder="1" applyFont="1">
      <alignment horizontal="center" readingOrder="0" vertical="center"/>
    </xf>
    <xf borderId="0" fillId="3" fontId="7" numFmtId="0" xfId="0" applyAlignment="1" applyFill="1" applyFont="1">
      <alignment horizontal="center" readingOrder="0" shrinkToFit="0" wrapText="1"/>
    </xf>
    <xf borderId="2" fillId="4" fontId="8" numFmtId="0" xfId="0" applyAlignment="1" applyBorder="1" applyFill="1" applyFont="1">
      <alignment horizontal="center" shrinkToFit="0" vertical="center" wrapText="1"/>
    </xf>
    <xf borderId="2" fillId="4" fontId="9" numFmtId="0" xfId="0" applyAlignment="1" applyBorder="1" applyFont="1">
      <alignment horizontal="center" shrinkToFit="0" vertical="center" wrapText="1"/>
    </xf>
    <xf borderId="2" fillId="4" fontId="9" numFmtId="0" xfId="0" applyAlignment="1" applyBorder="1" applyFont="1">
      <alignment horizontal="center" readingOrder="0" shrinkToFit="0" vertical="center" wrapText="1"/>
    </xf>
    <xf borderId="0" fillId="0" fontId="10" numFmtId="0" xfId="0" applyAlignment="1" applyFont="1">
      <alignment vertical="center"/>
    </xf>
    <xf borderId="0" fillId="0" fontId="10" numFmtId="0" xfId="0" applyAlignment="1" applyFont="1">
      <alignment readingOrder="0" vertical="center"/>
    </xf>
    <xf borderId="3" fillId="0" fontId="11"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3" fillId="0" fontId="11" numFmtId="0" xfId="0" applyAlignment="1" applyBorder="1" applyFont="1">
      <alignment horizontal="left" readingOrder="0" shrinkToFit="0" vertical="center" wrapText="1"/>
    </xf>
    <xf borderId="3" fillId="0" fontId="3" numFmtId="0" xfId="0" applyAlignment="1" applyBorder="1" applyFont="1">
      <alignment horizontal="center" readingOrder="0" shrinkToFit="0" vertical="center" wrapText="1"/>
    </xf>
    <xf borderId="4" fillId="0" fontId="1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13" numFmtId="0" xfId="0" applyAlignment="1" applyFont="1">
      <alignment horizontal="center" shrinkToFit="0" vertical="center" wrapText="1"/>
    </xf>
    <xf borderId="0" fillId="0" fontId="13" numFmtId="0" xfId="0" applyAlignment="1" applyFont="1">
      <alignment horizontal="left" shrinkToFit="0" vertical="center" wrapText="1"/>
    </xf>
    <xf borderId="0" fillId="0" fontId="3" numFmtId="0" xfId="0" applyAlignment="1" applyFont="1">
      <alignment horizontal="center" shrinkToFit="0" vertical="center" wrapText="1"/>
    </xf>
    <xf borderId="1" fillId="0" fontId="11" numFmtId="0" xfId="0" applyAlignment="1" applyBorder="1" applyFont="1">
      <alignment horizontal="left" readingOrder="0" shrinkToFit="0" vertical="center" wrapText="1"/>
    </xf>
    <xf borderId="1" fillId="0" fontId="14"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 fillId="0" fontId="11" numFmtId="0" xfId="0" applyAlignment="1" applyBorder="1" applyFont="1">
      <alignment horizontal="left" readingOrder="0" shrinkToFit="0" vertical="center" wrapText="1"/>
    </xf>
    <xf borderId="1" fillId="0" fontId="11" numFmtId="0" xfId="0" applyAlignment="1" applyBorder="1" applyFont="1">
      <alignment horizontal="left" shrinkToFit="0" vertical="center" wrapText="1"/>
    </xf>
    <xf borderId="1" fillId="0" fontId="16" numFmtId="0" xfId="0" applyAlignment="1" applyBorder="1" applyFont="1">
      <alignment horizontal="center" shrinkToFit="0" vertical="center" wrapText="1"/>
    </xf>
    <xf borderId="0" fillId="0" fontId="3" numFmtId="0" xfId="0" applyAlignment="1" applyFont="1">
      <alignment vertical="bottom"/>
    </xf>
    <xf borderId="1" fillId="0" fontId="1"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7" numFmtId="0" xfId="0" applyAlignment="1" applyBorder="1" applyFont="1">
      <alignment horizontal="center" shrinkToFit="0" wrapText="1"/>
    </xf>
    <xf borderId="1" fillId="0" fontId="3" numFmtId="0" xfId="0" applyAlignment="1" applyBorder="1" applyFont="1">
      <alignment horizontal="center" readingOrder="0" vertical="bottom"/>
    </xf>
    <xf borderId="1" fillId="0" fontId="3" numFmtId="0" xfId="0" applyAlignment="1" applyBorder="1" applyFont="1">
      <alignment horizontal="center" shrinkToFit="0" wrapText="1"/>
    </xf>
    <xf borderId="1" fillId="0" fontId="3" numFmtId="0" xfId="0" applyAlignment="1" applyBorder="1" applyFont="1">
      <alignment horizontal="center"/>
    </xf>
    <xf borderId="1" fillId="0" fontId="18" numFmtId="0" xfId="0" applyAlignment="1" applyBorder="1" applyFont="1">
      <alignment horizontal="center" readingOrder="0" shrinkToFit="0" vertical="bottom" wrapText="1"/>
    </xf>
    <xf borderId="1" fillId="0" fontId="3" numFmtId="0" xfId="0" applyAlignment="1" applyBorder="1" applyFont="1">
      <alignment vertical="bottom"/>
    </xf>
    <xf borderId="1" fillId="0" fontId="1" numFmtId="0" xfId="0" applyAlignment="1" applyBorder="1" applyFont="1">
      <alignment horizontal="right" vertical="bottom"/>
    </xf>
    <xf borderId="1" fillId="0" fontId="19" numFmtId="0" xfId="0" applyAlignment="1" applyBorder="1" applyFont="1">
      <alignment horizontal="right" vertical="bottom"/>
    </xf>
    <xf borderId="1" fillId="0" fontId="3" numFmtId="0" xfId="0" applyAlignment="1" applyBorder="1" applyFont="1">
      <alignment horizontal="center" vertical="bottom"/>
    </xf>
    <xf borderId="2" fillId="5" fontId="8" numFmtId="0" xfId="0" applyAlignment="1" applyBorder="1" applyFill="1" applyFont="1">
      <alignment horizontal="center" shrinkToFit="0" vertical="center" wrapText="1"/>
    </xf>
    <xf borderId="2" fillId="5" fontId="9" numFmtId="0" xfId="0" applyAlignment="1" applyBorder="1" applyFont="1">
      <alignment horizontal="center" shrinkToFit="0" vertical="center" wrapText="1"/>
    </xf>
    <xf borderId="2" fillId="5" fontId="9"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0" fillId="0" fontId="21"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6" fontId="22" numFmtId="0" xfId="0" applyAlignment="1" applyBorder="1" applyFill="1" applyFont="1">
      <alignment horizontal="center" shrinkToFit="0" vertical="center" wrapText="1"/>
    </xf>
    <xf borderId="1" fillId="0" fontId="22" numFmtId="0" xfId="0" applyAlignment="1" applyBorder="1" applyFont="1">
      <alignment horizontal="center" shrinkToFit="0" vertical="center" wrapText="1"/>
    </xf>
    <xf borderId="1" fillId="0" fontId="13" numFmtId="0" xfId="0" applyAlignment="1" applyBorder="1" applyFont="1">
      <alignment horizontal="center" readingOrder="0"/>
    </xf>
    <xf borderId="1" fillId="7" fontId="22" numFmtId="0" xfId="0" applyAlignment="1" applyBorder="1" applyFill="1" applyFont="1">
      <alignment horizontal="center" shrinkToFit="0" vertical="center" wrapText="1"/>
    </xf>
    <xf borderId="1" fillId="8" fontId="22" numFmtId="0" xfId="0" applyAlignment="1" applyBorder="1" applyFill="1" applyFont="1">
      <alignment horizontal="center" shrinkToFit="0" vertical="center" wrapText="1"/>
    </xf>
    <xf borderId="1" fillId="0" fontId="3" numFmtId="0" xfId="0" applyBorder="1" applyFont="1"/>
    <xf borderId="0" fillId="0" fontId="22" numFmtId="0" xfId="0" applyFont="1"/>
    <xf borderId="1" fillId="0" fontId="19" numFmtId="0" xfId="0" applyAlignment="1" applyBorder="1" applyFont="1">
      <alignment horizontal="center" shrinkToFit="0" wrapText="1"/>
    </xf>
    <xf borderId="1" fillId="0" fontId="22" numFmtId="0" xfId="0" applyAlignment="1" applyBorder="1" applyFont="1">
      <alignment horizontal="center" shrinkToFit="0" wrapText="1"/>
    </xf>
    <xf borderId="0" fillId="0" fontId="7" numFmtId="0" xfId="0" applyAlignment="1" applyFont="1">
      <alignment horizontal="center" readingOrder="0" shrinkToFit="0" vertical="center" wrapText="1"/>
    </xf>
    <xf borderId="2" fillId="9" fontId="9" numFmtId="0" xfId="0" applyAlignment="1" applyBorder="1" applyFill="1" applyFont="1">
      <alignment horizontal="center" shrinkToFit="0" vertical="center" wrapText="1"/>
    </xf>
    <xf borderId="2" fillId="9" fontId="9" numFmtId="0" xfId="0" applyAlignment="1" applyBorder="1" applyFont="1">
      <alignment horizontal="center" readingOrder="0" shrinkToFit="0" vertical="center" wrapText="1"/>
    </xf>
    <xf borderId="0" fillId="0" fontId="23" numFmtId="0" xfId="0" applyAlignment="1" applyFont="1">
      <alignment horizontal="center" shrinkToFit="0" vertical="center" wrapText="1"/>
    </xf>
    <xf borderId="5" fillId="0" fontId="13" numFmtId="0" xfId="0" applyAlignment="1" applyBorder="1" applyFont="1">
      <alignment horizontal="center" readingOrder="0" shrinkToFit="0" vertical="center" wrapText="1"/>
    </xf>
    <xf borderId="3" fillId="0" fontId="13" numFmtId="0" xfId="0" applyAlignment="1" applyBorder="1" applyFont="1">
      <alignment horizontal="center" shrinkToFit="0" vertical="center" wrapText="1"/>
    </xf>
    <xf borderId="3" fillId="0" fontId="24" numFmtId="0" xfId="0" applyAlignment="1" applyBorder="1" applyFont="1">
      <alignment horizontal="center" shrinkToFit="0" vertical="center" wrapText="1"/>
    </xf>
    <xf borderId="3" fillId="0" fontId="13" numFmtId="0" xfId="0" applyAlignment="1" applyBorder="1" applyFont="1">
      <alignment horizontal="center" readingOrder="0" shrinkToFit="0" vertical="center" wrapText="1"/>
    </xf>
    <xf borderId="1" fillId="0" fontId="13"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0" fillId="0" fontId="13" numFmtId="0" xfId="0" applyAlignment="1" applyFont="1">
      <alignment horizontal="center" readingOrder="0" shrinkToFit="0" vertical="center" wrapText="1"/>
    </xf>
    <xf borderId="0" fillId="0" fontId="13" numFmtId="0" xfId="0" applyFont="1"/>
    <xf borderId="2" fillId="5" fontId="8" numFmtId="0" xfId="0" applyAlignment="1" applyBorder="1" applyFont="1">
      <alignment horizontal="center" shrinkToFit="0" vertical="center" wrapText="1"/>
    </xf>
    <xf borderId="2" fillId="5" fontId="8"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3676650"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AaMpiu60EIAdsRtQFh9K7Bqwg8P1q5dK/view?usp=sharing" TargetMode="External"/><Relationship Id="rId22" Type="http://schemas.openxmlformats.org/officeDocument/2006/relationships/hyperlink" Target="https://drive.google.com/file/d/1Al265oAz83fHVGiDOopK8vELd88OdzQm/view?usp=drive_link" TargetMode="External"/><Relationship Id="rId21" Type="http://schemas.openxmlformats.org/officeDocument/2006/relationships/hyperlink" Target="https://drive.google.com/file/d/1x5tJo06nAqbD0wzfr7HrQxN9_frnEB3u/view?usp=sharing" TargetMode="External"/><Relationship Id="rId24" Type="http://schemas.openxmlformats.org/officeDocument/2006/relationships/hyperlink" Target="https://drive.google.com/file/d/1QJLfvFikfcpKGDduwc7lHs68ZpB1h2_m/view?usp=drive_link" TargetMode="External"/><Relationship Id="rId23" Type="http://schemas.openxmlformats.org/officeDocument/2006/relationships/hyperlink" Target="https://drive.google.com/file/d/1rAwx8dfwH1kbxaeSVs4nJpycWNOqYOp0/view?usp=sharing" TargetMode="External"/><Relationship Id="rId1" Type="http://schemas.openxmlformats.org/officeDocument/2006/relationships/hyperlink" Target="https://drive.google.com/file/d/1JEsP_s184w_ws1bMaFlBlbnKsiwi6ITa/view?usp=drive_link" TargetMode="External"/><Relationship Id="rId2" Type="http://schemas.openxmlformats.org/officeDocument/2006/relationships/hyperlink" Target="https://drive.google.com/file/d/15EjWZF7N9iIomKKyrn72DMPPfF6rIsyV/view?usp=drive_link" TargetMode="External"/><Relationship Id="rId3" Type="http://schemas.openxmlformats.org/officeDocument/2006/relationships/hyperlink" Target="https://drive.google.com/file/d/1_w21tEj565J4fEF1l6UMfC3NMQkuNwf7/view?usp=sharing" TargetMode="External"/><Relationship Id="rId4" Type="http://schemas.openxmlformats.org/officeDocument/2006/relationships/hyperlink" Target="https://drive.google.com/file/d/1vssD-pKnSO86ckeysMHEogpF56f0QljR/view?usp=sharing" TargetMode="External"/><Relationship Id="rId9" Type="http://schemas.openxmlformats.org/officeDocument/2006/relationships/hyperlink" Target="https://drive.google.com/file/d/1Atg9MbfMG-ZdP2BDOYjaYTxPI1yfskgg/view?usp=sharing" TargetMode="External"/><Relationship Id="rId26" Type="http://schemas.openxmlformats.org/officeDocument/2006/relationships/hyperlink" Target="https://drive.google.com/file/d/16IacmtRy5G_MYDPsIFoCnWfOcpUhTg6M/view?usp=drive_link" TargetMode="External"/><Relationship Id="rId25" Type="http://schemas.openxmlformats.org/officeDocument/2006/relationships/hyperlink" Target="https://drive.google.com/file/d/1JMuCj3vUvWf_G2W5h49ST87HPopnebbl/view?usp=sharing" TargetMode="External"/><Relationship Id="rId28" Type="http://schemas.openxmlformats.org/officeDocument/2006/relationships/hyperlink" Target="https://drive.google.com/file/d/1_-hYE9qhJNVkA0W1k-nLilpWnYM3VQL9/view?usp=sharing" TargetMode="External"/><Relationship Id="rId27" Type="http://schemas.openxmlformats.org/officeDocument/2006/relationships/hyperlink" Target="https://drive.google.com/file/d/1GBNz4PHlezPxh6nzLbJ0T3dqb2SML-hw/view?usp=sharing" TargetMode="External"/><Relationship Id="rId5" Type="http://schemas.openxmlformats.org/officeDocument/2006/relationships/hyperlink" Target="https://drive.google.com/file/d/1BslSdXZYHOfqCyf90Q-uGUofoZbOxFh-/view?usp=drive_link" TargetMode="External"/><Relationship Id="rId6" Type="http://schemas.openxmlformats.org/officeDocument/2006/relationships/hyperlink" Target="https://drive.google.com/file/d/1ATaRhN5Hhv7JpgfDhggNdt8_96z4NXSJ/view?usp=sharing" TargetMode="External"/><Relationship Id="rId29" Type="http://schemas.openxmlformats.org/officeDocument/2006/relationships/hyperlink" Target="https://drive.google.com/file/d/1JwuM4jPbLNzGrundLCorcIYjxavkYHr_/view?usp=drive_link" TargetMode="External"/><Relationship Id="rId7" Type="http://schemas.openxmlformats.org/officeDocument/2006/relationships/hyperlink" Target="https://drive.google.com/file/d/1fMPouW1Tcls4Yf0Y4cMWYsHtb_CV9p3q/view?usp=sharing" TargetMode="External"/><Relationship Id="rId8" Type="http://schemas.openxmlformats.org/officeDocument/2006/relationships/hyperlink" Target="https://drive.google.com/file/d/1rcWUNq8vqo3rg8uabdoYl2KNmpLdaRSQ/view?usp=sharing" TargetMode="External"/><Relationship Id="rId31" Type="http://schemas.openxmlformats.org/officeDocument/2006/relationships/drawing" Target="../drawings/drawing1.xml"/><Relationship Id="rId30" Type="http://schemas.openxmlformats.org/officeDocument/2006/relationships/hyperlink" Target="https://drive.google.com/file/d/14X2OgeO8q185WD9TniY7TFxcH3U3otWU/view?usp=sharing" TargetMode="External"/><Relationship Id="rId11" Type="http://schemas.openxmlformats.org/officeDocument/2006/relationships/hyperlink" Target="https://drive.google.com/file/d/1IAw9gXGWrkUqVqCEuRURJlGzH_fWEOh7/view?usp=sharing" TargetMode="External"/><Relationship Id="rId10" Type="http://schemas.openxmlformats.org/officeDocument/2006/relationships/hyperlink" Target="https://drive.google.com/file/d/1wLUDmk70ZoJkHIqpN9RdJfQPl88wwGJM/view?usp=sharing" TargetMode="External"/><Relationship Id="rId13" Type="http://schemas.openxmlformats.org/officeDocument/2006/relationships/hyperlink" Target="https://drive.google.com/file/d/1sCGr_XN6dOGiPDVE9a35P5PIzkPH3uKF/view?usp=sharing" TargetMode="External"/><Relationship Id="rId12" Type="http://schemas.openxmlformats.org/officeDocument/2006/relationships/hyperlink" Target="https://drive.google.com/file/d/1fGr-7r0u7wCQjJ05JTV73Pnl0sIblyE1/view?usp=sharing" TargetMode="External"/><Relationship Id="rId15" Type="http://schemas.openxmlformats.org/officeDocument/2006/relationships/hyperlink" Target="https://drive.google.com/file/d/16F3rU9wWbM_EolfbMoBHxBghF5mM24UL/view?usp=drive_link" TargetMode="External"/><Relationship Id="rId14" Type="http://schemas.openxmlformats.org/officeDocument/2006/relationships/hyperlink" Target="https://drive.google.com/file/d/1LV8oNWHE0tybXvuJGX1CgIJLQCWDmBwT/view?usp=drive_link" TargetMode="External"/><Relationship Id="rId17" Type="http://schemas.openxmlformats.org/officeDocument/2006/relationships/hyperlink" Target="https://drive.google.com/file/d/1Yd0RR8elbke9JhNmL6v2OcVRj1tZYsAj/view?usp=sharing" TargetMode="External"/><Relationship Id="rId16" Type="http://schemas.openxmlformats.org/officeDocument/2006/relationships/hyperlink" Target="https://drive.google.com/file/d/1a0dLknE755CKw6kirDAoNdlPRRHcSbct/view?usp=sharing" TargetMode="External"/><Relationship Id="rId19" Type="http://schemas.openxmlformats.org/officeDocument/2006/relationships/hyperlink" Target="https://drive.google.com/file/d/1iZpFYkpJsYFZkCn0qNF8tg-UEQQGry_z/view?usp=sharing" TargetMode="External"/><Relationship Id="rId18" Type="http://schemas.openxmlformats.org/officeDocument/2006/relationships/hyperlink" Target="https://drive.google.com/file/d/1YDgdjUpkgUu4O7yYL_IQIpDyA9p7M_TB/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rAwx8dfwH1kbxaeSVs4nJpycWNOqYOp0/view?usp=sharing" TargetMode="External"/><Relationship Id="rId22" Type="http://schemas.openxmlformats.org/officeDocument/2006/relationships/hyperlink" Target="https://drive.google.com/file/d/16IacmtRy5G_MYDPsIFoCnWfOcpUhTg6M/view?usp=drive_link" TargetMode="External"/><Relationship Id="rId21" Type="http://schemas.openxmlformats.org/officeDocument/2006/relationships/hyperlink" Target="https://drive.google.com/file/d/1JMuCj3vUvWf_G2W5h49ST87HPopnebbl/view?usp=sharing" TargetMode="External"/><Relationship Id="rId24" Type="http://schemas.openxmlformats.org/officeDocument/2006/relationships/hyperlink" Target="https://drive.google.com/file/d/1_-hYE9qhJNVkA0W1k-nLilpWnYM3VQL9/view?usp=sharing" TargetMode="External"/><Relationship Id="rId23" Type="http://schemas.openxmlformats.org/officeDocument/2006/relationships/hyperlink" Target="https://drive.google.com/file/d/1GBNz4PHlezPxh6nzLbJ0T3dqb2SML-hw/view?usp=sharing" TargetMode="External"/><Relationship Id="rId1" Type="http://schemas.openxmlformats.org/officeDocument/2006/relationships/hyperlink" Target="https://drive.google.com/file/d/1Atg9MbfMG-ZdP2BDOYjaYTxPI1yfskgg/view?usp=sharing" TargetMode="External"/><Relationship Id="rId2" Type="http://schemas.openxmlformats.org/officeDocument/2006/relationships/hyperlink" Target="https://drive.google.com/file/d/1wLUDmk70ZoJkHIqpN9RdJfQPl88wwGJM/view?usp=sharing" TargetMode="External"/><Relationship Id="rId3" Type="http://schemas.openxmlformats.org/officeDocument/2006/relationships/hyperlink" Target="https://drive.google.com/file/d/1IAw9gXGWrkUqVqCEuRURJlGzH_fWEOh7/view?usp=sharing" TargetMode="External"/><Relationship Id="rId4" Type="http://schemas.openxmlformats.org/officeDocument/2006/relationships/hyperlink" Target="https://drive.google.com/file/d/1fGr-7r0u7wCQjJ05JTV73Pnl0sIblyE1/view?usp=sharing" TargetMode="External"/><Relationship Id="rId9" Type="http://schemas.openxmlformats.org/officeDocument/2006/relationships/hyperlink" Target="https://drive.google.com/file/d/1ATaRhN5Hhv7JpgfDhggNdt8_96z4NXSJ/view?usp=sharing" TargetMode="External"/><Relationship Id="rId26" Type="http://schemas.openxmlformats.org/officeDocument/2006/relationships/hyperlink" Target="https://drive.google.com/file/d/16F3rU9wWbM_EolfbMoBHxBghF5mM24UL/view?usp=drive_link" TargetMode="External"/><Relationship Id="rId25" Type="http://schemas.openxmlformats.org/officeDocument/2006/relationships/hyperlink" Target="https://drive.google.com/file/d/1QJLfvFikfcpKGDduwc7lHs68ZpB1h2_m/view?usp=drive_link" TargetMode="External"/><Relationship Id="rId28" Type="http://schemas.openxmlformats.org/officeDocument/2006/relationships/hyperlink" Target="https://drive.google.com/file/d/1Yd0RR8elbke9JhNmL6v2OcVRj1tZYsAj/view?usp=sharing" TargetMode="External"/><Relationship Id="rId27" Type="http://schemas.openxmlformats.org/officeDocument/2006/relationships/hyperlink" Target="https://drive.google.com/file/d/1a0dLknE755CKw6kirDAoNdlPRRHcSbct/view?usp=sharing" TargetMode="External"/><Relationship Id="rId5" Type="http://schemas.openxmlformats.org/officeDocument/2006/relationships/hyperlink" Target="https://drive.google.com/file/d/15EjWZF7N9iIomKKyrn72DMPPfF6rIsyV/view?usp=drive_link" TargetMode="External"/><Relationship Id="rId6" Type="http://schemas.openxmlformats.org/officeDocument/2006/relationships/hyperlink" Target="https://drive.google.com/file/d/1_w21tEj565J4fEF1l6UMfC3NMQkuNwf7/view?usp=sharing" TargetMode="External"/><Relationship Id="rId29" Type="http://schemas.openxmlformats.org/officeDocument/2006/relationships/hyperlink" Target="https://drive.google.com/file/d/1YDgdjUpkgUu4O7yYL_IQIpDyA9p7M_TB/view?usp=sharing" TargetMode="External"/><Relationship Id="rId7" Type="http://schemas.openxmlformats.org/officeDocument/2006/relationships/hyperlink" Target="https://drive.google.com/file/d/1vssD-pKnSO86ckeysMHEogpF56f0QljR/view?usp=sharing" TargetMode="External"/><Relationship Id="rId8" Type="http://schemas.openxmlformats.org/officeDocument/2006/relationships/hyperlink" Target="https://drive.google.com/file/d/1BslSdXZYHOfqCyf90Q-uGUofoZbOxFh-/view?usp=drive_link" TargetMode="External"/><Relationship Id="rId31" Type="http://schemas.openxmlformats.org/officeDocument/2006/relationships/drawing" Target="../drawings/drawing3.xml"/><Relationship Id="rId30" Type="http://schemas.openxmlformats.org/officeDocument/2006/relationships/hyperlink" Target="https://drive.google.com/file/d/1JEsP_s184w_ws1bMaFlBlbnKsiwi6ITa/view?usp=drive_link" TargetMode="External"/><Relationship Id="rId11" Type="http://schemas.openxmlformats.org/officeDocument/2006/relationships/hyperlink" Target="https://drive.google.com/file/d/1rcWUNq8vqo3rg8uabdoYl2KNmpLdaRSQ/view?usp=sharing" TargetMode="External"/><Relationship Id="rId10" Type="http://schemas.openxmlformats.org/officeDocument/2006/relationships/hyperlink" Target="https://drive.google.com/file/d/1fMPouW1Tcls4Yf0Y4cMWYsHtb_CV9p3q/view?usp=sharing" TargetMode="External"/><Relationship Id="rId13" Type="http://schemas.openxmlformats.org/officeDocument/2006/relationships/hyperlink" Target="https://drive.google.com/file/d/1sCGr_XN6dOGiPDVE9a35P5PIzkPH3uKF/view?usp=sharing" TargetMode="External"/><Relationship Id="rId12" Type="http://schemas.openxmlformats.org/officeDocument/2006/relationships/hyperlink" Target="https://drive.google.com/file/d/1JwuM4jPbLNzGrundLCorcIYjxavkYHr_/view?usp=drive_link" TargetMode="External"/><Relationship Id="rId15" Type="http://schemas.openxmlformats.org/officeDocument/2006/relationships/hyperlink" Target="https://drive.google.com/file/d/14X2OgeO8q185WD9TniY7TFxcH3U3otWU/view?usp=sharing" TargetMode="External"/><Relationship Id="rId14" Type="http://schemas.openxmlformats.org/officeDocument/2006/relationships/hyperlink" Target="https://drive.google.com/file/d/1LV8oNWHE0tybXvuJGX1CgIJLQCWDmBwT/view?usp=drive_link" TargetMode="External"/><Relationship Id="rId17" Type="http://schemas.openxmlformats.org/officeDocument/2006/relationships/hyperlink" Target="https://drive.google.com/file/d/1AaMpiu60EIAdsRtQFh9K7Bqwg8P1q5dK/view?usp=sharing" TargetMode="External"/><Relationship Id="rId16" Type="http://schemas.openxmlformats.org/officeDocument/2006/relationships/hyperlink" Target="https://drive.google.com/file/d/1iZpFYkpJsYFZkCn0qNF8tg-UEQQGry_z/view?usp=sharing" TargetMode="External"/><Relationship Id="rId19" Type="http://schemas.openxmlformats.org/officeDocument/2006/relationships/hyperlink" Target="https://drive.google.com/file/d/1Al265oAz83fHVGiDOopK8vELd88OdzQm/view?usp=drive_link" TargetMode="External"/><Relationship Id="rId18" Type="http://schemas.openxmlformats.org/officeDocument/2006/relationships/hyperlink" Target="https://drive.google.com/file/d/1x5tJo06nAqbD0wzfr7HrQxN9_frnEB3u/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1.25"/>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6.63"/>
    <col customWidth="1" min="15" max="15" width="15.88"/>
  </cols>
  <sheetData>
    <row r="1">
      <c r="A1" s="1" t="s">
        <v>0</v>
      </c>
      <c r="B1" s="2" t="s">
        <v>1</v>
      </c>
      <c r="C1" s="3"/>
      <c r="D1" s="3"/>
      <c r="E1" s="3"/>
      <c r="F1" s="3"/>
      <c r="G1" s="3"/>
      <c r="H1" s="3"/>
      <c r="I1" s="3"/>
      <c r="J1" s="3"/>
      <c r="K1" s="3"/>
      <c r="L1" s="3"/>
      <c r="M1" s="3"/>
    </row>
    <row r="2">
      <c r="A2" s="1" t="s">
        <v>2</v>
      </c>
      <c r="B2" s="4" t="s">
        <v>3</v>
      </c>
      <c r="C2" s="3"/>
      <c r="D2" s="3"/>
      <c r="E2" s="3"/>
      <c r="F2" s="3"/>
      <c r="G2" s="3"/>
      <c r="H2" s="3"/>
      <c r="I2" s="3"/>
      <c r="J2" s="3"/>
      <c r="K2" s="3"/>
      <c r="L2" s="3"/>
      <c r="M2" s="3"/>
    </row>
    <row r="3">
      <c r="A3" s="1" t="s">
        <v>4</v>
      </c>
      <c r="B3" s="5" t="s">
        <v>5</v>
      </c>
      <c r="C3" s="3"/>
      <c r="D3" s="3"/>
      <c r="E3" s="3"/>
      <c r="F3" s="3"/>
      <c r="G3" s="3"/>
      <c r="H3" s="3"/>
      <c r="I3" s="3"/>
      <c r="J3" s="3"/>
      <c r="K3" s="3"/>
      <c r="L3" s="3"/>
      <c r="M3" s="3"/>
    </row>
    <row r="4">
      <c r="A4" s="1" t="s">
        <v>6</v>
      </c>
      <c r="B4" s="6" t="s">
        <v>7</v>
      </c>
      <c r="C4" s="3"/>
      <c r="D4" s="3"/>
      <c r="E4" s="3"/>
      <c r="F4" s="3"/>
      <c r="G4" s="3"/>
      <c r="H4" s="3"/>
      <c r="I4" s="3"/>
      <c r="J4" s="3"/>
      <c r="K4" s="3"/>
      <c r="L4" s="3"/>
      <c r="M4" s="3"/>
      <c r="N4" s="7"/>
      <c r="O4" s="7"/>
    </row>
    <row r="5">
      <c r="A5" s="8" t="s">
        <v>8</v>
      </c>
      <c r="B5" s="9" t="s">
        <v>9</v>
      </c>
      <c r="C5" s="3"/>
      <c r="D5" s="3"/>
      <c r="E5" s="3"/>
      <c r="F5" s="3"/>
      <c r="G5" s="3"/>
      <c r="H5" s="3"/>
      <c r="I5" s="3"/>
      <c r="J5" s="3"/>
      <c r="K5" s="3"/>
      <c r="L5" s="3"/>
      <c r="M5" s="3"/>
      <c r="N5" s="10" t="s">
        <v>10</v>
      </c>
      <c r="O5" s="10" t="s">
        <v>11</v>
      </c>
    </row>
    <row r="6">
      <c r="A6" s="3"/>
      <c r="B6" s="3"/>
      <c r="C6" s="3"/>
      <c r="D6" s="3"/>
      <c r="E6" s="3"/>
      <c r="F6" s="3"/>
      <c r="G6" s="3"/>
      <c r="H6" s="3"/>
      <c r="I6" s="3"/>
      <c r="J6" s="3"/>
      <c r="K6" s="3"/>
      <c r="L6" s="3"/>
      <c r="M6" s="3"/>
    </row>
    <row r="7">
      <c r="A7" s="11" t="s">
        <v>12</v>
      </c>
      <c r="B7" s="11" t="s">
        <v>13</v>
      </c>
      <c r="C7" s="11" t="s">
        <v>14</v>
      </c>
      <c r="D7" s="11" t="s">
        <v>15</v>
      </c>
      <c r="E7" s="11" t="s">
        <v>16</v>
      </c>
      <c r="F7" s="11" t="s">
        <v>17</v>
      </c>
      <c r="G7" s="11" t="s">
        <v>18</v>
      </c>
      <c r="H7" s="11" t="s">
        <v>19</v>
      </c>
      <c r="I7" s="11" t="s">
        <v>20</v>
      </c>
      <c r="J7" s="11" t="s">
        <v>21</v>
      </c>
      <c r="K7" s="11" t="s">
        <v>22</v>
      </c>
      <c r="L7" s="11" t="s">
        <v>23</v>
      </c>
      <c r="M7" s="11" t="s">
        <v>24</v>
      </c>
      <c r="N7" s="12" t="s">
        <v>25</v>
      </c>
      <c r="O7" s="12" t="s">
        <v>26</v>
      </c>
      <c r="P7" s="13" t="s">
        <v>27</v>
      </c>
      <c r="Q7" s="14"/>
      <c r="R7" s="14"/>
      <c r="S7" s="14"/>
      <c r="T7" s="15"/>
      <c r="U7" s="14"/>
      <c r="V7" s="14"/>
      <c r="W7" s="14"/>
      <c r="X7" s="14"/>
      <c r="Y7" s="14"/>
    </row>
    <row r="8">
      <c r="A8" s="16" t="s">
        <v>28</v>
      </c>
      <c r="B8" s="17" t="s">
        <v>29</v>
      </c>
      <c r="C8" s="17" t="s">
        <v>29</v>
      </c>
      <c r="D8" s="16" t="s">
        <v>30</v>
      </c>
      <c r="E8" s="16" t="s">
        <v>31</v>
      </c>
      <c r="F8" s="18" t="s">
        <v>32</v>
      </c>
      <c r="G8" s="19" t="s">
        <v>33</v>
      </c>
      <c r="H8" s="16" t="s">
        <v>34</v>
      </c>
      <c r="I8" s="16" t="s">
        <v>35</v>
      </c>
      <c r="J8" s="16" t="s">
        <v>36</v>
      </c>
      <c r="K8" s="16" t="s">
        <v>37</v>
      </c>
      <c r="L8" s="20" t="s">
        <v>38</v>
      </c>
      <c r="M8" s="19"/>
      <c r="N8" s="19"/>
      <c r="O8" s="19"/>
      <c r="P8" s="21"/>
      <c r="Q8" s="22"/>
      <c r="R8" s="22"/>
      <c r="S8" s="22"/>
      <c r="T8" s="22"/>
      <c r="U8" s="22"/>
      <c r="V8" s="22"/>
      <c r="W8" s="22"/>
      <c r="X8" s="22"/>
      <c r="Y8" s="22"/>
    </row>
    <row r="9">
      <c r="A9" s="22"/>
      <c r="B9" s="22"/>
      <c r="C9" s="22"/>
      <c r="D9" s="22"/>
      <c r="E9" s="22"/>
      <c r="F9" s="23"/>
      <c r="G9" s="22"/>
      <c r="H9" s="22"/>
      <c r="I9" s="22"/>
      <c r="J9" s="22"/>
      <c r="K9" s="22"/>
      <c r="L9" s="22"/>
      <c r="M9" s="22"/>
      <c r="N9" s="24"/>
      <c r="O9" s="24"/>
      <c r="P9" s="22"/>
      <c r="Q9" s="22"/>
      <c r="R9" s="22"/>
      <c r="S9" s="22"/>
      <c r="T9" s="22"/>
      <c r="U9" s="22"/>
      <c r="V9" s="22"/>
      <c r="W9" s="22"/>
      <c r="X9" s="22"/>
      <c r="Y9" s="22"/>
    </row>
    <row r="10">
      <c r="A10" s="17" t="s">
        <v>39</v>
      </c>
      <c r="B10" s="17" t="s">
        <v>40</v>
      </c>
      <c r="C10" s="17" t="s">
        <v>41</v>
      </c>
      <c r="D10" s="17" t="s">
        <v>42</v>
      </c>
      <c r="E10" s="17" t="s">
        <v>31</v>
      </c>
      <c r="F10" s="25" t="s">
        <v>32</v>
      </c>
      <c r="G10" s="21" t="s">
        <v>33</v>
      </c>
      <c r="H10" s="17" t="s">
        <v>43</v>
      </c>
      <c r="I10" s="17" t="s">
        <v>44</v>
      </c>
      <c r="J10" s="17" t="s">
        <v>36</v>
      </c>
      <c r="K10" s="17" t="s">
        <v>45</v>
      </c>
      <c r="L10" s="26" t="s">
        <v>46</v>
      </c>
      <c r="M10" s="21"/>
      <c r="N10" s="21"/>
      <c r="O10" s="21"/>
      <c r="P10" s="21"/>
      <c r="Q10" s="22"/>
      <c r="R10" s="22"/>
      <c r="S10" s="22"/>
      <c r="T10" s="22"/>
      <c r="U10" s="22"/>
      <c r="V10" s="22"/>
      <c r="W10" s="22"/>
      <c r="X10" s="22"/>
      <c r="Y10" s="22"/>
    </row>
    <row r="11">
      <c r="A11" s="22"/>
      <c r="B11" s="22"/>
      <c r="C11" s="22"/>
      <c r="D11" s="22"/>
      <c r="E11" s="22"/>
      <c r="F11" s="23"/>
      <c r="G11" s="22"/>
      <c r="H11" s="22"/>
      <c r="I11" s="22"/>
      <c r="J11" s="22"/>
      <c r="K11" s="22"/>
      <c r="L11" s="22"/>
      <c r="M11" s="22"/>
      <c r="N11" s="24"/>
      <c r="O11" s="24"/>
      <c r="P11" s="22"/>
      <c r="Q11" s="22"/>
      <c r="R11" s="22"/>
      <c r="S11" s="22"/>
      <c r="T11" s="22"/>
      <c r="U11" s="22"/>
      <c r="V11" s="22"/>
      <c r="W11" s="22"/>
      <c r="X11" s="22"/>
      <c r="Y11" s="22"/>
    </row>
    <row r="12">
      <c r="A12" s="17" t="s">
        <v>47</v>
      </c>
      <c r="B12" s="17" t="s">
        <v>40</v>
      </c>
      <c r="C12" s="17" t="s">
        <v>41</v>
      </c>
      <c r="D12" s="17" t="s">
        <v>48</v>
      </c>
      <c r="E12" s="17" t="s">
        <v>31</v>
      </c>
      <c r="F12" s="25" t="s">
        <v>32</v>
      </c>
      <c r="G12" s="21" t="s">
        <v>33</v>
      </c>
      <c r="H12" s="17" t="s">
        <v>49</v>
      </c>
      <c r="I12" s="17" t="s">
        <v>50</v>
      </c>
      <c r="J12" s="17" t="s">
        <v>36</v>
      </c>
      <c r="K12" s="17" t="s">
        <v>45</v>
      </c>
      <c r="L12" s="27" t="s">
        <v>51</v>
      </c>
      <c r="M12" s="21"/>
      <c r="N12" s="21"/>
      <c r="O12" s="21"/>
      <c r="P12" s="21"/>
      <c r="Q12" s="22"/>
      <c r="R12" s="22"/>
      <c r="S12" s="22"/>
      <c r="T12" s="22"/>
      <c r="U12" s="22"/>
      <c r="V12" s="22"/>
      <c r="W12" s="22"/>
      <c r="X12" s="22"/>
      <c r="Y12" s="22"/>
    </row>
    <row r="13">
      <c r="A13" s="22"/>
      <c r="B13" s="22"/>
      <c r="C13" s="22"/>
      <c r="D13" s="22"/>
      <c r="E13" s="22"/>
      <c r="F13" s="23"/>
      <c r="G13" s="22"/>
      <c r="H13" s="22"/>
      <c r="I13" s="22"/>
      <c r="J13" s="22"/>
      <c r="K13" s="22"/>
      <c r="L13" s="22"/>
      <c r="M13" s="22"/>
      <c r="N13" s="24"/>
      <c r="O13" s="24"/>
      <c r="P13" s="22"/>
      <c r="Q13" s="22"/>
      <c r="R13" s="22"/>
      <c r="S13" s="22"/>
      <c r="T13" s="22"/>
      <c r="U13" s="22"/>
      <c r="V13" s="22"/>
      <c r="W13" s="22"/>
      <c r="X13" s="22"/>
      <c r="Y13" s="22"/>
    </row>
    <row r="14">
      <c r="A14" s="17" t="s">
        <v>52</v>
      </c>
      <c r="B14" s="17" t="s">
        <v>40</v>
      </c>
      <c r="C14" s="17" t="s">
        <v>41</v>
      </c>
      <c r="D14" s="17" t="s">
        <v>53</v>
      </c>
      <c r="E14" s="17" t="s">
        <v>31</v>
      </c>
      <c r="F14" s="25" t="s">
        <v>32</v>
      </c>
      <c r="G14" s="21" t="s">
        <v>33</v>
      </c>
      <c r="H14" s="17" t="s">
        <v>54</v>
      </c>
      <c r="I14" s="17" t="s">
        <v>55</v>
      </c>
      <c r="J14" s="17" t="s">
        <v>36</v>
      </c>
      <c r="K14" s="17" t="s">
        <v>45</v>
      </c>
      <c r="L14" s="26" t="s">
        <v>56</v>
      </c>
      <c r="M14" s="28"/>
      <c r="N14" s="29"/>
      <c r="O14" s="29"/>
      <c r="P14" s="21"/>
      <c r="Q14" s="22"/>
      <c r="R14" s="22"/>
      <c r="S14" s="22"/>
      <c r="T14" s="22"/>
      <c r="U14" s="22"/>
      <c r="V14" s="22"/>
      <c r="W14" s="22"/>
      <c r="X14" s="22"/>
      <c r="Y14" s="22"/>
    </row>
    <row r="15">
      <c r="A15" s="22"/>
      <c r="B15" s="22"/>
      <c r="C15" s="22"/>
      <c r="D15" s="22"/>
      <c r="E15" s="22"/>
      <c r="F15" s="23"/>
      <c r="G15" s="22"/>
      <c r="H15" s="22"/>
      <c r="I15" s="22"/>
      <c r="J15" s="22"/>
      <c r="K15" s="22"/>
      <c r="L15" s="22"/>
      <c r="M15" s="22"/>
      <c r="N15" s="24"/>
      <c r="O15" s="24"/>
      <c r="P15" s="22"/>
      <c r="Q15" s="22"/>
      <c r="R15" s="22"/>
      <c r="S15" s="22"/>
      <c r="T15" s="22"/>
      <c r="U15" s="22"/>
      <c r="V15" s="22"/>
      <c r="W15" s="22"/>
      <c r="X15" s="22"/>
      <c r="Y15" s="22"/>
    </row>
    <row r="16">
      <c r="A16" s="17" t="s">
        <v>57</v>
      </c>
      <c r="B16" s="17" t="s">
        <v>40</v>
      </c>
      <c r="C16" s="17" t="s">
        <v>41</v>
      </c>
      <c r="D16" s="17" t="s">
        <v>58</v>
      </c>
      <c r="E16" s="17" t="s">
        <v>31</v>
      </c>
      <c r="F16" s="25" t="s">
        <v>32</v>
      </c>
      <c r="G16" s="21" t="s">
        <v>33</v>
      </c>
      <c r="H16" s="17" t="s">
        <v>59</v>
      </c>
      <c r="I16" s="17" t="s">
        <v>60</v>
      </c>
      <c r="J16" s="17" t="s">
        <v>36</v>
      </c>
      <c r="K16" s="17" t="s">
        <v>61</v>
      </c>
      <c r="L16" s="26" t="s">
        <v>62</v>
      </c>
      <c r="M16" s="30"/>
      <c r="N16" s="29"/>
      <c r="O16" s="29"/>
      <c r="P16" s="21"/>
      <c r="Q16" s="31"/>
      <c r="R16" s="31"/>
      <c r="S16" s="31"/>
      <c r="T16" s="31"/>
      <c r="U16" s="31"/>
      <c r="V16" s="31"/>
      <c r="W16" s="31"/>
      <c r="X16" s="31"/>
      <c r="Y16" s="31"/>
    </row>
    <row r="17">
      <c r="A17" s="22"/>
      <c r="B17" s="22"/>
      <c r="C17" s="22"/>
      <c r="D17" s="22"/>
      <c r="E17" s="22"/>
      <c r="F17" s="23"/>
      <c r="G17" s="22"/>
      <c r="H17" s="22"/>
      <c r="I17" s="22"/>
      <c r="J17" s="22"/>
      <c r="K17" s="22"/>
      <c r="L17" s="22"/>
      <c r="M17" s="22"/>
      <c r="N17" s="24"/>
      <c r="O17" s="24"/>
      <c r="P17" s="22"/>
      <c r="Q17" s="22"/>
      <c r="R17" s="22"/>
      <c r="S17" s="22"/>
      <c r="T17" s="22"/>
      <c r="U17" s="22"/>
      <c r="V17" s="22"/>
      <c r="W17" s="22"/>
      <c r="X17" s="22"/>
      <c r="Y17" s="22"/>
    </row>
    <row r="18">
      <c r="A18" s="17" t="s">
        <v>63</v>
      </c>
      <c r="B18" s="17" t="s">
        <v>40</v>
      </c>
      <c r="C18" s="17" t="s">
        <v>41</v>
      </c>
      <c r="D18" s="17" t="s">
        <v>64</v>
      </c>
      <c r="E18" s="17" t="s">
        <v>31</v>
      </c>
      <c r="F18" s="25" t="s">
        <v>32</v>
      </c>
      <c r="G18" s="21" t="s">
        <v>33</v>
      </c>
      <c r="H18" s="17" t="s">
        <v>59</v>
      </c>
      <c r="I18" s="17" t="s">
        <v>60</v>
      </c>
      <c r="J18" s="17" t="s">
        <v>36</v>
      </c>
      <c r="K18" s="17" t="s">
        <v>37</v>
      </c>
      <c r="L18" s="26" t="s">
        <v>65</v>
      </c>
      <c r="M18" s="29"/>
      <c r="N18" s="29"/>
      <c r="O18" s="29"/>
      <c r="P18" s="21"/>
      <c r="Q18" s="22"/>
      <c r="R18" s="22"/>
      <c r="S18" s="22"/>
      <c r="T18" s="22"/>
      <c r="U18" s="22"/>
      <c r="V18" s="22"/>
      <c r="W18" s="22"/>
      <c r="X18" s="22"/>
      <c r="Y18" s="22"/>
    </row>
    <row r="19">
      <c r="A19" s="22"/>
      <c r="B19" s="22"/>
      <c r="C19" s="22"/>
      <c r="D19" s="22"/>
      <c r="E19" s="22"/>
      <c r="F19" s="23"/>
      <c r="G19" s="22"/>
      <c r="H19" s="22"/>
      <c r="I19" s="22"/>
      <c r="J19" s="22"/>
      <c r="K19" s="22"/>
      <c r="L19" s="22"/>
      <c r="M19" s="22"/>
      <c r="N19" s="24"/>
      <c r="O19" s="24"/>
      <c r="P19" s="22"/>
      <c r="Q19" s="22"/>
      <c r="R19" s="22"/>
      <c r="S19" s="22"/>
      <c r="T19" s="22"/>
      <c r="U19" s="22"/>
      <c r="V19" s="22"/>
      <c r="W19" s="22"/>
      <c r="X19" s="22"/>
      <c r="Y19" s="22"/>
    </row>
    <row r="20">
      <c r="A20" s="17" t="s">
        <v>66</v>
      </c>
      <c r="B20" s="17" t="s">
        <v>40</v>
      </c>
      <c r="C20" s="17" t="s">
        <v>41</v>
      </c>
      <c r="D20" s="17" t="s">
        <v>67</v>
      </c>
      <c r="E20" s="17" t="s">
        <v>31</v>
      </c>
      <c r="F20" s="25" t="s">
        <v>32</v>
      </c>
      <c r="G20" s="21" t="s">
        <v>33</v>
      </c>
      <c r="H20" s="17" t="s">
        <v>68</v>
      </c>
      <c r="I20" s="17" t="s">
        <v>69</v>
      </c>
      <c r="J20" s="17" t="s">
        <v>36</v>
      </c>
      <c r="K20" s="17" t="s">
        <v>45</v>
      </c>
      <c r="L20" s="26" t="s">
        <v>70</v>
      </c>
      <c r="M20" s="29"/>
      <c r="N20" s="29"/>
      <c r="O20" s="29"/>
      <c r="P20" s="21"/>
      <c r="Q20" s="22"/>
      <c r="R20" s="22"/>
      <c r="S20" s="22"/>
      <c r="T20" s="22"/>
      <c r="U20" s="22"/>
      <c r="V20" s="22"/>
      <c r="W20" s="22"/>
      <c r="X20" s="22"/>
      <c r="Y20" s="22"/>
    </row>
    <row r="21">
      <c r="A21" s="22"/>
      <c r="B21" s="22"/>
      <c r="C21" s="22"/>
      <c r="D21" s="22"/>
      <c r="E21" s="22"/>
      <c r="F21" s="23"/>
      <c r="G21" s="22"/>
      <c r="H21" s="22"/>
      <c r="I21" s="22"/>
      <c r="J21" s="22"/>
      <c r="K21" s="22"/>
      <c r="L21" s="22"/>
      <c r="M21" s="22"/>
      <c r="N21" s="24"/>
      <c r="O21" s="24"/>
      <c r="P21" s="22"/>
      <c r="Q21" s="22"/>
      <c r="R21" s="22"/>
      <c r="S21" s="22"/>
      <c r="T21" s="22"/>
      <c r="U21" s="22"/>
      <c r="V21" s="22"/>
      <c r="W21" s="22"/>
      <c r="X21" s="22"/>
      <c r="Y21" s="22"/>
    </row>
    <row r="22">
      <c r="A22" s="17" t="s">
        <v>71</v>
      </c>
      <c r="B22" s="17" t="s">
        <v>40</v>
      </c>
      <c r="C22" s="17" t="s">
        <v>41</v>
      </c>
      <c r="D22" s="17" t="s">
        <v>72</v>
      </c>
      <c r="E22" s="17" t="s">
        <v>31</v>
      </c>
      <c r="F22" s="25" t="s">
        <v>32</v>
      </c>
      <c r="G22" s="21" t="s">
        <v>33</v>
      </c>
      <c r="H22" s="17" t="s">
        <v>73</v>
      </c>
      <c r="I22" s="17" t="s">
        <v>74</v>
      </c>
      <c r="J22" s="17" t="s">
        <v>36</v>
      </c>
      <c r="K22" s="17" t="s">
        <v>45</v>
      </c>
      <c r="L22" s="26" t="s">
        <v>75</v>
      </c>
      <c r="M22" s="29"/>
      <c r="N22" s="29"/>
      <c r="O22" s="29"/>
      <c r="P22" s="21"/>
      <c r="Q22" s="22"/>
      <c r="R22" s="22"/>
      <c r="S22" s="22"/>
      <c r="T22" s="22"/>
      <c r="U22" s="22"/>
      <c r="V22" s="22"/>
      <c r="W22" s="22"/>
      <c r="X22" s="22"/>
      <c r="Y22" s="22"/>
    </row>
    <row r="23">
      <c r="A23" s="22"/>
      <c r="B23" s="22"/>
      <c r="C23" s="22"/>
      <c r="D23" s="22"/>
      <c r="E23" s="22"/>
      <c r="F23" s="23"/>
      <c r="G23" s="22"/>
      <c r="H23" s="22"/>
      <c r="I23" s="22"/>
      <c r="J23" s="22"/>
      <c r="K23" s="22"/>
      <c r="L23" s="22"/>
      <c r="M23" s="22"/>
      <c r="N23" s="24"/>
      <c r="O23" s="24"/>
      <c r="P23" s="22"/>
      <c r="Q23" s="22"/>
      <c r="R23" s="22"/>
      <c r="S23" s="22"/>
      <c r="T23" s="22"/>
      <c r="U23" s="22"/>
      <c r="V23" s="22"/>
      <c r="W23" s="22"/>
      <c r="X23" s="22"/>
      <c r="Y23" s="22"/>
    </row>
    <row r="24">
      <c r="A24" s="17" t="s">
        <v>76</v>
      </c>
      <c r="B24" s="17" t="s">
        <v>40</v>
      </c>
      <c r="C24" s="17" t="s">
        <v>77</v>
      </c>
      <c r="D24" s="17" t="s">
        <v>78</v>
      </c>
      <c r="E24" s="17" t="s">
        <v>31</v>
      </c>
      <c r="F24" s="25" t="s">
        <v>79</v>
      </c>
      <c r="G24" s="21" t="s">
        <v>33</v>
      </c>
      <c r="H24" s="17" t="s">
        <v>80</v>
      </c>
      <c r="I24" s="17" t="str">
        <f>IFERROR(__xludf.DUMMYFUNCTION("AI(""Fill an appropriate value for this cell based on the table context"")"),"Not highlighted when the user is in the buildings section.")</f>
        <v>Not highlighted when the user is in the buildings section.</v>
      </c>
      <c r="J24" s="17" t="s">
        <v>36</v>
      </c>
      <c r="K24" s="17" t="s">
        <v>37</v>
      </c>
      <c r="L24" s="26" t="s">
        <v>81</v>
      </c>
      <c r="M24" s="29"/>
      <c r="N24" s="29"/>
      <c r="O24" s="29"/>
      <c r="P24" s="21"/>
      <c r="Q24" s="22"/>
      <c r="R24" s="22"/>
      <c r="S24" s="22"/>
      <c r="T24" s="22"/>
      <c r="U24" s="22"/>
      <c r="V24" s="22"/>
      <c r="W24" s="22"/>
      <c r="X24" s="22"/>
      <c r="Y24" s="22"/>
    </row>
    <row r="25">
      <c r="A25" s="22"/>
      <c r="B25" s="22"/>
      <c r="C25" s="22"/>
      <c r="D25" s="22"/>
      <c r="E25" s="22"/>
      <c r="F25" s="23"/>
      <c r="G25" s="22"/>
      <c r="H25" s="22"/>
      <c r="I25" s="22"/>
      <c r="J25" s="22"/>
      <c r="K25" s="22"/>
      <c r="L25" s="22"/>
      <c r="M25" s="22"/>
      <c r="N25" s="24"/>
      <c r="O25" s="24"/>
      <c r="P25" s="22"/>
      <c r="Q25" s="22"/>
      <c r="R25" s="22"/>
      <c r="S25" s="22"/>
      <c r="T25" s="22"/>
      <c r="U25" s="22"/>
      <c r="V25" s="22"/>
      <c r="W25" s="22"/>
      <c r="X25" s="22"/>
      <c r="Y25" s="22"/>
    </row>
    <row r="26">
      <c r="A26" s="17" t="s">
        <v>82</v>
      </c>
      <c r="B26" s="17" t="s">
        <v>40</v>
      </c>
      <c r="C26" s="17" t="s">
        <v>77</v>
      </c>
      <c r="D26" s="17" t="s">
        <v>83</v>
      </c>
      <c r="E26" s="17" t="s">
        <v>31</v>
      </c>
      <c r="F26" s="25" t="s">
        <v>79</v>
      </c>
      <c r="G26" s="21" t="s">
        <v>33</v>
      </c>
      <c r="H26" s="17" t="s">
        <v>84</v>
      </c>
      <c r="I26" s="17" t="s">
        <v>85</v>
      </c>
      <c r="J26" s="17" t="s">
        <v>36</v>
      </c>
      <c r="K26" s="17" t="s">
        <v>45</v>
      </c>
      <c r="L26" s="27" t="s">
        <v>86</v>
      </c>
      <c r="M26" s="29"/>
      <c r="N26" s="29"/>
      <c r="O26" s="29"/>
      <c r="P26" s="21"/>
      <c r="Q26" s="22"/>
      <c r="R26" s="22"/>
      <c r="S26" s="22"/>
      <c r="T26" s="22"/>
      <c r="U26" s="22"/>
      <c r="V26" s="22"/>
      <c r="W26" s="22"/>
      <c r="X26" s="22"/>
      <c r="Y26" s="22"/>
    </row>
    <row r="27">
      <c r="A27" s="22"/>
      <c r="B27" s="22"/>
      <c r="C27" s="22"/>
      <c r="D27" s="22"/>
      <c r="E27" s="22"/>
      <c r="F27" s="23"/>
      <c r="G27" s="22"/>
      <c r="H27" s="22"/>
      <c r="I27" s="22"/>
      <c r="J27" s="22"/>
      <c r="K27" s="22"/>
      <c r="L27" s="22"/>
      <c r="M27" s="22"/>
      <c r="N27" s="24"/>
      <c r="O27" s="24"/>
      <c r="P27" s="22"/>
      <c r="Q27" s="22"/>
      <c r="R27" s="22"/>
      <c r="S27" s="22"/>
      <c r="T27" s="22"/>
      <c r="U27" s="22"/>
      <c r="V27" s="22"/>
      <c r="W27" s="22"/>
      <c r="X27" s="22"/>
      <c r="Y27" s="22"/>
    </row>
    <row r="28">
      <c r="A28" s="17" t="s">
        <v>87</v>
      </c>
      <c r="B28" s="17" t="s">
        <v>40</v>
      </c>
      <c r="C28" s="17" t="s">
        <v>77</v>
      </c>
      <c r="D28" s="17" t="s">
        <v>88</v>
      </c>
      <c r="E28" s="17" t="s">
        <v>31</v>
      </c>
      <c r="F28" s="25" t="s">
        <v>79</v>
      </c>
      <c r="G28" s="17" t="s">
        <v>33</v>
      </c>
      <c r="H28" s="17" t="s">
        <v>89</v>
      </c>
      <c r="I28" s="17" t="s">
        <v>90</v>
      </c>
      <c r="J28" s="17" t="s">
        <v>36</v>
      </c>
      <c r="K28" s="17" t="s">
        <v>37</v>
      </c>
      <c r="L28" s="26" t="s">
        <v>91</v>
      </c>
      <c r="M28" s="29"/>
      <c r="N28" s="29"/>
      <c r="O28" s="29"/>
      <c r="P28" s="21"/>
      <c r="Q28" s="22"/>
      <c r="R28" s="22"/>
      <c r="S28" s="22"/>
      <c r="T28" s="22"/>
      <c r="U28" s="22"/>
      <c r="V28" s="22"/>
      <c r="W28" s="22"/>
      <c r="X28" s="22"/>
      <c r="Y28" s="22"/>
    </row>
    <row r="29">
      <c r="A29" s="22"/>
      <c r="B29" s="22"/>
      <c r="C29" s="22"/>
      <c r="D29" s="22"/>
      <c r="E29" s="22"/>
      <c r="F29" s="23"/>
      <c r="G29" s="22"/>
      <c r="H29" s="22"/>
      <c r="I29" s="22"/>
      <c r="J29" s="22"/>
      <c r="K29" s="22"/>
      <c r="L29" s="22"/>
      <c r="M29" s="22"/>
      <c r="N29" s="24"/>
      <c r="O29" s="24"/>
      <c r="P29" s="22"/>
      <c r="Q29" s="22"/>
      <c r="R29" s="22"/>
      <c r="S29" s="22"/>
      <c r="T29" s="22"/>
      <c r="U29" s="22"/>
      <c r="V29" s="22"/>
      <c r="W29" s="22"/>
      <c r="X29" s="22"/>
      <c r="Y29" s="22"/>
    </row>
    <row r="30">
      <c r="A30" s="17" t="s">
        <v>92</v>
      </c>
      <c r="B30" s="17" t="s">
        <v>40</v>
      </c>
      <c r="C30" s="17" t="s">
        <v>77</v>
      </c>
      <c r="D30" s="17" t="s">
        <v>93</v>
      </c>
      <c r="E30" s="17" t="s">
        <v>31</v>
      </c>
      <c r="F30" s="25" t="s">
        <v>79</v>
      </c>
      <c r="G30" s="17" t="s">
        <v>33</v>
      </c>
      <c r="H30" s="17" t="s">
        <v>89</v>
      </c>
      <c r="I30" s="17" t="s">
        <v>90</v>
      </c>
      <c r="J30" s="17" t="s">
        <v>36</v>
      </c>
      <c r="K30" s="17" t="s">
        <v>37</v>
      </c>
      <c r="L30" s="26" t="s">
        <v>94</v>
      </c>
      <c r="M30" s="29"/>
      <c r="N30" s="29"/>
      <c r="O30" s="29"/>
      <c r="P30" s="21"/>
      <c r="Q30" s="22"/>
      <c r="R30" s="22"/>
      <c r="S30" s="22"/>
      <c r="T30" s="22"/>
      <c r="U30" s="22"/>
      <c r="V30" s="22"/>
      <c r="W30" s="22"/>
      <c r="X30" s="22"/>
      <c r="Y30" s="22"/>
    </row>
    <row r="31">
      <c r="A31" s="22"/>
      <c r="B31" s="22"/>
      <c r="C31" s="22"/>
      <c r="D31" s="22"/>
      <c r="E31" s="22"/>
      <c r="F31" s="23"/>
      <c r="G31" s="22"/>
      <c r="H31" s="22"/>
      <c r="I31" s="22"/>
      <c r="J31" s="22"/>
      <c r="K31" s="22"/>
      <c r="L31" s="22"/>
      <c r="M31" s="22"/>
      <c r="N31" s="24"/>
      <c r="O31" s="24"/>
      <c r="P31" s="22"/>
      <c r="Q31" s="22"/>
      <c r="R31" s="22"/>
      <c r="S31" s="22"/>
      <c r="T31" s="22"/>
      <c r="U31" s="22"/>
      <c r="V31" s="22"/>
      <c r="W31" s="22"/>
      <c r="X31" s="22"/>
      <c r="Y31" s="22"/>
    </row>
    <row r="32">
      <c r="A32" s="17" t="s">
        <v>95</v>
      </c>
      <c r="B32" s="17" t="s">
        <v>40</v>
      </c>
      <c r="C32" s="17" t="s">
        <v>96</v>
      </c>
      <c r="D32" s="17" t="s">
        <v>97</v>
      </c>
      <c r="E32" s="17" t="s">
        <v>31</v>
      </c>
      <c r="F32" s="25" t="s">
        <v>98</v>
      </c>
      <c r="G32" s="17" t="s">
        <v>33</v>
      </c>
      <c r="H32" s="17" t="s">
        <v>84</v>
      </c>
      <c r="I32" s="17" t="s">
        <v>99</v>
      </c>
      <c r="J32" s="17" t="s">
        <v>36</v>
      </c>
      <c r="K32" s="17" t="s">
        <v>45</v>
      </c>
      <c r="L32" s="26" t="s">
        <v>100</v>
      </c>
      <c r="M32" s="29"/>
      <c r="N32" s="29"/>
      <c r="O32" s="29"/>
      <c r="P32" s="21"/>
      <c r="Q32" s="22"/>
      <c r="R32" s="22"/>
      <c r="S32" s="22"/>
      <c r="T32" s="22"/>
      <c r="U32" s="22"/>
      <c r="V32" s="22"/>
      <c r="W32" s="22"/>
      <c r="X32" s="22"/>
      <c r="Y32" s="22"/>
    </row>
    <row r="33">
      <c r="A33" s="22"/>
      <c r="B33" s="22"/>
      <c r="C33" s="22"/>
      <c r="D33" s="22"/>
      <c r="E33" s="22"/>
      <c r="F33" s="23"/>
      <c r="G33" s="22"/>
      <c r="H33" s="22"/>
      <c r="I33" s="22"/>
      <c r="J33" s="22"/>
      <c r="K33" s="22"/>
      <c r="L33" s="22"/>
      <c r="M33" s="22"/>
      <c r="N33" s="24"/>
      <c r="O33" s="24"/>
      <c r="P33" s="22"/>
      <c r="Q33" s="22"/>
      <c r="R33" s="22"/>
      <c r="S33" s="22"/>
      <c r="T33" s="22"/>
      <c r="U33" s="22"/>
      <c r="V33" s="22"/>
      <c r="W33" s="22"/>
      <c r="X33" s="22"/>
      <c r="Y33" s="22"/>
    </row>
    <row r="34">
      <c r="A34" s="17" t="s">
        <v>101</v>
      </c>
      <c r="B34" s="17" t="s">
        <v>40</v>
      </c>
      <c r="C34" s="17" t="s">
        <v>96</v>
      </c>
      <c r="D34" s="17" t="s">
        <v>102</v>
      </c>
      <c r="E34" s="17" t="s">
        <v>31</v>
      </c>
      <c r="F34" s="25" t="s">
        <v>98</v>
      </c>
      <c r="G34" s="17" t="s">
        <v>33</v>
      </c>
      <c r="H34" s="17" t="s">
        <v>84</v>
      </c>
      <c r="I34" s="17" t="s">
        <v>103</v>
      </c>
      <c r="J34" s="17" t="s">
        <v>36</v>
      </c>
      <c r="K34" s="17" t="s">
        <v>45</v>
      </c>
      <c r="L34" s="26" t="s">
        <v>104</v>
      </c>
      <c r="M34" s="29"/>
      <c r="N34" s="29"/>
      <c r="O34" s="29"/>
      <c r="P34" s="21"/>
      <c r="Q34" s="22"/>
      <c r="R34" s="22"/>
      <c r="S34" s="22"/>
      <c r="T34" s="22"/>
      <c r="U34" s="22"/>
      <c r="V34" s="22"/>
      <c r="W34" s="22"/>
      <c r="X34" s="22"/>
      <c r="Y34" s="22"/>
    </row>
    <row r="35">
      <c r="A35" s="22"/>
      <c r="B35" s="22"/>
      <c r="C35" s="22"/>
      <c r="D35" s="22"/>
      <c r="E35" s="22"/>
      <c r="F35" s="23"/>
      <c r="G35" s="22"/>
      <c r="H35" s="22"/>
      <c r="I35" s="22"/>
      <c r="J35" s="22"/>
      <c r="K35" s="22"/>
      <c r="L35" s="22"/>
      <c r="M35" s="22"/>
      <c r="N35" s="24"/>
      <c r="O35" s="24"/>
      <c r="P35" s="22"/>
      <c r="Q35" s="22"/>
      <c r="R35" s="22"/>
      <c r="S35" s="22"/>
      <c r="T35" s="22"/>
      <c r="U35" s="22"/>
      <c r="V35" s="22"/>
      <c r="W35" s="22"/>
      <c r="X35" s="22"/>
      <c r="Y35" s="22"/>
    </row>
    <row r="36">
      <c r="A36" s="17" t="s">
        <v>105</v>
      </c>
      <c r="B36" s="17" t="s">
        <v>40</v>
      </c>
      <c r="C36" s="17" t="s">
        <v>106</v>
      </c>
      <c r="D36" s="17" t="s">
        <v>107</v>
      </c>
      <c r="E36" s="17" t="s">
        <v>31</v>
      </c>
      <c r="F36" s="25" t="s">
        <v>108</v>
      </c>
      <c r="G36" s="17" t="s">
        <v>33</v>
      </c>
      <c r="H36" s="17" t="s">
        <v>89</v>
      </c>
      <c r="I36" s="17" t="s">
        <v>90</v>
      </c>
      <c r="J36" s="17" t="s">
        <v>36</v>
      </c>
      <c r="K36" s="17" t="s">
        <v>61</v>
      </c>
      <c r="L36" s="26" t="s">
        <v>109</v>
      </c>
      <c r="M36" s="29"/>
      <c r="N36" s="29"/>
      <c r="O36" s="29"/>
      <c r="P36" s="21"/>
      <c r="Q36" s="22"/>
      <c r="R36" s="22"/>
      <c r="S36" s="22"/>
      <c r="T36" s="22"/>
      <c r="U36" s="22"/>
      <c r="V36" s="22"/>
      <c r="W36" s="22"/>
      <c r="X36" s="22"/>
      <c r="Y36" s="22"/>
    </row>
    <row r="37">
      <c r="A37" s="22"/>
      <c r="B37" s="22"/>
      <c r="C37" s="22"/>
      <c r="D37" s="22"/>
      <c r="E37" s="22"/>
      <c r="F37" s="23"/>
      <c r="G37" s="22"/>
      <c r="H37" s="22"/>
      <c r="I37" s="22"/>
      <c r="J37" s="22"/>
      <c r="K37" s="22"/>
      <c r="L37" s="22"/>
      <c r="M37" s="22"/>
      <c r="N37" s="24"/>
      <c r="O37" s="24"/>
      <c r="P37" s="22"/>
      <c r="Q37" s="22"/>
      <c r="R37" s="22"/>
      <c r="S37" s="22"/>
      <c r="T37" s="22"/>
      <c r="U37" s="22"/>
      <c r="V37" s="22"/>
      <c r="W37" s="22"/>
      <c r="X37" s="22"/>
      <c r="Y37" s="22"/>
    </row>
    <row r="38">
      <c r="A38" s="17" t="s">
        <v>110</v>
      </c>
      <c r="B38" s="17" t="s">
        <v>40</v>
      </c>
      <c r="C38" s="17" t="s">
        <v>106</v>
      </c>
      <c r="D38" s="17" t="s">
        <v>111</v>
      </c>
      <c r="E38" s="17" t="s">
        <v>31</v>
      </c>
      <c r="F38" s="25" t="s">
        <v>108</v>
      </c>
      <c r="G38" s="17" t="s">
        <v>33</v>
      </c>
      <c r="H38" s="17" t="s">
        <v>112</v>
      </c>
      <c r="I38" s="17" t="s">
        <v>113</v>
      </c>
      <c r="J38" s="17" t="s">
        <v>36</v>
      </c>
      <c r="K38" s="17" t="s">
        <v>45</v>
      </c>
      <c r="L38" s="26" t="s">
        <v>114</v>
      </c>
      <c r="M38" s="29"/>
      <c r="N38" s="29"/>
      <c r="O38" s="29"/>
      <c r="P38" s="21"/>
      <c r="Q38" s="22"/>
      <c r="R38" s="22"/>
      <c r="S38" s="22"/>
      <c r="T38" s="22"/>
      <c r="U38" s="22"/>
      <c r="V38" s="22"/>
      <c r="W38" s="22"/>
      <c r="X38" s="22"/>
      <c r="Y38" s="22"/>
    </row>
    <row r="39">
      <c r="A39" s="22"/>
      <c r="B39" s="22"/>
      <c r="C39" s="22"/>
      <c r="D39" s="22"/>
      <c r="E39" s="22"/>
      <c r="F39" s="23"/>
      <c r="G39" s="22"/>
      <c r="H39" s="22"/>
      <c r="I39" s="22"/>
      <c r="J39" s="22"/>
      <c r="K39" s="22"/>
      <c r="L39" s="22"/>
      <c r="M39" s="22"/>
      <c r="N39" s="24"/>
      <c r="O39" s="24"/>
      <c r="P39" s="22"/>
      <c r="Q39" s="22"/>
      <c r="R39" s="22"/>
      <c r="S39" s="22"/>
      <c r="T39" s="22"/>
      <c r="U39" s="22"/>
      <c r="V39" s="22"/>
      <c r="W39" s="22"/>
      <c r="X39" s="22"/>
      <c r="Y39" s="22"/>
    </row>
    <row r="40">
      <c r="A40" s="17" t="s">
        <v>115</v>
      </c>
      <c r="B40" s="17" t="s">
        <v>40</v>
      </c>
      <c r="C40" s="17" t="s">
        <v>106</v>
      </c>
      <c r="D40" s="17" t="s">
        <v>116</v>
      </c>
      <c r="E40" s="17" t="s">
        <v>31</v>
      </c>
      <c r="F40" s="25" t="s">
        <v>108</v>
      </c>
      <c r="G40" s="17" t="s">
        <v>33</v>
      </c>
      <c r="H40" s="17" t="s">
        <v>117</v>
      </c>
      <c r="I40" s="17" t="s">
        <v>118</v>
      </c>
      <c r="J40" s="17" t="s">
        <v>36</v>
      </c>
      <c r="K40" s="17" t="s">
        <v>37</v>
      </c>
      <c r="L40" s="26" t="s">
        <v>119</v>
      </c>
      <c r="M40" s="29"/>
      <c r="N40" s="29"/>
      <c r="O40" s="29"/>
      <c r="P40" s="21"/>
      <c r="Q40" s="22"/>
      <c r="R40" s="22"/>
      <c r="S40" s="22"/>
      <c r="T40" s="22"/>
      <c r="U40" s="22"/>
      <c r="V40" s="22"/>
      <c r="W40" s="22"/>
      <c r="X40" s="22"/>
      <c r="Y40" s="22"/>
    </row>
    <row r="41">
      <c r="A41" s="22"/>
      <c r="B41" s="22"/>
      <c r="C41" s="22"/>
      <c r="D41" s="22"/>
      <c r="E41" s="22"/>
      <c r="F41" s="23"/>
      <c r="G41" s="22"/>
      <c r="H41" s="22"/>
      <c r="I41" s="22"/>
      <c r="J41" s="22"/>
      <c r="K41" s="22"/>
      <c r="L41" s="22"/>
      <c r="M41" s="22"/>
      <c r="N41" s="24"/>
      <c r="O41" s="24"/>
      <c r="P41" s="22"/>
      <c r="Q41" s="22"/>
      <c r="R41" s="22"/>
      <c r="S41" s="22"/>
      <c r="T41" s="22"/>
      <c r="U41" s="22"/>
      <c r="V41" s="22"/>
      <c r="W41" s="22"/>
      <c r="X41" s="22"/>
      <c r="Y41" s="22"/>
    </row>
    <row r="42">
      <c r="A42" s="17" t="s">
        <v>120</v>
      </c>
      <c r="B42" s="17" t="s">
        <v>40</v>
      </c>
      <c r="C42" s="17" t="s">
        <v>106</v>
      </c>
      <c r="D42" s="17" t="s">
        <v>121</v>
      </c>
      <c r="E42" s="17" t="s">
        <v>31</v>
      </c>
      <c r="F42" s="25" t="s">
        <v>108</v>
      </c>
      <c r="G42" s="17" t="s">
        <v>33</v>
      </c>
      <c r="H42" s="17" t="s">
        <v>84</v>
      </c>
      <c r="I42" s="17" t="s">
        <v>122</v>
      </c>
      <c r="J42" s="17" t="s">
        <v>36</v>
      </c>
      <c r="K42" s="17" t="s">
        <v>37</v>
      </c>
      <c r="L42" s="26" t="s">
        <v>123</v>
      </c>
      <c r="M42" s="29"/>
      <c r="N42" s="29"/>
      <c r="O42" s="29"/>
      <c r="P42" s="21"/>
      <c r="Q42" s="22"/>
      <c r="R42" s="22"/>
      <c r="S42" s="22"/>
      <c r="T42" s="22"/>
      <c r="U42" s="22"/>
      <c r="V42" s="22"/>
      <c r="W42" s="22"/>
      <c r="X42" s="22"/>
      <c r="Y42" s="22"/>
    </row>
    <row r="43">
      <c r="A43" s="22"/>
      <c r="B43" s="22"/>
      <c r="C43" s="22"/>
      <c r="D43" s="22"/>
      <c r="E43" s="22"/>
      <c r="F43" s="23"/>
      <c r="G43" s="22"/>
      <c r="H43" s="22"/>
      <c r="I43" s="22"/>
      <c r="J43" s="22"/>
      <c r="K43" s="22"/>
      <c r="L43" s="22"/>
      <c r="M43" s="22"/>
      <c r="N43" s="24"/>
      <c r="O43" s="24"/>
      <c r="P43" s="22"/>
      <c r="Q43" s="22"/>
      <c r="R43" s="22"/>
      <c r="S43" s="22"/>
      <c r="T43" s="22"/>
      <c r="U43" s="22"/>
      <c r="V43" s="22"/>
      <c r="W43" s="22"/>
      <c r="X43" s="22"/>
      <c r="Y43" s="22"/>
    </row>
    <row r="44">
      <c r="A44" s="17" t="s">
        <v>124</v>
      </c>
      <c r="B44" s="17" t="s">
        <v>40</v>
      </c>
      <c r="C44" s="17" t="s">
        <v>125</v>
      </c>
      <c r="D44" s="17" t="s">
        <v>126</v>
      </c>
      <c r="E44" s="17" t="s">
        <v>31</v>
      </c>
      <c r="F44" s="25" t="s">
        <v>127</v>
      </c>
      <c r="G44" s="17" t="s">
        <v>33</v>
      </c>
      <c r="H44" s="17" t="s">
        <v>89</v>
      </c>
      <c r="I44" s="17" t="s">
        <v>90</v>
      </c>
      <c r="J44" s="17" t="s">
        <v>36</v>
      </c>
      <c r="K44" s="17" t="s">
        <v>37</v>
      </c>
      <c r="L44" s="26" t="s">
        <v>128</v>
      </c>
      <c r="M44" s="29"/>
      <c r="N44" s="29"/>
      <c r="O44" s="29"/>
      <c r="P44" s="21"/>
      <c r="Q44" s="22"/>
      <c r="R44" s="22"/>
      <c r="S44" s="22"/>
      <c r="T44" s="22"/>
      <c r="U44" s="22"/>
      <c r="V44" s="22"/>
      <c r="W44" s="22"/>
      <c r="X44" s="22"/>
      <c r="Y44" s="22"/>
    </row>
    <row r="45">
      <c r="A45" s="22"/>
      <c r="B45" s="22"/>
      <c r="C45" s="22"/>
      <c r="D45" s="22"/>
      <c r="E45" s="22"/>
      <c r="F45" s="23"/>
      <c r="G45" s="22"/>
      <c r="H45" s="22"/>
      <c r="I45" s="22"/>
      <c r="J45" s="22"/>
      <c r="K45" s="22"/>
      <c r="L45" s="22"/>
      <c r="M45" s="22"/>
      <c r="N45" s="24"/>
      <c r="O45" s="24"/>
      <c r="P45" s="22"/>
      <c r="Q45" s="22"/>
      <c r="R45" s="22"/>
      <c r="S45" s="22"/>
      <c r="T45" s="22"/>
      <c r="U45" s="22"/>
      <c r="V45" s="22"/>
      <c r="W45" s="22"/>
      <c r="X45" s="22"/>
      <c r="Y45" s="22"/>
    </row>
    <row r="46">
      <c r="A46" s="17" t="s">
        <v>129</v>
      </c>
      <c r="B46" s="17" t="s">
        <v>40</v>
      </c>
      <c r="C46" s="17" t="s">
        <v>125</v>
      </c>
      <c r="D46" s="17" t="s">
        <v>130</v>
      </c>
      <c r="E46" s="17" t="s">
        <v>31</v>
      </c>
      <c r="F46" s="25" t="s">
        <v>127</v>
      </c>
      <c r="G46" s="17" t="s">
        <v>33</v>
      </c>
      <c r="H46" s="17" t="s">
        <v>131</v>
      </c>
      <c r="I46" s="17" t="s">
        <v>132</v>
      </c>
      <c r="J46" s="17" t="s">
        <v>36</v>
      </c>
      <c r="K46" s="17" t="s">
        <v>45</v>
      </c>
      <c r="L46" s="26" t="s">
        <v>133</v>
      </c>
      <c r="M46" s="29"/>
      <c r="N46" s="29"/>
      <c r="O46" s="29"/>
      <c r="P46" s="21"/>
      <c r="Q46" s="22"/>
      <c r="R46" s="22"/>
      <c r="S46" s="22"/>
      <c r="T46" s="22"/>
      <c r="U46" s="22"/>
      <c r="V46" s="22"/>
      <c r="W46" s="22"/>
      <c r="X46" s="22"/>
      <c r="Y46" s="22"/>
    </row>
    <row r="47">
      <c r="A47" s="22"/>
      <c r="B47" s="22"/>
      <c r="C47" s="22"/>
      <c r="D47" s="22"/>
      <c r="E47" s="22"/>
      <c r="F47" s="23"/>
      <c r="G47" s="22"/>
      <c r="H47" s="22"/>
      <c r="I47" s="22"/>
      <c r="J47" s="22"/>
      <c r="K47" s="22"/>
      <c r="L47" s="22"/>
      <c r="M47" s="22"/>
      <c r="N47" s="24"/>
      <c r="O47" s="24"/>
      <c r="P47" s="22"/>
      <c r="Q47" s="22"/>
      <c r="R47" s="22"/>
      <c r="S47" s="22"/>
      <c r="T47" s="22"/>
      <c r="U47" s="22"/>
      <c r="V47" s="22"/>
      <c r="W47" s="22"/>
      <c r="X47" s="22"/>
      <c r="Y47" s="22"/>
    </row>
    <row r="48">
      <c r="A48" s="17" t="s">
        <v>134</v>
      </c>
      <c r="B48" s="17" t="s">
        <v>40</v>
      </c>
      <c r="C48" s="17" t="s">
        <v>125</v>
      </c>
      <c r="D48" s="17" t="s">
        <v>135</v>
      </c>
      <c r="E48" s="17" t="s">
        <v>31</v>
      </c>
      <c r="F48" s="25" t="s">
        <v>127</v>
      </c>
      <c r="G48" s="17" t="s">
        <v>33</v>
      </c>
      <c r="H48" s="17" t="s">
        <v>136</v>
      </c>
      <c r="I48" s="17" t="s">
        <v>137</v>
      </c>
      <c r="J48" s="17" t="s">
        <v>36</v>
      </c>
      <c r="K48" s="17" t="s">
        <v>45</v>
      </c>
      <c r="L48" s="26" t="s">
        <v>138</v>
      </c>
      <c r="M48" s="21"/>
      <c r="N48" s="29"/>
      <c r="O48" s="29"/>
      <c r="P48" s="21"/>
      <c r="Q48" s="22"/>
      <c r="R48" s="22"/>
      <c r="S48" s="22"/>
      <c r="T48" s="22"/>
      <c r="U48" s="22"/>
      <c r="V48" s="22"/>
      <c r="W48" s="22"/>
      <c r="X48" s="22"/>
      <c r="Y48" s="22"/>
    </row>
    <row r="49">
      <c r="A49" s="22"/>
      <c r="B49" s="22"/>
      <c r="C49" s="22"/>
      <c r="D49" s="22"/>
      <c r="E49" s="22"/>
      <c r="F49" s="23"/>
      <c r="G49" s="22"/>
      <c r="H49" s="22"/>
      <c r="I49" s="22"/>
      <c r="J49" s="22"/>
      <c r="K49" s="22"/>
      <c r="L49" s="22"/>
      <c r="M49" s="22"/>
      <c r="N49" s="24"/>
      <c r="O49" s="24"/>
      <c r="P49" s="22"/>
      <c r="Q49" s="22"/>
      <c r="R49" s="22"/>
      <c r="S49" s="22"/>
      <c r="T49" s="22"/>
      <c r="U49" s="22"/>
      <c r="V49" s="22"/>
      <c r="W49" s="22"/>
      <c r="X49" s="22"/>
      <c r="Y49" s="22"/>
    </row>
    <row r="50">
      <c r="A50" s="17" t="s">
        <v>139</v>
      </c>
      <c r="B50" s="17" t="s">
        <v>40</v>
      </c>
      <c r="C50" s="17" t="s">
        <v>125</v>
      </c>
      <c r="D50" s="17" t="s">
        <v>140</v>
      </c>
      <c r="E50" s="17" t="s">
        <v>31</v>
      </c>
      <c r="F50" s="25" t="s">
        <v>127</v>
      </c>
      <c r="G50" s="17" t="s">
        <v>33</v>
      </c>
      <c r="H50" s="17" t="s">
        <v>141</v>
      </c>
      <c r="I50" s="17" t="s">
        <v>142</v>
      </c>
      <c r="J50" s="17" t="s">
        <v>36</v>
      </c>
      <c r="K50" s="17" t="s">
        <v>37</v>
      </c>
      <c r="L50" s="26" t="s">
        <v>143</v>
      </c>
      <c r="M50" s="29"/>
      <c r="N50" s="29"/>
      <c r="O50" s="29"/>
      <c r="P50" s="21"/>
      <c r="Q50" s="22"/>
      <c r="R50" s="22"/>
      <c r="S50" s="22"/>
      <c r="T50" s="22"/>
      <c r="U50" s="22"/>
      <c r="V50" s="22"/>
      <c r="W50" s="22"/>
      <c r="X50" s="22"/>
      <c r="Y50" s="22"/>
    </row>
    <row r="51">
      <c r="A51" s="22"/>
      <c r="B51" s="22"/>
      <c r="C51" s="22"/>
      <c r="D51" s="22"/>
      <c r="E51" s="22"/>
      <c r="F51" s="23"/>
      <c r="G51" s="22"/>
      <c r="H51" s="22"/>
      <c r="I51" s="22"/>
      <c r="J51" s="22"/>
      <c r="K51" s="22"/>
      <c r="L51" s="22"/>
      <c r="M51" s="22"/>
      <c r="N51" s="24"/>
      <c r="O51" s="24"/>
      <c r="P51" s="22"/>
      <c r="Q51" s="22"/>
      <c r="R51" s="22"/>
      <c r="S51" s="22"/>
      <c r="T51" s="22"/>
      <c r="U51" s="22"/>
      <c r="V51" s="22"/>
      <c r="W51" s="22"/>
      <c r="X51" s="22"/>
      <c r="Y51" s="22"/>
    </row>
    <row r="52">
      <c r="A52" s="17" t="s">
        <v>144</v>
      </c>
      <c r="B52" s="17" t="s">
        <v>40</v>
      </c>
      <c r="C52" s="17" t="s">
        <v>125</v>
      </c>
      <c r="D52" s="17" t="s">
        <v>145</v>
      </c>
      <c r="E52" s="17" t="s">
        <v>31</v>
      </c>
      <c r="F52" s="25" t="s">
        <v>146</v>
      </c>
      <c r="G52" s="17" t="s">
        <v>147</v>
      </c>
      <c r="H52" s="17" t="s">
        <v>148</v>
      </c>
      <c r="I52" s="17" t="s">
        <v>149</v>
      </c>
      <c r="J52" s="17" t="s">
        <v>36</v>
      </c>
      <c r="K52" s="17" t="s">
        <v>45</v>
      </c>
      <c r="L52" s="27" t="s">
        <v>150</v>
      </c>
      <c r="M52" s="29"/>
      <c r="N52" s="29"/>
      <c r="O52" s="29"/>
      <c r="P52" s="21"/>
      <c r="Q52" s="22"/>
      <c r="R52" s="22"/>
      <c r="S52" s="22"/>
      <c r="T52" s="22"/>
      <c r="U52" s="22"/>
      <c r="V52" s="22"/>
      <c r="W52" s="22"/>
      <c r="X52" s="22"/>
      <c r="Y52" s="22"/>
    </row>
    <row r="53">
      <c r="A53" s="22"/>
      <c r="B53" s="22"/>
      <c r="C53" s="22"/>
      <c r="D53" s="22"/>
      <c r="E53" s="22"/>
      <c r="F53" s="23"/>
      <c r="G53" s="22"/>
      <c r="H53" s="22"/>
      <c r="I53" s="22"/>
      <c r="J53" s="22"/>
      <c r="K53" s="22"/>
      <c r="L53" s="22"/>
      <c r="M53" s="22"/>
      <c r="N53" s="24"/>
      <c r="O53" s="24"/>
      <c r="P53" s="22"/>
      <c r="Q53" s="22"/>
      <c r="R53" s="22"/>
      <c r="S53" s="22"/>
      <c r="T53" s="22"/>
      <c r="U53" s="22"/>
      <c r="V53" s="22"/>
      <c r="W53" s="22"/>
      <c r="X53" s="22"/>
      <c r="Y53" s="22"/>
    </row>
    <row r="54">
      <c r="A54" s="17" t="s">
        <v>151</v>
      </c>
      <c r="B54" s="17" t="s">
        <v>40</v>
      </c>
      <c r="C54" s="17" t="s">
        <v>152</v>
      </c>
      <c r="D54" s="17" t="s">
        <v>153</v>
      </c>
      <c r="E54" s="17" t="s">
        <v>31</v>
      </c>
      <c r="F54" s="25" t="s">
        <v>154</v>
      </c>
      <c r="G54" s="17" t="s">
        <v>147</v>
      </c>
      <c r="H54" s="17" t="s">
        <v>155</v>
      </c>
      <c r="I54" s="17" t="s">
        <v>156</v>
      </c>
      <c r="J54" s="17" t="s">
        <v>36</v>
      </c>
      <c r="K54" s="17" t="s">
        <v>45</v>
      </c>
      <c r="L54" s="26" t="s">
        <v>157</v>
      </c>
      <c r="M54" s="29"/>
      <c r="N54" s="29"/>
      <c r="O54" s="29"/>
      <c r="P54" s="21"/>
      <c r="Q54" s="22"/>
      <c r="R54" s="22"/>
      <c r="S54" s="22"/>
      <c r="T54" s="22"/>
      <c r="U54" s="22"/>
      <c r="V54" s="22"/>
      <c r="W54" s="22"/>
      <c r="X54" s="22"/>
      <c r="Y54" s="22"/>
    </row>
    <row r="55">
      <c r="A55" s="22"/>
      <c r="B55" s="22"/>
      <c r="C55" s="22"/>
      <c r="D55" s="22"/>
      <c r="E55" s="22"/>
      <c r="F55" s="23"/>
      <c r="G55" s="22"/>
      <c r="H55" s="22"/>
      <c r="I55" s="22"/>
      <c r="J55" s="22"/>
      <c r="K55" s="22"/>
      <c r="L55" s="22"/>
      <c r="M55" s="22"/>
      <c r="N55" s="24"/>
      <c r="O55" s="24"/>
      <c r="P55" s="22"/>
      <c r="Q55" s="22"/>
      <c r="R55" s="22"/>
      <c r="S55" s="22"/>
      <c r="T55" s="22"/>
      <c r="U55" s="22"/>
      <c r="V55" s="22"/>
      <c r="W55" s="22"/>
      <c r="X55" s="22"/>
      <c r="Y55" s="22"/>
    </row>
    <row r="56">
      <c r="A56" s="17" t="s">
        <v>158</v>
      </c>
      <c r="B56" s="17" t="s">
        <v>40</v>
      </c>
      <c r="C56" s="17" t="s">
        <v>125</v>
      </c>
      <c r="D56" s="17" t="s">
        <v>159</v>
      </c>
      <c r="E56" s="17" t="s">
        <v>31</v>
      </c>
      <c r="F56" s="25" t="s">
        <v>146</v>
      </c>
      <c r="G56" s="17" t="s">
        <v>33</v>
      </c>
      <c r="H56" s="17" t="s">
        <v>160</v>
      </c>
      <c r="I56" s="17" t="s">
        <v>161</v>
      </c>
      <c r="J56" s="17" t="s">
        <v>36</v>
      </c>
      <c r="K56" s="17" t="s">
        <v>45</v>
      </c>
      <c r="L56" s="26" t="s">
        <v>162</v>
      </c>
      <c r="M56" s="29"/>
      <c r="N56" s="29"/>
      <c r="O56" s="29"/>
      <c r="P56" s="21"/>
      <c r="Q56" s="22"/>
      <c r="R56" s="22"/>
      <c r="S56" s="22"/>
      <c r="T56" s="22"/>
      <c r="U56" s="22"/>
      <c r="V56" s="22"/>
      <c r="W56" s="22"/>
      <c r="X56" s="22"/>
      <c r="Y56" s="22"/>
    </row>
    <row r="57">
      <c r="A57" s="22"/>
      <c r="B57" s="22"/>
      <c r="C57" s="22"/>
      <c r="D57" s="22"/>
      <c r="E57" s="22"/>
      <c r="F57" s="23"/>
      <c r="G57" s="22"/>
      <c r="H57" s="22"/>
      <c r="I57" s="22"/>
      <c r="J57" s="22"/>
      <c r="K57" s="22"/>
      <c r="L57" s="22"/>
      <c r="M57" s="22"/>
      <c r="N57" s="24"/>
      <c r="O57" s="24"/>
      <c r="P57" s="22"/>
      <c r="Q57" s="22"/>
      <c r="R57" s="22"/>
      <c r="S57" s="22"/>
      <c r="T57" s="22"/>
      <c r="U57" s="22"/>
      <c r="V57" s="22"/>
      <c r="W57" s="22"/>
      <c r="X57" s="22"/>
      <c r="Y57" s="22"/>
    </row>
    <row r="58">
      <c r="A58" s="17" t="s">
        <v>163</v>
      </c>
      <c r="B58" s="17" t="s">
        <v>40</v>
      </c>
      <c r="C58" s="17" t="s">
        <v>125</v>
      </c>
      <c r="D58" s="17" t="s">
        <v>164</v>
      </c>
      <c r="E58" s="17" t="s">
        <v>31</v>
      </c>
      <c r="F58" s="25" t="s">
        <v>146</v>
      </c>
      <c r="G58" s="17" t="s">
        <v>33</v>
      </c>
      <c r="H58" s="17" t="s">
        <v>165</v>
      </c>
      <c r="I58" s="17" t="s">
        <v>166</v>
      </c>
      <c r="J58" s="17" t="s">
        <v>36</v>
      </c>
      <c r="K58" s="17" t="s">
        <v>45</v>
      </c>
      <c r="L58" s="26" t="s">
        <v>167</v>
      </c>
      <c r="M58" s="29"/>
      <c r="N58" s="29"/>
      <c r="O58" s="29"/>
      <c r="P58" s="21"/>
      <c r="Q58" s="22"/>
      <c r="R58" s="22"/>
      <c r="S58" s="22"/>
      <c r="T58" s="22"/>
      <c r="U58" s="22"/>
      <c r="V58" s="22"/>
      <c r="W58" s="22"/>
      <c r="X58" s="22"/>
      <c r="Y58" s="22"/>
    </row>
    <row r="59">
      <c r="A59" s="22"/>
      <c r="B59" s="22"/>
      <c r="C59" s="22"/>
      <c r="D59" s="22"/>
      <c r="E59" s="22"/>
      <c r="F59" s="23"/>
      <c r="G59" s="22"/>
      <c r="H59" s="22"/>
      <c r="I59" s="22"/>
      <c r="J59" s="22"/>
      <c r="K59" s="22"/>
      <c r="L59" s="22"/>
      <c r="M59" s="22"/>
      <c r="N59" s="24"/>
      <c r="O59" s="24"/>
      <c r="P59" s="22"/>
      <c r="Q59" s="22"/>
      <c r="R59" s="22"/>
      <c r="S59" s="22"/>
      <c r="T59" s="22"/>
      <c r="U59" s="22"/>
      <c r="V59" s="22"/>
      <c r="W59" s="22"/>
      <c r="X59" s="22"/>
      <c r="Y59" s="22"/>
    </row>
    <row r="60">
      <c r="A60" s="17" t="s">
        <v>168</v>
      </c>
      <c r="B60" s="17" t="s">
        <v>40</v>
      </c>
      <c r="C60" s="17" t="s">
        <v>169</v>
      </c>
      <c r="D60" s="17" t="s">
        <v>170</v>
      </c>
      <c r="E60" s="17" t="s">
        <v>31</v>
      </c>
      <c r="F60" s="25" t="s">
        <v>171</v>
      </c>
      <c r="G60" s="17" t="s">
        <v>33</v>
      </c>
      <c r="H60" s="17" t="s">
        <v>172</v>
      </c>
      <c r="I60" s="17" t="s">
        <v>173</v>
      </c>
      <c r="J60" s="17" t="s">
        <v>36</v>
      </c>
      <c r="K60" s="17" t="s">
        <v>37</v>
      </c>
      <c r="L60" s="26" t="s">
        <v>174</v>
      </c>
      <c r="M60" s="29"/>
      <c r="N60" s="29"/>
      <c r="O60" s="29"/>
      <c r="P60" s="21"/>
      <c r="Q60" s="22"/>
      <c r="R60" s="22"/>
      <c r="S60" s="22"/>
      <c r="T60" s="22"/>
      <c r="U60" s="22"/>
      <c r="V60" s="22"/>
      <c r="W60" s="22"/>
      <c r="X60" s="22"/>
      <c r="Y60" s="22"/>
    </row>
    <row r="61">
      <c r="A61" s="22"/>
      <c r="B61" s="22"/>
      <c r="C61" s="22"/>
      <c r="D61" s="22"/>
      <c r="E61" s="22"/>
      <c r="F61" s="23"/>
      <c r="G61" s="22"/>
      <c r="H61" s="22"/>
      <c r="I61" s="22"/>
      <c r="J61" s="22"/>
      <c r="K61" s="22"/>
      <c r="L61" s="22"/>
      <c r="M61" s="22"/>
      <c r="N61" s="24"/>
      <c r="O61" s="24"/>
      <c r="P61" s="22"/>
      <c r="Q61" s="22"/>
      <c r="R61" s="22"/>
      <c r="S61" s="22"/>
      <c r="T61" s="22"/>
      <c r="U61" s="22"/>
      <c r="V61" s="22"/>
      <c r="W61" s="22"/>
      <c r="X61" s="22"/>
      <c r="Y61" s="22"/>
    </row>
    <row r="62">
      <c r="A62" s="17" t="s">
        <v>175</v>
      </c>
      <c r="B62" s="17" t="s">
        <v>40</v>
      </c>
      <c r="C62" s="17" t="s">
        <v>169</v>
      </c>
      <c r="D62" s="17" t="s">
        <v>176</v>
      </c>
      <c r="E62" s="17" t="s">
        <v>31</v>
      </c>
      <c r="F62" s="25" t="s">
        <v>171</v>
      </c>
      <c r="G62" s="17" t="s">
        <v>33</v>
      </c>
      <c r="H62" s="17" t="s">
        <v>84</v>
      </c>
      <c r="I62" s="17" t="s">
        <v>177</v>
      </c>
      <c r="J62" s="17" t="s">
        <v>36</v>
      </c>
      <c r="K62" s="17" t="s">
        <v>45</v>
      </c>
      <c r="L62" s="26" t="s">
        <v>178</v>
      </c>
      <c r="M62" s="29"/>
      <c r="N62" s="29"/>
      <c r="O62" s="29"/>
      <c r="P62" s="21"/>
      <c r="Q62" s="22"/>
      <c r="R62" s="22"/>
      <c r="S62" s="22"/>
      <c r="T62" s="22"/>
      <c r="U62" s="22"/>
      <c r="V62" s="22"/>
      <c r="W62" s="22"/>
      <c r="X62" s="22"/>
      <c r="Y62" s="22"/>
    </row>
    <row r="63">
      <c r="A63" s="22"/>
      <c r="B63" s="22"/>
      <c r="C63" s="22"/>
      <c r="D63" s="22"/>
      <c r="E63" s="22"/>
      <c r="F63" s="23"/>
      <c r="G63" s="22"/>
      <c r="H63" s="22"/>
      <c r="I63" s="22"/>
      <c r="J63" s="22"/>
      <c r="K63" s="22"/>
      <c r="L63" s="22"/>
      <c r="M63" s="22"/>
      <c r="N63" s="24"/>
      <c r="O63" s="24"/>
      <c r="P63" s="22"/>
      <c r="Q63" s="22"/>
      <c r="R63" s="22"/>
      <c r="S63" s="22"/>
      <c r="T63" s="22"/>
      <c r="U63" s="22"/>
      <c r="V63" s="22"/>
      <c r="W63" s="22"/>
      <c r="X63" s="22"/>
      <c r="Y63" s="22"/>
    </row>
    <row r="64">
      <c r="A64" s="17" t="s">
        <v>179</v>
      </c>
      <c r="B64" s="17" t="s">
        <v>40</v>
      </c>
      <c r="C64" s="17" t="s">
        <v>41</v>
      </c>
      <c r="D64" s="17" t="s">
        <v>180</v>
      </c>
      <c r="E64" s="17" t="s">
        <v>31</v>
      </c>
      <c r="F64" s="32" t="s">
        <v>181</v>
      </c>
      <c r="G64" s="17" t="s">
        <v>33</v>
      </c>
      <c r="H64" s="17" t="s">
        <v>182</v>
      </c>
      <c r="I64" s="17" t="s">
        <v>183</v>
      </c>
      <c r="J64" s="17" t="s">
        <v>36</v>
      </c>
      <c r="K64" s="17" t="s">
        <v>37</v>
      </c>
      <c r="L64" s="26" t="s">
        <v>184</v>
      </c>
      <c r="M64" s="29"/>
      <c r="N64" s="29"/>
      <c r="O64" s="29"/>
      <c r="P64" s="21"/>
      <c r="Q64" s="22"/>
      <c r="R64" s="22"/>
      <c r="S64" s="22"/>
      <c r="T64" s="22"/>
      <c r="U64" s="22"/>
      <c r="V64" s="22"/>
      <c r="W64" s="22"/>
      <c r="X64" s="22"/>
      <c r="Y64" s="22"/>
    </row>
    <row r="65">
      <c r="A65" s="22"/>
      <c r="B65" s="22"/>
      <c r="C65" s="22"/>
      <c r="D65" s="22"/>
      <c r="E65" s="22"/>
      <c r="F65" s="23"/>
      <c r="G65" s="22"/>
      <c r="H65" s="22"/>
      <c r="I65" s="22"/>
      <c r="J65" s="22"/>
      <c r="K65" s="22"/>
      <c r="L65" s="22"/>
      <c r="M65" s="22"/>
      <c r="N65" s="24"/>
      <c r="O65" s="24"/>
      <c r="P65" s="22"/>
      <c r="Q65" s="22"/>
      <c r="R65" s="22"/>
      <c r="S65" s="22"/>
      <c r="T65" s="22"/>
      <c r="U65" s="22"/>
      <c r="V65" s="22"/>
      <c r="W65" s="22"/>
      <c r="X65" s="22"/>
      <c r="Y65" s="22"/>
    </row>
    <row r="66">
      <c r="A66" s="17" t="s">
        <v>185</v>
      </c>
      <c r="B66" s="17" t="s">
        <v>40</v>
      </c>
      <c r="C66" s="17" t="s">
        <v>186</v>
      </c>
      <c r="D66" s="17" t="s">
        <v>187</v>
      </c>
      <c r="E66" s="17" t="s">
        <v>31</v>
      </c>
      <c r="F66" s="32" t="s">
        <v>188</v>
      </c>
      <c r="G66" s="17" t="s">
        <v>33</v>
      </c>
      <c r="H66" s="17" t="s">
        <v>189</v>
      </c>
      <c r="I66" s="17" t="s">
        <v>190</v>
      </c>
      <c r="J66" s="17" t="s">
        <v>36</v>
      </c>
      <c r="K66" s="17" t="s">
        <v>45</v>
      </c>
      <c r="L66" s="26" t="s">
        <v>191</v>
      </c>
      <c r="M66" s="29"/>
      <c r="N66" s="29"/>
      <c r="O66" s="29"/>
      <c r="P66" s="21"/>
      <c r="Q66" s="22"/>
      <c r="R66" s="22"/>
      <c r="S66" s="22"/>
      <c r="T66" s="22"/>
      <c r="U66" s="22"/>
      <c r="V66" s="22"/>
      <c r="W66" s="22"/>
      <c r="X66" s="22"/>
      <c r="Y66" s="22"/>
    </row>
    <row r="67">
      <c r="A67" s="22"/>
      <c r="B67" s="22"/>
      <c r="C67" s="22"/>
      <c r="D67" s="22"/>
      <c r="E67" s="22"/>
      <c r="F67" s="23"/>
      <c r="G67" s="22"/>
      <c r="H67" s="22"/>
      <c r="I67" s="22"/>
      <c r="J67" s="22"/>
      <c r="K67" s="22"/>
      <c r="L67" s="22"/>
      <c r="M67" s="22"/>
      <c r="N67" s="24"/>
      <c r="O67" s="24"/>
      <c r="P67" s="22"/>
      <c r="Q67" s="22"/>
      <c r="R67" s="22"/>
      <c r="S67" s="22"/>
      <c r="T67" s="22"/>
      <c r="U67" s="22"/>
      <c r="V67" s="22"/>
      <c r="W67" s="22"/>
      <c r="X67" s="22"/>
      <c r="Y67" s="22"/>
    </row>
    <row r="68">
      <c r="A68" s="17" t="s">
        <v>192</v>
      </c>
      <c r="B68" s="30"/>
      <c r="C68" s="30"/>
      <c r="D68" s="30"/>
      <c r="E68" s="30"/>
      <c r="F68" s="33"/>
      <c r="G68" s="29"/>
      <c r="H68" s="30"/>
      <c r="I68" s="30"/>
      <c r="J68" s="30"/>
      <c r="K68" s="30"/>
      <c r="L68" s="34"/>
      <c r="M68" s="29"/>
      <c r="N68" s="29"/>
      <c r="O68" s="29"/>
      <c r="P68" s="21"/>
      <c r="Q68" s="22"/>
      <c r="R68" s="22"/>
      <c r="S68" s="22"/>
      <c r="T68" s="22"/>
      <c r="U68" s="22"/>
      <c r="V68" s="22"/>
      <c r="W68" s="22"/>
      <c r="X68" s="22"/>
      <c r="Y68" s="22"/>
    </row>
    <row r="69">
      <c r="A69" s="22"/>
      <c r="B69" s="22"/>
      <c r="C69" s="22"/>
      <c r="D69" s="22"/>
      <c r="E69" s="22"/>
      <c r="F69" s="23"/>
      <c r="G69" s="22"/>
      <c r="H69" s="22"/>
      <c r="I69" s="22"/>
      <c r="J69" s="22"/>
      <c r="K69" s="22"/>
      <c r="L69" s="22"/>
      <c r="M69" s="22"/>
      <c r="N69" s="24"/>
      <c r="O69" s="24"/>
      <c r="P69" s="22"/>
      <c r="Q69" s="22"/>
      <c r="R69" s="22"/>
      <c r="S69" s="22"/>
      <c r="T69" s="22"/>
      <c r="U69" s="22"/>
      <c r="V69" s="22"/>
      <c r="W69" s="22"/>
      <c r="X69" s="22"/>
      <c r="Y69" s="22"/>
    </row>
    <row r="70">
      <c r="A70" s="17" t="s">
        <v>193</v>
      </c>
      <c r="B70" s="30"/>
      <c r="C70" s="30"/>
      <c r="D70" s="30"/>
      <c r="E70" s="30"/>
      <c r="F70" s="33"/>
      <c r="G70" s="29"/>
      <c r="H70" s="30"/>
      <c r="I70" s="30"/>
      <c r="J70" s="30"/>
      <c r="K70" s="30"/>
      <c r="L70" s="34"/>
      <c r="M70" s="29"/>
      <c r="N70" s="29"/>
      <c r="O70" s="29"/>
      <c r="P70" s="21"/>
      <c r="Q70" s="22"/>
      <c r="R70" s="22"/>
      <c r="S70" s="22"/>
      <c r="T70" s="22"/>
      <c r="U70" s="22"/>
      <c r="V70" s="22"/>
      <c r="W70" s="22"/>
      <c r="X70" s="22"/>
      <c r="Y70" s="22"/>
    </row>
    <row r="71">
      <c r="A71" s="22"/>
      <c r="B71" s="22"/>
      <c r="C71" s="22"/>
      <c r="D71" s="22"/>
      <c r="E71" s="22"/>
      <c r="F71" s="23"/>
      <c r="G71" s="22"/>
      <c r="H71" s="22"/>
      <c r="I71" s="22"/>
      <c r="J71" s="22"/>
      <c r="K71" s="22"/>
      <c r="L71" s="22"/>
      <c r="M71" s="22"/>
      <c r="N71" s="24"/>
      <c r="O71" s="24"/>
      <c r="P71" s="22"/>
      <c r="Q71" s="22"/>
      <c r="R71" s="22"/>
      <c r="S71" s="22"/>
      <c r="T71" s="22"/>
      <c r="U71" s="22"/>
      <c r="V71" s="22"/>
      <c r="W71" s="22"/>
      <c r="X71" s="22"/>
      <c r="Y71" s="22"/>
    </row>
    <row r="72">
      <c r="A72" s="17" t="s">
        <v>194</v>
      </c>
      <c r="B72" s="30"/>
      <c r="C72" s="30"/>
      <c r="D72" s="30"/>
      <c r="E72" s="30"/>
      <c r="F72" s="33"/>
      <c r="G72" s="29"/>
      <c r="H72" s="30"/>
      <c r="I72" s="30"/>
      <c r="J72" s="30"/>
      <c r="K72" s="30"/>
      <c r="L72" s="34"/>
      <c r="M72" s="29"/>
      <c r="N72" s="29"/>
      <c r="O72" s="29"/>
      <c r="P72" s="21"/>
      <c r="Q72" s="22"/>
      <c r="R72" s="22"/>
      <c r="S72" s="22"/>
      <c r="T72" s="22"/>
      <c r="U72" s="22"/>
      <c r="V72" s="22"/>
      <c r="W72" s="22"/>
      <c r="X72" s="22"/>
      <c r="Y72" s="22"/>
    </row>
    <row r="73">
      <c r="A73" s="22"/>
      <c r="B73" s="22"/>
      <c r="C73" s="22"/>
      <c r="D73" s="22"/>
      <c r="E73" s="22"/>
      <c r="F73" s="23"/>
      <c r="G73" s="22"/>
      <c r="H73" s="22"/>
      <c r="I73" s="22"/>
      <c r="J73" s="22"/>
      <c r="K73" s="22"/>
      <c r="L73" s="22"/>
      <c r="M73" s="22"/>
      <c r="N73" s="24"/>
      <c r="O73" s="24"/>
      <c r="P73" s="22"/>
      <c r="Q73" s="22"/>
      <c r="R73" s="22"/>
      <c r="S73" s="22"/>
      <c r="T73" s="22"/>
      <c r="U73" s="22"/>
      <c r="V73" s="22"/>
      <c r="W73" s="22"/>
      <c r="X73" s="22"/>
      <c r="Y73" s="22"/>
    </row>
    <row r="74">
      <c r="A74" s="17" t="s">
        <v>195</v>
      </c>
      <c r="B74" s="30"/>
      <c r="C74" s="30"/>
      <c r="D74" s="30"/>
      <c r="E74" s="30"/>
      <c r="F74" s="33"/>
      <c r="G74" s="29"/>
      <c r="H74" s="30"/>
      <c r="I74" s="30"/>
      <c r="J74" s="30"/>
      <c r="K74" s="30"/>
      <c r="L74" s="34"/>
      <c r="M74" s="29"/>
      <c r="N74" s="29"/>
      <c r="O74" s="29"/>
      <c r="P74" s="21"/>
      <c r="Q74" s="22"/>
      <c r="R74" s="22"/>
      <c r="S74" s="22"/>
      <c r="T74" s="22"/>
      <c r="U74" s="22"/>
      <c r="V74" s="22"/>
      <c r="W74" s="22"/>
      <c r="X74" s="22"/>
      <c r="Y74" s="22"/>
    </row>
    <row r="75">
      <c r="A75" s="22"/>
      <c r="B75" s="22"/>
      <c r="C75" s="22"/>
      <c r="D75" s="22"/>
      <c r="E75" s="22"/>
      <c r="F75" s="23"/>
      <c r="G75" s="22"/>
      <c r="H75" s="22"/>
      <c r="I75" s="22"/>
      <c r="J75" s="22"/>
      <c r="K75" s="22"/>
      <c r="L75" s="22"/>
      <c r="M75" s="22"/>
      <c r="N75" s="24"/>
      <c r="O75" s="24"/>
      <c r="P75" s="22"/>
      <c r="Q75" s="22"/>
      <c r="R75" s="22"/>
      <c r="S75" s="22"/>
      <c r="T75" s="22"/>
      <c r="U75" s="22"/>
      <c r="V75" s="22"/>
      <c r="W75" s="22"/>
      <c r="X75" s="22"/>
      <c r="Y75" s="22"/>
    </row>
    <row r="76">
      <c r="A76" s="17" t="s">
        <v>196</v>
      </c>
      <c r="B76" s="30"/>
      <c r="C76" s="30"/>
      <c r="D76" s="30"/>
      <c r="E76" s="30"/>
      <c r="F76" s="33"/>
      <c r="G76" s="29"/>
      <c r="H76" s="30"/>
      <c r="I76" s="30"/>
      <c r="J76" s="30"/>
      <c r="K76" s="30"/>
      <c r="L76" s="34"/>
      <c r="M76" s="29"/>
      <c r="N76" s="29"/>
      <c r="O76" s="29"/>
      <c r="P76" s="21"/>
      <c r="Q76" s="22"/>
      <c r="R76" s="22"/>
      <c r="S76" s="22"/>
      <c r="T76" s="22"/>
      <c r="U76" s="22"/>
      <c r="V76" s="22"/>
      <c r="W76" s="22"/>
      <c r="X76" s="22"/>
      <c r="Y76" s="22"/>
    </row>
    <row r="77">
      <c r="A77" s="22"/>
      <c r="B77" s="22"/>
      <c r="C77" s="22"/>
      <c r="D77" s="22"/>
      <c r="E77" s="22"/>
      <c r="F77" s="23"/>
      <c r="G77" s="22"/>
      <c r="H77" s="22"/>
      <c r="I77" s="22"/>
      <c r="J77" s="22"/>
      <c r="K77" s="22"/>
      <c r="L77" s="22"/>
      <c r="M77" s="22"/>
      <c r="N77" s="24"/>
      <c r="O77" s="24"/>
      <c r="P77" s="22"/>
      <c r="Q77" s="22"/>
      <c r="R77" s="22"/>
      <c r="S77" s="22"/>
      <c r="T77" s="22"/>
      <c r="U77" s="22"/>
      <c r="V77" s="22"/>
      <c r="W77" s="22"/>
      <c r="X77" s="22"/>
      <c r="Y77" s="22"/>
    </row>
    <row r="78">
      <c r="A78" s="17" t="s">
        <v>197</v>
      </c>
      <c r="B78" s="30"/>
      <c r="C78" s="30"/>
      <c r="D78" s="30"/>
      <c r="E78" s="30"/>
      <c r="F78" s="33"/>
      <c r="G78" s="29"/>
      <c r="H78" s="30"/>
      <c r="I78" s="30"/>
      <c r="J78" s="30"/>
      <c r="K78" s="30"/>
      <c r="L78" s="34"/>
      <c r="M78" s="29"/>
      <c r="N78" s="29"/>
      <c r="O78" s="29"/>
      <c r="P78" s="21"/>
      <c r="Q78" s="22"/>
      <c r="R78" s="22"/>
      <c r="S78" s="22"/>
      <c r="T78" s="22"/>
      <c r="U78" s="22"/>
      <c r="V78" s="22"/>
      <c r="W78" s="22"/>
      <c r="X78" s="22"/>
      <c r="Y78" s="22"/>
    </row>
    <row r="79">
      <c r="A79" s="22"/>
      <c r="B79" s="22"/>
      <c r="C79" s="22"/>
      <c r="D79" s="22"/>
      <c r="E79" s="22"/>
      <c r="F79" s="23"/>
      <c r="G79" s="22"/>
      <c r="H79" s="22"/>
      <c r="I79" s="22"/>
      <c r="J79" s="22"/>
      <c r="K79" s="22"/>
      <c r="L79" s="22"/>
      <c r="M79" s="22"/>
      <c r="N79" s="24"/>
      <c r="O79" s="24"/>
      <c r="P79" s="22"/>
      <c r="Q79" s="22"/>
      <c r="R79" s="22"/>
      <c r="S79" s="22"/>
      <c r="T79" s="22"/>
      <c r="U79" s="22"/>
      <c r="V79" s="22"/>
      <c r="W79" s="22"/>
      <c r="X79" s="22"/>
      <c r="Y79" s="22"/>
    </row>
    <row r="80">
      <c r="A80" s="17" t="s">
        <v>198</v>
      </c>
      <c r="B80" s="30"/>
      <c r="C80" s="30"/>
      <c r="D80" s="30"/>
      <c r="E80" s="30"/>
      <c r="F80" s="33"/>
      <c r="G80" s="29"/>
      <c r="H80" s="30"/>
      <c r="I80" s="30"/>
      <c r="J80" s="30"/>
      <c r="K80" s="30"/>
      <c r="L80" s="34"/>
      <c r="M80" s="29"/>
      <c r="N80" s="29"/>
      <c r="O80" s="29"/>
      <c r="P80" s="21"/>
      <c r="Q80" s="22"/>
      <c r="R80" s="22"/>
      <c r="S80" s="22"/>
      <c r="T80" s="22"/>
      <c r="U80" s="22"/>
      <c r="V80" s="22"/>
      <c r="W80" s="22"/>
      <c r="X80" s="22"/>
      <c r="Y80" s="22"/>
    </row>
    <row r="81">
      <c r="A81" s="22"/>
      <c r="B81" s="22"/>
      <c r="C81" s="22"/>
      <c r="D81" s="22"/>
      <c r="E81" s="22"/>
      <c r="F81" s="23"/>
      <c r="G81" s="22"/>
      <c r="H81" s="22"/>
      <c r="I81" s="22"/>
      <c r="J81" s="22"/>
      <c r="K81" s="22"/>
      <c r="L81" s="22"/>
      <c r="M81" s="22"/>
      <c r="N81" s="24"/>
      <c r="O81" s="24"/>
      <c r="P81" s="22"/>
      <c r="Q81" s="22"/>
      <c r="R81" s="22"/>
      <c r="S81" s="22"/>
      <c r="T81" s="22"/>
      <c r="U81" s="22"/>
      <c r="V81" s="22"/>
      <c r="W81" s="22"/>
      <c r="X81" s="22"/>
      <c r="Y81" s="22"/>
    </row>
    <row r="82">
      <c r="A82" s="17" t="s">
        <v>199</v>
      </c>
      <c r="B82" s="30"/>
      <c r="C82" s="30"/>
      <c r="D82" s="30"/>
      <c r="E82" s="30"/>
      <c r="F82" s="30"/>
      <c r="G82" s="29"/>
      <c r="H82" s="30"/>
      <c r="I82" s="30"/>
      <c r="J82" s="30"/>
      <c r="K82" s="30"/>
      <c r="L82" s="34"/>
      <c r="M82" s="29"/>
      <c r="N82" s="29"/>
      <c r="O82" s="29"/>
      <c r="P82" s="21"/>
      <c r="Q82" s="22"/>
      <c r="R82" s="22"/>
      <c r="S82" s="22"/>
      <c r="T82" s="22"/>
      <c r="U82" s="22"/>
      <c r="V82" s="22"/>
      <c r="W82" s="22"/>
      <c r="X82" s="22"/>
      <c r="Y82" s="22"/>
    </row>
  </sheetData>
  <mergeCells count="2">
    <mergeCell ref="N5:N6"/>
    <mergeCell ref="O5:O6"/>
  </mergeCells>
  <dataValidations>
    <dataValidation type="list" allowBlank="1" showErrorMessage="1" sqref="N8 N10 N12 N14 N16 N18 N20 N22 N24 N26 N28 N30 N32 N34 N36 N38 N40 N42 N44 N46 N48 N50 N52 N54 N56 N58 N60 N62 N64 N66 N68 N70 N72 N74 N76 N78 N80 N82">
      <formula1>"Solved,Unsolved"</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 type="list" allowBlank="1" showErrorMessage="1" sqref="O8 O10 O12 O14 O16 O18 O20 O22 O24 O26 O28 O30 O32 O34 O36 O38 O40 O42 O44 O46 O48 O50 O52 O54 O56 O58 O60 O62 O64 O66 O68 O70 O72 O74 O76 O78 O80 O82">
      <formula1>"Front-End,Back-End,AI,UI/UX"</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s>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0"/>
    <col customWidth="1" min="15" max="15" width="14.13"/>
  </cols>
  <sheetData>
    <row r="1">
      <c r="A1" s="35"/>
      <c r="B1" s="35"/>
      <c r="C1" s="35"/>
      <c r="D1" s="35"/>
      <c r="E1" s="3"/>
      <c r="F1" s="3"/>
      <c r="G1" s="35"/>
      <c r="H1" s="35"/>
      <c r="I1" s="35"/>
      <c r="J1" s="35"/>
      <c r="K1" s="35"/>
      <c r="L1" s="35"/>
      <c r="M1" s="35"/>
      <c r="N1" s="35"/>
      <c r="O1" s="35"/>
    </row>
    <row r="2">
      <c r="A2" s="36" t="s">
        <v>0</v>
      </c>
      <c r="B2" s="37"/>
      <c r="C2" s="35"/>
      <c r="D2" s="38" t="s">
        <v>22</v>
      </c>
      <c r="E2" s="38" t="s">
        <v>200</v>
      </c>
      <c r="F2" s="35"/>
      <c r="G2" s="35"/>
      <c r="H2" s="35"/>
      <c r="I2" s="35"/>
      <c r="J2" s="35"/>
      <c r="K2" s="35"/>
      <c r="L2" s="35"/>
      <c r="M2" s="35"/>
      <c r="N2" s="35"/>
      <c r="O2" s="35"/>
    </row>
    <row r="3">
      <c r="A3" s="36" t="s">
        <v>2</v>
      </c>
      <c r="B3" s="39"/>
      <c r="C3" s="35"/>
      <c r="D3" s="40" t="s">
        <v>45</v>
      </c>
      <c r="E3" s="41">
        <f>COUNTIF(K14:K897, "High")</f>
        <v>0</v>
      </c>
      <c r="F3" s="35"/>
      <c r="G3" s="35"/>
      <c r="H3" s="35"/>
      <c r="I3" s="35"/>
      <c r="J3" s="35"/>
      <c r="K3" s="35"/>
      <c r="L3" s="35"/>
      <c r="M3" s="35"/>
      <c r="N3" s="35"/>
      <c r="O3" s="35"/>
    </row>
    <row r="4">
      <c r="A4" s="36" t="s">
        <v>201</v>
      </c>
      <c r="B4" s="42"/>
      <c r="C4" s="35"/>
      <c r="D4" s="40" t="s">
        <v>37</v>
      </c>
      <c r="E4" s="41">
        <f>COUNTIF(K14:K898, "Medium")</f>
        <v>0</v>
      </c>
      <c r="F4" s="35"/>
      <c r="G4" s="35"/>
      <c r="H4" s="35"/>
      <c r="I4" s="35"/>
      <c r="J4" s="35"/>
      <c r="K4" s="35"/>
      <c r="L4" s="35"/>
      <c r="M4" s="35"/>
      <c r="N4" s="35"/>
      <c r="O4" s="35"/>
    </row>
    <row r="5">
      <c r="A5" s="36" t="s">
        <v>4</v>
      </c>
      <c r="B5" s="43"/>
      <c r="C5" s="35"/>
      <c r="D5" s="40" t="s">
        <v>61</v>
      </c>
      <c r="E5" s="41">
        <f>COUNTIF(K14:K899, "Low") </f>
        <v>0</v>
      </c>
      <c r="F5" s="35"/>
      <c r="G5" s="35"/>
      <c r="H5" s="35"/>
      <c r="I5" s="35"/>
      <c r="J5" s="35"/>
      <c r="K5" s="35"/>
      <c r="L5" s="35"/>
      <c r="M5" s="35"/>
      <c r="N5" s="35"/>
      <c r="O5" s="35"/>
    </row>
    <row r="6">
      <c r="A6" s="36" t="s">
        <v>6</v>
      </c>
      <c r="B6" s="43"/>
      <c r="C6" s="35"/>
      <c r="D6" s="35"/>
      <c r="E6" s="35"/>
      <c r="F6" s="35"/>
      <c r="G6" s="35"/>
      <c r="H6" s="35"/>
      <c r="I6" s="35"/>
      <c r="J6" s="35"/>
      <c r="K6" s="35"/>
      <c r="L6" s="35"/>
      <c r="M6" s="35"/>
      <c r="N6" s="35"/>
      <c r="O6" s="35"/>
    </row>
    <row r="7">
      <c r="A7" s="44" t="s">
        <v>202</v>
      </c>
      <c r="B7" s="43"/>
      <c r="C7" s="35"/>
      <c r="D7" s="45" t="s">
        <v>203</v>
      </c>
      <c r="E7" s="46">
        <f>SUM(E3:E5)</f>
        <v>0</v>
      </c>
      <c r="F7" s="35"/>
      <c r="G7" s="35"/>
      <c r="H7" s="35"/>
      <c r="I7" s="35"/>
      <c r="J7" s="35"/>
      <c r="K7" s="35"/>
      <c r="L7" s="35"/>
      <c r="M7" s="35"/>
      <c r="N7" s="35"/>
      <c r="O7" s="35"/>
    </row>
    <row r="8">
      <c r="A8" s="35"/>
      <c r="B8" s="35"/>
      <c r="C8" s="35"/>
      <c r="D8" s="45" t="s">
        <v>204</v>
      </c>
      <c r="E8" s="43"/>
      <c r="F8" s="35"/>
      <c r="G8" s="35"/>
      <c r="H8" s="35"/>
      <c r="I8" s="35"/>
      <c r="J8" s="35"/>
      <c r="K8" s="35"/>
      <c r="L8" s="35"/>
      <c r="M8" s="35"/>
      <c r="N8" s="35"/>
      <c r="O8" s="35"/>
    </row>
    <row r="9">
      <c r="A9" s="35"/>
      <c r="B9" s="35"/>
      <c r="C9" s="35"/>
      <c r="D9" s="35"/>
      <c r="E9" s="35"/>
      <c r="F9" s="35"/>
      <c r="G9" s="35"/>
      <c r="H9" s="35"/>
      <c r="I9" s="35"/>
      <c r="J9" s="35"/>
      <c r="K9" s="35"/>
      <c r="L9" s="35"/>
      <c r="M9" s="35"/>
      <c r="N9" s="35"/>
      <c r="O9" s="35"/>
    </row>
    <row r="10">
      <c r="A10" s="47" t="s">
        <v>12</v>
      </c>
      <c r="B10" s="47" t="s">
        <v>13</v>
      </c>
      <c r="C10" s="47" t="s">
        <v>14</v>
      </c>
      <c r="D10" s="47" t="s">
        <v>15</v>
      </c>
      <c r="E10" s="47" t="s">
        <v>16</v>
      </c>
      <c r="F10" s="47" t="s">
        <v>17</v>
      </c>
      <c r="G10" s="47" t="s">
        <v>18</v>
      </c>
      <c r="H10" s="47" t="s">
        <v>19</v>
      </c>
      <c r="I10" s="47" t="s">
        <v>20</v>
      </c>
      <c r="J10" s="47" t="s">
        <v>21</v>
      </c>
      <c r="K10" s="47" t="s">
        <v>22</v>
      </c>
      <c r="L10" s="47" t="s">
        <v>23</v>
      </c>
      <c r="M10" s="47" t="s">
        <v>24</v>
      </c>
      <c r="N10" s="48" t="s">
        <v>25</v>
      </c>
      <c r="O10" s="48" t="s">
        <v>26</v>
      </c>
      <c r="P10" s="49" t="s">
        <v>27</v>
      </c>
    </row>
    <row r="11">
      <c r="A11" s="16"/>
      <c r="B11" s="17"/>
      <c r="C11" s="17"/>
      <c r="D11" s="16"/>
      <c r="E11" s="16"/>
      <c r="F11" s="18"/>
      <c r="G11" s="19"/>
      <c r="H11" s="16"/>
      <c r="I11" s="16"/>
      <c r="J11" s="16"/>
      <c r="K11" s="16"/>
      <c r="L11" s="50"/>
      <c r="M11" s="19"/>
      <c r="N11" s="19"/>
      <c r="O11" s="19"/>
      <c r="P11" s="21"/>
    </row>
    <row r="12">
      <c r="A12" s="22"/>
      <c r="B12" s="22"/>
      <c r="C12" s="22"/>
      <c r="D12" s="22"/>
      <c r="E12" s="22"/>
      <c r="F12" s="23"/>
      <c r="G12" s="22"/>
      <c r="H12" s="22"/>
      <c r="I12" s="22"/>
      <c r="J12" s="22"/>
      <c r="K12" s="22"/>
      <c r="L12" s="22"/>
      <c r="M12" s="22"/>
      <c r="N12" s="24"/>
      <c r="O12" s="24"/>
      <c r="P12" s="22"/>
    </row>
    <row r="13">
      <c r="A13" s="17"/>
      <c r="B13" s="17"/>
      <c r="C13" s="17"/>
      <c r="D13" s="17"/>
      <c r="E13" s="17"/>
      <c r="F13" s="25"/>
      <c r="G13" s="21"/>
      <c r="H13" s="17"/>
      <c r="I13" s="17"/>
      <c r="J13" s="17"/>
      <c r="K13" s="17"/>
      <c r="L13" s="51"/>
      <c r="M13" s="29"/>
      <c r="N13" s="29"/>
      <c r="O13" s="29"/>
      <c r="P13" s="21"/>
    </row>
  </sheetData>
  <dataValidations>
    <dataValidation type="list" allowBlank="1" showErrorMessage="1" sqref="N11 N13">
      <formula1>"Solved,Unsolved"</formula1>
    </dataValidation>
    <dataValidation type="list" allowBlank="1" showErrorMessage="1" sqref="J11 J13">
      <formula1>"Pass,Fail"</formula1>
    </dataValidation>
    <dataValidation type="list" allowBlank="1" showErrorMessage="1" sqref="K11 K13">
      <formula1>"High,Medium,Low"</formula1>
    </dataValidation>
    <dataValidation type="list" allowBlank="1" showErrorMessage="1" sqref="O11 O13">
      <formula1>"Front-End,Back-End,AI,UI/UX"</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4" width="15.25"/>
    <col customWidth="1" min="15" max="16" width="17.25"/>
    <col customWidth="1" min="17" max="17" width="15.25"/>
  </cols>
  <sheetData>
    <row r="1">
      <c r="A1" s="3"/>
      <c r="B1" s="3"/>
      <c r="C1" s="3"/>
      <c r="D1" s="3"/>
      <c r="E1" s="3"/>
      <c r="F1" s="3"/>
      <c r="G1" s="3"/>
      <c r="H1" s="3"/>
      <c r="I1" s="3"/>
      <c r="J1" s="3"/>
      <c r="K1" s="3"/>
      <c r="L1" s="3"/>
      <c r="M1" s="3"/>
      <c r="N1" s="3"/>
      <c r="Q1" s="3"/>
    </row>
    <row r="2">
      <c r="A2" s="1" t="s">
        <v>0</v>
      </c>
      <c r="B2" s="52" t="s">
        <v>1</v>
      </c>
      <c r="C2" s="3"/>
      <c r="D2" s="38" t="s">
        <v>22</v>
      </c>
      <c r="E2" s="38" t="s">
        <v>200</v>
      </c>
      <c r="F2" s="3"/>
      <c r="G2" s="3"/>
      <c r="H2" s="53"/>
      <c r="I2" s="53"/>
      <c r="J2" s="53"/>
      <c r="K2" s="53"/>
      <c r="L2" s="53"/>
      <c r="M2" s="53"/>
      <c r="N2" s="3"/>
      <c r="Q2" s="3"/>
    </row>
    <row r="3">
      <c r="A3" s="1" t="s">
        <v>2</v>
      </c>
      <c r="B3" s="54"/>
      <c r="C3" s="3"/>
      <c r="D3" s="55" t="s">
        <v>45</v>
      </c>
      <c r="E3" s="56">
        <f>COUNTIF(Tahsin!K14:K897, "High") + COUNTIF(Fahad!K8:K1004, "High")</f>
        <v>17</v>
      </c>
      <c r="F3" s="3"/>
      <c r="G3" s="3"/>
      <c r="H3" s="3"/>
      <c r="I3" s="3"/>
      <c r="J3" s="3"/>
      <c r="K3" s="3"/>
      <c r="L3" s="3"/>
      <c r="M3" s="3"/>
      <c r="N3" s="3"/>
      <c r="Q3" s="3"/>
    </row>
    <row r="4">
      <c r="A4" s="1" t="s">
        <v>201</v>
      </c>
      <c r="B4" s="57"/>
      <c r="C4" s="3"/>
      <c r="D4" s="58" t="s">
        <v>37</v>
      </c>
      <c r="E4" s="56">
        <f>COUNTIF(Tahsin!K14:K898, "Medium") + COUNTIF(Fahad!K8:K1005, "Medium")</f>
        <v>11</v>
      </c>
      <c r="F4" s="3"/>
      <c r="G4" s="3"/>
      <c r="H4" s="3"/>
      <c r="I4" s="3"/>
      <c r="J4" s="3"/>
      <c r="K4" s="3"/>
      <c r="L4" s="3"/>
      <c r="M4" s="3"/>
      <c r="N4" s="3"/>
      <c r="Q4" s="3"/>
    </row>
    <row r="5">
      <c r="A5" s="1" t="s">
        <v>4</v>
      </c>
      <c r="B5" s="21"/>
      <c r="C5" s="3"/>
      <c r="D5" s="59" t="s">
        <v>61</v>
      </c>
      <c r="E5" s="56">
        <f>COUNTIF(Fahad!K8:K1006, "Low") + COUNTIF(Tahsin!K14:K901, "Low")</f>
        <v>2</v>
      </c>
      <c r="F5" s="3"/>
      <c r="G5" s="3"/>
      <c r="H5" s="3"/>
      <c r="I5" s="3"/>
      <c r="J5" s="3"/>
      <c r="K5" s="3"/>
      <c r="L5" s="3"/>
      <c r="M5" s="3"/>
      <c r="N5" s="3"/>
      <c r="Q5" s="3"/>
    </row>
    <row r="6">
      <c r="A6" s="1" t="s">
        <v>6</v>
      </c>
      <c r="B6" s="60"/>
      <c r="C6" s="3"/>
      <c r="D6" s="61"/>
      <c r="E6" s="61"/>
      <c r="F6" s="3"/>
      <c r="G6" s="3"/>
      <c r="H6" s="3"/>
      <c r="I6" s="3"/>
      <c r="J6" s="3"/>
      <c r="K6" s="3"/>
      <c r="L6" s="3"/>
      <c r="M6" s="3"/>
      <c r="N6" s="3"/>
      <c r="Q6" s="3"/>
    </row>
    <row r="7">
      <c r="A7" s="1" t="s">
        <v>202</v>
      </c>
      <c r="B7" s="60"/>
      <c r="C7" s="3"/>
      <c r="D7" s="62" t="s">
        <v>203</v>
      </c>
      <c r="E7" s="63">
        <f>SUM(E3:E5)</f>
        <v>30</v>
      </c>
      <c r="F7" s="3"/>
      <c r="G7" s="3"/>
      <c r="H7" s="3"/>
      <c r="I7" s="3"/>
      <c r="J7" s="3"/>
      <c r="K7" s="3"/>
      <c r="L7" s="3"/>
      <c r="M7" s="3"/>
      <c r="N7" s="64"/>
      <c r="O7" s="64"/>
      <c r="Q7" s="3"/>
    </row>
    <row r="8">
      <c r="A8" s="3"/>
      <c r="B8" s="3"/>
      <c r="C8" s="3"/>
      <c r="D8" s="62" t="s">
        <v>204</v>
      </c>
      <c r="E8" s="63">
        <f>COUNTIF(N11:N2387, "Solved")</f>
        <v>0</v>
      </c>
      <c r="F8" s="3"/>
      <c r="G8" s="3"/>
      <c r="H8" s="3"/>
      <c r="I8" s="3"/>
      <c r="J8" s="3"/>
      <c r="K8" s="3"/>
      <c r="L8" s="3"/>
      <c r="M8" s="3"/>
      <c r="N8" s="64"/>
      <c r="O8" s="64"/>
      <c r="Q8" s="3"/>
    </row>
    <row r="9">
      <c r="A9" s="3"/>
      <c r="B9" s="3"/>
      <c r="C9" s="3"/>
      <c r="D9" s="3"/>
      <c r="E9" s="3"/>
      <c r="F9" s="3"/>
      <c r="G9" s="3"/>
      <c r="H9" s="3"/>
      <c r="I9" s="3"/>
      <c r="J9" s="3"/>
      <c r="K9" s="3"/>
      <c r="L9" s="3"/>
      <c r="M9" s="3"/>
      <c r="N9" s="64"/>
      <c r="O9" s="64"/>
      <c r="Q9" s="3"/>
    </row>
    <row r="10">
      <c r="A10" s="65" t="s">
        <v>205</v>
      </c>
      <c r="B10" s="65" t="s">
        <v>13</v>
      </c>
      <c r="C10" s="65" t="s">
        <v>14</v>
      </c>
      <c r="D10" s="65" t="s">
        <v>15</v>
      </c>
      <c r="E10" s="65" t="s">
        <v>16</v>
      </c>
      <c r="F10" s="65" t="s">
        <v>17</v>
      </c>
      <c r="G10" s="65" t="s">
        <v>18</v>
      </c>
      <c r="H10" s="65" t="s">
        <v>19</v>
      </c>
      <c r="I10" s="65" t="s">
        <v>20</v>
      </c>
      <c r="J10" s="65" t="s">
        <v>21</v>
      </c>
      <c r="K10" s="65" t="s">
        <v>22</v>
      </c>
      <c r="L10" s="65" t="s">
        <v>23</v>
      </c>
      <c r="M10" s="65" t="s">
        <v>24</v>
      </c>
      <c r="N10" s="66" t="s">
        <v>25</v>
      </c>
      <c r="O10" s="66" t="s">
        <v>26</v>
      </c>
      <c r="P10" s="66" t="s">
        <v>27</v>
      </c>
      <c r="Q10" s="66" t="s">
        <v>206</v>
      </c>
      <c r="R10" s="67"/>
      <c r="S10" s="67"/>
      <c r="T10" s="67"/>
      <c r="U10" s="67"/>
      <c r="V10" s="67"/>
      <c r="W10" s="67"/>
      <c r="X10" s="67"/>
      <c r="Y10" s="67"/>
      <c r="Z10" s="67"/>
      <c r="AA10" s="67"/>
    </row>
    <row r="11">
      <c r="A11" s="68" t="str">
        <f t="array" ref="A11:A100">IF((LEN(B11:B100)+LEN(C11:C100))&gt;0, "BR-" &amp; TEXT(ROW(B11:B100)-ROW(B11)+1,"000"), "")
</f>
        <v>BR-001</v>
      </c>
      <c r="B11" s="69" t="str">
        <f>IFERROR(__xludf.DUMMYFUNCTION("QUERY(
  {
    ARRAYFORMULA({
      TRIM(Fahad!B8:B2383), 
      Fahad!C8:P2383, 
      IF(LEN(Fahad!B8:B2383), ""Fahad"", """")
    });
    ARRAYFORMULA({
      TRIM(Tahsin!B15:B2383), 
      Tahsin!C15:P2383, 
      IF(LEN(Tahsin!B15:B2383), ""Tahsin"","&amp;" """")
    })
  },
  ""SELECT * WHERE Col1 IS NOT NULL ORDER BY Col1 ASC, Col2 ASC"",
  0
)"),"Home")</f>
        <v>Home</v>
      </c>
      <c r="C11" s="69" t="str">
        <f>IFERROR(__xludf.DUMMYFUNCTION("""COMPUTED_VALUE"""),"Buildings")</f>
        <v>Buildings</v>
      </c>
      <c r="D11" s="69" t="str">
        <f>IFERROR(__xludf.DUMMYFUNCTION("""COMPUTED_VALUE"""),"Should be highlighted when the user is in the buildings section.")</f>
        <v>Should be highlighted when the user is in the buildings section.</v>
      </c>
      <c r="E11" s="69" t="str">
        <f>IFERROR(__xludf.DUMMYFUNCTION("""COMPUTED_VALUE"""),"User needs to access the login portal using a web browser.")</f>
        <v>User needs to access the login portal using a web browser.</v>
      </c>
      <c r="F11" s="69" t="str">
        <f>IFERROR(__xludf.DUMMYFUNCTION("""COMPUTED_VALUE"""),"1. Open browser
2. Login with admin credentials
3. Goto Buildings section")</f>
        <v>1. Open browser
2. Login with admin credentials
3. Goto Buildings section</v>
      </c>
      <c r="G11" s="69" t="str">
        <f>IFERROR(__xludf.DUMMYFUNCTION("""COMPUTED_VALUE"""),"ADMIN Credentials")</f>
        <v>ADMIN Credentials</v>
      </c>
      <c r="H11" s="69" t="str">
        <f>IFERROR(__xludf.DUMMYFUNCTION("""COMPUTED_VALUE"""),"Option should be highlighted when the user is within the segment.")</f>
        <v>Option should be highlighted when the user is within the segment.</v>
      </c>
      <c r="I11" s="69" t="str">
        <f>IFERROR(__xludf.DUMMYFUNCTION("""COMPUTED_VALUE"""),"Not highlighted when the user is in the buildings section.")</f>
        <v>Not highlighted when the user is in the buildings section.</v>
      </c>
      <c r="J11" s="69" t="str">
        <f>IFERROR(__xludf.DUMMYFUNCTION("""COMPUTED_VALUE"""),"Fail")</f>
        <v>Fail</v>
      </c>
      <c r="K11" s="69" t="str">
        <f>IFERROR(__xludf.DUMMYFUNCTION("""COMPUTED_VALUE"""),"Medium")</f>
        <v>Medium</v>
      </c>
      <c r="L11" s="70" t="str">
        <f>IFERROR(__xludf.DUMMYFUNCTION("""COMPUTED_VALUE"""),"009.png")</f>
        <v>009.png</v>
      </c>
      <c r="M11" s="69"/>
      <c r="N11" s="71"/>
      <c r="O11" s="71"/>
      <c r="P11" s="71"/>
      <c r="Q11" s="71" t="str">
        <f>IFERROR(__xludf.DUMMYFUNCTION("""COMPUTED_VALUE"""),"Fahad")</f>
        <v>Fahad</v>
      </c>
      <c r="R11" s="22"/>
      <c r="S11" s="22"/>
      <c r="T11" s="22"/>
      <c r="U11" s="22"/>
      <c r="V11" s="22"/>
      <c r="W11" s="22"/>
      <c r="X11" s="22"/>
      <c r="Y11" s="22"/>
      <c r="Z11" s="22"/>
      <c r="AA11" s="22"/>
    </row>
    <row r="12">
      <c r="A12" s="51" t="s">
        <v>207</v>
      </c>
      <c r="B12" s="72" t="str">
        <f>IFERROR(__xludf.DUMMYFUNCTION("""COMPUTED_VALUE"""),"Home")</f>
        <v>Home</v>
      </c>
      <c r="C12" s="72" t="str">
        <f>IFERROR(__xludf.DUMMYFUNCTION("""COMPUTED_VALUE"""),"Buildings")</f>
        <v>Buildings</v>
      </c>
      <c r="D12" s="72" t="str">
        <f>IFERROR(__xludf.DUMMYFUNCTION("""COMPUTED_VALUE"""),"Missing edit details for flat")</f>
        <v>Missing edit details for flat</v>
      </c>
      <c r="E12" s="72" t="str">
        <f>IFERROR(__xludf.DUMMYFUNCTION("""COMPUTED_VALUE"""),"User needs to access the login portal using a web browser.")</f>
        <v>User needs to access the login portal using a web browser.</v>
      </c>
      <c r="F12" s="72" t="str">
        <f>IFERROR(__xludf.DUMMYFUNCTION("""COMPUTED_VALUE"""),"1. Open browser
2. Login with admin credentials
3. Goto Buildings section")</f>
        <v>1. Open browser
2. Login with admin credentials
3. Goto Buildings section</v>
      </c>
      <c r="G12" s="72" t="str">
        <f>IFERROR(__xludf.DUMMYFUNCTION("""COMPUTED_VALUE"""),"ADMIN Credentials")</f>
        <v>ADMIN Credentials</v>
      </c>
      <c r="H12" s="72" t="str">
        <f>IFERROR(__xludf.DUMMYFUNCTION("""COMPUTED_VALUE"""),"Design and feature implementation should match the Figma exactly.")</f>
        <v>Design and feature implementation should match the Figma exactly.</v>
      </c>
      <c r="I12" s="72" t="str">
        <f>IFERROR(__xludf.DUMMYFUNCTION("""COMPUTED_VALUE"""),"""Edit Details"" option is missing from the frontend.")</f>
        <v>"Edit Details" option is missing from the frontend.</v>
      </c>
      <c r="J12" s="72" t="str">
        <f>IFERROR(__xludf.DUMMYFUNCTION("""COMPUTED_VALUE"""),"Fail")</f>
        <v>Fail</v>
      </c>
      <c r="K12" s="72" t="str">
        <f>IFERROR(__xludf.DUMMYFUNCTION("""COMPUTED_VALUE"""),"High")</f>
        <v>High</v>
      </c>
      <c r="L12" s="73" t="str">
        <f>IFERROR(__xludf.DUMMYFUNCTION("""COMPUTED_VALUE"""),"010.png")</f>
        <v>010.png</v>
      </c>
      <c r="M12" s="72"/>
      <c r="N12" s="72"/>
      <c r="O12" s="72"/>
      <c r="P12" s="72"/>
      <c r="Q12" s="72" t="str">
        <f>IFERROR(__xludf.DUMMYFUNCTION("""COMPUTED_VALUE"""),"Fahad")</f>
        <v>Fahad</v>
      </c>
      <c r="R12" s="22"/>
      <c r="S12" s="22"/>
      <c r="T12" s="22"/>
      <c r="U12" s="22"/>
      <c r="V12" s="22"/>
      <c r="W12" s="22"/>
      <c r="X12" s="22"/>
      <c r="Y12" s="22"/>
      <c r="Z12" s="22"/>
      <c r="AA12" s="22"/>
    </row>
    <row r="13">
      <c r="A13" s="51" t="s">
        <v>208</v>
      </c>
      <c r="B13" s="72" t="str">
        <f>IFERROR(__xludf.DUMMYFUNCTION("""COMPUTED_VALUE"""),"Home")</f>
        <v>Home</v>
      </c>
      <c r="C13" s="72" t="str">
        <f>IFERROR(__xludf.DUMMYFUNCTION("""COMPUTED_VALUE"""),"Buildings")</f>
        <v>Buildings</v>
      </c>
      <c r="D13" s="72" t="str">
        <f>IFERROR(__xludf.DUMMYFUNCTION("""COMPUTED_VALUE"""),"UI layout differs from Figma")</f>
        <v>UI layout differs from Figma</v>
      </c>
      <c r="E13" s="72" t="str">
        <f>IFERROR(__xludf.DUMMYFUNCTION("""COMPUTED_VALUE"""),"User needs to access the login portal using a web browser.")</f>
        <v>User needs to access the login portal using a web browser.</v>
      </c>
      <c r="F13" s="72" t="str">
        <f>IFERROR(__xludf.DUMMYFUNCTION("""COMPUTED_VALUE"""),"1. Open browser
2. Login with admin credentials
3. Goto Buildings section")</f>
        <v>1. Open browser
2. Login with admin credentials
3. Goto Buildings section</v>
      </c>
      <c r="G13" s="72" t="str">
        <f>IFERROR(__xludf.DUMMYFUNCTION("""COMPUTED_VALUE"""),"ADMIN Credentials")</f>
        <v>ADMIN Credentials</v>
      </c>
      <c r="H13" s="72" t="str">
        <f>IFERROR(__xludf.DUMMYFUNCTION("""COMPUTED_VALUE"""),"UI layout should match the Figma design to ensure client satisfaction.")</f>
        <v>UI layout should match the Figma design to ensure client satisfaction.</v>
      </c>
      <c r="I13" s="72" t="str">
        <f>IFERROR(__xludf.DUMMYFUNCTION("""COMPUTED_VALUE"""),"Different UI implementation has been found.")</f>
        <v>Different UI implementation has been found.</v>
      </c>
      <c r="J13" s="72" t="str">
        <f>IFERROR(__xludf.DUMMYFUNCTION("""COMPUTED_VALUE"""),"Fail")</f>
        <v>Fail</v>
      </c>
      <c r="K13" s="72" t="str">
        <f>IFERROR(__xludf.DUMMYFUNCTION("""COMPUTED_VALUE"""),"Medium")</f>
        <v>Medium</v>
      </c>
      <c r="L13" s="73" t="str">
        <f>IFERROR(__xludf.DUMMYFUNCTION("""COMPUTED_VALUE"""),"011.png")</f>
        <v>011.png</v>
      </c>
      <c r="M13" s="72"/>
      <c r="N13" s="72"/>
      <c r="O13" s="72"/>
      <c r="P13" s="72"/>
      <c r="Q13" s="72" t="str">
        <f>IFERROR(__xludf.DUMMYFUNCTION("""COMPUTED_VALUE"""),"Fahad")</f>
        <v>Fahad</v>
      </c>
      <c r="R13" s="22"/>
      <c r="S13" s="22"/>
      <c r="T13" s="22"/>
      <c r="U13" s="22"/>
      <c r="V13" s="22"/>
      <c r="W13" s="22"/>
      <c r="X13" s="22"/>
      <c r="Y13" s="22"/>
      <c r="Z13" s="22"/>
      <c r="AA13" s="22"/>
    </row>
    <row r="14">
      <c r="A14" s="51" t="s">
        <v>209</v>
      </c>
      <c r="B14" s="72" t="str">
        <f>IFERROR(__xludf.DUMMYFUNCTION("""COMPUTED_VALUE"""),"Home")</f>
        <v>Home</v>
      </c>
      <c r="C14" s="72" t="str">
        <f>IFERROR(__xludf.DUMMYFUNCTION("""COMPUTED_VALUE"""),"Buildings")</f>
        <v>Buildings</v>
      </c>
      <c r="D14" s="72" t="str">
        <f>IFERROR(__xludf.DUMMYFUNCTION("""COMPUTED_VALUE"""),"layout design issue")</f>
        <v>layout design issue</v>
      </c>
      <c r="E14" s="72" t="str">
        <f>IFERROR(__xludf.DUMMYFUNCTION("""COMPUTED_VALUE"""),"User needs to access the login portal using a web browser.")</f>
        <v>User needs to access the login portal using a web browser.</v>
      </c>
      <c r="F14" s="72" t="str">
        <f>IFERROR(__xludf.DUMMYFUNCTION("""COMPUTED_VALUE"""),"1. Open browser
2. Login with admin credentials
3. Goto Buildings section")</f>
        <v>1. Open browser
2. Login with admin credentials
3. Goto Buildings section</v>
      </c>
      <c r="G14" s="72" t="str">
        <f>IFERROR(__xludf.DUMMYFUNCTION("""COMPUTED_VALUE"""),"ADMIN Credentials")</f>
        <v>ADMIN Credentials</v>
      </c>
      <c r="H14" s="72" t="str">
        <f>IFERROR(__xludf.DUMMYFUNCTION("""COMPUTED_VALUE"""),"UI layout should match the Figma design to ensure client satisfaction.")</f>
        <v>UI layout should match the Figma design to ensure client satisfaction.</v>
      </c>
      <c r="I14" s="72" t="str">
        <f>IFERROR(__xludf.DUMMYFUNCTION("""COMPUTED_VALUE"""),"Different UI implementation has been found.")</f>
        <v>Different UI implementation has been found.</v>
      </c>
      <c r="J14" s="72" t="str">
        <f>IFERROR(__xludf.DUMMYFUNCTION("""COMPUTED_VALUE"""),"Fail")</f>
        <v>Fail</v>
      </c>
      <c r="K14" s="72" t="str">
        <f>IFERROR(__xludf.DUMMYFUNCTION("""COMPUTED_VALUE"""),"Medium")</f>
        <v>Medium</v>
      </c>
      <c r="L14" s="73" t="str">
        <f>IFERROR(__xludf.DUMMYFUNCTION("""COMPUTED_VALUE"""),"012.png")</f>
        <v>012.png</v>
      </c>
      <c r="M14" s="72"/>
      <c r="N14" s="72"/>
      <c r="O14" s="72"/>
      <c r="P14" s="72"/>
      <c r="Q14" s="72" t="str">
        <f>IFERROR(__xludf.DUMMYFUNCTION("""COMPUTED_VALUE"""),"Fahad")</f>
        <v>Fahad</v>
      </c>
      <c r="R14" s="22"/>
      <c r="S14" s="22"/>
      <c r="T14" s="22"/>
      <c r="U14" s="22"/>
      <c r="V14" s="22"/>
      <c r="W14" s="22"/>
      <c r="X14" s="22"/>
      <c r="Y14" s="22"/>
      <c r="Z14" s="22"/>
      <c r="AA14" s="22"/>
    </row>
    <row r="15">
      <c r="A15" s="51" t="s">
        <v>210</v>
      </c>
      <c r="B15" s="72" t="str">
        <f>IFERROR(__xludf.DUMMYFUNCTION("""COMPUTED_VALUE"""),"Home")</f>
        <v>Home</v>
      </c>
      <c r="C15" s="72" t="str">
        <f>IFERROR(__xludf.DUMMYFUNCTION("""COMPUTED_VALUE"""),"Dashboard")</f>
        <v>Dashboard</v>
      </c>
      <c r="D15" s="72" t="str">
        <f>IFERROR(__xludf.DUMMYFUNCTION("""COMPUTED_VALUE"""),"not connected to the route")</f>
        <v>not connected to the route</v>
      </c>
      <c r="E15" s="72" t="str">
        <f>IFERROR(__xludf.DUMMYFUNCTION("""COMPUTED_VALUE"""),"User needs to access the login portal using a web browser.")</f>
        <v>User needs to access the login portal using a web browser.</v>
      </c>
      <c r="F15" s="72" t="str">
        <f>IFERROR(__xludf.DUMMYFUNCTION("""COMPUTED_VALUE"""),"1. Open browser
2. Login with admin credentials")</f>
        <v>1. Open browser
2. Login with admin credentials</v>
      </c>
      <c r="G15" s="72" t="str">
        <f>IFERROR(__xludf.DUMMYFUNCTION("""COMPUTED_VALUE"""),"ADMIN Credentials")</f>
        <v>ADMIN Credentials</v>
      </c>
      <c r="H15" s="72" t="str">
        <f>IFERROR(__xludf.DUMMYFUNCTION("""COMPUTED_VALUE"""),"Clicking on the banners should redirect to the actual page.")</f>
        <v>Clicking on the banners should redirect to the actual page.</v>
      </c>
      <c r="I15" s="72" t="str">
        <f>IFERROR(__xludf.DUMMYFUNCTION("""COMPUTED_VALUE"""),"Static feature has been detected.")</f>
        <v>Static feature has been detected.</v>
      </c>
      <c r="J15" s="72" t="str">
        <f>IFERROR(__xludf.DUMMYFUNCTION("""COMPUTED_VALUE"""),"Fail")</f>
        <v>Fail</v>
      </c>
      <c r="K15" s="72" t="str">
        <f>IFERROR(__xludf.DUMMYFUNCTION("""COMPUTED_VALUE"""),"High")</f>
        <v>High</v>
      </c>
      <c r="L15" s="73" t="str">
        <f>IFERROR(__xludf.DUMMYFUNCTION("""COMPUTED_VALUE"""),"002.png")</f>
        <v>002.png</v>
      </c>
      <c r="M15" s="72"/>
      <c r="N15" s="72"/>
      <c r="O15" s="72"/>
      <c r="P15" s="72"/>
      <c r="Q15" s="72" t="str">
        <f>IFERROR(__xludf.DUMMYFUNCTION("""COMPUTED_VALUE"""),"Fahad")</f>
        <v>Fahad</v>
      </c>
      <c r="R15" s="22"/>
      <c r="S15" s="22"/>
      <c r="T15" s="22"/>
      <c r="U15" s="22"/>
      <c r="V15" s="22"/>
      <c r="W15" s="22"/>
      <c r="X15" s="22"/>
      <c r="Y15" s="22"/>
      <c r="Z15" s="22"/>
      <c r="AA15" s="22"/>
    </row>
    <row r="16">
      <c r="A16" s="51" t="s">
        <v>211</v>
      </c>
      <c r="B16" s="72" t="str">
        <f>IFERROR(__xludf.DUMMYFUNCTION("""COMPUTED_VALUE"""),"Home")</f>
        <v>Home</v>
      </c>
      <c r="C16" s="72" t="str">
        <f>IFERROR(__xludf.DUMMYFUNCTION("""COMPUTED_VALUE"""),"Dashboard")</f>
        <v>Dashboard</v>
      </c>
      <c r="D16" s="72" t="str">
        <f>IFERROR(__xludf.DUMMYFUNCTION("""COMPUTED_VALUE"""),"Search module isn’t working.")</f>
        <v>Search module isn’t working.</v>
      </c>
      <c r="E16" s="72" t="str">
        <f>IFERROR(__xludf.DUMMYFUNCTION("""COMPUTED_VALUE"""),"User needs to access the login portal using a web browser.")</f>
        <v>User needs to access the login portal using a web browser.</v>
      </c>
      <c r="F16" s="72" t="str">
        <f>IFERROR(__xludf.DUMMYFUNCTION("""COMPUTED_VALUE"""),"1. Open browser
2. Login with admin credentials")</f>
        <v>1. Open browser
2. Login with admin credentials</v>
      </c>
      <c r="G16" s="72" t="str">
        <f>IFERROR(__xludf.DUMMYFUNCTION("""COMPUTED_VALUE"""),"ADMIN Credentials")</f>
        <v>ADMIN Credentials</v>
      </c>
      <c r="H16" s="72" t="str">
        <f>IFERROR(__xludf.DUMMYFUNCTION("""COMPUTED_VALUE"""),"Search module should be functional")</f>
        <v>Search module should be functional</v>
      </c>
      <c r="I16" s="72" t="str">
        <f>IFERROR(__xludf.DUMMYFUNCTION("""COMPUTED_VALUE"""),"Search module has been found to be non-functional.")</f>
        <v>Search module has been found to be non-functional.</v>
      </c>
      <c r="J16" s="72" t="str">
        <f>IFERROR(__xludf.DUMMYFUNCTION("""COMPUTED_VALUE"""),"Fail")</f>
        <v>Fail</v>
      </c>
      <c r="K16" s="72" t="str">
        <f>IFERROR(__xludf.DUMMYFUNCTION("""COMPUTED_VALUE"""),"High")</f>
        <v>High</v>
      </c>
      <c r="L16" s="73" t="str">
        <f>IFERROR(__xludf.DUMMYFUNCTION("""COMPUTED_VALUE"""),"003.png")</f>
        <v>003.png</v>
      </c>
      <c r="M16" s="72"/>
      <c r="N16" s="72"/>
      <c r="O16" s="72"/>
      <c r="P16" s="72"/>
      <c r="Q16" s="72" t="str">
        <f>IFERROR(__xludf.DUMMYFUNCTION("""COMPUTED_VALUE"""),"Fahad")</f>
        <v>Fahad</v>
      </c>
      <c r="R16" s="22"/>
      <c r="S16" s="22"/>
      <c r="T16" s="22"/>
      <c r="U16" s="22"/>
      <c r="V16" s="22"/>
      <c r="W16" s="22"/>
      <c r="X16" s="22"/>
      <c r="Y16" s="22"/>
      <c r="Z16" s="22"/>
      <c r="AA16" s="22"/>
    </row>
    <row r="17">
      <c r="A17" s="51" t="s">
        <v>212</v>
      </c>
      <c r="B17" s="72" t="str">
        <f>IFERROR(__xludf.DUMMYFUNCTION("""COMPUTED_VALUE"""),"Home")</f>
        <v>Home</v>
      </c>
      <c r="C17" s="72" t="str">
        <f>IFERROR(__xludf.DUMMYFUNCTION("""COMPUTED_VALUE"""),"Dashboard")</f>
        <v>Dashboard</v>
      </c>
      <c r="D17" s="72" t="str">
        <f>IFERROR(__xludf.DUMMYFUNCTION("""COMPUTED_VALUE"""),"Clicking on a username should take the user to their profile.")</f>
        <v>Clicking on a username should take the user to their profile.</v>
      </c>
      <c r="E17" s="72" t="str">
        <f>IFERROR(__xludf.DUMMYFUNCTION("""COMPUTED_VALUE"""),"User needs to access the login portal using a web browser.")</f>
        <v>User needs to access the login portal using a web browser.</v>
      </c>
      <c r="F17" s="72" t="str">
        <f>IFERROR(__xludf.DUMMYFUNCTION("""COMPUTED_VALUE"""),"1. Open browser
2. Login with admin credentials")</f>
        <v>1. Open browser
2. Login with admin credentials</v>
      </c>
      <c r="G17" s="72" t="str">
        <f>IFERROR(__xludf.DUMMYFUNCTION("""COMPUTED_VALUE"""),"ADMIN Credentials")</f>
        <v>ADMIN Credentials</v>
      </c>
      <c r="H17" s="72" t="str">
        <f>IFERROR(__xludf.DUMMYFUNCTION("""COMPUTED_VALUE"""),"Click on user name on dashboard should redirect to user to profile section")</f>
        <v>Click on user name on dashboard should redirect to user to profile section</v>
      </c>
      <c r="I17" s="72" t="str">
        <f>IFERROR(__xludf.DUMMYFUNCTION("""COMPUTED_VALUE"""),"Stay in place after clicking on the username.")</f>
        <v>Stay in place after clicking on the username.</v>
      </c>
      <c r="J17" s="72" t="str">
        <f>IFERROR(__xludf.DUMMYFUNCTION("""COMPUTED_VALUE"""),"Fail")</f>
        <v>Fail</v>
      </c>
      <c r="K17" s="72" t="str">
        <f>IFERROR(__xludf.DUMMYFUNCTION("""COMPUTED_VALUE"""),"High")</f>
        <v>High</v>
      </c>
      <c r="L17" s="73" t="str">
        <f>IFERROR(__xludf.DUMMYFUNCTION("""COMPUTED_VALUE"""),"004.png")</f>
        <v>004.png</v>
      </c>
      <c r="M17" s="72"/>
      <c r="N17" s="72"/>
      <c r="O17" s="72"/>
      <c r="P17" s="72"/>
      <c r="Q17" s="72" t="str">
        <f>IFERROR(__xludf.DUMMYFUNCTION("""COMPUTED_VALUE"""),"Fahad")</f>
        <v>Fahad</v>
      </c>
      <c r="R17" s="22"/>
      <c r="S17" s="22"/>
      <c r="T17" s="22"/>
      <c r="U17" s="22"/>
      <c r="V17" s="22"/>
      <c r="W17" s="22"/>
      <c r="X17" s="22"/>
      <c r="Y17" s="22"/>
      <c r="Z17" s="22"/>
      <c r="AA17" s="22"/>
    </row>
    <row r="18">
      <c r="A18" s="51" t="s">
        <v>213</v>
      </c>
      <c r="B18" s="72" t="str">
        <f>IFERROR(__xludf.DUMMYFUNCTION("""COMPUTED_VALUE"""),"Home")</f>
        <v>Home</v>
      </c>
      <c r="C18" s="72" t="str">
        <f>IFERROR(__xludf.DUMMYFUNCTION("""COMPUTED_VALUE"""),"Dashboard")</f>
        <v>Dashboard</v>
      </c>
      <c r="D18" s="72" t="str">
        <f>IFERROR(__xludf.DUMMYFUNCTION("""COMPUTED_VALUE"""),"Section title differs from Figma.")</f>
        <v>Section title differs from Figma.</v>
      </c>
      <c r="E18" s="72" t="str">
        <f>IFERROR(__xludf.DUMMYFUNCTION("""COMPUTED_VALUE"""),"User needs to access the login portal using a web browser.")</f>
        <v>User needs to access the login portal using a web browser.</v>
      </c>
      <c r="F18" s="72" t="str">
        <f>IFERROR(__xludf.DUMMYFUNCTION("""COMPUTED_VALUE"""),"1. Open browser
2. Login with admin credentials")</f>
        <v>1. Open browser
2. Login with admin credentials</v>
      </c>
      <c r="G18" s="72" t="str">
        <f>IFERROR(__xludf.DUMMYFUNCTION("""COMPUTED_VALUE"""),"ADMIN Credentials")</f>
        <v>ADMIN Credentials</v>
      </c>
      <c r="H18" s="72" t="str">
        <f>IFERROR(__xludf.DUMMYFUNCTION("""COMPUTED_VALUE"""),"Design and alignment should be exactly the same as in Figma.")</f>
        <v>Design and alignment should be exactly the same as in Figma.</v>
      </c>
      <c r="I18" s="72" t="str">
        <f>IFERROR(__xludf.DUMMYFUNCTION("""COMPUTED_VALUE"""),"Section differs from Figma.")</f>
        <v>Section differs from Figma.</v>
      </c>
      <c r="J18" s="72" t="str">
        <f>IFERROR(__xludf.DUMMYFUNCTION("""COMPUTED_VALUE"""),"Fail")</f>
        <v>Fail</v>
      </c>
      <c r="K18" s="72" t="str">
        <f>IFERROR(__xludf.DUMMYFUNCTION("""COMPUTED_VALUE"""),"Low")</f>
        <v>Low</v>
      </c>
      <c r="L18" s="73" t="str">
        <f>IFERROR(__xludf.DUMMYFUNCTION("""COMPUTED_VALUE"""),"005.png")</f>
        <v>005.png</v>
      </c>
      <c r="M18" s="72"/>
      <c r="N18" s="72"/>
      <c r="O18" s="72"/>
      <c r="P18" s="72"/>
      <c r="Q18" s="72" t="str">
        <f>IFERROR(__xludf.DUMMYFUNCTION("""COMPUTED_VALUE"""),"Fahad")</f>
        <v>Fahad</v>
      </c>
      <c r="R18" s="22"/>
      <c r="S18" s="22"/>
      <c r="T18" s="22"/>
      <c r="U18" s="22"/>
      <c r="V18" s="22"/>
      <c r="W18" s="22"/>
      <c r="X18" s="22"/>
      <c r="Y18" s="22"/>
      <c r="Z18" s="22"/>
      <c r="AA18" s="22"/>
    </row>
    <row r="19">
      <c r="A19" s="51" t="s">
        <v>214</v>
      </c>
      <c r="B19" s="72" t="str">
        <f>IFERROR(__xludf.DUMMYFUNCTION("""COMPUTED_VALUE"""),"Home")</f>
        <v>Home</v>
      </c>
      <c r="C19" s="72" t="str">
        <f>IFERROR(__xludf.DUMMYFUNCTION("""COMPUTED_VALUE"""),"Dashboard")</f>
        <v>Dashboard</v>
      </c>
      <c r="D19" s="72" t="str">
        <f>IFERROR(__xludf.DUMMYFUNCTION("""COMPUTED_VALUE"""),"Content design mismatch from Figma")</f>
        <v>Content design mismatch from Figma</v>
      </c>
      <c r="E19" s="72" t="str">
        <f>IFERROR(__xludf.DUMMYFUNCTION("""COMPUTED_VALUE"""),"User needs to access the login portal using a web browser.")</f>
        <v>User needs to access the login portal using a web browser.</v>
      </c>
      <c r="F19" s="72" t="str">
        <f>IFERROR(__xludf.DUMMYFUNCTION("""COMPUTED_VALUE"""),"1. Open browser
2. Login with admin credentials")</f>
        <v>1. Open browser
2. Login with admin credentials</v>
      </c>
      <c r="G19" s="72" t="str">
        <f>IFERROR(__xludf.DUMMYFUNCTION("""COMPUTED_VALUE"""),"ADMIN Credentials")</f>
        <v>ADMIN Credentials</v>
      </c>
      <c r="H19" s="72" t="str">
        <f>IFERROR(__xludf.DUMMYFUNCTION("""COMPUTED_VALUE"""),"Design and alignment should be exactly the same as in Figma.")</f>
        <v>Design and alignment should be exactly the same as in Figma.</v>
      </c>
      <c r="I19" s="72" t="str">
        <f>IFERROR(__xludf.DUMMYFUNCTION("""COMPUTED_VALUE"""),"Section differs from Figma.")</f>
        <v>Section differs from Figma.</v>
      </c>
      <c r="J19" s="72" t="str">
        <f>IFERROR(__xludf.DUMMYFUNCTION("""COMPUTED_VALUE"""),"Fail")</f>
        <v>Fail</v>
      </c>
      <c r="K19" s="72" t="str">
        <f>IFERROR(__xludf.DUMMYFUNCTION("""COMPUTED_VALUE"""),"Medium")</f>
        <v>Medium</v>
      </c>
      <c r="L19" s="73" t="str">
        <f>IFERROR(__xludf.DUMMYFUNCTION("""COMPUTED_VALUE"""),"006.png")</f>
        <v>006.png</v>
      </c>
      <c r="M19" s="72"/>
      <c r="N19" s="72"/>
      <c r="O19" s="72"/>
      <c r="P19" s="72"/>
      <c r="Q19" s="72" t="str">
        <f>IFERROR(__xludf.DUMMYFUNCTION("""COMPUTED_VALUE"""),"Fahad")</f>
        <v>Fahad</v>
      </c>
      <c r="R19" s="22"/>
      <c r="S19" s="22"/>
      <c r="T19" s="22"/>
      <c r="U19" s="22"/>
      <c r="V19" s="22"/>
      <c r="W19" s="22"/>
      <c r="X19" s="22"/>
      <c r="Y19" s="22"/>
      <c r="Z19" s="22"/>
      <c r="AA19" s="22"/>
    </row>
    <row r="20">
      <c r="A20" s="51" t="s">
        <v>215</v>
      </c>
      <c r="B20" s="72" t="str">
        <f>IFERROR(__xludf.DUMMYFUNCTION("""COMPUTED_VALUE"""),"Home")</f>
        <v>Home</v>
      </c>
      <c r="C20" s="72" t="str">
        <f>IFERROR(__xludf.DUMMYFUNCTION("""COMPUTED_VALUE"""),"Dashboard")</f>
        <v>Dashboard</v>
      </c>
      <c r="D20" s="72" t="str">
        <f>IFERROR(__xludf.DUMMYFUNCTION("""COMPUTED_VALUE"""),"Showing a number instead of theassigned persons name.")</f>
        <v>Showing a number instead of theassigned persons name.</v>
      </c>
      <c r="E20" s="72" t="str">
        <f>IFERROR(__xludf.DUMMYFUNCTION("""COMPUTED_VALUE"""),"User needs to access the login portal using a web browser.")</f>
        <v>User needs to access the login portal using a web browser.</v>
      </c>
      <c r="F20" s="72" t="str">
        <f>IFERROR(__xludf.DUMMYFUNCTION("""COMPUTED_VALUE"""),"1. Open browser
2. Login with admin credentials")</f>
        <v>1. Open browser
2. Login with admin credentials</v>
      </c>
      <c r="G20" s="72" t="str">
        <f>IFERROR(__xludf.DUMMYFUNCTION("""COMPUTED_VALUE"""),"ADMIN Credentials")</f>
        <v>ADMIN Credentials</v>
      </c>
      <c r="H20" s="72" t="str">
        <f>IFERROR(__xludf.DUMMYFUNCTION("""COMPUTED_VALUE"""),"Assigned persons name should be displayed accurately in the Upcoming Tasks Today section")</f>
        <v>Assigned persons name should be displayed accurately in the Upcoming Tasks Today section</v>
      </c>
      <c r="I20" s="72" t="str">
        <f>IFERROR(__xludf.DUMMYFUNCTION("""COMPUTED_VALUE"""),"Missing assigned persons name in Upcoming Tasks Today section")</f>
        <v>Missing assigned persons name in Upcoming Tasks Today section</v>
      </c>
      <c r="J20" s="72" t="str">
        <f>IFERROR(__xludf.DUMMYFUNCTION("""COMPUTED_VALUE"""),"Fail")</f>
        <v>Fail</v>
      </c>
      <c r="K20" s="72" t="str">
        <f>IFERROR(__xludf.DUMMYFUNCTION("""COMPUTED_VALUE"""),"High")</f>
        <v>High</v>
      </c>
      <c r="L20" s="73" t="str">
        <f>IFERROR(__xludf.DUMMYFUNCTION("""COMPUTED_VALUE"""),"007.png")</f>
        <v>007.png</v>
      </c>
      <c r="M20" s="72"/>
      <c r="N20" s="72"/>
      <c r="O20" s="72"/>
      <c r="P20" s="72"/>
      <c r="Q20" s="72" t="str">
        <f>IFERROR(__xludf.DUMMYFUNCTION("""COMPUTED_VALUE"""),"Fahad")</f>
        <v>Fahad</v>
      </c>
      <c r="R20" s="22"/>
      <c r="S20" s="22"/>
      <c r="T20" s="22"/>
      <c r="U20" s="22"/>
      <c r="V20" s="22"/>
      <c r="W20" s="22"/>
      <c r="X20" s="22"/>
      <c r="Y20" s="22"/>
      <c r="Z20" s="22"/>
      <c r="AA20" s="22"/>
    </row>
    <row r="21">
      <c r="A21" s="51" t="s">
        <v>216</v>
      </c>
      <c r="B21" s="72" t="str">
        <f>IFERROR(__xludf.DUMMYFUNCTION("""COMPUTED_VALUE"""),"Home")</f>
        <v>Home</v>
      </c>
      <c r="C21" s="72" t="str">
        <f>IFERROR(__xludf.DUMMYFUNCTION("""COMPUTED_VALUE"""),"Dashboard")</f>
        <v>Dashboard</v>
      </c>
      <c r="D21" s="72" t="str">
        <f>IFERROR(__xludf.DUMMYFUNCTION("""COMPUTED_VALUE"""),"Failed to view attached media")</f>
        <v>Failed to view attached media</v>
      </c>
      <c r="E21" s="72" t="str">
        <f>IFERROR(__xludf.DUMMYFUNCTION("""COMPUTED_VALUE"""),"User needs to access the login portal using a web browser.")</f>
        <v>User needs to access the login portal using a web browser.</v>
      </c>
      <c r="F21" s="72" t="str">
        <f>IFERROR(__xludf.DUMMYFUNCTION("""COMPUTED_VALUE"""),"1. Open browser
2. Login with admin credentials")</f>
        <v>1. Open browser
2. Login with admin credentials</v>
      </c>
      <c r="G21" s="72" t="str">
        <f>IFERROR(__xludf.DUMMYFUNCTION("""COMPUTED_VALUE"""),"ADMIN Credentials")</f>
        <v>ADMIN Credentials</v>
      </c>
      <c r="H21" s="72" t="str">
        <f>IFERROR(__xludf.DUMMYFUNCTION("""COMPUTED_VALUE"""),"Media data should load perfectly.")</f>
        <v>Media data should load perfectly.</v>
      </c>
      <c r="I21" s="72" t="str">
        <f>IFERROR(__xludf.DUMMYFUNCTION("""COMPUTED_VALUE"""),"Failed to load media data.")</f>
        <v>Failed to load media data.</v>
      </c>
      <c r="J21" s="72" t="str">
        <f>IFERROR(__xludf.DUMMYFUNCTION("""COMPUTED_VALUE"""),"Fail")</f>
        <v>Fail</v>
      </c>
      <c r="K21" s="72" t="str">
        <f>IFERROR(__xludf.DUMMYFUNCTION("""COMPUTED_VALUE"""),"High")</f>
        <v>High</v>
      </c>
      <c r="L21" s="73" t="str">
        <f>IFERROR(__xludf.DUMMYFUNCTION("""COMPUTED_VALUE"""),"008.png")</f>
        <v>008.png</v>
      </c>
      <c r="M21" s="72"/>
      <c r="N21" s="72"/>
      <c r="O21" s="72"/>
      <c r="P21" s="72"/>
      <c r="Q21" s="72" t="str">
        <f>IFERROR(__xludf.DUMMYFUNCTION("""COMPUTED_VALUE"""),"Fahad")</f>
        <v>Fahad</v>
      </c>
      <c r="R21" s="22"/>
      <c r="S21" s="22"/>
      <c r="T21" s="22"/>
      <c r="U21" s="22"/>
      <c r="V21" s="22"/>
      <c r="W21" s="22"/>
      <c r="X21" s="22"/>
      <c r="Y21" s="22"/>
      <c r="Z21" s="22"/>
      <c r="AA21" s="22"/>
    </row>
    <row r="22">
      <c r="A22" s="51" t="s">
        <v>217</v>
      </c>
      <c r="B22" s="72" t="str">
        <f>IFERROR(__xludf.DUMMYFUNCTION("""COMPUTED_VALUE"""),"Home")</f>
        <v>Home</v>
      </c>
      <c r="C22" s="72" t="str">
        <f>IFERROR(__xludf.DUMMYFUNCTION("""COMPUTED_VALUE"""),"Dashboard")</f>
        <v>Dashboard</v>
      </c>
      <c r="D22" s="72" t="str">
        <f>IFERROR(__xludf.DUMMYFUNCTION("""COMPUTED_VALUE"""),"Clicking on the notification icon changes the user name.")</f>
        <v>Clicking on the notification icon changes the user name.</v>
      </c>
      <c r="E22" s="72" t="str">
        <f>IFERROR(__xludf.DUMMYFUNCTION("""COMPUTED_VALUE"""),"User needs to access the login portal using a web browser.")</f>
        <v>User needs to access the login portal using a web browser.</v>
      </c>
      <c r="F22" s="72" t="str">
        <f>IFERROR(__xludf.DUMMYFUNCTION("""COMPUTED_VALUE"""),"1. Open browser
2. Login with admin credentials
3. Click on notification icon")</f>
        <v>1. Open browser
2. Login with admin credentials
3. Click on notification icon</v>
      </c>
      <c r="G22" s="72" t="str">
        <f>IFERROR(__xludf.DUMMYFUNCTION("""COMPUTED_VALUE"""),"ADMIN Credentials")</f>
        <v>ADMIN Credentials</v>
      </c>
      <c r="H22" s="72" t="str">
        <f>IFERROR(__xludf.DUMMYFUNCTION("""COMPUTED_VALUE"""),"User name should be displayed correctly on the dashboard.")</f>
        <v>User name should be displayed correctly on the dashboard.</v>
      </c>
      <c r="I22" s="72" t="str">
        <f>IFERROR(__xludf.DUMMYFUNCTION("""COMPUTED_VALUE"""),"Username changes when the notification icon is clicked.")</f>
        <v>Username changes when the notification icon is clicked.</v>
      </c>
      <c r="J22" s="72" t="str">
        <f>IFERROR(__xludf.DUMMYFUNCTION("""COMPUTED_VALUE"""),"Fail")</f>
        <v>Fail</v>
      </c>
      <c r="K22" s="72" t="str">
        <f>IFERROR(__xludf.DUMMYFUNCTION("""COMPUTED_VALUE"""),"Medium")</f>
        <v>Medium</v>
      </c>
      <c r="L22" s="73" t="str">
        <f>IFERROR(__xludf.DUMMYFUNCTION("""COMPUTED_VALUE"""),"029.mp4")</f>
        <v>029.mp4</v>
      </c>
      <c r="M22" s="72"/>
      <c r="N22" s="72"/>
      <c r="O22" s="72"/>
      <c r="P22" s="72"/>
      <c r="Q22" s="72" t="str">
        <f>IFERROR(__xludf.DUMMYFUNCTION("""COMPUTED_VALUE"""),"Fahad")</f>
        <v>Fahad</v>
      </c>
      <c r="R22" s="22"/>
      <c r="S22" s="22"/>
      <c r="T22" s="22"/>
      <c r="U22" s="22"/>
      <c r="V22" s="22"/>
      <c r="W22" s="22"/>
      <c r="X22" s="22"/>
      <c r="Y22" s="22"/>
      <c r="Z22" s="22"/>
      <c r="AA22" s="22"/>
    </row>
    <row r="23">
      <c r="A23" s="51" t="s">
        <v>218</v>
      </c>
      <c r="B23" s="72" t="str">
        <f>IFERROR(__xludf.DUMMYFUNCTION("""COMPUTED_VALUE"""),"Home")</f>
        <v>Home</v>
      </c>
      <c r="C23" s="72" t="str">
        <f>IFERROR(__xludf.DUMMYFUNCTION("""COMPUTED_VALUE"""),"Maintenance")</f>
        <v>Maintenance</v>
      </c>
      <c r="D23" s="72" t="str">
        <f>IFERROR(__xludf.DUMMYFUNCTION("""COMPUTED_VALUE"""),"Status filter option is missing.")</f>
        <v>Status filter option is missing.</v>
      </c>
      <c r="E23" s="72" t="str">
        <f>IFERROR(__xludf.DUMMYFUNCTION("""COMPUTED_VALUE"""),"User needs to access the login portal using a web browser.")</f>
        <v>User needs to access the login portal using a web browser.</v>
      </c>
      <c r="F23" s="72" t="str">
        <f>IFERROR(__xludf.DUMMYFUNCTION("""COMPUTED_VALUE"""),"1. Open browser
2. Login with admin credentials
3. Goto Maintenance section")</f>
        <v>1. Open browser
2. Login with admin credentials
3. Goto Maintenance section</v>
      </c>
      <c r="G23" s="72" t="str">
        <f>IFERROR(__xludf.DUMMYFUNCTION("""COMPUTED_VALUE"""),"ADMIN Credentials")</f>
        <v>ADMIN Credentials</v>
      </c>
      <c r="H23" s="72" t="str">
        <f>IFERROR(__xludf.DUMMYFUNCTION("""COMPUTED_VALUE"""),"Design and feature implementation should match the Figma exactly.")</f>
        <v>Design and feature implementation should match the Figma exactly.</v>
      </c>
      <c r="I23" s="72" t="str">
        <f>IFERROR(__xludf.DUMMYFUNCTION("""COMPUTED_VALUE"""),"""Edit Details"" option is missing on frontend.")</f>
        <v>"Edit Details" option is missing on frontend.</v>
      </c>
      <c r="J23" s="72" t="str">
        <f>IFERROR(__xludf.DUMMYFUNCTION("""COMPUTED_VALUE"""),"Fail")</f>
        <v>Fail</v>
      </c>
      <c r="K23" s="72" t="str">
        <f>IFERROR(__xludf.DUMMYFUNCTION("""COMPUTED_VALUE"""),"High")</f>
        <v>High</v>
      </c>
      <c r="L23" s="73" t="str">
        <f>IFERROR(__xludf.DUMMYFUNCTION("""COMPUTED_VALUE"""),"013.png")</f>
        <v>013.png</v>
      </c>
      <c r="M23" s="72"/>
      <c r="N23" s="72"/>
      <c r="O23" s="72"/>
      <c r="P23" s="72"/>
      <c r="Q23" s="72" t="str">
        <f>IFERROR(__xludf.DUMMYFUNCTION("""COMPUTED_VALUE"""),"Fahad")</f>
        <v>Fahad</v>
      </c>
      <c r="R23" s="22"/>
      <c r="S23" s="22"/>
      <c r="T23" s="22"/>
      <c r="U23" s="22"/>
      <c r="V23" s="22"/>
      <c r="W23" s="22"/>
      <c r="X23" s="22"/>
      <c r="Y23" s="22"/>
      <c r="Z23" s="22"/>
      <c r="AA23" s="22"/>
    </row>
    <row r="24">
      <c r="A24" s="51" t="s">
        <v>219</v>
      </c>
      <c r="B24" s="72" t="str">
        <f>IFERROR(__xludf.DUMMYFUNCTION("""COMPUTED_VALUE"""),"Home")</f>
        <v>Home</v>
      </c>
      <c r="C24" s="72" t="str">
        <f>IFERROR(__xludf.DUMMYFUNCTION("""COMPUTED_VALUE"""),"Maintenance")</f>
        <v>Maintenance</v>
      </c>
      <c r="D24" s="72" t="str">
        <f>IFERROR(__xludf.DUMMYFUNCTION("""COMPUTED_VALUE"""),"View option is missing from the action segment.")</f>
        <v>View option is missing from the action segment.</v>
      </c>
      <c r="E24" s="72" t="str">
        <f>IFERROR(__xludf.DUMMYFUNCTION("""COMPUTED_VALUE"""),"User needs to access the login portal using a web browser.")</f>
        <v>User needs to access the login portal using a web browser.</v>
      </c>
      <c r="F24" s="72" t="str">
        <f>IFERROR(__xludf.DUMMYFUNCTION("""COMPUTED_VALUE"""),"1. Open browser
2. Login with admin credentials
3. Goto Maintenance section")</f>
        <v>1. Open browser
2. Login with admin credentials
3. Goto Maintenance section</v>
      </c>
      <c r="G24" s="72" t="str">
        <f>IFERROR(__xludf.DUMMYFUNCTION("""COMPUTED_VALUE"""),"ADMIN Credentials")</f>
        <v>ADMIN Credentials</v>
      </c>
      <c r="H24" s="72" t="str">
        <f>IFERROR(__xludf.DUMMYFUNCTION("""COMPUTED_VALUE"""),"Design and feature implementation should match the Figma exactly.")</f>
        <v>Design and feature implementation should match the Figma exactly.</v>
      </c>
      <c r="I24" s="72" t="str">
        <f>IFERROR(__xludf.DUMMYFUNCTION("""COMPUTED_VALUE"""),"""view"" option is missing on frontend.")</f>
        <v>"view" option is missing on frontend.</v>
      </c>
      <c r="J24" s="72" t="str">
        <f>IFERROR(__xludf.DUMMYFUNCTION("""COMPUTED_VALUE"""),"Fail")</f>
        <v>Fail</v>
      </c>
      <c r="K24" s="72" t="str">
        <f>IFERROR(__xludf.DUMMYFUNCTION("""COMPUTED_VALUE"""),"High")</f>
        <v>High</v>
      </c>
      <c r="L24" s="73" t="str">
        <f>IFERROR(__xludf.DUMMYFUNCTION("""COMPUTED_VALUE"""),"014.png")</f>
        <v>014.png</v>
      </c>
      <c r="M24" s="72"/>
      <c r="N24" s="72"/>
      <c r="O24" s="72"/>
      <c r="P24" s="72"/>
      <c r="Q24" s="72" t="str">
        <f>IFERROR(__xludf.DUMMYFUNCTION("""COMPUTED_VALUE"""),"Fahad")</f>
        <v>Fahad</v>
      </c>
      <c r="R24" s="22"/>
      <c r="S24" s="22"/>
      <c r="T24" s="22"/>
      <c r="U24" s="22"/>
      <c r="V24" s="22"/>
      <c r="W24" s="22"/>
      <c r="X24" s="22"/>
      <c r="Y24" s="22"/>
      <c r="Z24" s="22"/>
      <c r="AA24" s="22"/>
    </row>
    <row r="25">
      <c r="A25" s="51" t="s">
        <v>220</v>
      </c>
      <c r="B25" s="72" t="str">
        <f>IFERROR(__xludf.DUMMYFUNCTION("""COMPUTED_VALUE"""),"Home")</f>
        <v>Home</v>
      </c>
      <c r="C25" s="72" t="str">
        <f>IFERROR(__xludf.DUMMYFUNCTION("""COMPUTED_VALUE"""),"Profile")</f>
        <v>Profile</v>
      </c>
      <c r="D25" s="72" t="str">
        <f>IFERROR(__xludf.DUMMYFUNCTION("""COMPUTED_VALUE"""),"Failed to open notification under profile section")</f>
        <v>Failed to open notification under profile section</v>
      </c>
      <c r="E25" s="72" t="str">
        <f>IFERROR(__xludf.DUMMYFUNCTION("""COMPUTED_VALUE"""),"User needs to access the login portal using a web browser.")</f>
        <v>User needs to access the login portal using a web browser.</v>
      </c>
      <c r="F25" s="72" t="str">
        <f>IFERROR(__xludf.DUMMYFUNCTION("""COMPUTED_VALUE"""),"1. Open browser
2. Login with admin credentials
3. Goto profile section
4. Click on notification icon")</f>
        <v>1. Open browser
2. Login with admin credentials
3. Goto profile section
4. Click on notification icon</v>
      </c>
      <c r="G25" s="72" t="str">
        <f>IFERROR(__xludf.DUMMYFUNCTION("""COMPUTED_VALUE"""),"ADMIN Credentials")</f>
        <v>ADMIN Credentials</v>
      </c>
      <c r="H25" s="72" t="str">
        <f>IFERROR(__xludf.DUMMYFUNCTION("""COMPUTED_VALUE"""),"User should be able to access notification panel if the icon is visible")</f>
        <v>User should be able to access notification panel if the icon is visible</v>
      </c>
      <c r="I25" s="72" t="str">
        <f>IFERROR(__xludf.DUMMYFUNCTION("""COMPUTED_VALUE"""),"Unable to open notification from the profile section.")</f>
        <v>Unable to open notification from the profile section.</v>
      </c>
      <c r="J25" s="72" t="str">
        <f>IFERROR(__xludf.DUMMYFUNCTION("""COMPUTED_VALUE"""),"Fail")</f>
        <v>Fail</v>
      </c>
      <c r="K25" s="72" t="str">
        <f>IFERROR(__xludf.DUMMYFUNCTION("""COMPUTED_VALUE"""),"High")</f>
        <v>High</v>
      </c>
      <c r="L25" s="73" t="str">
        <f>IFERROR(__xludf.DUMMYFUNCTION("""COMPUTED_VALUE"""),"030.png")</f>
        <v>030.png</v>
      </c>
      <c r="M25" s="72"/>
      <c r="N25" s="72"/>
      <c r="O25" s="72"/>
      <c r="P25" s="72"/>
      <c r="Q25" s="72" t="str">
        <f>IFERROR(__xludf.DUMMYFUNCTION("""COMPUTED_VALUE"""),"Fahad")</f>
        <v>Fahad</v>
      </c>
      <c r="R25" s="22"/>
      <c r="S25" s="22"/>
      <c r="T25" s="22"/>
      <c r="U25" s="22"/>
      <c r="V25" s="22"/>
      <c r="W25" s="22"/>
      <c r="X25" s="22"/>
      <c r="Y25" s="22"/>
      <c r="Z25" s="22"/>
      <c r="AA25" s="22"/>
    </row>
    <row r="26">
      <c r="A26" s="51" t="s">
        <v>221</v>
      </c>
      <c r="B26" s="72" t="str">
        <f>IFERROR(__xludf.DUMMYFUNCTION("""COMPUTED_VALUE"""),"Home")</f>
        <v>Home</v>
      </c>
      <c r="C26" s="72" t="str">
        <f>IFERROR(__xludf.DUMMYFUNCTION("""COMPUTED_VALUE"""),"Reports")</f>
        <v>Reports</v>
      </c>
      <c r="D26" s="72" t="str">
        <f>IFERROR(__xludf.DUMMYFUNCTION("""COMPUTED_VALUE"""),"UI different from figma")</f>
        <v>UI different from figma</v>
      </c>
      <c r="E26" s="72" t="str">
        <f>IFERROR(__xludf.DUMMYFUNCTION("""COMPUTED_VALUE"""),"User needs to access the login portal using a web browser.")</f>
        <v>User needs to access the login portal using a web browser.</v>
      </c>
      <c r="F26" s="72" t="str">
        <f>IFERROR(__xludf.DUMMYFUNCTION("""COMPUTED_VALUE"""),"1. Open browser
2. Login with admin credentials
3. Goto Reports")</f>
        <v>1. Open browser
2. Login with admin credentials
3. Goto Reports</v>
      </c>
      <c r="G26" s="72" t="str">
        <f>IFERROR(__xludf.DUMMYFUNCTION("""COMPUTED_VALUE"""),"ADMIN Credentials")</f>
        <v>ADMIN Credentials</v>
      </c>
      <c r="H26" s="72" t="str">
        <f>IFERROR(__xludf.DUMMYFUNCTION("""COMPUTED_VALUE"""),"UI layout should match the Figma design to ensure client satisfaction.")</f>
        <v>UI layout should match the Figma design to ensure client satisfaction.</v>
      </c>
      <c r="I26" s="72" t="str">
        <f>IFERROR(__xludf.DUMMYFUNCTION("""COMPUTED_VALUE"""),"Different UI implementation has been found.")</f>
        <v>Different UI implementation has been found.</v>
      </c>
      <c r="J26" s="72" t="str">
        <f>IFERROR(__xludf.DUMMYFUNCTION("""COMPUTED_VALUE"""),"Fail")</f>
        <v>Fail</v>
      </c>
      <c r="K26" s="72" t="str">
        <f>IFERROR(__xludf.DUMMYFUNCTION("""COMPUTED_VALUE"""),"Medium")</f>
        <v>Medium</v>
      </c>
      <c r="L26" s="73" t="str">
        <f>IFERROR(__xludf.DUMMYFUNCTION("""COMPUTED_VALUE"""),"019.png")</f>
        <v>019.png</v>
      </c>
      <c r="M26" s="72"/>
      <c r="N26" s="72"/>
      <c r="O26" s="72"/>
      <c r="P26" s="72"/>
      <c r="Q26" s="72" t="str">
        <f>IFERROR(__xludf.DUMMYFUNCTION("""COMPUTED_VALUE"""),"Fahad")</f>
        <v>Fahad</v>
      </c>
      <c r="R26" s="22"/>
      <c r="S26" s="22"/>
      <c r="T26" s="22"/>
      <c r="U26" s="22"/>
      <c r="V26" s="22"/>
      <c r="W26" s="22"/>
      <c r="X26" s="22"/>
      <c r="Y26" s="22"/>
      <c r="Z26" s="22"/>
      <c r="AA26" s="22"/>
    </row>
    <row r="27">
      <c r="A27" s="51" t="s">
        <v>222</v>
      </c>
      <c r="B27" s="72" t="str">
        <f>IFERROR(__xludf.DUMMYFUNCTION("""COMPUTED_VALUE"""),"Home")</f>
        <v>Home</v>
      </c>
      <c r="C27" s="72" t="str">
        <f>IFERROR(__xludf.DUMMYFUNCTION("""COMPUTED_VALUE"""),"Reports")</f>
        <v>Reports</v>
      </c>
      <c r="D27" s="72" t="str">
        <f>IFERROR(__xludf.DUMMYFUNCTION("""COMPUTED_VALUE"""),"Action field is non-functional.")</f>
        <v>Action field is non-functional.</v>
      </c>
      <c r="E27" s="72" t="str">
        <f>IFERROR(__xludf.DUMMYFUNCTION("""COMPUTED_VALUE"""),"User needs to access the login portal using a web browser.")</f>
        <v>User needs to access the login portal using a web browser.</v>
      </c>
      <c r="F27" s="72" t="str">
        <f>IFERROR(__xludf.DUMMYFUNCTION("""COMPUTED_VALUE"""),"1. Open browser
2. Login with admin credentials
3. Goto Reports")</f>
        <v>1. Open browser
2. Login with admin credentials
3. Goto Reports</v>
      </c>
      <c r="G27" s="72" t="str">
        <f>IFERROR(__xludf.DUMMYFUNCTION("""COMPUTED_VALUE"""),"ADMIN Credentials")</f>
        <v>ADMIN Credentials</v>
      </c>
      <c r="H27" s="72" t="str">
        <f>IFERROR(__xludf.DUMMYFUNCTION("""COMPUTED_VALUE"""),"User should be able to view the full details of the issue according to the Figma design.")</f>
        <v>User should be able to view the full details of the issue according to the Figma design.</v>
      </c>
      <c r="I27" s="72" t="str">
        <f>IFERROR(__xludf.DUMMYFUNCTION("""COMPUTED_VALUE"""),"Unable to view the issue details in the frontend.")</f>
        <v>Unable to view the issue details in the frontend.</v>
      </c>
      <c r="J27" s="72" t="str">
        <f>IFERROR(__xludf.DUMMYFUNCTION("""COMPUTED_VALUE"""),"Fail")</f>
        <v>Fail</v>
      </c>
      <c r="K27" s="72" t="str">
        <f>IFERROR(__xludf.DUMMYFUNCTION("""COMPUTED_VALUE"""),"High")</f>
        <v>High</v>
      </c>
      <c r="L27" s="73" t="str">
        <f>IFERROR(__xludf.DUMMYFUNCTION("""COMPUTED_VALUE"""),"020.png")</f>
        <v>020.png</v>
      </c>
      <c r="M27" s="72"/>
      <c r="N27" s="72"/>
      <c r="O27" s="72"/>
      <c r="P27" s="72"/>
      <c r="Q27" s="72" t="str">
        <f>IFERROR(__xludf.DUMMYFUNCTION("""COMPUTED_VALUE"""),"Fahad")</f>
        <v>Fahad</v>
      </c>
      <c r="R27" s="22"/>
      <c r="S27" s="22"/>
      <c r="T27" s="22"/>
      <c r="U27" s="22"/>
      <c r="V27" s="22"/>
      <c r="W27" s="22"/>
      <c r="X27" s="22"/>
      <c r="Y27" s="22"/>
      <c r="Z27" s="22"/>
      <c r="AA27" s="22"/>
    </row>
    <row r="28">
      <c r="A28" s="51" t="s">
        <v>223</v>
      </c>
      <c r="B28" s="72" t="str">
        <f>IFERROR(__xludf.DUMMYFUNCTION("""COMPUTED_VALUE"""),"Home")</f>
        <v>Home</v>
      </c>
      <c r="C28" s="72" t="str">
        <f>IFERROR(__xludf.DUMMYFUNCTION("""COMPUTED_VALUE"""),"Reports")</f>
        <v>Reports</v>
      </c>
      <c r="D28" s="72" t="str">
        <f>IFERROR(__xludf.DUMMYFUNCTION("""COMPUTED_VALUE"""),"Report export feature failed.")</f>
        <v>Report export feature failed.</v>
      </c>
      <c r="E28" s="72" t="str">
        <f>IFERROR(__xludf.DUMMYFUNCTION("""COMPUTED_VALUE"""),"User needs to access the login portal using a web browser.")</f>
        <v>User needs to access the login portal using a web browser.</v>
      </c>
      <c r="F28" s="72" t="str">
        <f>IFERROR(__xludf.DUMMYFUNCTION("""COMPUTED_VALUE"""),"1. Open browser
2. Login with admin credentials
3. Goto Reports")</f>
        <v>1. Open browser
2. Login with admin credentials
3. Goto Reports</v>
      </c>
      <c r="G28" s="72" t="str">
        <f>IFERROR(__xludf.DUMMYFUNCTION("""COMPUTED_VALUE"""),"ADMIN Credentials")</f>
        <v>ADMIN Credentials</v>
      </c>
      <c r="H28" s="72" t="str">
        <f>IFERROR(__xludf.DUMMYFUNCTION("""COMPUTED_VALUE"""),"user should be able to export report ")</f>
        <v>user should be able to export report </v>
      </c>
      <c r="I28" s="72" t="str">
        <f>IFERROR(__xludf.DUMMYFUNCTION("""COMPUTED_VALUE"""),"failed to export report")</f>
        <v>failed to export report</v>
      </c>
      <c r="J28" s="72" t="str">
        <f>IFERROR(__xludf.DUMMYFUNCTION("""COMPUTED_VALUE"""),"Fail")</f>
        <v>Fail</v>
      </c>
      <c r="K28" s="72" t="str">
        <f>IFERROR(__xludf.DUMMYFUNCTION("""COMPUTED_VALUE"""),"High")</f>
        <v>High</v>
      </c>
      <c r="L28" s="73" t="str">
        <f>IFERROR(__xludf.DUMMYFUNCTION("""COMPUTED_VALUE"""),"021.png")</f>
        <v>021.png</v>
      </c>
      <c r="M28" s="72"/>
      <c r="N28" s="72"/>
      <c r="O28" s="72"/>
      <c r="P28" s="72"/>
      <c r="Q28" s="72" t="str">
        <f>IFERROR(__xludf.DUMMYFUNCTION("""COMPUTED_VALUE"""),"Fahad")</f>
        <v>Fahad</v>
      </c>
      <c r="R28" s="22"/>
      <c r="S28" s="22"/>
      <c r="T28" s="22"/>
      <c r="U28" s="22"/>
      <c r="V28" s="22"/>
      <c r="W28" s="22"/>
      <c r="X28" s="22"/>
      <c r="Y28" s="22"/>
      <c r="Z28" s="22"/>
      <c r="AA28" s="22"/>
    </row>
    <row r="29">
      <c r="A29" s="51" t="s">
        <v>224</v>
      </c>
      <c r="B29" s="72" t="str">
        <f>IFERROR(__xludf.DUMMYFUNCTION("""COMPUTED_VALUE"""),"Home")</f>
        <v>Home</v>
      </c>
      <c r="C29" s="72" t="str">
        <f>IFERROR(__xludf.DUMMYFUNCTION("""COMPUTED_VALUE"""),"Reports")</f>
        <v>Reports</v>
      </c>
      <c r="D29" s="72" t="str">
        <f>IFERROR(__xludf.DUMMYFUNCTION("""COMPUTED_VALUE"""),"message history is not dynamically updated")</f>
        <v>message history is not dynamically updated</v>
      </c>
      <c r="E29" s="72" t="str">
        <f>IFERROR(__xludf.DUMMYFUNCTION("""COMPUTED_VALUE"""),"User needs to access the login portal using a web browser.")</f>
        <v>User needs to access the login portal using a web browser.</v>
      </c>
      <c r="F29" s="72" t="str">
        <f>IFERROR(__xludf.DUMMYFUNCTION("""COMPUTED_VALUE"""),"1. Open browser
2. Login with admin credentials
3. Goto Reports")</f>
        <v>1. Open browser
2. Login with admin credentials
3. Goto Reports</v>
      </c>
      <c r="G29" s="72" t="str">
        <f>IFERROR(__xludf.DUMMYFUNCTION("""COMPUTED_VALUE"""),"ADMIN Credentials")</f>
        <v>ADMIN Credentials</v>
      </c>
      <c r="H29" s="72" t="str">
        <f>IFERROR(__xludf.DUMMYFUNCTION("""COMPUTED_VALUE"""),"message history should dynamically update ")</f>
        <v>message history should dynamically update </v>
      </c>
      <c r="I29" s="72" t="str">
        <f>IFERROR(__xludf.DUMMYFUNCTION("""COMPUTED_VALUE"""),"Failed to update message history dynamically.")</f>
        <v>Failed to update message history dynamically.</v>
      </c>
      <c r="J29" s="72" t="str">
        <f>IFERROR(__xludf.DUMMYFUNCTION("""COMPUTED_VALUE"""),"Fail")</f>
        <v>Fail</v>
      </c>
      <c r="K29" s="72" t="str">
        <f>IFERROR(__xludf.DUMMYFUNCTION("""COMPUTED_VALUE"""),"Medium")</f>
        <v>Medium</v>
      </c>
      <c r="L29" s="73" t="str">
        <f>IFERROR(__xludf.DUMMYFUNCTION("""COMPUTED_VALUE"""),"022.mp4")</f>
        <v>022.mp4</v>
      </c>
      <c r="M29" s="72"/>
      <c r="N29" s="72"/>
      <c r="O29" s="72"/>
      <c r="P29" s="72"/>
      <c r="Q29" s="72" t="str">
        <f>IFERROR(__xludf.DUMMYFUNCTION("""COMPUTED_VALUE"""),"Fahad")</f>
        <v>Fahad</v>
      </c>
      <c r="R29" s="22"/>
      <c r="S29" s="22"/>
      <c r="T29" s="22"/>
      <c r="U29" s="22"/>
      <c r="V29" s="22"/>
      <c r="W29" s="22"/>
      <c r="X29" s="22"/>
      <c r="Y29" s="22"/>
      <c r="Z29" s="22"/>
      <c r="AA29" s="22"/>
    </row>
    <row r="30">
      <c r="A30" s="51" t="s">
        <v>225</v>
      </c>
      <c r="B30" s="72" t="str">
        <f>IFERROR(__xludf.DUMMYFUNCTION("""COMPUTED_VALUE"""),"Home")</f>
        <v>Home</v>
      </c>
      <c r="C30" s="72" t="str">
        <f>IFERROR(__xludf.DUMMYFUNCTION("""COMPUTED_VALUE"""),"Reports")</f>
        <v>Reports</v>
      </c>
      <c r="D30" s="72" t="str">
        <f>IFERROR(__xludf.DUMMYFUNCTION("""COMPUTED_VALUE"""),"Full admin report is showing up on the mini admin report page, which isn’t accurate.")</f>
        <v>Full admin report is showing up on the mini admin report page, which isn’t accurate.</v>
      </c>
      <c r="E30" s="72" t="str">
        <f>IFERROR(__xludf.DUMMYFUNCTION("""COMPUTED_VALUE"""),"User needs to access the login portal using a web browser.")</f>
        <v>User needs to access the login portal using a web browser.</v>
      </c>
      <c r="F30" s="72" t="str">
        <f>IFERROR(__xludf.DUMMYFUNCTION("""COMPUTED_VALUE"""),"1. Open browser
2. Login with mini admin credentials
3. Goto Reports")</f>
        <v>1. Open browser
2. Login with mini admin credentials
3. Goto Reports</v>
      </c>
      <c r="G30" s="72" t="str">
        <f>IFERROR(__xludf.DUMMYFUNCTION("""COMPUTED_VALUE"""),"MINI-ADMIN Credentials")</f>
        <v>MINI-ADMIN Credentials</v>
      </c>
      <c r="H30" s="72" t="str">
        <f>IFERROR(__xludf.DUMMYFUNCTION("""COMPUTED_VALUE"""),"mini-admins should be able to view only the reports that are aligned with them.")</f>
        <v>mini-admins should be able to view only the reports that are aligned with them.</v>
      </c>
      <c r="I30" s="72" t="str">
        <f>IFERROR(__xludf.DUMMYFUNCTION("""COMPUTED_VALUE"""),"Mini admin is able to see super admin report")</f>
        <v>Mini admin is able to see super admin report</v>
      </c>
      <c r="J30" s="72" t="str">
        <f>IFERROR(__xludf.DUMMYFUNCTION("""COMPUTED_VALUE"""),"Fail")</f>
        <v>Fail</v>
      </c>
      <c r="K30" s="72" t="str">
        <f>IFERROR(__xludf.DUMMYFUNCTION("""COMPUTED_VALUE"""),"High")</f>
        <v>High</v>
      </c>
      <c r="L30" s="73" t="str">
        <f>IFERROR(__xludf.DUMMYFUNCTION("""COMPUTED_VALUE"""),"023.png")</f>
        <v>023.png</v>
      </c>
      <c r="M30" s="72"/>
      <c r="N30" s="72"/>
      <c r="O30" s="72"/>
      <c r="P30" s="72"/>
      <c r="Q30" s="72" t="str">
        <f>IFERROR(__xludf.DUMMYFUNCTION("""COMPUTED_VALUE"""),"Fahad")</f>
        <v>Fahad</v>
      </c>
      <c r="R30" s="22"/>
      <c r="S30" s="22"/>
      <c r="T30" s="22"/>
      <c r="U30" s="22"/>
      <c r="V30" s="22"/>
      <c r="W30" s="22"/>
      <c r="X30" s="22"/>
      <c r="Y30" s="22"/>
      <c r="Z30" s="22"/>
      <c r="AA30" s="22"/>
    </row>
    <row r="31">
      <c r="A31" s="51" t="s">
        <v>226</v>
      </c>
      <c r="B31" s="72" t="str">
        <f>IFERROR(__xludf.DUMMYFUNCTION("""COMPUTED_VALUE"""),"Home")</f>
        <v>Home</v>
      </c>
      <c r="C31" s="72" t="str">
        <f>IFERROR(__xludf.DUMMYFUNCTION("""COMPUTED_VALUE"""),"Reports")</f>
        <v>Reports</v>
      </c>
      <c r="D31" s="72" t="str">
        <f>IFERROR(__xludf.DUMMYFUNCTION("""COMPUTED_VALUE"""),"Unable to update cleaning or maintenance task status")</f>
        <v>Unable to update cleaning or maintenance task status</v>
      </c>
      <c r="E31" s="72" t="str">
        <f>IFERROR(__xludf.DUMMYFUNCTION("""COMPUTED_VALUE"""),"User needs to access the login portal using a web browser.")</f>
        <v>User needs to access the login portal using a web browser.</v>
      </c>
      <c r="F31" s="72" t="str">
        <f>IFERROR(__xludf.DUMMYFUNCTION("""COMPUTED_VALUE"""),"1. Open browser
2. Login with mini admin credentials
3. Goto Reports")</f>
        <v>1. Open browser
2. Login with mini admin credentials
3. Goto Reports</v>
      </c>
      <c r="G31" s="72" t="str">
        <f>IFERROR(__xludf.DUMMYFUNCTION("""COMPUTED_VALUE"""),"ADMIN Credentials")</f>
        <v>ADMIN Credentials</v>
      </c>
      <c r="H31" s="72" t="str">
        <f>IFERROR(__xludf.DUMMYFUNCTION("""COMPUTED_VALUE"""),"Admins should be able to update the status of tasks if they can manually enter the issue.")</f>
        <v>Admins should be able to update the status of tasks if they can manually enter the issue.</v>
      </c>
      <c r="I31" s="72" t="str">
        <f>IFERROR(__xludf.DUMMYFUNCTION("""COMPUTED_VALUE"""),"Unable to update task status")</f>
        <v>Unable to update task status</v>
      </c>
      <c r="J31" s="72" t="str">
        <f>IFERROR(__xludf.DUMMYFUNCTION("""COMPUTED_VALUE"""),"Fail")</f>
        <v>Fail</v>
      </c>
      <c r="K31" s="72" t="str">
        <f>IFERROR(__xludf.DUMMYFUNCTION("""COMPUTED_VALUE"""),"High")</f>
        <v>High</v>
      </c>
      <c r="L31" s="73" t="str">
        <f>IFERROR(__xludf.DUMMYFUNCTION("""COMPUTED_VALUE"""),"025.png")</f>
        <v>025.png</v>
      </c>
      <c r="M31" s="72"/>
      <c r="N31" s="72"/>
      <c r="O31" s="72"/>
      <c r="P31" s="72"/>
      <c r="Q31" s="72" t="str">
        <f>IFERROR(__xludf.DUMMYFUNCTION("""COMPUTED_VALUE"""),"Fahad")</f>
        <v>Fahad</v>
      </c>
      <c r="R31" s="22"/>
      <c r="S31" s="22"/>
      <c r="T31" s="22"/>
      <c r="U31" s="22"/>
      <c r="V31" s="22"/>
      <c r="W31" s="22"/>
      <c r="X31" s="22"/>
      <c r="Y31" s="22"/>
      <c r="Z31" s="22"/>
      <c r="AA31" s="22"/>
    </row>
    <row r="32">
      <c r="A32" s="51" t="s">
        <v>227</v>
      </c>
      <c r="B32" s="72" t="str">
        <f>IFERROR(__xludf.DUMMYFUNCTION("""COMPUTED_VALUE"""),"Home")</f>
        <v>Home</v>
      </c>
      <c r="C32" s="72" t="str">
        <f>IFERROR(__xludf.DUMMYFUNCTION("""COMPUTED_VALUE"""),"Reports")</f>
        <v>Reports</v>
      </c>
      <c r="D32" s="72" t="str">
        <f>IFERROR(__xludf.DUMMYFUNCTION("""COMPUTED_VALUE"""),"Task calculation mismatch in the schedule and report section.")</f>
        <v>Task calculation mismatch in the schedule and report section.</v>
      </c>
      <c r="E32" s="72" t="str">
        <f>IFERROR(__xludf.DUMMYFUNCTION("""COMPUTED_VALUE"""),"User needs to access the login portal using a web browser.")</f>
        <v>User needs to access the login portal using a web browser.</v>
      </c>
      <c r="F32" s="72" t="str">
        <f>IFERROR(__xludf.DUMMYFUNCTION("""COMPUTED_VALUE"""),"1. Open browser
2. Login with mini admin credentials
3. Goto Reports")</f>
        <v>1. Open browser
2. Login with mini admin credentials
3. Goto Reports</v>
      </c>
      <c r="G32" s="72" t="str">
        <f>IFERROR(__xludf.DUMMYFUNCTION("""COMPUTED_VALUE"""),"ADMIN Credentials")</f>
        <v>ADMIN Credentials</v>
      </c>
      <c r="H32" s="72" t="str">
        <f>IFERROR(__xludf.DUMMYFUNCTION("""COMPUTED_VALUE"""),"Total task value should be shown accurately in the admin panel.")</f>
        <v>Total task value should be shown accurately in the admin panel.</v>
      </c>
      <c r="I32" s="72" t="str">
        <f>IFERROR(__xludf.DUMMYFUNCTION("""COMPUTED_VALUE"""),"Admin panel failed to show the correct task value.")</f>
        <v>Admin panel failed to show the correct task value.</v>
      </c>
      <c r="J32" s="72" t="str">
        <f>IFERROR(__xludf.DUMMYFUNCTION("""COMPUTED_VALUE"""),"Fail")</f>
        <v>Fail</v>
      </c>
      <c r="K32" s="72" t="str">
        <f>IFERROR(__xludf.DUMMYFUNCTION("""COMPUTED_VALUE"""),"High")</f>
        <v>High</v>
      </c>
      <c r="L32" s="73" t="str">
        <f>IFERROR(__xludf.DUMMYFUNCTION("""COMPUTED_VALUE"""),"026.mp4")</f>
        <v>026.mp4</v>
      </c>
      <c r="M32" s="72"/>
      <c r="N32" s="72"/>
      <c r="O32" s="72"/>
      <c r="P32" s="72"/>
      <c r="Q32" s="72" t="str">
        <f>IFERROR(__xludf.DUMMYFUNCTION("""COMPUTED_VALUE"""),"Fahad")</f>
        <v>Fahad</v>
      </c>
      <c r="R32" s="22"/>
      <c r="S32" s="22"/>
      <c r="T32" s="22"/>
      <c r="U32" s="22"/>
      <c r="V32" s="22"/>
      <c r="W32" s="22"/>
      <c r="X32" s="22"/>
      <c r="Y32" s="22"/>
      <c r="Z32" s="22"/>
      <c r="AA32" s="22"/>
    </row>
    <row r="33">
      <c r="A33" s="51" t="s">
        <v>228</v>
      </c>
      <c r="B33" s="72" t="str">
        <f>IFERROR(__xludf.DUMMYFUNCTION("""COMPUTED_VALUE"""),"Home")</f>
        <v>Home</v>
      </c>
      <c r="C33" s="72" t="str">
        <f>IFERROR(__xludf.DUMMYFUNCTION("""COMPUTED_VALUE"""),"Schedule")</f>
        <v>Schedule</v>
      </c>
      <c r="D33" s="72" t="str">
        <f>IFERROR(__xludf.DUMMYFUNCTION("""COMPUTED_VALUE"""),"Search feature is only applied to the Building column.")</f>
        <v>Search feature is only applied to the Building column.</v>
      </c>
      <c r="E33" s="72" t="str">
        <f>IFERROR(__xludf.DUMMYFUNCTION("""COMPUTED_VALUE"""),"User needs to access the login portal using a web browser.")</f>
        <v>User needs to access the login portal using a web browser.</v>
      </c>
      <c r="F33" s="72" t="str">
        <f>IFERROR(__xludf.DUMMYFUNCTION("""COMPUTED_VALUE"""),"1. Open browser
2. Login with mini admin credentials
3. Goto Schedule")</f>
        <v>1. Open browser
2. Login with mini admin credentials
3. Goto Schedule</v>
      </c>
      <c r="G33" s="72" t="str">
        <f>IFERROR(__xludf.DUMMYFUNCTION("""COMPUTED_VALUE"""),"ADMIN Credentials")</f>
        <v>ADMIN Credentials</v>
      </c>
      <c r="H33" s="72" t="str">
        <f>IFERROR(__xludf.DUMMYFUNCTION("""COMPUTED_VALUE"""),"Search functionality should filter specific columns such as flat, building, assigned to, and others.")</f>
        <v>Search functionality should filter specific columns such as flat, building, assigned to, and others.</v>
      </c>
      <c r="I33" s="72" t="str">
        <f>IFERROR(__xludf.DUMMYFUNCTION("""COMPUTED_VALUE"""),"Search only filter bulding column")</f>
        <v>Search only filter bulding column</v>
      </c>
      <c r="J33" s="72" t="str">
        <f>IFERROR(__xludf.DUMMYFUNCTION("""COMPUTED_VALUE"""),"Fail")</f>
        <v>Fail</v>
      </c>
      <c r="K33" s="72" t="str">
        <f>IFERROR(__xludf.DUMMYFUNCTION("""COMPUTED_VALUE"""),"Medium")</f>
        <v>Medium</v>
      </c>
      <c r="L33" s="73" t="str">
        <f>IFERROR(__xludf.DUMMYFUNCTION("""COMPUTED_VALUE"""),"027.png")</f>
        <v>027.png</v>
      </c>
      <c r="M33" s="72"/>
      <c r="N33" s="72"/>
      <c r="O33" s="72"/>
      <c r="P33" s="72"/>
      <c r="Q33" s="72" t="str">
        <f>IFERROR(__xludf.DUMMYFUNCTION("""COMPUTED_VALUE"""),"Fahad")</f>
        <v>Fahad</v>
      </c>
      <c r="R33" s="22"/>
      <c r="S33" s="22"/>
      <c r="T33" s="22"/>
      <c r="U33" s="22"/>
      <c r="V33" s="22"/>
      <c r="W33" s="22"/>
      <c r="X33" s="22"/>
      <c r="Y33" s="22"/>
      <c r="Z33" s="22"/>
      <c r="AA33" s="22"/>
    </row>
    <row r="34">
      <c r="A34" s="51" t="s">
        <v>229</v>
      </c>
      <c r="B34" s="72" t="str">
        <f>IFERROR(__xludf.DUMMYFUNCTION("""COMPUTED_VALUE"""),"Home")</f>
        <v>Home</v>
      </c>
      <c r="C34" s="72" t="str">
        <f>IFERROR(__xludf.DUMMYFUNCTION("""COMPUTED_VALUE"""),"Schedule")</f>
        <v>Schedule</v>
      </c>
      <c r="D34" s="72" t="str">
        <f>IFERROR(__xludf.DUMMYFUNCTION("""COMPUTED_VALUE"""),"Instruction/notes section is missing from the scheduled task section.")</f>
        <v>Instruction/notes section is missing from the scheduled task section.</v>
      </c>
      <c r="E34" s="72" t="str">
        <f>IFERROR(__xludf.DUMMYFUNCTION("""COMPUTED_VALUE"""),"User needs to access the login portal using a web browser.")</f>
        <v>User needs to access the login portal using a web browser.</v>
      </c>
      <c r="F34" s="72" t="str">
        <f>IFERROR(__xludf.DUMMYFUNCTION("""COMPUTED_VALUE"""),"1. Open browser
2. Login with mini admin credentials
3. Goto Schedule")</f>
        <v>1. Open browser
2. Login with mini admin credentials
3. Goto Schedule</v>
      </c>
      <c r="G34" s="72" t="str">
        <f>IFERROR(__xludf.DUMMYFUNCTION("""COMPUTED_VALUE"""),"ADMIN Credentials")</f>
        <v>ADMIN Credentials</v>
      </c>
      <c r="H34" s="72" t="str">
        <f>IFERROR(__xludf.DUMMYFUNCTION("""COMPUTED_VALUE"""),"Design and feature implementation should match the Figma exactly.")</f>
        <v>Design and feature implementation should match the Figma exactly.</v>
      </c>
      <c r="I34" s="72" t="str">
        <f>IFERROR(__xludf.DUMMYFUNCTION("""COMPUTED_VALUE"""),"Notes section is missing from the scheduled task input section.")</f>
        <v>Notes section is missing from the scheduled task input section.</v>
      </c>
      <c r="J34" s="72" t="str">
        <f>IFERROR(__xludf.DUMMYFUNCTION("""COMPUTED_VALUE"""),"Fail")</f>
        <v>Fail</v>
      </c>
      <c r="K34" s="72" t="str">
        <f>IFERROR(__xludf.DUMMYFUNCTION("""COMPUTED_VALUE"""),"High")</f>
        <v>High</v>
      </c>
      <c r="L34" s="73" t="str">
        <f>IFERROR(__xludf.DUMMYFUNCTION("""COMPUTED_VALUE"""),"028.png")</f>
        <v>028.png</v>
      </c>
      <c r="M34" s="72"/>
      <c r="N34" s="72"/>
      <c r="O34" s="72"/>
      <c r="P34" s="72"/>
      <c r="Q34" s="72" t="str">
        <f>IFERROR(__xludf.DUMMYFUNCTION("""COMPUTED_VALUE"""),"Fahad")</f>
        <v>Fahad</v>
      </c>
      <c r="R34" s="22"/>
      <c r="S34" s="22"/>
      <c r="T34" s="22"/>
      <c r="U34" s="22"/>
      <c r="V34" s="22"/>
      <c r="W34" s="22"/>
      <c r="X34" s="22"/>
      <c r="Y34" s="22"/>
      <c r="Z34" s="22"/>
      <c r="AA34" s="22"/>
    </row>
    <row r="35">
      <c r="A35" s="51" t="s">
        <v>230</v>
      </c>
      <c r="B35" s="72" t="str">
        <f>IFERROR(__xludf.DUMMYFUNCTION("""COMPUTED_VALUE"""),"Home")</f>
        <v>Home</v>
      </c>
      <c r="C35" s="72" t="str">
        <f>IFERROR(__xludf.DUMMYFUNCTION("""COMPUTED_VALUE"""),"Team Message")</f>
        <v>Team Message</v>
      </c>
      <c r="D35" s="72" t="str">
        <f>IFERROR(__xludf.DUMMYFUNCTION("""COMPUTED_VALUE"""),"Alignment gets messed up when the message is too long.")</f>
        <v>Alignment gets messed up when the message is too long.</v>
      </c>
      <c r="E35" s="72" t="str">
        <f>IFERROR(__xludf.DUMMYFUNCTION("""COMPUTED_VALUE"""),"User needs to access the login portal using a web browser.")</f>
        <v>User needs to access the login portal using a web browser.</v>
      </c>
      <c r="F35" s="72" t="str">
        <f>IFERROR(__xludf.DUMMYFUNCTION("""COMPUTED_VALUE"""),"1. Open browser
2. Login with mini admin credentials
3. Goto Team message")</f>
        <v>1. Open browser
2. Login with mini admin credentials
3. Goto Team message</v>
      </c>
      <c r="G35" s="72" t="str">
        <f>IFERROR(__xludf.DUMMYFUNCTION("""COMPUTED_VALUE"""),"MINI-ADMIN Credentials")</f>
        <v>MINI-ADMIN Credentials</v>
      </c>
      <c r="H35" s="72" t="str">
        <f>IFERROR(__xludf.DUMMYFUNCTION("""COMPUTED_VALUE"""),"Input limit should be set for the input field.")</f>
        <v>Input limit should be set for the input field.</v>
      </c>
      <c r="I35" s="72" t="str">
        <f>IFERROR(__xludf.DUMMYFUNCTION("""COMPUTED_VALUE"""),"Alignment issue happens because of a long input.")</f>
        <v>Alignment issue happens because of a long input.</v>
      </c>
      <c r="J35" s="72" t="str">
        <f>IFERROR(__xludf.DUMMYFUNCTION("""COMPUTED_VALUE"""),"Fail")</f>
        <v>Fail</v>
      </c>
      <c r="K35" s="72" t="str">
        <f>IFERROR(__xludf.DUMMYFUNCTION("""COMPUTED_VALUE"""),"High")</f>
        <v>High</v>
      </c>
      <c r="L35" s="73" t="str">
        <f>IFERROR(__xludf.DUMMYFUNCTION("""COMPUTED_VALUE"""),"024.mp4")</f>
        <v>024.mp4</v>
      </c>
      <c r="M35" s="72"/>
      <c r="N35" s="72"/>
      <c r="O35" s="72"/>
      <c r="P35" s="72"/>
      <c r="Q35" s="72" t="str">
        <f>IFERROR(__xludf.DUMMYFUNCTION("""COMPUTED_VALUE"""),"Fahad")</f>
        <v>Fahad</v>
      </c>
      <c r="R35" s="22"/>
      <c r="S35" s="22"/>
      <c r="T35" s="22"/>
      <c r="U35" s="22"/>
      <c r="V35" s="22"/>
      <c r="W35" s="22"/>
      <c r="X35" s="22"/>
      <c r="Y35" s="22"/>
      <c r="Z35" s="22"/>
      <c r="AA35" s="22"/>
    </row>
    <row r="36">
      <c r="A36" s="51" t="s">
        <v>231</v>
      </c>
      <c r="B36" s="72" t="str">
        <f>IFERROR(__xludf.DUMMYFUNCTION("""COMPUTED_VALUE"""),"Home")</f>
        <v>Home</v>
      </c>
      <c r="C36" s="72" t="str">
        <f>IFERROR(__xludf.DUMMYFUNCTION("""COMPUTED_VALUE"""),"User Management")</f>
        <v>User Management</v>
      </c>
      <c r="D36" s="72" t="str">
        <f>IFERROR(__xludf.DUMMYFUNCTION("""COMPUTED_VALUE"""),"Design layout differs from Figma.")</f>
        <v>Design layout differs from Figma.</v>
      </c>
      <c r="E36" s="72" t="str">
        <f>IFERROR(__xludf.DUMMYFUNCTION("""COMPUTED_VALUE"""),"User needs to access the login portal using a web browser.")</f>
        <v>User needs to access the login portal using a web browser.</v>
      </c>
      <c r="F36" s="72" t="str">
        <f>IFERROR(__xludf.DUMMYFUNCTION("""COMPUTED_VALUE"""),"1. Open browser
2. Login with admin credentials
3. Goto User management section
4. Click on mini admin")</f>
        <v>1. Open browser
2. Login with admin credentials
3. Goto User management section
4. Click on mini admin</v>
      </c>
      <c r="G36" s="72" t="str">
        <f>IFERROR(__xludf.DUMMYFUNCTION("""COMPUTED_VALUE"""),"ADMIN Credentials")</f>
        <v>ADMIN Credentials</v>
      </c>
      <c r="H36" s="72" t="str">
        <f>IFERROR(__xludf.DUMMYFUNCTION("""COMPUTED_VALUE"""),"UI layout should match the Figma design to ensure client satisfaction.")</f>
        <v>UI layout should match the Figma design to ensure client satisfaction.</v>
      </c>
      <c r="I36" s="72" t="str">
        <f>IFERROR(__xludf.DUMMYFUNCTION("""COMPUTED_VALUE"""),"Different UI implementation has been found.")</f>
        <v>Different UI implementation has been found.</v>
      </c>
      <c r="J36" s="72" t="str">
        <f>IFERROR(__xludf.DUMMYFUNCTION("""COMPUTED_VALUE"""),"Fail")</f>
        <v>Fail</v>
      </c>
      <c r="K36" s="72" t="str">
        <f>IFERROR(__xludf.DUMMYFUNCTION("""COMPUTED_VALUE"""),"Low")</f>
        <v>Low</v>
      </c>
      <c r="L36" s="73" t="str">
        <f>IFERROR(__xludf.DUMMYFUNCTION("""COMPUTED_VALUE"""),"015.png")</f>
        <v>015.png</v>
      </c>
      <c r="M36" s="72"/>
      <c r="N36" s="72"/>
      <c r="O36" s="72"/>
      <c r="P36" s="72"/>
      <c r="Q36" s="72" t="str">
        <f>IFERROR(__xludf.DUMMYFUNCTION("""COMPUTED_VALUE"""),"Fahad")</f>
        <v>Fahad</v>
      </c>
      <c r="R36" s="22"/>
      <c r="S36" s="22"/>
      <c r="T36" s="22"/>
      <c r="U36" s="22"/>
      <c r="V36" s="22"/>
      <c r="W36" s="22"/>
      <c r="X36" s="22"/>
      <c r="Y36" s="22"/>
      <c r="Z36" s="22"/>
      <c r="AA36" s="22"/>
    </row>
    <row r="37">
      <c r="A37" s="51" t="s">
        <v>232</v>
      </c>
      <c r="B37" s="72" t="str">
        <f>IFERROR(__xludf.DUMMYFUNCTION("""COMPUTED_VALUE"""),"Home")</f>
        <v>Home</v>
      </c>
      <c r="C37" s="72" t="str">
        <f>IFERROR(__xludf.DUMMYFUNCTION("""COMPUTED_VALUE"""),"User Management")</f>
        <v>User Management</v>
      </c>
      <c r="D37" s="72" t="str">
        <f>IFERROR(__xludf.DUMMYFUNCTION("""COMPUTED_VALUE"""),"Unable to upload the mini admin profile picture.")</f>
        <v>Unable to upload the mini admin profile picture.</v>
      </c>
      <c r="E37" s="72" t="str">
        <f>IFERROR(__xludf.DUMMYFUNCTION("""COMPUTED_VALUE"""),"User needs to access the login portal using a web browser.")</f>
        <v>User needs to access the login portal using a web browser.</v>
      </c>
      <c r="F37" s="72" t="str">
        <f>IFERROR(__xludf.DUMMYFUNCTION("""COMPUTED_VALUE"""),"1. Open browser
2. Login with admin credentials
3. Goto User management section
4. Click on mini admin")</f>
        <v>1. Open browser
2. Login with admin credentials
3. Goto User management section
4. Click on mini admin</v>
      </c>
      <c r="G37" s="72" t="str">
        <f>IFERROR(__xludf.DUMMYFUNCTION("""COMPUTED_VALUE"""),"ADMIN Credentials")</f>
        <v>ADMIN Credentials</v>
      </c>
      <c r="H37" s="72" t="str">
        <f>IFERROR(__xludf.DUMMYFUNCTION("""COMPUTED_VALUE"""),"User should be able to upload an admin profile.")</f>
        <v>User should be able to upload an admin profile.</v>
      </c>
      <c r="I37" s="72" t="str">
        <f>IFERROR(__xludf.DUMMYFUNCTION("""COMPUTED_VALUE"""),"failed to upload image ")</f>
        <v>failed to upload image </v>
      </c>
      <c r="J37" s="72" t="str">
        <f>IFERROR(__xludf.DUMMYFUNCTION("""COMPUTED_VALUE"""),"Fail")</f>
        <v>Fail</v>
      </c>
      <c r="K37" s="72" t="str">
        <f>IFERROR(__xludf.DUMMYFUNCTION("""COMPUTED_VALUE"""),"High")</f>
        <v>High</v>
      </c>
      <c r="L37" s="73" t="str">
        <f>IFERROR(__xludf.DUMMYFUNCTION("""COMPUTED_VALUE"""),"016.png")</f>
        <v>016.png</v>
      </c>
      <c r="M37" s="72"/>
      <c r="N37" s="72"/>
      <c r="O37" s="72"/>
      <c r="P37" s="72"/>
      <c r="Q37" s="72" t="str">
        <f>IFERROR(__xludf.DUMMYFUNCTION("""COMPUTED_VALUE"""),"Fahad")</f>
        <v>Fahad</v>
      </c>
      <c r="R37" s="22"/>
      <c r="S37" s="22"/>
      <c r="T37" s="22"/>
      <c r="U37" s="22"/>
      <c r="V37" s="22"/>
      <c r="W37" s="22"/>
      <c r="X37" s="22"/>
      <c r="Y37" s="22"/>
      <c r="Z37" s="22"/>
      <c r="AA37" s="22"/>
    </row>
    <row r="38">
      <c r="A38" s="51" t="s">
        <v>233</v>
      </c>
      <c r="B38" s="72" t="str">
        <f>IFERROR(__xludf.DUMMYFUNCTION("""COMPUTED_VALUE"""),"Home")</f>
        <v>Home</v>
      </c>
      <c r="C38" s="72" t="str">
        <f>IFERROR(__xludf.DUMMYFUNCTION("""COMPUTED_VALUE"""),"User Management")</f>
        <v>User Management</v>
      </c>
      <c r="D38" s="72" t="str">
        <f>IFERROR(__xludf.DUMMYFUNCTION("""COMPUTED_VALUE"""),"Field should be required when adding an admin, cleaner, or maintenance worker.")</f>
        <v>Field should be required when adding an admin, cleaner, or maintenance worker.</v>
      </c>
      <c r="E38" s="72" t="str">
        <f>IFERROR(__xludf.DUMMYFUNCTION("""COMPUTED_VALUE"""),"User needs to access the login portal using a web browser.")</f>
        <v>User needs to access the login portal using a web browser.</v>
      </c>
      <c r="F38" s="72" t="str">
        <f>IFERROR(__xludf.DUMMYFUNCTION("""COMPUTED_VALUE"""),"1. Open browser
2. Login with admin credentials
3. Goto User management section
4. Click on mini admin")</f>
        <v>1. Open browser
2. Login with admin credentials
3. Goto User management section
4. Click on mini admin</v>
      </c>
      <c r="G38" s="72" t="str">
        <f>IFERROR(__xludf.DUMMYFUNCTION("""COMPUTED_VALUE"""),"ADMIN Credentials")</f>
        <v>ADMIN Credentials</v>
      </c>
      <c r="H38" s="72" t="str">
        <f>IFERROR(__xludf.DUMMYFUNCTION("""COMPUTED_VALUE"""),"name , address , city etc fields should be required ")</f>
        <v>name , address , city etc fields should be required </v>
      </c>
      <c r="I38" s="72" t="str">
        <f>IFERROR(__xludf.DUMMYFUNCTION("""COMPUTED_VALUE"""),"Fields are not required ")</f>
        <v>Fields are not required </v>
      </c>
      <c r="J38" s="72" t="str">
        <f>IFERROR(__xludf.DUMMYFUNCTION("""COMPUTED_VALUE"""),"Fail")</f>
        <v>Fail</v>
      </c>
      <c r="K38" s="72" t="str">
        <f>IFERROR(__xludf.DUMMYFUNCTION("""COMPUTED_VALUE"""),"Medium")</f>
        <v>Medium</v>
      </c>
      <c r="L38" s="73" t="str">
        <f>IFERROR(__xludf.DUMMYFUNCTION("""COMPUTED_VALUE"""),"017.png")</f>
        <v>017.png</v>
      </c>
      <c r="M38" s="72"/>
      <c r="N38" s="72"/>
      <c r="O38" s="72"/>
      <c r="P38" s="72"/>
      <c r="Q38" s="72" t="str">
        <f>IFERROR(__xludf.DUMMYFUNCTION("""COMPUTED_VALUE"""),"Fahad")</f>
        <v>Fahad</v>
      </c>
      <c r="R38" s="22"/>
      <c r="S38" s="22"/>
      <c r="T38" s="22"/>
      <c r="U38" s="22"/>
      <c r="V38" s="22"/>
      <c r="W38" s="22"/>
      <c r="X38" s="22"/>
      <c r="Y38" s="22"/>
      <c r="Z38" s="22"/>
      <c r="AA38" s="22"/>
    </row>
    <row r="39">
      <c r="A39" s="51" t="s">
        <v>234</v>
      </c>
      <c r="B39" s="72" t="str">
        <f>IFERROR(__xludf.DUMMYFUNCTION("""COMPUTED_VALUE"""),"Home")</f>
        <v>Home</v>
      </c>
      <c r="C39" s="72" t="str">
        <f>IFERROR(__xludf.DUMMYFUNCTION("""COMPUTED_VALUE"""),"User Management")</f>
        <v>User Management</v>
      </c>
      <c r="D39" s="72" t="str">
        <f>IFERROR(__xludf.DUMMYFUNCTION("""COMPUTED_VALUE"""),"should be drop-down list")</f>
        <v>should be drop-down list</v>
      </c>
      <c r="E39" s="72" t="str">
        <f>IFERROR(__xludf.DUMMYFUNCTION("""COMPUTED_VALUE"""),"User needs to access the login portal using a web browser.")</f>
        <v>User needs to access the login portal using a web browser.</v>
      </c>
      <c r="F39" s="72" t="str">
        <f>IFERROR(__xludf.DUMMYFUNCTION("""COMPUTED_VALUE"""),"1. Open browser
2. Login with admin credentials
3. Goto User management section
4. Click on mini admin")</f>
        <v>1. Open browser
2. Login with admin credentials
3. Goto User management section
4. Click on mini admin</v>
      </c>
      <c r="G39" s="72" t="str">
        <f>IFERROR(__xludf.DUMMYFUNCTION("""COMPUTED_VALUE"""),"ADMIN Credentials")</f>
        <v>ADMIN Credentials</v>
      </c>
      <c r="H39" s="72" t="str">
        <f>IFERROR(__xludf.DUMMYFUNCTION("""COMPUTED_VALUE"""),"Design and feature implementation should match the Figma exactly.")</f>
        <v>Design and feature implementation should match the Figma exactly.</v>
      </c>
      <c r="I39" s="72" t="str">
        <f>IFERROR(__xludf.DUMMYFUNCTION("""COMPUTED_VALUE"""),"set as tag in frontend")</f>
        <v>set as tag in frontend</v>
      </c>
      <c r="J39" s="72" t="str">
        <f>IFERROR(__xludf.DUMMYFUNCTION("""COMPUTED_VALUE"""),"Fail")</f>
        <v>Fail</v>
      </c>
      <c r="K39" s="72" t="str">
        <f>IFERROR(__xludf.DUMMYFUNCTION("""COMPUTED_VALUE"""),"Medium")</f>
        <v>Medium</v>
      </c>
      <c r="L39" s="73" t="str">
        <f>IFERROR(__xludf.DUMMYFUNCTION("""COMPUTED_VALUE"""),"018.png")</f>
        <v>018.png</v>
      </c>
      <c r="M39" s="72"/>
      <c r="N39" s="72"/>
      <c r="O39" s="72"/>
      <c r="P39" s="72"/>
      <c r="Q39" s="72" t="str">
        <f>IFERROR(__xludf.DUMMYFUNCTION("""COMPUTED_VALUE"""),"Fahad")</f>
        <v>Fahad</v>
      </c>
      <c r="R39" s="22"/>
      <c r="S39" s="22"/>
      <c r="T39" s="22"/>
      <c r="U39" s="22"/>
      <c r="V39" s="22"/>
      <c r="W39" s="22"/>
      <c r="X39" s="22"/>
      <c r="Y39" s="22"/>
      <c r="Z39" s="22"/>
      <c r="AA39" s="22"/>
    </row>
    <row r="40">
      <c r="A40" s="51" t="s">
        <v>235</v>
      </c>
      <c r="B40" s="72" t="str">
        <f>IFERROR(__xludf.DUMMYFUNCTION("""COMPUTED_VALUE"""),"Login")</f>
        <v>Login</v>
      </c>
      <c r="C40" s="72" t="str">
        <f>IFERROR(__xludf.DUMMYFUNCTION("""COMPUTED_VALUE"""),"Login")</f>
        <v>Login</v>
      </c>
      <c r="D40" s="72" t="str">
        <f>IFERROR(__xludf.DUMMYFUNCTION("""COMPUTED_VALUE"""),"Strong password indicator needs to be implemented.")</f>
        <v>Strong password indicator needs to be implemented.</v>
      </c>
      <c r="E40" s="72" t="str">
        <f>IFERROR(__xludf.DUMMYFUNCTION("""COMPUTED_VALUE"""),"User needs to access the login portal using a web browser.")</f>
        <v>User needs to access the login portal using a web browser.</v>
      </c>
      <c r="F40" s="72" t="str">
        <f>IFERROR(__xludf.DUMMYFUNCTION("""COMPUTED_VALUE"""),"1. Open browser
2. Login with admin credentials")</f>
        <v>1. Open browser
2. Login with admin credentials</v>
      </c>
      <c r="G40" s="72" t="str">
        <f>IFERROR(__xludf.DUMMYFUNCTION("""COMPUTED_VALUE"""),"ADMIN Credentials")</f>
        <v>ADMIN Credentials</v>
      </c>
      <c r="H40" s="72" t="str">
        <f>IFERROR(__xludf.DUMMYFUNCTION("""COMPUTED_VALUE"""),"Strong password indicator should be displayed while entering a password.")</f>
        <v>Strong password indicator should be displayed while entering a password.</v>
      </c>
      <c r="I40" s="72" t="str">
        <f>IFERROR(__xludf.DUMMYFUNCTION("""COMPUTED_VALUE"""),"Login page is missing a password field indicator.")</f>
        <v>Login page is missing a password field indicator.</v>
      </c>
      <c r="J40" s="72" t="str">
        <f>IFERROR(__xludf.DUMMYFUNCTION("""COMPUTED_VALUE"""),"Fail")</f>
        <v>Fail</v>
      </c>
      <c r="K40" s="72" t="str">
        <f>IFERROR(__xludf.DUMMYFUNCTION("""COMPUTED_VALUE"""),"Medium")</f>
        <v>Medium</v>
      </c>
      <c r="L40" s="73" t="str">
        <f>IFERROR(__xludf.DUMMYFUNCTION("""COMPUTED_VALUE"""),"001.png")</f>
        <v>001.png</v>
      </c>
      <c r="M40" s="72"/>
      <c r="N40" s="72"/>
      <c r="O40" s="72"/>
      <c r="P40" s="72"/>
      <c r="Q40" s="72" t="str">
        <f>IFERROR(__xludf.DUMMYFUNCTION("""COMPUTED_VALUE"""),"Fahad")</f>
        <v>Fahad</v>
      </c>
      <c r="R40" s="22"/>
      <c r="S40" s="22"/>
      <c r="T40" s="22"/>
      <c r="U40" s="22"/>
      <c r="V40" s="22"/>
      <c r="W40" s="22"/>
      <c r="X40" s="22"/>
      <c r="Y40" s="22"/>
      <c r="Z40" s="22"/>
      <c r="AA40" s="22"/>
    </row>
    <row r="41">
      <c r="A41" s="51" t="s">
        <v>236</v>
      </c>
      <c r="B41" s="72"/>
      <c r="C41" s="72"/>
      <c r="D41" s="72"/>
      <c r="E41" s="72"/>
      <c r="F41" s="72"/>
      <c r="G41" s="72"/>
      <c r="H41" s="72"/>
      <c r="I41" s="72"/>
      <c r="J41" s="72"/>
      <c r="K41" s="72"/>
      <c r="L41" s="72"/>
      <c r="M41" s="72"/>
      <c r="N41" s="72"/>
      <c r="O41" s="72"/>
      <c r="P41" s="72"/>
      <c r="Q41" s="72"/>
      <c r="R41" s="22"/>
      <c r="S41" s="22"/>
      <c r="T41" s="22"/>
      <c r="U41" s="22"/>
      <c r="V41" s="22"/>
      <c r="W41" s="22"/>
      <c r="X41" s="22"/>
      <c r="Y41" s="22"/>
      <c r="Z41" s="22"/>
      <c r="AA41" s="22"/>
    </row>
    <row r="42">
      <c r="A42" s="51" t="s">
        <v>236</v>
      </c>
      <c r="B42" s="72"/>
      <c r="C42" s="72"/>
      <c r="D42" s="72"/>
      <c r="E42" s="72"/>
      <c r="F42" s="72"/>
      <c r="G42" s="72"/>
      <c r="H42" s="72"/>
      <c r="I42" s="72"/>
      <c r="J42" s="72"/>
      <c r="K42" s="72"/>
      <c r="L42" s="72"/>
      <c r="M42" s="72"/>
      <c r="N42" s="72"/>
      <c r="O42" s="72"/>
      <c r="P42" s="72"/>
      <c r="Q42" s="72"/>
      <c r="R42" s="22"/>
      <c r="S42" s="22"/>
      <c r="T42" s="22"/>
      <c r="U42" s="22"/>
      <c r="V42" s="22"/>
      <c r="W42" s="22"/>
      <c r="X42" s="22"/>
      <c r="Y42" s="22"/>
      <c r="Z42" s="22"/>
      <c r="AA42" s="22"/>
    </row>
    <row r="43">
      <c r="A43" s="51" t="s">
        <v>236</v>
      </c>
      <c r="B43" s="72"/>
      <c r="C43" s="72"/>
      <c r="D43" s="72"/>
      <c r="E43" s="72"/>
      <c r="F43" s="72"/>
      <c r="G43" s="72"/>
      <c r="H43" s="72"/>
      <c r="I43" s="72"/>
      <c r="J43" s="72"/>
      <c r="K43" s="72"/>
      <c r="L43" s="72"/>
      <c r="M43" s="72"/>
      <c r="N43" s="72"/>
      <c r="O43" s="72"/>
      <c r="P43" s="72"/>
      <c r="Q43" s="72"/>
      <c r="R43" s="22"/>
      <c r="S43" s="22"/>
      <c r="T43" s="22"/>
      <c r="U43" s="22"/>
      <c r="V43" s="22"/>
      <c r="W43" s="22"/>
      <c r="X43" s="22"/>
      <c r="Y43" s="22"/>
      <c r="Z43" s="22"/>
      <c r="AA43" s="22"/>
    </row>
    <row r="44">
      <c r="A44" s="51" t="s">
        <v>236</v>
      </c>
      <c r="B44" s="72"/>
      <c r="C44" s="72"/>
      <c r="D44" s="72"/>
      <c r="E44" s="72"/>
      <c r="F44" s="72"/>
      <c r="G44" s="72"/>
      <c r="H44" s="72"/>
      <c r="I44" s="72"/>
      <c r="J44" s="72"/>
      <c r="K44" s="72"/>
      <c r="L44" s="72"/>
      <c r="M44" s="72"/>
      <c r="N44" s="72"/>
      <c r="O44" s="72"/>
      <c r="P44" s="72"/>
      <c r="Q44" s="72"/>
      <c r="R44" s="22"/>
      <c r="S44" s="22"/>
      <c r="T44" s="22"/>
      <c r="U44" s="22"/>
      <c r="V44" s="22"/>
      <c r="W44" s="22"/>
      <c r="X44" s="22"/>
      <c r="Y44" s="22"/>
      <c r="Z44" s="22"/>
      <c r="AA44" s="22"/>
    </row>
    <row r="45">
      <c r="A45" s="51" t="s">
        <v>236</v>
      </c>
      <c r="B45" s="72"/>
      <c r="C45" s="72"/>
      <c r="D45" s="72"/>
      <c r="E45" s="72"/>
      <c r="F45" s="72"/>
      <c r="G45" s="72"/>
      <c r="H45" s="72"/>
      <c r="I45" s="72"/>
      <c r="J45" s="72"/>
      <c r="K45" s="72"/>
      <c r="L45" s="72"/>
      <c r="M45" s="72"/>
      <c r="N45" s="72"/>
      <c r="O45" s="72"/>
      <c r="P45" s="72"/>
      <c r="Q45" s="72"/>
      <c r="R45" s="22"/>
      <c r="S45" s="22"/>
      <c r="T45" s="22"/>
      <c r="U45" s="22"/>
      <c r="V45" s="22"/>
      <c r="W45" s="22"/>
      <c r="X45" s="22"/>
      <c r="Y45" s="22"/>
      <c r="Z45" s="22"/>
      <c r="AA45" s="22"/>
    </row>
    <row r="46">
      <c r="A46" s="51" t="s">
        <v>236</v>
      </c>
      <c r="B46" s="72"/>
      <c r="C46" s="72"/>
      <c r="D46" s="72"/>
      <c r="E46" s="72"/>
      <c r="F46" s="72"/>
      <c r="G46" s="72"/>
      <c r="H46" s="72"/>
      <c r="I46" s="72"/>
      <c r="J46" s="72"/>
      <c r="K46" s="72"/>
      <c r="L46" s="72"/>
      <c r="M46" s="72"/>
      <c r="N46" s="72"/>
      <c r="O46" s="72"/>
      <c r="P46" s="72"/>
      <c r="Q46" s="72"/>
      <c r="R46" s="22"/>
      <c r="S46" s="22"/>
      <c r="T46" s="22"/>
      <c r="U46" s="22"/>
      <c r="V46" s="22"/>
      <c r="W46" s="22"/>
      <c r="X46" s="22"/>
      <c r="Y46" s="22"/>
      <c r="Z46" s="22"/>
      <c r="AA46" s="22"/>
    </row>
    <row r="47">
      <c r="A47" s="51" t="s">
        <v>236</v>
      </c>
      <c r="B47" s="72"/>
      <c r="C47" s="72"/>
      <c r="D47" s="72"/>
      <c r="E47" s="72"/>
      <c r="F47" s="72"/>
      <c r="G47" s="72"/>
      <c r="H47" s="72"/>
      <c r="I47" s="72"/>
      <c r="J47" s="72"/>
      <c r="K47" s="72"/>
      <c r="L47" s="72"/>
      <c r="M47" s="72"/>
      <c r="N47" s="72"/>
      <c r="O47" s="72"/>
      <c r="P47" s="72"/>
      <c r="Q47" s="72"/>
      <c r="R47" s="22"/>
      <c r="S47" s="22"/>
      <c r="T47" s="22"/>
      <c r="U47" s="22"/>
      <c r="V47" s="22"/>
      <c r="W47" s="22"/>
      <c r="X47" s="22"/>
      <c r="Y47" s="22"/>
      <c r="Z47" s="22"/>
      <c r="AA47" s="22"/>
    </row>
    <row r="48">
      <c r="A48" s="51" t="s">
        <v>236</v>
      </c>
      <c r="B48" s="72"/>
      <c r="C48" s="72"/>
      <c r="D48" s="72"/>
      <c r="E48" s="72"/>
      <c r="F48" s="72"/>
      <c r="G48" s="72"/>
      <c r="H48" s="72"/>
      <c r="I48" s="72"/>
      <c r="J48" s="72"/>
      <c r="K48" s="72"/>
      <c r="L48" s="72"/>
      <c r="M48" s="72"/>
      <c r="N48" s="72"/>
      <c r="O48" s="72"/>
      <c r="P48" s="72"/>
      <c r="Q48" s="72"/>
      <c r="R48" s="22"/>
      <c r="S48" s="22"/>
      <c r="T48" s="22"/>
      <c r="U48" s="22"/>
      <c r="V48" s="22"/>
      <c r="W48" s="22"/>
      <c r="X48" s="22"/>
      <c r="Y48" s="22"/>
      <c r="Z48" s="22"/>
      <c r="AA48" s="22"/>
    </row>
    <row r="49">
      <c r="A49" s="51" t="s">
        <v>236</v>
      </c>
      <c r="B49" s="72"/>
      <c r="C49" s="72"/>
      <c r="D49" s="72"/>
      <c r="E49" s="72"/>
      <c r="F49" s="72"/>
      <c r="G49" s="72"/>
      <c r="H49" s="72"/>
      <c r="I49" s="72"/>
      <c r="J49" s="72"/>
      <c r="K49" s="72"/>
      <c r="L49" s="72"/>
      <c r="M49" s="72"/>
      <c r="N49" s="72"/>
      <c r="O49" s="72"/>
      <c r="P49" s="72"/>
      <c r="Q49" s="72"/>
      <c r="R49" s="22"/>
      <c r="S49" s="22"/>
      <c r="T49" s="22"/>
      <c r="U49" s="22"/>
      <c r="V49" s="22"/>
      <c r="W49" s="22"/>
      <c r="X49" s="22"/>
      <c r="Y49" s="22"/>
      <c r="Z49" s="22"/>
      <c r="AA49" s="22"/>
    </row>
    <row r="50">
      <c r="A50" s="51" t="s">
        <v>236</v>
      </c>
      <c r="B50" s="72"/>
      <c r="C50" s="72"/>
      <c r="D50" s="72"/>
      <c r="E50" s="72"/>
      <c r="F50" s="72"/>
      <c r="G50" s="72"/>
      <c r="H50" s="72"/>
      <c r="I50" s="72"/>
      <c r="J50" s="72"/>
      <c r="K50" s="72"/>
      <c r="L50" s="72"/>
      <c r="M50" s="72"/>
      <c r="N50" s="72"/>
      <c r="O50" s="72"/>
      <c r="P50" s="72"/>
      <c r="Q50" s="72"/>
      <c r="R50" s="22"/>
      <c r="S50" s="22"/>
      <c r="T50" s="22"/>
      <c r="U50" s="22"/>
      <c r="V50" s="22"/>
      <c r="W50" s="22"/>
      <c r="X50" s="22"/>
      <c r="Y50" s="22"/>
      <c r="Z50" s="22"/>
      <c r="AA50" s="22"/>
    </row>
    <row r="51">
      <c r="A51" s="51" t="s">
        <v>236</v>
      </c>
      <c r="B51" s="72"/>
      <c r="C51" s="72"/>
      <c r="D51" s="72"/>
      <c r="E51" s="72"/>
      <c r="F51" s="72"/>
      <c r="G51" s="72"/>
      <c r="H51" s="72"/>
      <c r="I51" s="72"/>
      <c r="J51" s="72"/>
      <c r="K51" s="72"/>
      <c r="L51" s="72"/>
      <c r="M51" s="72"/>
      <c r="N51" s="72"/>
      <c r="O51" s="72"/>
      <c r="P51" s="72"/>
      <c r="Q51" s="72"/>
      <c r="R51" s="22"/>
      <c r="S51" s="22"/>
      <c r="T51" s="22"/>
      <c r="U51" s="22"/>
      <c r="V51" s="22"/>
      <c r="W51" s="22"/>
      <c r="X51" s="22"/>
      <c r="Y51" s="22"/>
      <c r="Z51" s="22"/>
      <c r="AA51" s="22"/>
    </row>
    <row r="52">
      <c r="A52" s="51" t="s">
        <v>236</v>
      </c>
      <c r="B52" s="72"/>
      <c r="C52" s="72"/>
      <c r="D52" s="72"/>
      <c r="E52" s="72"/>
      <c r="F52" s="72"/>
      <c r="G52" s="72"/>
      <c r="H52" s="72"/>
      <c r="I52" s="72"/>
      <c r="J52" s="72"/>
      <c r="K52" s="72"/>
      <c r="L52" s="72"/>
      <c r="M52" s="72"/>
      <c r="N52" s="72"/>
      <c r="O52" s="72"/>
      <c r="P52" s="72"/>
      <c r="Q52" s="72"/>
      <c r="R52" s="22"/>
      <c r="S52" s="22"/>
      <c r="T52" s="22"/>
      <c r="U52" s="22"/>
      <c r="V52" s="22"/>
      <c r="W52" s="22"/>
      <c r="X52" s="22"/>
      <c r="Y52" s="22"/>
      <c r="Z52" s="22"/>
      <c r="AA52" s="22"/>
    </row>
    <row r="53">
      <c r="A53" s="51" t="s">
        <v>236</v>
      </c>
      <c r="B53" s="72"/>
      <c r="C53" s="72"/>
      <c r="D53" s="72"/>
      <c r="E53" s="72"/>
      <c r="F53" s="72"/>
      <c r="G53" s="72"/>
      <c r="H53" s="72"/>
      <c r="I53" s="72"/>
      <c r="J53" s="72"/>
      <c r="K53" s="72"/>
      <c r="L53" s="72"/>
      <c r="M53" s="72"/>
      <c r="N53" s="72"/>
      <c r="O53" s="72"/>
      <c r="P53" s="72"/>
      <c r="Q53" s="72"/>
      <c r="R53" s="22"/>
      <c r="S53" s="22"/>
      <c r="T53" s="22"/>
      <c r="U53" s="22"/>
      <c r="V53" s="22"/>
      <c r="W53" s="22"/>
      <c r="X53" s="22"/>
      <c r="Y53" s="22"/>
      <c r="Z53" s="22"/>
      <c r="AA53" s="22"/>
    </row>
    <row r="54">
      <c r="A54" s="51" t="s">
        <v>236</v>
      </c>
      <c r="B54" s="72"/>
      <c r="C54" s="72"/>
      <c r="D54" s="72"/>
      <c r="E54" s="72"/>
      <c r="F54" s="72"/>
      <c r="G54" s="72"/>
      <c r="H54" s="72"/>
      <c r="I54" s="72"/>
      <c r="J54" s="72"/>
      <c r="K54" s="72"/>
      <c r="L54" s="72"/>
      <c r="M54" s="72"/>
      <c r="N54" s="72"/>
      <c r="O54" s="72"/>
      <c r="P54" s="72"/>
      <c r="Q54" s="72"/>
      <c r="R54" s="22"/>
      <c r="S54" s="22"/>
      <c r="T54" s="22"/>
      <c r="U54" s="22"/>
      <c r="V54" s="22"/>
      <c r="W54" s="22"/>
      <c r="X54" s="22"/>
      <c r="Y54" s="22"/>
      <c r="Z54" s="22"/>
      <c r="AA54" s="22"/>
    </row>
    <row r="55">
      <c r="A55" s="51" t="s">
        <v>236</v>
      </c>
      <c r="B55" s="72"/>
      <c r="C55" s="72"/>
      <c r="D55" s="72"/>
      <c r="E55" s="72"/>
      <c r="F55" s="72"/>
      <c r="G55" s="72"/>
      <c r="H55" s="72"/>
      <c r="I55" s="72"/>
      <c r="J55" s="72"/>
      <c r="K55" s="72"/>
      <c r="L55" s="72"/>
      <c r="M55" s="72"/>
      <c r="N55" s="72"/>
      <c r="O55" s="72"/>
      <c r="P55" s="72"/>
      <c r="Q55" s="72"/>
      <c r="R55" s="22"/>
      <c r="S55" s="22"/>
      <c r="T55" s="22"/>
      <c r="U55" s="22"/>
      <c r="V55" s="22"/>
      <c r="W55" s="22"/>
      <c r="X55" s="22"/>
      <c r="Y55" s="22"/>
      <c r="Z55" s="22"/>
      <c r="AA55" s="22"/>
    </row>
    <row r="56">
      <c r="A56" s="51" t="s">
        <v>236</v>
      </c>
      <c r="B56" s="72"/>
      <c r="C56" s="72"/>
      <c r="D56" s="72"/>
      <c r="E56" s="72"/>
      <c r="F56" s="72"/>
      <c r="G56" s="72"/>
      <c r="H56" s="72"/>
      <c r="I56" s="72"/>
      <c r="J56" s="72"/>
      <c r="K56" s="72"/>
      <c r="L56" s="72"/>
      <c r="M56" s="72"/>
      <c r="N56" s="72"/>
      <c r="O56" s="72"/>
      <c r="P56" s="72"/>
      <c r="Q56" s="72"/>
      <c r="R56" s="22"/>
      <c r="S56" s="22"/>
      <c r="T56" s="22"/>
      <c r="U56" s="22"/>
      <c r="V56" s="22"/>
      <c r="W56" s="22"/>
      <c r="X56" s="22"/>
      <c r="Y56" s="22"/>
      <c r="Z56" s="22"/>
      <c r="AA56" s="22"/>
    </row>
    <row r="57">
      <c r="A57" s="51" t="s">
        <v>236</v>
      </c>
      <c r="B57" s="72"/>
      <c r="C57" s="72"/>
      <c r="D57" s="72"/>
      <c r="E57" s="72"/>
      <c r="F57" s="72"/>
      <c r="G57" s="72"/>
      <c r="H57" s="72"/>
      <c r="I57" s="72"/>
      <c r="J57" s="72"/>
      <c r="K57" s="72"/>
      <c r="L57" s="72"/>
      <c r="M57" s="72"/>
      <c r="N57" s="72"/>
      <c r="O57" s="72"/>
      <c r="P57" s="72"/>
      <c r="Q57" s="72"/>
      <c r="R57" s="22"/>
      <c r="S57" s="22"/>
      <c r="T57" s="22"/>
      <c r="U57" s="22"/>
      <c r="V57" s="22"/>
      <c r="W57" s="22"/>
      <c r="X57" s="22"/>
      <c r="Y57" s="22"/>
      <c r="Z57" s="22"/>
      <c r="AA57" s="22"/>
    </row>
    <row r="58">
      <c r="A58" s="51" t="s">
        <v>236</v>
      </c>
      <c r="B58" s="72"/>
      <c r="C58" s="72"/>
      <c r="D58" s="72"/>
      <c r="E58" s="72"/>
      <c r="F58" s="72"/>
      <c r="G58" s="72"/>
      <c r="H58" s="72"/>
      <c r="I58" s="72"/>
      <c r="J58" s="72"/>
      <c r="K58" s="72"/>
      <c r="L58" s="72"/>
      <c r="M58" s="72"/>
      <c r="N58" s="72"/>
      <c r="O58" s="72"/>
      <c r="P58" s="72"/>
      <c r="Q58" s="72"/>
      <c r="R58" s="22"/>
      <c r="S58" s="22"/>
      <c r="T58" s="22"/>
      <c r="U58" s="22"/>
      <c r="V58" s="22"/>
      <c r="W58" s="22"/>
      <c r="X58" s="22"/>
      <c r="Y58" s="22"/>
      <c r="Z58" s="22"/>
      <c r="AA58" s="22"/>
    </row>
    <row r="59">
      <c r="A59" s="51" t="s">
        <v>236</v>
      </c>
      <c r="B59" s="72"/>
      <c r="C59" s="72"/>
      <c r="D59" s="72"/>
      <c r="E59" s="72"/>
      <c r="F59" s="72"/>
      <c r="G59" s="72"/>
      <c r="H59" s="72"/>
      <c r="I59" s="72"/>
      <c r="J59" s="72"/>
      <c r="K59" s="72"/>
      <c r="L59" s="72"/>
      <c r="M59" s="72"/>
      <c r="N59" s="72"/>
      <c r="O59" s="72"/>
      <c r="P59" s="72"/>
      <c r="Q59" s="72"/>
      <c r="R59" s="22"/>
      <c r="S59" s="22"/>
      <c r="T59" s="22"/>
      <c r="U59" s="22"/>
      <c r="V59" s="22"/>
      <c r="W59" s="22"/>
      <c r="X59" s="22"/>
      <c r="Y59" s="22"/>
      <c r="Z59" s="22"/>
      <c r="AA59" s="22"/>
    </row>
    <row r="60">
      <c r="A60" s="51" t="s">
        <v>236</v>
      </c>
      <c r="B60" s="72"/>
      <c r="C60" s="72"/>
      <c r="D60" s="72"/>
      <c r="E60" s="72"/>
      <c r="F60" s="72"/>
      <c r="G60" s="72"/>
      <c r="H60" s="72"/>
      <c r="I60" s="72"/>
      <c r="J60" s="72"/>
      <c r="K60" s="72"/>
      <c r="L60" s="72"/>
      <c r="M60" s="72"/>
      <c r="N60" s="72"/>
      <c r="O60" s="72"/>
      <c r="P60" s="72"/>
      <c r="Q60" s="72"/>
      <c r="R60" s="22"/>
      <c r="S60" s="22"/>
      <c r="T60" s="22"/>
      <c r="U60" s="22"/>
      <c r="V60" s="22"/>
      <c r="W60" s="22"/>
      <c r="X60" s="22"/>
      <c r="Y60" s="22"/>
      <c r="Z60" s="22"/>
      <c r="AA60" s="22"/>
    </row>
    <row r="61">
      <c r="A61" s="51" t="s">
        <v>236</v>
      </c>
      <c r="B61" s="72"/>
      <c r="C61" s="72"/>
      <c r="D61" s="72"/>
      <c r="E61" s="72"/>
      <c r="F61" s="72"/>
      <c r="G61" s="72"/>
      <c r="H61" s="72"/>
      <c r="I61" s="72"/>
      <c r="J61" s="72"/>
      <c r="K61" s="72"/>
      <c r="L61" s="72"/>
      <c r="M61" s="72"/>
      <c r="N61" s="72"/>
      <c r="O61" s="72"/>
      <c r="P61" s="72"/>
      <c r="Q61" s="72"/>
      <c r="R61" s="22"/>
      <c r="S61" s="22"/>
      <c r="T61" s="22"/>
      <c r="U61" s="22"/>
      <c r="V61" s="22"/>
      <c r="W61" s="22"/>
      <c r="X61" s="22"/>
      <c r="Y61" s="22"/>
      <c r="Z61" s="22"/>
      <c r="AA61" s="22"/>
    </row>
    <row r="62">
      <c r="A62" s="51" t="s">
        <v>236</v>
      </c>
      <c r="B62" s="72"/>
      <c r="C62" s="72"/>
      <c r="D62" s="72"/>
      <c r="E62" s="72"/>
      <c r="F62" s="72"/>
      <c r="G62" s="72"/>
      <c r="H62" s="72"/>
      <c r="I62" s="72"/>
      <c r="J62" s="72"/>
      <c r="K62" s="72"/>
      <c r="L62" s="72"/>
      <c r="M62" s="72"/>
      <c r="N62" s="72"/>
      <c r="O62" s="72"/>
      <c r="P62" s="72"/>
      <c r="Q62" s="72"/>
      <c r="R62" s="22"/>
      <c r="S62" s="22"/>
      <c r="T62" s="22"/>
      <c r="U62" s="22"/>
      <c r="V62" s="22"/>
      <c r="W62" s="22"/>
      <c r="X62" s="22"/>
      <c r="Y62" s="22"/>
      <c r="Z62" s="22"/>
      <c r="AA62" s="22"/>
    </row>
    <row r="63">
      <c r="A63" s="51" t="s">
        <v>236</v>
      </c>
      <c r="B63" s="72"/>
      <c r="C63" s="72"/>
      <c r="D63" s="72"/>
      <c r="E63" s="72"/>
      <c r="F63" s="72"/>
      <c r="G63" s="72"/>
      <c r="H63" s="72"/>
      <c r="I63" s="72"/>
      <c r="J63" s="72"/>
      <c r="K63" s="72"/>
      <c r="L63" s="72"/>
      <c r="M63" s="72"/>
      <c r="N63" s="72"/>
      <c r="O63" s="72"/>
      <c r="P63" s="72"/>
      <c r="Q63" s="72"/>
      <c r="R63" s="22"/>
      <c r="S63" s="22"/>
      <c r="T63" s="22"/>
      <c r="U63" s="22"/>
      <c r="V63" s="22"/>
      <c r="W63" s="22"/>
      <c r="X63" s="22"/>
      <c r="Y63" s="22"/>
      <c r="Z63" s="22"/>
      <c r="AA63" s="22"/>
    </row>
    <row r="64">
      <c r="A64" s="51" t="s">
        <v>236</v>
      </c>
      <c r="B64" s="72"/>
      <c r="C64" s="72"/>
      <c r="D64" s="72"/>
      <c r="E64" s="72"/>
      <c r="F64" s="72"/>
      <c r="G64" s="72"/>
      <c r="H64" s="72"/>
      <c r="I64" s="72"/>
      <c r="J64" s="72"/>
      <c r="K64" s="72"/>
      <c r="L64" s="72"/>
      <c r="M64" s="72"/>
      <c r="N64" s="72"/>
      <c r="O64" s="72"/>
      <c r="P64" s="72"/>
      <c r="Q64" s="72"/>
      <c r="R64" s="22"/>
      <c r="S64" s="22"/>
      <c r="T64" s="22"/>
      <c r="U64" s="22"/>
      <c r="V64" s="22"/>
      <c r="W64" s="22"/>
      <c r="X64" s="22"/>
      <c r="Y64" s="22"/>
      <c r="Z64" s="22"/>
      <c r="AA64" s="22"/>
    </row>
    <row r="65">
      <c r="A65" s="74" t="s">
        <v>236</v>
      </c>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c r="A66" s="74" t="s">
        <v>236</v>
      </c>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c r="A67" s="74" t="s">
        <v>236</v>
      </c>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c r="A68" s="74" t="s">
        <v>236</v>
      </c>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c r="A69" s="74" t="s">
        <v>236</v>
      </c>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c r="A70" s="74" t="s">
        <v>236</v>
      </c>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c r="A71" s="74" t="s">
        <v>236</v>
      </c>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c r="A72" s="74" t="s">
        <v>236</v>
      </c>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c r="A73" s="74" t="s">
        <v>236</v>
      </c>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c r="A74" s="74" t="s">
        <v>236</v>
      </c>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c r="A75" s="74" t="s">
        <v>236</v>
      </c>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c r="A76" s="74" t="s">
        <v>236</v>
      </c>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c r="A77" s="74" t="s">
        <v>236</v>
      </c>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c r="A78" s="74" t="s">
        <v>236</v>
      </c>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c r="A79" s="74" t="s">
        <v>236</v>
      </c>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c r="A80" s="74" t="s">
        <v>236</v>
      </c>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c r="A81" s="74" t="s">
        <v>236</v>
      </c>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c r="A82" s="74" t="s">
        <v>236</v>
      </c>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c r="A83" s="74" t="s">
        <v>236</v>
      </c>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c r="A84" s="74" t="s">
        <v>236</v>
      </c>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c r="A85" s="74" t="s">
        <v>236</v>
      </c>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c r="A86" s="74" t="s">
        <v>236</v>
      </c>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c r="A87" s="74" t="s">
        <v>236</v>
      </c>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c r="A88" s="74" t="s">
        <v>236</v>
      </c>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c r="A89" s="74" t="s">
        <v>236</v>
      </c>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c r="A90" s="74" t="s">
        <v>236</v>
      </c>
    </row>
    <row r="91">
      <c r="A91" s="74" t="s">
        <v>236</v>
      </c>
    </row>
    <row r="92">
      <c r="A92" s="74" t="s">
        <v>236</v>
      </c>
    </row>
    <row r="93">
      <c r="A93" s="74" t="s">
        <v>236</v>
      </c>
    </row>
    <row r="94">
      <c r="A94" s="74" t="s">
        <v>236</v>
      </c>
    </row>
    <row r="95">
      <c r="A95" s="74" t="s">
        <v>236</v>
      </c>
    </row>
    <row r="96">
      <c r="A96" s="74" t="s">
        <v>236</v>
      </c>
    </row>
    <row r="97">
      <c r="A97" s="74" t="s">
        <v>236</v>
      </c>
    </row>
    <row r="98">
      <c r="A98" s="74" t="s">
        <v>236</v>
      </c>
    </row>
    <row r="99">
      <c r="A99" s="74" t="s">
        <v>236</v>
      </c>
    </row>
    <row r="100">
      <c r="A100" s="75" t="s">
        <v>236</v>
      </c>
    </row>
  </sheetData>
  <dataValidations>
    <dataValidation type="list" allowBlank="1" showErrorMessage="1" sqref="K11:K64">
      <formula1>"Low,Medium,High"</formula1>
    </dataValidation>
    <dataValidation type="list" allowBlank="1" showErrorMessage="1" sqref="J11:J64">
      <formula1>"Fail,Pass"</formula1>
    </dataValidation>
    <dataValidation type="list" allowBlank="1" showErrorMessage="1" sqref="N11:N64">
      <formula1>"Solved,Unsolved"</formula1>
    </dataValidation>
    <dataValidation type="list" allowBlank="1" showErrorMessage="1" sqref="O11:O64">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s>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76" t="s">
        <v>13</v>
      </c>
      <c r="B1" s="76" t="s">
        <v>14</v>
      </c>
      <c r="C1" s="77" t="s">
        <v>205</v>
      </c>
      <c r="D1" s="76" t="s">
        <v>237</v>
      </c>
      <c r="E1" s="76" t="s">
        <v>238</v>
      </c>
      <c r="F1" s="47" t="s">
        <v>239</v>
      </c>
      <c r="G1" s="24"/>
      <c r="H1" s="24"/>
      <c r="I1" s="24"/>
      <c r="J1" s="24"/>
      <c r="K1" s="24"/>
      <c r="L1" s="24"/>
      <c r="M1" s="24"/>
      <c r="N1" s="24"/>
      <c r="O1" s="24"/>
      <c r="P1" s="24"/>
      <c r="Q1" s="24"/>
      <c r="R1" s="24"/>
      <c r="S1" s="24"/>
      <c r="T1" s="24"/>
      <c r="U1" s="24"/>
      <c r="V1" s="24"/>
      <c r="W1" s="24"/>
      <c r="X1" s="24"/>
      <c r="Y1" s="24"/>
      <c r="Z1" s="24"/>
      <c r="AA1" s="24"/>
    </row>
    <row r="2">
      <c r="A2" s="78" t="str">
        <f>IFERROR(__xludf.DUMMYFUNCTION("SORT(
  SPLIT(
    UNIQUE(
      FILTER('Main Report'!B11:B100 &amp; ""♦"" &amp; 'Main Report'!C11:C100, LEN('Main Report'!C11:C100))
    ),
    ""♦""
  ),
  1, TRUE, 2, TRUE
)
"),"Home")</f>
        <v>Home</v>
      </c>
      <c r="B2" s="78" t="str">
        <f>IFERROR(__xludf.DUMMYFUNCTION("""COMPUTED_VALUE"""),"Buildings")</f>
        <v>Buildings</v>
      </c>
      <c r="C2" s="78" t="str">
        <f>IFERROR(__xludf.DUMMYFUNCTION("TEXTJOIN("", "", TRUE, 
  FILTER('Main Report'!A11:A100, 
    ('Main Report'!B11:B100=A2) * ('Main Report'!C11:C100=B2)
  )
)
"),"BR-001, BR-002, BR-003, BR-004")</f>
        <v>BR-001, BR-002, BR-003, BR-004</v>
      </c>
      <c r="D2" s="78">
        <f>IFERROR(__xludf.DUMMYFUNCTION("COUNTA(UNIQUE(TRANSPOSE(SPLIT(C2, "", ""))))
"),4.0)</f>
        <v>4</v>
      </c>
      <c r="E2" s="78" t="str">
        <f>IF(D2="", "", TEXT((D2 / 'Main Report'!$E$7), "0.00%"))
</f>
        <v>13.33%</v>
      </c>
      <c r="F2" s="79"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3
Low: 0")</f>
        <v>High: 1
Medium: 3
Low: 0</v>
      </c>
      <c r="G2" s="24"/>
      <c r="H2" s="24"/>
      <c r="I2" s="24"/>
      <c r="J2" s="24"/>
      <c r="K2" s="24"/>
      <c r="L2" s="24"/>
      <c r="M2" s="24"/>
      <c r="N2" s="24"/>
      <c r="O2" s="24"/>
      <c r="P2" s="24"/>
      <c r="Q2" s="24"/>
      <c r="R2" s="24"/>
      <c r="S2" s="24"/>
      <c r="T2" s="24"/>
      <c r="U2" s="24"/>
      <c r="V2" s="24"/>
      <c r="W2" s="24"/>
      <c r="X2" s="24"/>
      <c r="Y2" s="24"/>
      <c r="Z2" s="24"/>
      <c r="AA2" s="24"/>
    </row>
    <row r="3">
      <c r="A3" s="29" t="str">
        <f>IFERROR(__xludf.DUMMYFUNCTION("""COMPUTED_VALUE"""),"Home")</f>
        <v>Home</v>
      </c>
      <c r="B3" s="29" t="str">
        <f>IFERROR(__xludf.DUMMYFUNCTION("""COMPUTED_VALUE"""),"Dashboard")</f>
        <v>Dashboard</v>
      </c>
      <c r="C3" s="29" t="str">
        <f>IFERROR(__xludf.DUMMYFUNCTION("TEXTJOIN("", "", TRUE, 
  FILTER('Main Report'!A12:A101, 
    ('Main Report'!B12:B101=A3) * ('Main Report'!C12:C101=B3)
  )
)
"),"BR-005, BR-006, BR-007, BR-008, BR-009, BR-010, BR-011, BR-012")</f>
        <v>BR-005, BR-006, BR-007, BR-008, BR-009, BR-010, BR-011, BR-012</v>
      </c>
      <c r="D3" s="78">
        <f>IFERROR(__xludf.DUMMYFUNCTION("COUNTA(UNIQUE(TRANSPOSE(SPLIT(C3, "", ""))))
"),8.0)</f>
        <v>8</v>
      </c>
      <c r="E3" s="29" t="str">
        <f>IF(D3="", "", TEXT((D3 / 'Main Report'!$E$7), "0.00%"))
</f>
        <v>26.67%</v>
      </c>
      <c r="F3" s="80"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5
Medium: 2
Low: 1")</f>
        <v>High: 5
Medium: 2
Low: 1</v>
      </c>
      <c r="G3" s="24"/>
      <c r="H3" s="24"/>
      <c r="I3" s="24"/>
      <c r="J3" s="24"/>
      <c r="K3" s="24"/>
      <c r="L3" s="24"/>
      <c r="M3" s="24"/>
      <c r="N3" s="24"/>
      <c r="O3" s="24"/>
      <c r="P3" s="24"/>
      <c r="Q3" s="24"/>
      <c r="R3" s="24"/>
      <c r="S3" s="24"/>
      <c r="T3" s="24"/>
      <c r="U3" s="24"/>
      <c r="V3" s="24"/>
      <c r="W3" s="24"/>
      <c r="X3" s="24"/>
      <c r="Y3" s="24"/>
      <c r="Z3" s="24"/>
      <c r="AA3" s="24"/>
    </row>
    <row r="4">
      <c r="A4" s="29" t="str">
        <f>IFERROR(__xludf.DUMMYFUNCTION("""COMPUTED_VALUE"""),"Home")</f>
        <v>Home</v>
      </c>
      <c r="B4" s="29" t="str">
        <f>IFERROR(__xludf.DUMMYFUNCTION("""COMPUTED_VALUE"""),"Maintenance")</f>
        <v>Maintenance</v>
      </c>
      <c r="C4" s="29" t="str">
        <f>IFERROR(__xludf.DUMMYFUNCTION("TEXTJOIN("", "", TRUE, 
  FILTER('Main Report'!A13:A102, 
    ('Main Report'!B13:B102=A4) * ('Main Report'!C13:C102=B4)
  )
)
"),"BR-013, BR-014")</f>
        <v>BR-013, BR-014</v>
      </c>
      <c r="D4" s="78">
        <f>IFERROR(__xludf.DUMMYFUNCTION("COUNTA(UNIQUE(TRANSPOSE(SPLIT(C4, "", ""))))
"),2.0)</f>
        <v>2</v>
      </c>
      <c r="E4" s="29" t="str">
        <f>IF(D4="", "", TEXT((D4 / 'Main Report'!$E$7), "0.00%"))
</f>
        <v>6.67%</v>
      </c>
      <c r="F4" s="80"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2
Medium: 0
Low: 0")</f>
        <v>High: 2
Medium: 0
Low: 0</v>
      </c>
      <c r="G4" s="24"/>
      <c r="H4" s="24"/>
      <c r="I4" s="24"/>
      <c r="J4" s="24"/>
      <c r="K4" s="24"/>
      <c r="L4" s="24"/>
      <c r="M4" s="24"/>
      <c r="N4" s="24"/>
      <c r="O4" s="24"/>
      <c r="P4" s="24"/>
      <c r="Q4" s="24"/>
      <c r="R4" s="24"/>
      <c r="S4" s="24"/>
      <c r="T4" s="24"/>
      <c r="U4" s="24"/>
      <c r="V4" s="24"/>
      <c r="W4" s="24"/>
      <c r="X4" s="24"/>
      <c r="Y4" s="24"/>
      <c r="Z4" s="24"/>
      <c r="AA4" s="24"/>
    </row>
    <row r="5">
      <c r="A5" s="29" t="str">
        <f>IFERROR(__xludf.DUMMYFUNCTION("""COMPUTED_VALUE"""),"Home")</f>
        <v>Home</v>
      </c>
      <c r="B5" s="29" t="str">
        <f>IFERROR(__xludf.DUMMYFUNCTION("""COMPUTED_VALUE"""),"Profile")</f>
        <v>Profile</v>
      </c>
      <c r="C5" s="29" t="str">
        <f>IFERROR(__xludf.DUMMYFUNCTION("TEXTJOIN("", "", TRUE, 
  FILTER('Main Report'!A14:A103, 
    ('Main Report'!B14:B103=A5) * ('Main Report'!C14:C103=B5)
  )
)
"),"BR-015")</f>
        <v>BR-015</v>
      </c>
      <c r="D5" s="78">
        <f>IFERROR(__xludf.DUMMYFUNCTION("COUNTA(UNIQUE(TRANSPOSE(SPLIT(C5, "", ""))))
"),1.0)</f>
        <v>1</v>
      </c>
      <c r="E5" s="29" t="str">
        <f>IF(D5="", "", TEXT((D5 / 'Main Report'!$E$7), "0.00%"))
</f>
        <v>3.33%</v>
      </c>
      <c r="F5" s="80"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1
Medium: 0
Low: 0")</f>
        <v>High: 1
Medium: 0
Low: 0</v>
      </c>
      <c r="G5" s="24"/>
      <c r="H5" s="24"/>
      <c r="I5" s="24"/>
      <c r="J5" s="24"/>
      <c r="K5" s="24"/>
      <c r="L5" s="24"/>
      <c r="M5" s="24"/>
      <c r="N5" s="24"/>
      <c r="O5" s="24"/>
      <c r="P5" s="24"/>
      <c r="Q5" s="24"/>
      <c r="R5" s="24"/>
      <c r="S5" s="24"/>
      <c r="T5" s="24"/>
      <c r="U5" s="24"/>
      <c r="V5" s="24"/>
      <c r="W5" s="24"/>
      <c r="X5" s="24"/>
      <c r="Y5" s="24"/>
      <c r="Z5" s="24"/>
      <c r="AA5" s="24"/>
    </row>
    <row r="6">
      <c r="A6" s="29" t="str">
        <f>IFERROR(__xludf.DUMMYFUNCTION("""COMPUTED_VALUE"""),"Home")</f>
        <v>Home</v>
      </c>
      <c r="B6" s="29" t="str">
        <f>IFERROR(__xludf.DUMMYFUNCTION("""COMPUTED_VALUE"""),"Reports")</f>
        <v>Reports</v>
      </c>
      <c r="C6" s="29" t="str">
        <f>IFERROR(__xludf.DUMMYFUNCTION("TEXTJOIN("", "", TRUE, 
  FILTER('Main Report'!A15:A104, 
    ('Main Report'!B15:B104=A6) * ('Main Report'!C15:C104=B6)
  )
)
"),"BR-016, BR-017, BR-018, BR-019, BR-020, BR-021, BR-022")</f>
        <v>BR-016, BR-017, BR-018, BR-019, BR-020, BR-021, BR-022</v>
      </c>
      <c r="D6" s="78">
        <f>IFERROR(__xludf.DUMMYFUNCTION("COUNTA(UNIQUE(TRANSPOSE(SPLIT(C6, "", ""))))
"),7.0)</f>
        <v>7</v>
      </c>
      <c r="E6" s="29" t="str">
        <f>IF(D6="", "", TEXT((D6 / 'Main Report'!$E$7), "0.00%"))
</f>
        <v>23.33%</v>
      </c>
      <c r="F6" s="80"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5
Medium: 2
Low: 0")</f>
        <v>High: 5
Medium: 2
Low: 0</v>
      </c>
      <c r="G6" s="24"/>
      <c r="H6" s="24"/>
      <c r="I6" s="24"/>
      <c r="J6" s="24"/>
      <c r="K6" s="24"/>
      <c r="L6" s="24"/>
      <c r="M6" s="24"/>
      <c r="N6" s="24"/>
      <c r="O6" s="24"/>
      <c r="P6" s="24"/>
      <c r="Q6" s="24"/>
      <c r="R6" s="24"/>
      <c r="S6" s="24"/>
      <c r="T6" s="24"/>
      <c r="U6" s="24"/>
      <c r="V6" s="24"/>
      <c r="W6" s="24"/>
      <c r="X6" s="24"/>
      <c r="Y6" s="24"/>
      <c r="Z6" s="24"/>
      <c r="AA6" s="24"/>
    </row>
    <row r="7">
      <c r="A7" s="29" t="str">
        <f>IFERROR(__xludf.DUMMYFUNCTION("""COMPUTED_VALUE"""),"Home")</f>
        <v>Home</v>
      </c>
      <c r="B7" s="29" t="str">
        <f>IFERROR(__xludf.DUMMYFUNCTION("""COMPUTED_VALUE"""),"Schedule")</f>
        <v>Schedule</v>
      </c>
      <c r="C7" s="29" t="str">
        <f>IFERROR(__xludf.DUMMYFUNCTION("TEXTJOIN("", "", TRUE, 
  FILTER('Main Report'!A16:A105, 
    ('Main Report'!B16:B105=A7) * ('Main Report'!C16:C105=B7)
  )
)
"),"BR-023, BR-024")</f>
        <v>BR-023, BR-024</v>
      </c>
      <c r="D7" s="78">
        <f>IFERROR(__xludf.DUMMYFUNCTION("COUNTA(UNIQUE(TRANSPOSE(SPLIT(C7, "", ""))))
"),2.0)</f>
        <v>2</v>
      </c>
      <c r="E7" s="29" t="str">
        <f>IF(D7="", "", TEXT((D7 / 'Main Report'!$E$7), "0.00%"))
</f>
        <v>6.67%</v>
      </c>
      <c r="F7" s="80"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1
Medium: 1
Low: 0")</f>
        <v>High: 1
Medium: 1
Low: 0</v>
      </c>
      <c r="G7" s="24"/>
      <c r="H7" s="24"/>
      <c r="I7" s="24"/>
      <c r="J7" s="24"/>
      <c r="K7" s="24"/>
      <c r="L7" s="24"/>
      <c r="M7" s="24"/>
      <c r="N7" s="24"/>
      <c r="O7" s="24"/>
      <c r="P7" s="24"/>
      <c r="Q7" s="24"/>
      <c r="R7" s="24"/>
      <c r="S7" s="24"/>
      <c r="T7" s="24"/>
      <c r="U7" s="24"/>
      <c r="V7" s="24"/>
      <c r="W7" s="24"/>
      <c r="X7" s="24"/>
      <c r="Y7" s="24"/>
      <c r="Z7" s="24"/>
      <c r="AA7" s="24"/>
    </row>
    <row r="8">
      <c r="A8" s="29" t="str">
        <f>IFERROR(__xludf.DUMMYFUNCTION("""COMPUTED_VALUE"""),"Home")</f>
        <v>Home</v>
      </c>
      <c r="B8" s="29" t="str">
        <f>IFERROR(__xludf.DUMMYFUNCTION("""COMPUTED_VALUE"""),"Team Message")</f>
        <v>Team Message</v>
      </c>
      <c r="C8" s="29" t="str">
        <f>IFERROR(__xludf.DUMMYFUNCTION("TEXTJOIN("", "", TRUE, 
  FILTER('Main Report'!A17:A106, 
    ('Main Report'!B17:B106=A8) * ('Main Report'!C17:C106=B8)
  )
)
"),"BR-025")</f>
        <v>BR-025</v>
      </c>
      <c r="D8" s="78">
        <f>IFERROR(__xludf.DUMMYFUNCTION("COUNTA(UNIQUE(TRANSPOSE(SPLIT(C8, "", ""))))
"),1.0)</f>
        <v>1</v>
      </c>
      <c r="E8" s="29" t="str">
        <f>IF(D8="", "", TEXT((D8 / 'Main Report'!$E$7), "0.00%"))
</f>
        <v>3.33%</v>
      </c>
      <c r="F8" s="80"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1
Medium: 0
Low: 0")</f>
        <v>High: 1
Medium: 0
Low: 0</v>
      </c>
      <c r="G8" s="24"/>
      <c r="H8" s="24"/>
      <c r="I8" s="24"/>
      <c r="J8" s="24"/>
      <c r="K8" s="24"/>
      <c r="L8" s="24"/>
      <c r="M8" s="24"/>
      <c r="N8" s="24"/>
      <c r="O8" s="24"/>
      <c r="P8" s="24"/>
      <c r="Q8" s="24"/>
      <c r="R8" s="24"/>
      <c r="S8" s="24"/>
      <c r="T8" s="24"/>
      <c r="U8" s="24"/>
      <c r="V8" s="24"/>
      <c r="W8" s="24"/>
      <c r="X8" s="24"/>
      <c r="Y8" s="24"/>
      <c r="Z8" s="24"/>
      <c r="AA8" s="24"/>
    </row>
    <row r="9">
      <c r="A9" s="29" t="str">
        <f>IFERROR(__xludf.DUMMYFUNCTION("""COMPUTED_VALUE"""),"Home")</f>
        <v>Home</v>
      </c>
      <c r="B9" s="29" t="str">
        <f>IFERROR(__xludf.DUMMYFUNCTION("""COMPUTED_VALUE"""),"User Management")</f>
        <v>User Management</v>
      </c>
      <c r="C9" s="29" t="str">
        <f>IFERROR(__xludf.DUMMYFUNCTION("TEXTJOIN("", "", TRUE, 
  FILTER('Main Report'!A18:A107, 
    ('Main Report'!B18:B107=A9) * ('Main Report'!C18:C107=B9)
  )
)
"),"BR-026, BR-027, BR-028, BR-029")</f>
        <v>BR-026, BR-027, BR-028, BR-029</v>
      </c>
      <c r="D9" s="78">
        <f>IFERROR(__xludf.DUMMYFUNCTION("COUNTA(UNIQUE(TRANSPOSE(SPLIT(C9, "", ""))))
"),4.0)</f>
        <v>4</v>
      </c>
      <c r="E9" s="29" t="str">
        <f>IF(D9="", "", TEXT((D9 / 'Main Report'!$E$7), "0.00%"))
</f>
        <v>13.33%</v>
      </c>
      <c r="F9" s="80"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1
Medium: 2
Low: 1")</f>
        <v>High: 1
Medium: 2
Low: 1</v>
      </c>
      <c r="G9" s="24"/>
      <c r="H9" s="24"/>
      <c r="I9" s="24"/>
      <c r="J9" s="24"/>
      <c r="K9" s="24"/>
      <c r="L9" s="24"/>
      <c r="M9" s="24"/>
      <c r="N9" s="24"/>
      <c r="O9" s="24"/>
      <c r="P9" s="24"/>
      <c r="Q9" s="24"/>
      <c r="R9" s="24"/>
      <c r="S9" s="24"/>
      <c r="T9" s="24"/>
      <c r="U9" s="24"/>
      <c r="V9" s="24"/>
      <c r="W9" s="24"/>
      <c r="X9" s="24"/>
      <c r="Y9" s="24"/>
      <c r="Z9" s="24"/>
      <c r="AA9" s="24"/>
    </row>
    <row r="10">
      <c r="A10" s="29" t="str">
        <f>IFERROR(__xludf.DUMMYFUNCTION("""COMPUTED_VALUE"""),"Login")</f>
        <v>Login</v>
      </c>
      <c r="B10" s="29" t="str">
        <f>IFERROR(__xludf.DUMMYFUNCTION("""COMPUTED_VALUE"""),"Login")</f>
        <v>Login</v>
      </c>
      <c r="C10" s="29" t="str">
        <f>IFERROR(__xludf.DUMMYFUNCTION("TEXTJOIN("", "", TRUE, 
  FILTER('Main Report'!A19:A108, 
    ('Main Report'!B19:B108=A10) * ('Main Report'!C19:C108=B10)
  )
)
"),"BR-030")</f>
        <v>BR-030</v>
      </c>
      <c r="D10" s="29"/>
      <c r="E10" s="29" t="str">
        <f>IF(D10="", "", TEXT((D10 / 'Main Report'!$E$7), "0.00%"))
</f>
        <v/>
      </c>
      <c r="F10" s="80"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0
Medium: 1
Low: 0")</f>
        <v>High: 0
Medium: 1
Low: 0</v>
      </c>
      <c r="G10" s="24"/>
      <c r="H10" s="24"/>
      <c r="I10" s="24"/>
      <c r="J10" s="24"/>
      <c r="K10" s="24"/>
      <c r="L10" s="24"/>
      <c r="M10" s="24"/>
      <c r="N10" s="24"/>
      <c r="O10" s="24"/>
      <c r="P10" s="24"/>
      <c r="Q10" s="24"/>
      <c r="R10" s="24"/>
      <c r="S10" s="24"/>
      <c r="T10" s="24"/>
      <c r="U10" s="24"/>
      <c r="V10" s="24"/>
      <c r="W10" s="24"/>
      <c r="X10" s="24"/>
      <c r="Y10" s="24"/>
      <c r="Z10" s="24"/>
      <c r="AA10" s="24"/>
    </row>
    <row r="11">
      <c r="A11" s="29"/>
      <c r="B11" s="29"/>
      <c r="C11" s="29" t="str">
        <f>IFERROR(__xludf.DUMMYFUNCTION("TEXTJOIN("", "", TRUE, 
  FILTER('Main Report'!A20:A109, 
    ('Main Report'!B20:B109=A11) * ('Main Report'!C20:C109=B11)
  )
)
"),"")</f>
        <v/>
      </c>
      <c r="D11" s="29"/>
      <c r="E11" s="29" t="str">
        <f>IF(D11="", "", TEXT((D11 / 'Main Report'!$E$7), "0.00%"))
</f>
        <v/>
      </c>
      <c r="F11" s="80"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f>
        <v/>
      </c>
      <c r="G11" s="24"/>
      <c r="H11" s="24"/>
      <c r="I11" s="24"/>
      <c r="J11" s="24"/>
      <c r="K11" s="24"/>
      <c r="L11" s="24"/>
      <c r="M11" s="24"/>
      <c r="N11" s="24"/>
      <c r="O11" s="24"/>
      <c r="P11" s="24"/>
      <c r="Q11" s="24"/>
      <c r="R11" s="24"/>
      <c r="S11" s="24"/>
      <c r="T11" s="24"/>
      <c r="U11" s="24"/>
      <c r="V11" s="24"/>
      <c r="W11" s="24"/>
      <c r="X11" s="24"/>
      <c r="Y11" s="24"/>
      <c r="Z11" s="24"/>
      <c r="AA11" s="24"/>
    </row>
    <row r="12">
      <c r="A12" s="29"/>
      <c r="B12" s="29"/>
      <c r="C12" s="29" t="str">
        <f>IFERROR(__xludf.DUMMYFUNCTION("TEXTJOIN("", "", TRUE, 
  FILTER('Main Report'!A21:A110, 
    ('Main Report'!B21:B110=A12) * ('Main Report'!C21:C110=B12)
  )
)
"),"")</f>
        <v/>
      </c>
      <c r="D12" s="29"/>
      <c r="E12" s="29" t="str">
        <f>IF(D12="", "", TEXT((D12 / 'Main Report'!$E$7), "0.00%"))
</f>
        <v/>
      </c>
      <c r="F12" s="80"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f>
        <v/>
      </c>
      <c r="G12" s="24"/>
      <c r="H12" s="24"/>
      <c r="I12" s="24"/>
      <c r="J12" s="24"/>
      <c r="K12" s="24"/>
      <c r="L12" s="24"/>
      <c r="M12" s="24"/>
      <c r="N12" s="24"/>
      <c r="O12" s="24"/>
      <c r="P12" s="24"/>
      <c r="Q12" s="24"/>
      <c r="R12" s="24"/>
      <c r="S12" s="24"/>
      <c r="T12" s="24"/>
      <c r="U12" s="24"/>
      <c r="V12" s="24"/>
      <c r="W12" s="24"/>
      <c r="X12" s="24"/>
      <c r="Y12" s="24"/>
      <c r="Z12" s="24"/>
      <c r="AA12" s="24"/>
    </row>
    <row r="13">
      <c r="A13" s="29"/>
      <c r="B13" s="29"/>
      <c r="C13" s="29" t="str">
        <f>IFERROR(__xludf.DUMMYFUNCTION("TEXTJOIN("", "", TRUE, 
  FILTER('Main Report'!A22:A111, 
    ('Main Report'!B22:B111=A13) * ('Main Report'!C22:C111=B13)
  )
)
"),"")</f>
        <v/>
      </c>
      <c r="D13" s="29"/>
      <c r="E13" s="29" t="str">
        <f>IF(D13="", "", TEXT((D13 / 'Main Report'!$E$7), "0.00%"))
</f>
        <v/>
      </c>
      <c r="F13" s="80"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f>
        <v/>
      </c>
      <c r="G13" s="24"/>
      <c r="H13" s="24"/>
      <c r="I13" s="24"/>
      <c r="J13" s="24"/>
      <c r="K13" s="24"/>
      <c r="L13" s="24"/>
      <c r="M13" s="24"/>
      <c r="N13" s="24"/>
      <c r="O13" s="24"/>
      <c r="P13" s="24"/>
      <c r="Q13" s="24"/>
      <c r="R13" s="24"/>
      <c r="S13" s="24"/>
      <c r="T13" s="24"/>
      <c r="U13" s="24"/>
      <c r="V13" s="24"/>
      <c r="W13" s="24"/>
      <c r="X13" s="24"/>
      <c r="Y13" s="24"/>
      <c r="Z13" s="24"/>
      <c r="AA13" s="24"/>
    </row>
    <row r="14">
      <c r="A14" s="29"/>
      <c r="B14" s="29"/>
      <c r="C14" s="29" t="str">
        <f>IFERROR(__xludf.DUMMYFUNCTION("TEXTJOIN("", "", TRUE, 
  FILTER('Main Report'!A23:A112, 
    ('Main Report'!B23:B112=A14) * ('Main Report'!C23:C112=B14)
  )
)
"),"")</f>
        <v/>
      </c>
      <c r="D14" s="29"/>
      <c r="E14" s="29" t="str">
        <f>IF(D14="", "", TEXT((D14 / 'Main Report'!$E$7), "0.00%"))
</f>
        <v/>
      </c>
      <c r="F14" s="80"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24"/>
      <c r="H14" s="24"/>
      <c r="I14" s="24"/>
      <c r="J14" s="24"/>
      <c r="K14" s="24"/>
      <c r="L14" s="24"/>
      <c r="M14" s="24"/>
      <c r="N14" s="24"/>
      <c r="O14" s="24"/>
      <c r="P14" s="24"/>
      <c r="Q14" s="24"/>
      <c r="R14" s="24"/>
      <c r="S14" s="24"/>
      <c r="T14" s="24"/>
      <c r="U14" s="24"/>
      <c r="V14" s="24"/>
      <c r="W14" s="24"/>
      <c r="X14" s="24"/>
      <c r="Y14" s="24"/>
      <c r="Z14" s="24"/>
      <c r="AA14" s="24"/>
    </row>
    <row r="15">
      <c r="A15" s="29"/>
      <c r="B15" s="29"/>
      <c r="C15" s="29" t="str">
        <f>IFERROR(__xludf.DUMMYFUNCTION("TEXTJOIN("", "", TRUE, 
  FILTER('Main Report'!A24:A113, 
    ('Main Report'!B24:B113=A15) * ('Main Report'!C24:C113=B15)
  )
)
"),"")</f>
        <v/>
      </c>
      <c r="D15" s="29"/>
      <c r="E15" s="29" t="str">
        <f>IF(D15="", "", TEXT((D15 / 'Main Report'!$E$7), "0.00%"))
</f>
        <v/>
      </c>
      <c r="F15" s="80"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24"/>
      <c r="H15" s="24"/>
      <c r="I15" s="24"/>
      <c r="J15" s="24"/>
      <c r="K15" s="24"/>
      <c r="L15" s="24"/>
      <c r="M15" s="24"/>
      <c r="N15" s="24"/>
      <c r="O15" s="24"/>
      <c r="P15" s="24"/>
      <c r="Q15" s="24"/>
      <c r="R15" s="24"/>
      <c r="S15" s="24"/>
      <c r="T15" s="24"/>
      <c r="U15" s="24"/>
      <c r="V15" s="24"/>
      <c r="W15" s="24"/>
      <c r="X15" s="24"/>
      <c r="Y15" s="24"/>
      <c r="Z15" s="24"/>
      <c r="AA15" s="24"/>
    </row>
    <row r="16">
      <c r="A16" s="29"/>
      <c r="B16" s="29"/>
      <c r="C16" s="29" t="str">
        <f>IFERROR(__xludf.DUMMYFUNCTION("TEXTJOIN("", "", TRUE, 
  FILTER('Main Report'!A25:A114, 
    ('Main Report'!B25:B114=A16) * ('Main Report'!C25:C114=B16)
  )
)
"),"")</f>
        <v/>
      </c>
      <c r="D16" s="29"/>
      <c r="E16" s="29" t="str">
        <f>IF(D16="", "", TEXT((D16 / 'Main Report'!$E$7), "0.00%"))
</f>
        <v/>
      </c>
      <c r="F16" s="80"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24"/>
      <c r="H16" s="24"/>
      <c r="I16" s="24"/>
      <c r="J16" s="24"/>
      <c r="K16" s="24"/>
      <c r="L16" s="24"/>
      <c r="M16" s="24"/>
      <c r="N16" s="24"/>
      <c r="O16" s="24"/>
      <c r="P16" s="24"/>
      <c r="Q16" s="24"/>
      <c r="R16" s="24"/>
      <c r="S16" s="24"/>
      <c r="T16" s="24"/>
      <c r="U16" s="24"/>
      <c r="V16" s="24"/>
      <c r="W16" s="24"/>
      <c r="X16" s="24"/>
      <c r="Y16" s="24"/>
      <c r="Z16" s="24"/>
      <c r="AA16" s="24"/>
    </row>
    <row r="17">
      <c r="A17" s="29"/>
      <c r="B17" s="29"/>
      <c r="C17" s="29" t="str">
        <f>IFERROR(__xludf.DUMMYFUNCTION("TEXTJOIN("", "", TRUE, 
  FILTER('Main Report'!A26:A115, 
    ('Main Report'!B26:B115=A17) * ('Main Report'!C26:C115=B17)
  )
)
"),"")</f>
        <v/>
      </c>
      <c r="D17" s="29"/>
      <c r="E17" s="29" t="str">
        <f>IF(D17="", "", TEXT((D17 / 'Main Report'!$E$7), "0.00%"))
</f>
        <v/>
      </c>
      <c r="F17" s="80"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24"/>
      <c r="H17" s="24"/>
      <c r="I17" s="24"/>
      <c r="J17" s="24"/>
      <c r="K17" s="24"/>
      <c r="L17" s="24"/>
      <c r="M17" s="24"/>
      <c r="N17" s="24"/>
      <c r="O17" s="24"/>
      <c r="P17" s="24"/>
      <c r="Q17" s="24"/>
      <c r="R17" s="24"/>
      <c r="S17" s="24"/>
      <c r="T17" s="24"/>
      <c r="U17" s="24"/>
      <c r="V17" s="24"/>
      <c r="W17" s="24"/>
      <c r="X17" s="24"/>
      <c r="Y17" s="24"/>
      <c r="Z17" s="24"/>
      <c r="AA17" s="24"/>
    </row>
    <row r="18">
      <c r="A18" s="29"/>
      <c r="B18" s="29"/>
      <c r="C18" s="29" t="str">
        <f>IFERROR(__xludf.DUMMYFUNCTION("TEXTJOIN("", "", TRUE, 
  FILTER('Main Report'!A27:A116, 
    ('Main Report'!B27:B116=A18) * ('Main Report'!C27:C116=B18)
  )
)
"),"")</f>
        <v/>
      </c>
      <c r="D18" s="29"/>
      <c r="E18" s="29" t="str">
        <f>IF(D18="", "", TEXT((D18 / 'Main Report'!$E$7), "0.00%"))
</f>
        <v/>
      </c>
      <c r="F18" s="80"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24"/>
      <c r="H18" s="24"/>
      <c r="I18" s="24"/>
      <c r="J18" s="24"/>
      <c r="K18" s="24"/>
      <c r="L18" s="24"/>
      <c r="M18" s="24"/>
      <c r="N18" s="24"/>
      <c r="O18" s="24"/>
      <c r="P18" s="24"/>
      <c r="Q18" s="24"/>
      <c r="R18" s="24"/>
      <c r="S18" s="24"/>
      <c r="T18" s="24"/>
      <c r="U18" s="24"/>
      <c r="V18" s="24"/>
      <c r="W18" s="24"/>
      <c r="X18" s="24"/>
      <c r="Y18" s="24"/>
      <c r="Z18" s="24"/>
      <c r="AA18" s="24"/>
    </row>
    <row r="19">
      <c r="A19" s="29"/>
      <c r="B19" s="29"/>
      <c r="C19" s="29" t="str">
        <f>IFERROR(__xludf.DUMMYFUNCTION("TEXTJOIN("", "", TRUE, 
  FILTER('Main Report'!A28:A117, 
    ('Main Report'!B28:B117=A19) * ('Main Report'!C28:C117=B19)
  )
)
"),"")</f>
        <v/>
      </c>
      <c r="D19" s="29"/>
      <c r="E19" s="29" t="str">
        <f>IF(D19="", "", TEXT((D19 / 'Main Report'!$E$7), "0.00%"))
</f>
        <v/>
      </c>
      <c r="F19" s="80"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24"/>
      <c r="H19" s="24"/>
      <c r="I19" s="24"/>
      <c r="J19" s="24"/>
      <c r="K19" s="24"/>
      <c r="L19" s="24"/>
      <c r="M19" s="24"/>
      <c r="N19" s="24"/>
      <c r="O19" s="24"/>
      <c r="P19" s="24"/>
      <c r="Q19" s="24"/>
      <c r="R19" s="24"/>
      <c r="S19" s="24"/>
      <c r="T19" s="24"/>
      <c r="U19" s="24"/>
      <c r="V19" s="24"/>
      <c r="W19" s="24"/>
      <c r="X19" s="24"/>
      <c r="Y19" s="24"/>
      <c r="Z19" s="24"/>
      <c r="AA19" s="24"/>
    </row>
    <row r="20">
      <c r="A20" s="78"/>
      <c r="B20" s="78"/>
      <c r="C20" s="29" t="str">
        <f>IFERROR(__xludf.DUMMYFUNCTION("TEXTJOIN("", "", TRUE, 
  FILTER('Main Report'!A29:A118, 
    ('Main Report'!B29:B118=A20) * ('Main Report'!C29:C118=B20)
  )
)
"),"")</f>
        <v/>
      </c>
      <c r="D20" s="29"/>
      <c r="E20" s="29" t="str">
        <f>IF(D20="", "", TEXT((D20 / 'Main Report'!$E$7), "0.00%"))
</f>
        <v/>
      </c>
      <c r="F20" s="80"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24"/>
      <c r="H20" s="24"/>
      <c r="I20" s="24"/>
      <c r="J20" s="24"/>
      <c r="K20" s="24"/>
      <c r="L20" s="24"/>
      <c r="M20" s="24"/>
      <c r="N20" s="24"/>
      <c r="O20" s="24"/>
      <c r="P20" s="24"/>
      <c r="Q20" s="24"/>
      <c r="R20" s="24"/>
      <c r="S20" s="24"/>
      <c r="T20" s="24"/>
      <c r="U20" s="24"/>
      <c r="V20" s="24"/>
      <c r="W20" s="24"/>
      <c r="X20" s="24"/>
      <c r="Y20" s="24"/>
      <c r="Z20" s="24"/>
      <c r="AA20" s="24"/>
    </row>
    <row r="21">
      <c r="A21" s="29"/>
      <c r="B21" s="29"/>
      <c r="C21" s="29" t="str">
        <f>IFERROR(__xludf.DUMMYFUNCTION("TEXTJOIN("", "", TRUE, 
  FILTER('Main Report'!A30:A119, 
    ('Main Report'!B30:B119=A21) * ('Main Report'!C30:C119=B21)
  )
)
"),"")</f>
        <v/>
      </c>
      <c r="D21" s="29"/>
      <c r="E21" s="29" t="str">
        <f>IF(D21="", "", TEXT((D21 / 'Main Report'!$E$7), "0.00%"))
</f>
        <v/>
      </c>
      <c r="F21" s="80"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24"/>
      <c r="H21" s="24"/>
      <c r="I21" s="24"/>
      <c r="J21" s="24"/>
      <c r="K21" s="24"/>
      <c r="L21" s="24"/>
      <c r="M21" s="24"/>
      <c r="N21" s="24"/>
      <c r="O21" s="24"/>
      <c r="P21" s="24"/>
      <c r="Q21" s="24"/>
      <c r="R21" s="24"/>
      <c r="S21" s="24"/>
      <c r="T21" s="24"/>
      <c r="U21" s="24"/>
      <c r="V21" s="24"/>
      <c r="W21" s="24"/>
      <c r="X21" s="24"/>
      <c r="Y21" s="24"/>
      <c r="Z21" s="24"/>
      <c r="AA21" s="24"/>
    </row>
    <row r="22">
      <c r="A22" s="29"/>
      <c r="B22" s="29"/>
      <c r="C22" s="29"/>
      <c r="D22" s="29"/>
      <c r="E22" s="29"/>
      <c r="F22" s="29"/>
      <c r="G22" s="24"/>
      <c r="H22" s="24"/>
      <c r="I22" s="24"/>
      <c r="J22" s="24"/>
      <c r="K22" s="24"/>
      <c r="L22" s="24"/>
      <c r="M22" s="24"/>
      <c r="N22" s="24"/>
      <c r="O22" s="24"/>
      <c r="P22" s="24"/>
      <c r="Q22" s="24"/>
      <c r="R22" s="24"/>
      <c r="S22" s="24"/>
      <c r="T22" s="24"/>
      <c r="U22" s="24"/>
      <c r="V22" s="24"/>
      <c r="W22" s="24"/>
      <c r="X22" s="24"/>
      <c r="Y22" s="24"/>
      <c r="Z22" s="24"/>
      <c r="AA22" s="24"/>
    </row>
    <row r="23">
      <c r="A23" s="29"/>
      <c r="B23" s="29"/>
      <c r="C23" s="29"/>
      <c r="D23" s="29"/>
      <c r="E23" s="29"/>
      <c r="F23" s="29"/>
      <c r="G23" s="24"/>
      <c r="H23" s="24"/>
      <c r="I23" s="24"/>
      <c r="J23" s="24"/>
      <c r="K23" s="24"/>
      <c r="L23" s="24"/>
      <c r="M23" s="24"/>
      <c r="N23" s="24"/>
      <c r="O23" s="24"/>
      <c r="P23" s="24"/>
      <c r="Q23" s="24"/>
      <c r="R23" s="24"/>
      <c r="S23" s="24"/>
      <c r="T23" s="24"/>
      <c r="U23" s="24"/>
      <c r="V23" s="24"/>
      <c r="W23" s="24"/>
      <c r="X23" s="24"/>
      <c r="Y23" s="24"/>
      <c r="Z23" s="24"/>
      <c r="AA23" s="24"/>
    </row>
    <row r="24">
      <c r="A24" s="29"/>
      <c r="B24" s="29"/>
      <c r="C24" s="29"/>
      <c r="D24" s="29"/>
      <c r="E24" s="29"/>
      <c r="F24" s="29"/>
      <c r="G24" s="24"/>
      <c r="H24" s="24"/>
      <c r="I24" s="24"/>
      <c r="J24" s="24"/>
      <c r="K24" s="24"/>
      <c r="L24" s="24"/>
      <c r="M24" s="24"/>
      <c r="N24" s="24"/>
      <c r="O24" s="24"/>
      <c r="P24" s="24"/>
      <c r="Q24" s="24"/>
      <c r="R24" s="24"/>
      <c r="S24" s="24"/>
      <c r="T24" s="24"/>
      <c r="U24" s="24"/>
      <c r="V24" s="24"/>
      <c r="W24" s="24"/>
      <c r="X24" s="24"/>
      <c r="Y24" s="24"/>
      <c r="Z24" s="24"/>
      <c r="A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sheetData>
  <drawing r:id="rId1"/>
</worksheet>
</file>