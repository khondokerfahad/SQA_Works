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hsin" sheetId="1" r:id="rId5"/>
    <sheet state="visible" name="Fahad" sheetId="2" r:id="rId6"/>
    <sheet state="visible" name="Summary Report" sheetId="3" r:id="rId7"/>
    <sheet state="visible" name="Main Report" sheetId="4" r:id="rId8"/>
  </sheets>
  <definedNames/>
  <calcPr/>
</workbook>
</file>

<file path=xl/sharedStrings.xml><?xml version="1.0" encoding="utf-8"?>
<sst xmlns="http://schemas.openxmlformats.org/spreadsheetml/2006/main" count="665" uniqueCount="304">
  <si>
    <t xml:space="preserve">Tester : </t>
  </si>
  <si>
    <t>Severity</t>
  </si>
  <si>
    <t>Issues</t>
  </si>
  <si>
    <t>Project Name:</t>
  </si>
  <si>
    <t>High</t>
  </si>
  <si>
    <t>Project URL:</t>
  </si>
  <si>
    <t>Medium</t>
  </si>
  <si>
    <t>Developer:</t>
  </si>
  <si>
    <t>Low</t>
  </si>
  <si>
    <t xml:space="preserve">OS: </t>
  </si>
  <si>
    <t>Environment</t>
  </si>
  <si>
    <t>Total Test Cases:</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</si>
  <si>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</si>
  <si>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</si>
  <si>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</si>
  <si>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</si>
  <si>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</si>
  <si>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</si>
  <si>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</si>
  <si>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</si>
  <si>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</si>
  <si>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</si>
  <si>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</si>
  <si>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</si>
  <si>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</si>
  <si>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Feedback</t>
  </si>
  <si>
    <t>Mohammed Fahad Faisal</t>
  </si>
  <si>
    <t>https://www.google.com/url?q=https://drive.google.com/drive/folders/1FRBcKQaBHzPnXLwXsJ50fxP5fJZiGNoG&amp;sa=D&amp;source=editors&amp;ust=1777270765470635&amp;usg=AOvVaw1xT38euCF2HCZ8KvY8sS0Y</t>
  </si>
  <si>
    <t>Windows 11 Pro 
Version:24H2 
OS build:26100.4946</t>
  </si>
  <si>
    <t>Environment:</t>
  </si>
  <si>
    <t>Brave 1.81.135 
(Official Build) (64-bit)
Chromium: 139.0.7258.127</t>
  </si>
  <si>
    <t>Place solve if the issue resolves 
|
\/</t>
  </si>
  <si>
    <t>Mention which Stack solved the issue 
|
\/</t>
  </si>
  <si>
    <t>Test ID</t>
  </si>
  <si>
    <t>Stack</t>
  </si>
  <si>
    <t>Comment</t>
  </si>
  <si>
    <t>BR_001</t>
  </si>
  <si>
    <t>Splash Screen</t>
  </si>
  <si>
    <t xml:space="preserve">Splash flow missing </t>
  </si>
  <si>
    <t>User need to download the app on their IOS device</t>
  </si>
  <si>
    <t>1. Open app
2. Signup using valid credentials</t>
  </si>
  <si>
    <t>User credentials</t>
  </si>
  <si>
    <t>All flash screens should be positioned accurately according to the Figma design.</t>
  </si>
  <si>
    <t xml:space="preserve">Missing flash screen on selecting gender </t>
  </si>
  <si>
    <t>Fail</t>
  </si>
  <si>
    <t>001.MP4</t>
  </si>
  <si>
    <t>001.1.png</t>
  </si>
  <si>
    <t>Unsolved</t>
  </si>
  <si>
    <t>App</t>
  </si>
  <si>
    <t>I solve the issue</t>
  </si>
  <si>
    <t>BR_002</t>
  </si>
  <si>
    <t xml:space="preserve">Splash image missing </t>
  </si>
  <si>
    <t>The image on the splash screen should be positioned precisely.</t>
  </si>
  <si>
    <t>Image missing in splash screen</t>
  </si>
  <si>
    <t>002.png</t>
  </si>
  <si>
    <t>Solved</t>
  </si>
  <si>
    <t>I fix the issue</t>
  </si>
  <si>
    <t>BR_003</t>
  </si>
  <si>
    <t>The buttons are shifting along with the splash screen.</t>
  </si>
  <si>
    <t>Only the image should be scrollable, not the options.</t>
  </si>
  <si>
    <t>Buttons are also moving with the picture.</t>
  </si>
  <si>
    <t>003.MP4</t>
  </si>
  <si>
    <t xml:space="preserve">Button also change able because last button is Let get started </t>
  </si>
  <si>
    <t>BR_004</t>
  </si>
  <si>
    <t>Login</t>
  </si>
  <si>
    <t>The login page doesn’t include links to the terms of service or privacy policy.</t>
  </si>
  <si>
    <t>1. Open app
2. Goto login page</t>
  </si>
  <si>
    <t>Privacy policies should be properly linked on the screen.</t>
  </si>
  <si>
    <t>The Privacy policy aren’t connected.</t>
  </si>
  <si>
    <t>004.png</t>
  </si>
  <si>
    <t>Not in design It is on account section</t>
  </si>
  <si>
    <t>BR_005</t>
  </si>
  <si>
    <t>Achievement</t>
  </si>
  <si>
    <t>Beginner profile is set to level one, but it requires 200 steps to unlock that level.</t>
  </si>
  <si>
    <t xml:space="preserve">1. Open app
2. Signup using valid credentials
3. Click on settings </t>
  </si>
  <si>
    <t>The beginner profile level should start at zero, and after completing 200 steps, it will unlock level one.</t>
  </si>
  <si>
    <t>The level starts at one, and the achievement also locks at level one.</t>
  </si>
  <si>
    <t>005.png</t>
  </si>
  <si>
    <t>Back-End</t>
  </si>
  <si>
    <t>BR_006</t>
  </si>
  <si>
    <t>Profile</t>
  </si>
  <si>
    <t>A profile input validation issue has been detected.</t>
  </si>
  <si>
    <t>1. Open app
2. Signup using valid credentials
3. Click on settings 
4. Select Profile</t>
  </si>
  <si>
    <t>Proper maintenance of input field validation is essential.</t>
  </si>
  <si>
    <t>Input validation missing in app</t>
  </si>
  <si>
    <t>006.png</t>
  </si>
  <si>
    <t>BR_007</t>
  </si>
  <si>
    <t>Password</t>
  </si>
  <si>
    <t>The password update error toast message is showing with the success toast message color.</t>
  </si>
  <si>
    <t>1. Open app
2. Signup using valid credentials
3. Click on settings 
4. Select Update password</t>
  </si>
  <si>
    <t>Error toast message should be displayed properly</t>
  </si>
  <si>
    <t>The error toast message color is set to the same as the success toast message.</t>
  </si>
  <si>
    <t>007.png</t>
  </si>
  <si>
    <t>BR_008</t>
  </si>
  <si>
    <t>Weight tracker</t>
  </si>
  <si>
    <t>BMI</t>
  </si>
  <si>
    <t xml:space="preserve">BMI calculation error </t>
  </si>
  <si>
    <t>1. Open app
2. Signup using valid credentials
3. Click on settings 
4. Select weight tracker</t>
  </si>
  <si>
    <t>BMI calculation in app should be accurate</t>
  </si>
  <si>
    <t>Error in BMI calculation</t>
  </si>
  <si>
    <t>008.png</t>
  </si>
  <si>
    <t>BR_009</t>
  </si>
  <si>
    <t>Faced error in login</t>
  </si>
  <si>
    <t>User should not face any issue in login</t>
  </si>
  <si>
    <t>Faced bad request on login time</t>
  </si>
  <si>
    <t>009.png</t>
  </si>
  <si>
    <t>BR_010</t>
  </si>
  <si>
    <t>Challenge</t>
  </si>
  <si>
    <t>Progress count issue</t>
  </si>
  <si>
    <t>1. Open app
2. Login using valid credentials
3. Goto challenges
4. Click on current challenge</t>
  </si>
  <si>
    <t>Progress calculations need to be precise.</t>
  </si>
  <si>
    <t>Mismatch in progress calculation</t>
  </si>
  <si>
    <t>010.MP4</t>
  </si>
  <si>
    <t>BR_011</t>
  </si>
  <si>
    <t>Unlocked the 7th achievement instead of the 6th one.</t>
  </si>
  <si>
    <t>Achievements should be unlocked in ascending order.</t>
  </si>
  <si>
    <t>7th achievement unlocked instead of the 6th</t>
  </si>
  <si>
    <t>011.png</t>
  </si>
  <si>
    <t>BR_012</t>
  </si>
  <si>
    <t>The "Continue Steps" button isn’t working, making it nonfunctional.</t>
  </si>
  <si>
    <t>1. Open app
2. Login using valid credentials
3. Goto challenges</t>
  </si>
  <si>
    <t>All buttons should work accurately.</t>
  </si>
  <si>
    <t>button not working</t>
  </si>
  <si>
    <t>012.mov</t>
  </si>
  <si>
    <t>I solved the issue</t>
  </si>
  <si>
    <t>BR_013</t>
  </si>
  <si>
    <t>Miss calculations in challenges</t>
  </si>
  <si>
    <t>All challenge data should function smoothly.</t>
  </si>
  <si>
    <t>A data mismatch has been detected.</t>
  </si>
  <si>
    <t>013.MP4</t>
  </si>
  <si>
    <t xml:space="preserve"> I fix the issue</t>
  </si>
  <si>
    <t>BR_014</t>
  </si>
  <si>
    <t>OTP</t>
  </si>
  <si>
    <t>Double OTP page is displayed</t>
  </si>
  <si>
    <t>1. Open app
2. goto Login page
3. Click on forget password
4. Enter mail and goto OTP page</t>
  </si>
  <si>
    <t>OTP page should displayed single time</t>
  </si>
  <si>
    <t xml:space="preserve">OTP page shows twice </t>
  </si>
  <si>
    <t>014.PNG</t>
  </si>
  <si>
    <t>It is not issue if you double click on otp then it show double otp. It check it on my end</t>
  </si>
  <si>
    <t>BR_015</t>
  </si>
  <si>
    <t>Home</t>
  </si>
  <si>
    <t>Save the data from the previous account and show it in the new account.</t>
  </si>
  <si>
    <t>1. Open app
2. Login using valid credentials
3. Goto Home</t>
  </si>
  <si>
    <t>Data from a deleted account should not be stored.</t>
  </si>
  <si>
    <t>Showed deleted account data on the new account</t>
  </si>
  <si>
    <t>015.PNG</t>
  </si>
  <si>
    <t>BR_016</t>
  </si>
  <si>
    <t>Failed to join public challenges</t>
  </si>
  <si>
    <t>1. Open app
2. Login using valid credentials
3. Goto Public challenges</t>
  </si>
  <si>
    <t>Usere should be able to join public created challenges</t>
  </si>
  <si>
    <t>Failed to join in public created challenges</t>
  </si>
  <si>
    <t>016.png</t>
  </si>
  <si>
    <t>BR_017</t>
  </si>
  <si>
    <t>Help &amp; Support</t>
  </si>
  <si>
    <t>Contact Support</t>
  </si>
  <si>
    <t>The social media and website links aren’t integrated.</t>
  </si>
  <si>
    <t>1. Open app
2. Login using valid credentials
3. Goto Help &amp; Support
4. Click on contact support</t>
  </si>
  <si>
    <t>Social media accounts and the website should be properly connected to ensure authenticity.</t>
  </si>
  <si>
    <t>Missing social media and website links</t>
  </si>
  <si>
    <t>017.png</t>
  </si>
  <si>
    <t>Client not provide.Only showing the static data</t>
  </si>
  <si>
    <t>BR_018</t>
  </si>
  <si>
    <t>Privacy Policy</t>
  </si>
  <si>
    <t>Missing privacy policy content in app</t>
  </si>
  <si>
    <t>1. Open app
2. Login using valid credentials
3. Goto Privacy Policy</t>
  </si>
  <si>
    <t>The privacy policy should be clearly displayed in the app to ensure authenticity.</t>
  </si>
  <si>
    <t>Privacy policy content is missing.</t>
  </si>
  <si>
    <t>018.png</t>
  </si>
  <si>
    <t>It is comming from backend. If dashboard upload privacy policy then it show</t>
  </si>
  <si>
    <t>BR_019</t>
  </si>
  <si>
    <t>Terms of service</t>
  </si>
  <si>
    <t>Missing terms of service content in app</t>
  </si>
  <si>
    <t>1. Open app
2. Login using valid credentials
3. Goto Terms of service</t>
  </si>
  <si>
    <t>The terms of service should be clearly displayed in the app to ensure authenticity.</t>
  </si>
  <si>
    <t>Terms of service content is missing.</t>
  </si>
  <si>
    <t>019.png</t>
  </si>
  <si>
    <t>It is comming from backend. If dashboard upload Terms of  Service then it show</t>
  </si>
  <si>
    <t>BR_020</t>
  </si>
  <si>
    <t>The step count for the public challenge isn’t working as it should.</t>
  </si>
  <si>
    <t>1. Open app
2. Login using valid credentials
3. Goto Public challenges
4. Join in public challenges</t>
  </si>
  <si>
    <t>Steps should be counted accurately in public challenges.</t>
  </si>
  <si>
    <t>Facing calculation error and steps are not counting in public challenges</t>
  </si>
  <si>
    <t>020.png</t>
  </si>
  <si>
    <t>BR_021</t>
  </si>
  <si>
    <t>Missmatch calculation in created challenges</t>
  </si>
  <si>
    <t xml:space="preserve">Calclations should be accurate </t>
  </si>
  <si>
    <t>Miss calculation has been noticed</t>
  </si>
  <si>
    <t>021.png</t>
  </si>
  <si>
    <t>BR_022</t>
  </si>
  <si>
    <t>Delete Account</t>
  </si>
  <si>
    <t>Failed to redirect to the signup page after deleting the account.</t>
  </si>
  <si>
    <t>1. Open app
2. Login using valid credentials
3. Goto Settings
4. Click on delete account</t>
  </si>
  <si>
    <t>After deleting an account, the user should be redirected to the signup page.</t>
  </si>
  <si>
    <t>Unable to redirect the user to the signup page.</t>
  </si>
  <si>
    <t>022.MP4</t>
  </si>
  <si>
    <t>BR_023</t>
  </si>
  <si>
    <t>Forget Password</t>
  </si>
  <si>
    <t>User is able to reset password for deleted account</t>
  </si>
  <si>
    <t>1. Open app
2. Goto login page
3. Click on forget password</t>
  </si>
  <si>
    <t xml:space="preserve">Only registered email should receive OTP </t>
  </si>
  <si>
    <t>Normal mail also can receive OTP</t>
  </si>
  <si>
    <t>023.mov</t>
  </si>
  <si>
    <t>BR_024</t>
  </si>
  <si>
    <t>The challenge lasts for two timelines, one measured in weeks and the other in days.</t>
  </si>
  <si>
    <t>It should only take one time</t>
  </si>
  <si>
    <t>It takes two time inputs, one in weeks and the other with a start and end date, which makes it a bit confusing.</t>
  </si>
  <si>
    <t>024.png</t>
  </si>
  <si>
    <t xml:space="preserve">It is previously designed.For this reason. Here user have to calculate start date and end date of challenge and based on week input </t>
  </si>
  <si>
    <t>BR_025</t>
  </si>
  <si>
    <t>Daily Task</t>
  </si>
  <si>
    <t>Multiple task completion screen appeared after the user finished their daily task.</t>
  </si>
  <si>
    <t>1. Open app
2. Signup using valid credentials
3. Complete daily task</t>
  </si>
  <si>
    <t xml:space="preserve">After completing daily task, completion screen should appear only one time </t>
  </si>
  <si>
    <t>Multiple completion screen has been seen in app</t>
  </si>
  <si>
    <t>025.MP4</t>
  </si>
  <si>
    <t>I fix the  issue</t>
  </si>
  <si>
    <t>BR_026</t>
  </si>
  <si>
    <t>Progress</t>
  </si>
  <si>
    <t>Work progress calculation and daily target calculation are different.</t>
  </si>
  <si>
    <t>The daily target goal calculation needs to be accurate and clearly displayed.</t>
  </si>
  <si>
    <t>Progress calculation error</t>
  </si>
  <si>
    <t>026.png</t>
  </si>
  <si>
    <t>BR_027</t>
  </si>
  <si>
    <t>The weight can be changed, but you need to close and relaunch the app.</t>
  </si>
  <si>
    <t>The weight should update dynamically without needing to close or relaunch the app.</t>
  </si>
  <si>
    <t>Unable to update weight in real time</t>
  </si>
  <si>
    <t>027.mov</t>
  </si>
  <si>
    <t>BR_028</t>
  </si>
  <si>
    <t>Report</t>
  </si>
  <si>
    <t>Missing Statistic on report page</t>
  </si>
  <si>
    <t>1. Open app
2. Signup using valid credentials
3. Click report</t>
  </si>
  <si>
    <t>The design and alignment should be as perfect as in Figma.</t>
  </si>
  <si>
    <t>Statistic missing in the frontend</t>
  </si>
  <si>
    <t>028.png</t>
  </si>
  <si>
    <t>BR_029</t>
  </si>
  <si>
    <t>Failed to display progress in proper week</t>
  </si>
  <si>
    <t>The filter on the calendar should display correctly in either week or month view.</t>
  </si>
  <si>
    <t>Unable to display the progress for the day in the week.</t>
  </si>
  <si>
    <t>029.png</t>
  </si>
  <si>
    <t>BR_030</t>
  </si>
  <si>
    <t>Failed to display accurate calender in report page</t>
  </si>
  <si>
    <t>The calendar should be displayed accurately in the app.</t>
  </si>
  <si>
    <t>Unable to display the correct calendar in the app.</t>
  </si>
  <si>
    <t>030.png</t>
  </si>
  <si>
    <t>BR_031</t>
  </si>
  <si>
    <t>Failed to proceed with default steps</t>
  </si>
  <si>
    <t>If steps is not manually selected by user, then the default steps (1000 steps) should be used to procced</t>
  </si>
  <si>
    <t>The user cannot proceed to the next page without manually selecting the steps.</t>
  </si>
  <si>
    <t>031.png</t>
  </si>
  <si>
    <t>BR_032</t>
  </si>
  <si>
    <t>Failed to sigin</t>
  </si>
  <si>
    <t>User should be able to signin without facing any issue</t>
  </si>
  <si>
    <t>Failed to signin properly</t>
  </si>
  <si>
    <t>032.png</t>
  </si>
  <si>
    <t>BR_033</t>
  </si>
  <si>
    <t>Preferences</t>
  </si>
  <si>
    <t>The frontend is missing the daily reminder feature.</t>
  </si>
  <si>
    <t>1. Open app
2. Login using valid credentials
3. Goto settings
4. Click on Preferences</t>
  </si>
  <si>
    <t>Design and functions should be same as figma</t>
  </si>
  <si>
    <t>Missing daily remainder in frontend</t>
  </si>
  <si>
    <t>033.png</t>
  </si>
  <si>
    <t>BR_034</t>
  </si>
  <si>
    <t>Alignment issue in weight graph</t>
  </si>
  <si>
    <t>Alignment and design should be accurate as figma</t>
  </si>
  <si>
    <t>Alignment issue has been noticed</t>
  </si>
  <si>
    <t>034.png</t>
  </si>
  <si>
    <t>Bug Count</t>
  </si>
  <si>
    <t>Bug Rate %</t>
  </si>
  <si>
    <t>Bug Severity</t>
  </si>
  <si>
    <t>Tester</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</si>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</sst>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color theme="1"/>
      <name val="Arial"/>
    </font>
    <font>
      <b/>
      <sz val="12.0"/>
      <color theme="1"/>
      <name val="Calibri"/>
    </font>
    <font>
      <b/>
      <sz val="15.0"/>
      <color theme="1"/>
      <name val="Calibri"/>
    </font>
    <font>
      <b/>
      <sz val="12.0"/>
      <color theme="1"/>
      <name val="Arial"/>
    </font>
    <font>
      <u/>
      <color rgb="FF1155CC"/>
      <name val="Arial"/>
    </font>
    <font>
      <b/>
      <sz val="11.0"/>
      <color theme="1"/>
      <name val="Calibri"/>
    </font>
    <font>
      <b/>
      <sz val="16.0"/>
      <color theme="1"/>
      <name val="Calibri"/>
    </font>
    <font>
      <sz val="12.0"/>
      <color theme="1"/>
      <name val="Calibri"/>
    </font>
    <font>
      <u/>
      <sz val="12.0"/>
      <color rgb="FF1155CC"/>
      <name val="Calibri"/>
    </font>
    <font>
      <b/>
      <sz val="12.0"/>
      <color theme="1"/>
      <name val="Times New Roman"/>
    </font>
    <font>
      <sz val="12.0"/>
      <color theme="1"/>
      <name val="Times New Roman"/>
    </font>
    <font>
      <color theme="1"/>
      <name val="Times New Roman"/>
    </font>
    <font>
      <b/>
      <color theme="1"/>
      <name val="Arial"/>
    </font>
    <font>
      <u/>
      <color rgb="FF0000FF"/>
      <name val="Times New Roman"/>
    </font>
    <font>
      <color rgb="FF1E2624"/>
      <name val="Times New Roman"/>
    </font>
    <font>
      <b/>
      <color theme="1"/>
      <name val="Times New Roman"/>
    </font>
    <font>
      <b/>
      <sz val="13.0"/>
      <color theme="1"/>
      <name val="Times New Roman"/>
    </font>
    <font>
      <b/>
      <sz val="15.0"/>
      <color theme="1"/>
      <name val="Times New Roman"/>
    </font>
    <font>
      <sz val="13.0"/>
      <color theme="1"/>
      <name val="Times New Roman"/>
    </font>
    <font>
      <u/>
      <color theme="1"/>
      <name val="Times New Roman"/>
    </font>
    <font>
      <u/>
      <color theme="1"/>
      <name val="Times New Roman"/>
    </font>
    <font>
      <u/>
      <sz val="12.0"/>
      <color rgb="FF1155CC"/>
      <name val="Times New Roman"/>
    </font>
    <font>
      <u/>
      <color theme="1"/>
      <name val="Times New Roman"/>
    </font>
    <font>
      <u/>
      <sz val="12.0"/>
      <color theme="1"/>
      <name val="Times New Roman"/>
    </font>
    <font>
      <u/>
      <sz val="12.0"/>
      <color rgb="FF1155CC"/>
      <name val="Times New Roman"/>
    </font>
    <font>
      <sz val="11.0"/>
      <color theme="1"/>
      <name val="Calibri"/>
    </font>
    <font>
      <b/>
      <color rgb="FF000000"/>
      <name val="Arial"/>
      <scheme val="minor"/>
    </font>
    <font>
      <color theme="1"/>
      <name val="Arial"/>
      <scheme val="minor"/>
    </font>
    <font>
      <sz val="15.0"/>
      <color theme="1"/>
      <name val="Arial"/>
      <scheme val="minor"/>
    </font>
    <font>
      <u/>
      <color theme="1"/>
      <name val="Arial"/>
      <scheme val="minor"/>
    </font>
    <font>
      <u/>
      <color theme="1"/>
      <name val="Arial"/>
      <scheme val="minor"/>
    </font>
  </fonts>
  <fills count="10">
    <fill>
      <patternFill patternType="none"/>
    </fill>
    <fill>
      <patternFill patternType="lightGray"/>
    </fill>
    <fill>
      <patternFill patternType="solid">
        <fgColor rgb="FF00FFFF"/>
        <bgColor rgb="FF00FFFF"/>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38761D"/>
        <bgColor rgb="FF38761D"/>
      </patternFill>
    </fill>
    <fill>
      <patternFill patternType="solid">
        <fgColor rgb="FFFFD966"/>
        <bgColor rgb="FFFFD966"/>
      </patternFill>
    </fill>
    <fill>
      <patternFill patternType="solid">
        <fgColor rgb="FF00FF00"/>
        <bgColor rgb="FF00FF00"/>
      </patternFill>
    </fill>
    <fill>
      <patternFill patternType="solid">
        <fgColor rgb="FFF1C232"/>
        <bgColor rgb="FFF1C232"/>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1" fillId="0" fontId="2" numFmtId="0" xfId="0" applyAlignment="1" applyBorder="1" applyFont="1">
      <alignment horizontal="right" shrinkToFit="0" vertical="bottom" wrapText="1"/>
    </xf>
    <xf borderId="1" fillId="0" fontId="3" numFmtId="0" xfId="0" applyAlignment="1" applyBorder="1" applyFont="1">
      <alignment horizontal="center" vertical="bottom"/>
    </xf>
    <xf borderId="1" fillId="0" fontId="4" numFmtId="0" xfId="0" applyAlignment="1" applyBorder="1" applyFont="1">
      <alignment horizontal="center" shrinkToFit="0" wrapText="1"/>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5"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6" numFmtId="0" xfId="0" applyAlignment="1" applyBorder="1" applyFont="1">
      <alignment horizontal="right" vertical="bottom"/>
    </xf>
    <xf borderId="1" fillId="0" fontId="1" numFmtId="0" xfId="0" applyAlignment="1" applyBorder="1" applyFont="1">
      <alignment horizontal="center" vertical="bottom"/>
    </xf>
    <xf borderId="1" fillId="2" fontId="7" numFmtId="0" xfId="0" applyAlignment="1" applyBorder="1" applyFill="1" applyFont="1">
      <alignment horizontal="center" shrinkToFit="0" vertical="center" wrapText="1"/>
    </xf>
    <xf borderId="1" fillId="0" fontId="8"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8" numFmtId="0" xfId="0" applyAlignment="1" applyBorder="1" applyFont="1">
      <alignment horizontal="left" shrinkToFit="0" vertical="center" wrapText="1"/>
    </xf>
    <xf borderId="2" fillId="0" fontId="8"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8" numFmtId="0" xfId="0" applyAlignment="1" applyFont="1">
      <alignment horizontal="left" shrinkToFit="0" vertical="center" wrapText="1"/>
    </xf>
    <xf borderId="0" fillId="0" fontId="8" numFmtId="0" xfId="0" applyAlignment="1" applyFont="1">
      <alignment readingOrder="0" shrinkToFit="0" vertical="center" wrapText="1"/>
    </xf>
    <xf borderId="1" fillId="0" fontId="8" numFmtId="0" xfId="0" applyAlignment="1" applyBorder="1" applyFont="1">
      <alignment readingOrder="0" shrinkToFit="0" vertical="center" wrapText="1"/>
    </xf>
    <xf borderId="1" fillId="0" fontId="8" numFmtId="0" xfId="0" applyAlignment="1" applyBorder="1" applyFont="1">
      <alignment readingOrder="0" shrinkToFit="0" vertical="center" wrapText="1"/>
    </xf>
    <xf borderId="2" fillId="0" fontId="8" numFmtId="0" xfId="0" applyAlignment="1" applyBorder="1" applyFont="1">
      <alignment readingOrder="0"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1" fillId="0" fontId="10" numFmtId="0" xfId="0" applyAlignment="1" applyBorder="1" applyFont="1">
      <alignment horizontal="right" shrinkToFit="0" vertical="center" wrapText="1"/>
    </xf>
    <xf borderId="1" fillId="0" fontId="11" numFmtId="0" xfId="0" applyAlignment="1" applyBorder="1" applyFont="1">
      <alignment horizontal="center" readingOrder="0" vertical="center"/>
    </xf>
    <xf borderId="0" fillId="0" fontId="12" numFmtId="0" xfId="0" applyFont="1"/>
    <xf borderId="1" fillId="0" fontId="12" numFmtId="0" xfId="0" applyAlignment="1" applyBorder="1" applyFont="1">
      <alignment horizontal="center" readingOrder="0" vertical="center"/>
    </xf>
    <xf borderId="1" fillId="3" fontId="13" numFmtId="0" xfId="0" applyAlignment="1" applyBorder="1" applyFill="1" applyFont="1">
      <alignment horizontal="center" shrinkToFit="0" vertical="center" wrapText="1"/>
    </xf>
    <xf borderId="1" fillId="0" fontId="13" numFmtId="0" xfId="0" applyAlignment="1" applyBorder="1" applyFont="1">
      <alignment horizontal="center" shrinkToFit="0" vertical="center" wrapText="1"/>
    </xf>
    <xf borderId="0" fillId="0" fontId="14" numFmtId="0" xfId="0" applyAlignment="1" applyFont="1">
      <alignment readingOrder="0"/>
    </xf>
    <xf borderId="1" fillId="0" fontId="12" numFmtId="0" xfId="0" applyAlignment="1" applyBorder="1" applyFont="1">
      <alignment horizontal="center" readingOrder="0" vertical="center"/>
    </xf>
    <xf borderId="1" fillId="4" fontId="13" numFmtId="0" xfId="0" applyAlignment="1" applyBorder="1" applyFill="1" applyFont="1">
      <alignment horizontal="center" shrinkToFit="0" vertical="center" wrapText="1"/>
    </xf>
    <xf borderId="1" fillId="5" fontId="15" numFmtId="0" xfId="0" applyAlignment="1" applyBorder="1" applyFill="1" applyFont="1">
      <alignment horizontal="center" readingOrder="0" vertical="center"/>
    </xf>
    <xf borderId="1" fillId="6" fontId="13" numFmtId="0" xfId="0" applyAlignment="1" applyBorder="1" applyFill="1" applyFont="1">
      <alignment horizontal="center" shrinkToFit="0" vertical="center" wrapText="1"/>
    </xf>
    <xf borderId="0" fillId="0" fontId="16" numFmtId="0" xfId="0" applyAlignment="1" applyFont="1">
      <alignment horizontal="center" shrinkToFit="0" wrapText="1"/>
    </xf>
    <xf borderId="1" fillId="0" fontId="10" numFmtId="0" xfId="0" applyAlignment="1" applyBorder="1" applyFont="1">
      <alignment horizontal="right" readingOrder="0" vertical="center"/>
    </xf>
    <xf borderId="0" fillId="0" fontId="13" numFmtId="0" xfId="0" applyFont="1"/>
    <xf borderId="0" fillId="7" fontId="12" numFmtId="0" xfId="0" applyAlignment="1" applyFill="1" applyFont="1">
      <alignment horizontal="center" readingOrder="0" shrinkToFit="0" wrapText="1"/>
    </xf>
    <xf borderId="1" fillId="0" fontId="6" numFmtId="0" xfId="0" applyAlignment="1" applyBorder="1" applyFont="1">
      <alignment horizontal="center" shrinkToFit="0" wrapText="1"/>
    </xf>
    <xf borderId="1" fillId="0" fontId="13" numFmtId="0" xfId="0" applyAlignment="1" applyBorder="1" applyFont="1">
      <alignment horizontal="center" shrinkToFit="0" wrapText="1"/>
    </xf>
    <xf borderId="3" fillId="8" fontId="17" numFmtId="0" xfId="0" applyAlignment="1" applyBorder="1" applyFill="1" applyFont="1">
      <alignment horizontal="center" shrinkToFit="0" vertical="center" wrapText="1"/>
    </xf>
    <xf borderId="3" fillId="8" fontId="18" numFmtId="0" xfId="0" applyAlignment="1" applyBorder="1" applyFont="1">
      <alignment horizontal="center" shrinkToFit="0" vertical="center" wrapText="1"/>
    </xf>
    <xf borderId="3" fillId="8" fontId="18" numFmtId="0" xfId="0" applyAlignment="1" applyBorder="1" applyFont="1">
      <alignment horizontal="center" readingOrder="0" shrinkToFit="0" vertical="center" wrapText="1"/>
    </xf>
    <xf borderId="0" fillId="0" fontId="19" numFmtId="0" xfId="0" applyAlignment="1" applyFont="1">
      <alignment vertical="center"/>
    </xf>
    <xf borderId="0" fillId="0" fontId="19" numFmtId="0" xfId="0" applyAlignment="1" applyFont="1">
      <alignment readingOrder="0" vertical="center"/>
    </xf>
    <xf borderId="1" fillId="0" fontId="11"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4" fillId="0" fontId="11" numFmtId="0" xfId="0" applyAlignment="1" applyBorder="1" applyFont="1">
      <alignment horizontal="left" readingOrder="0" shrinkToFit="0" vertical="center" wrapText="1"/>
    </xf>
    <xf borderId="5" fillId="0" fontId="20" numFmtId="0" xfId="0" applyAlignment="1" applyBorder="1" applyFont="1">
      <alignment horizontal="center" readingOrder="0" shrinkToFit="0" vertical="center" wrapText="1"/>
    </xf>
    <xf borderId="4" fillId="0" fontId="21"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1" fillId="0" fontId="12"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0" fillId="0" fontId="12" numFmtId="0" xfId="0" applyAlignment="1" applyFont="1">
      <alignment horizontal="left" shrinkToFit="0" vertical="center" wrapText="1"/>
    </xf>
    <xf borderId="0" fillId="0" fontId="11" numFmtId="0" xfId="0" applyAlignment="1" applyFont="1">
      <alignment horizontal="center" shrinkToFit="0" vertical="center" wrapText="1"/>
    </xf>
    <xf borderId="1" fillId="0" fontId="11" numFmtId="0" xfId="0" applyAlignment="1" applyBorder="1" applyFont="1">
      <alignment horizontal="left" readingOrder="0" shrinkToFit="0" vertical="center" wrapText="1"/>
    </xf>
    <xf borderId="1" fillId="0" fontId="22" numFmtId="0" xfId="0" applyAlignment="1" applyBorder="1" applyFont="1">
      <alignment horizontal="center" readingOrder="0" shrinkToFit="0" vertical="center" wrapText="1"/>
    </xf>
    <xf borderId="1" fillId="0" fontId="23" numFmtId="0" xfId="0" applyAlignment="1" applyBorder="1" applyFont="1">
      <alignment horizontal="center" readingOrder="0" shrinkToFit="0" vertical="center" wrapText="1"/>
    </xf>
    <xf borderId="1" fillId="0" fontId="12" numFmtId="0" xfId="0" applyAlignment="1" applyBorder="1" applyFont="1">
      <alignment horizontal="center" shrinkToFit="0" vertical="center" wrapText="1"/>
    </xf>
    <xf borderId="1" fillId="0" fontId="12" numFmtId="0" xfId="0" applyAlignment="1" applyBorder="1" applyFont="1">
      <alignment horizontal="center" readingOrder="0" shrinkToFit="0" vertical="center" wrapText="1"/>
    </xf>
    <xf borderId="1" fillId="0" fontId="11" numFmtId="0" xfId="0" applyAlignment="1" applyBorder="1" applyFont="1">
      <alignment horizontal="center" shrinkToFit="0" vertical="center" wrapText="1"/>
    </xf>
    <xf borderId="1" fillId="0" fontId="24" numFmtId="0" xfId="0" applyAlignment="1" applyBorder="1" applyFont="1">
      <alignment horizontal="center" readingOrder="0" shrinkToFit="0" vertical="center" wrapText="1"/>
    </xf>
    <xf borderId="1" fillId="0" fontId="11" numFmtId="0" xfId="0" applyAlignment="1" applyBorder="1" applyFont="1">
      <alignment horizontal="left" shrinkToFit="0" vertical="center" wrapText="1"/>
    </xf>
    <xf borderId="1" fillId="0" fontId="25" numFmtId="0" xfId="0" applyAlignment="1" applyBorder="1" applyFont="1">
      <alignment horizontal="center" shrinkToFit="0" vertical="center" wrapText="1"/>
    </xf>
    <xf borderId="3" fillId="2" fontId="17" numFmtId="0" xfId="0" applyAlignment="1" applyBorder="1" applyFont="1">
      <alignment horizontal="center" shrinkToFit="0" vertical="center" wrapText="1"/>
    </xf>
    <xf borderId="3" fillId="2" fontId="17" numFmtId="0" xfId="0" applyAlignment="1" applyBorder="1" applyFont="1">
      <alignment horizontal="center" readingOrder="0" shrinkToFit="0" vertical="center" wrapText="1"/>
    </xf>
    <xf borderId="3" fillId="2" fontId="17"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2" numFmtId="0" xfId="0" applyAlignment="1" applyBorder="1" applyFont="1">
      <alignment horizontal="right" shrinkToFit="0" vertical="center" wrapText="1"/>
    </xf>
    <xf borderId="1" fillId="0" fontId="26"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0" fontId="28" numFmtId="0" xfId="0" applyAlignment="1" applyBorder="1" applyFont="1">
      <alignment horizontal="center" readingOrder="0"/>
    </xf>
    <xf borderId="1" fillId="0" fontId="1" numFmtId="0" xfId="0" applyAlignment="1" applyBorder="1" applyFont="1">
      <alignment horizontal="center" readingOrder="0" shrinkToFit="0" vertical="center" wrapText="1"/>
    </xf>
    <xf borderId="1" fillId="0" fontId="1" numFmtId="0" xfId="0" applyBorder="1" applyFont="1"/>
    <xf borderId="0" fillId="7" fontId="12" numFmtId="0" xfId="0" applyAlignment="1" applyFont="1">
      <alignment horizontal="center" readingOrder="0" shrinkToFit="0" vertical="center" wrapText="1"/>
    </xf>
    <xf borderId="0" fillId="9" fontId="12" numFmtId="0" xfId="0" applyAlignment="1" applyFill="1" applyFont="1">
      <alignment horizontal="center" readingOrder="0" shrinkToFit="0" vertical="center" wrapText="1"/>
    </xf>
    <xf borderId="3" fillId="9" fontId="3" numFmtId="0" xfId="0" applyAlignment="1" applyBorder="1" applyFont="1">
      <alignment horizontal="center" shrinkToFit="0" vertical="center" wrapText="1"/>
    </xf>
    <xf borderId="3" fillId="9" fontId="3" numFmtId="0" xfId="0" applyAlignment="1" applyBorder="1" applyFont="1">
      <alignment horizontal="center" readingOrder="0" shrinkToFit="0" vertical="center" wrapText="1"/>
    </xf>
    <xf borderId="0" fillId="0" fontId="29" numFmtId="0" xfId="0" applyAlignment="1" applyFont="1">
      <alignment horizontal="center" shrinkToFit="0" vertical="center" wrapText="1"/>
    </xf>
    <xf borderId="6" fillId="0" fontId="28" numFmtId="0" xfId="0" applyAlignment="1" applyBorder="1" applyFont="1">
      <alignment horizontal="center" readingOrder="0" shrinkToFit="0" vertical="center" wrapText="1"/>
    </xf>
    <xf borderId="4" fillId="0" fontId="28" numFmtId="0" xfId="0" applyAlignment="1" applyBorder="1" applyFont="1">
      <alignment horizontal="center" shrinkToFit="0" vertical="center" wrapText="1"/>
    </xf>
    <xf borderId="4" fillId="0" fontId="30" numFmtId="0" xfId="0" applyAlignment="1" applyBorder="1" applyFont="1">
      <alignment horizontal="center" shrinkToFit="0" vertical="center" wrapText="1"/>
    </xf>
    <xf borderId="4" fillId="0" fontId="28" numFmtId="0" xfId="0" applyAlignment="1" applyBorder="1" applyFont="1">
      <alignment horizontal="center" readingOrder="0" shrinkToFit="0" vertical="center" wrapText="1"/>
    </xf>
    <xf borderId="0" fillId="0" fontId="28" numFmtId="0" xfId="0" applyAlignment="1" applyFont="1">
      <alignment horizontal="center" shrinkToFit="0" vertical="center" wrapText="1"/>
    </xf>
    <xf borderId="1" fillId="0" fontId="28" numFmtId="0" xfId="0" applyAlignment="1" applyBorder="1" applyFont="1">
      <alignment horizontal="center" readingOrder="0" shrinkToFit="0" vertical="center" wrapText="1"/>
    </xf>
    <xf borderId="1" fillId="0" fontId="28" numFmtId="0" xfId="0" applyAlignment="1" applyBorder="1" applyFont="1">
      <alignment horizontal="center" shrinkToFit="0" vertical="center" wrapText="1"/>
    </xf>
    <xf borderId="1" fillId="0" fontId="31" numFmtId="0" xfId="0" applyAlignment="1" applyBorder="1" applyFont="1">
      <alignment horizontal="center" shrinkToFit="0" vertical="center" wrapText="1"/>
    </xf>
    <xf borderId="0" fillId="0" fontId="28" numFmtId="0" xfId="0" applyAlignment="1" applyFont="1">
      <alignment horizontal="center" readingOrder="0" shrinkToFit="0" vertical="center" wrapText="1"/>
    </xf>
    <xf borderId="0" fillId="0" fontId="2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1A1A1A"/>
              </a:solidFill>
              <a:latin typeface="Arial black"/>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676650" cy="19335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BhhNLNThogAZxFoWlWo8i6G0kaYNdX5D/view?usp=sharing" TargetMode="External"/><Relationship Id="rId22" Type="http://schemas.openxmlformats.org/officeDocument/2006/relationships/hyperlink" Target="https://drive.google.com/file/d/1SkZ5yyU5Pb0Td63PiUIEBprMoyA4939N/view?usp=sharing" TargetMode="External"/><Relationship Id="rId21" Type="http://schemas.openxmlformats.org/officeDocument/2006/relationships/hyperlink" Target="https://drive.google.com/file/d/1UgFeSNbYqg2suHk8Dcf5QTuKn6WU3rJ8/view?usp=sharing" TargetMode="External"/><Relationship Id="rId24" Type="http://schemas.openxmlformats.org/officeDocument/2006/relationships/hyperlink" Target="https://drive.google.com/file/d/1N16Op8hZVy8sjEIJc13B1jy2GmRnaF4t/view?usp=drive_link" TargetMode="External"/><Relationship Id="rId23" Type="http://schemas.openxmlformats.org/officeDocument/2006/relationships/hyperlink" Target="https://drive.google.com/file/d/1ah2lZvCfdb1aZexhVI34UMykzTPlDDo1/view?usp=sharing" TargetMode="External"/><Relationship Id="rId1" Type="http://schemas.openxmlformats.org/officeDocument/2006/relationships/hyperlink" Target="https://www.google.com/url?q=https://drive.google.com/drive/folders/1FRBcKQaBHzPnXLwXsJ50fxP5fJZiGNoG&amp;sa=D&amp;source=editors&amp;ust=1777270765470635&amp;usg=AOvVaw1xT38euCF2HCZ8KvY8sS0Y" TargetMode="External"/><Relationship Id="rId2" Type="http://schemas.openxmlformats.org/officeDocument/2006/relationships/hyperlink" Target="https://drive.google.com/file/d/12XaGh9dpUUBO_ULwDIl3dHbFdU2NkR1t/view?usp=drive_link" TargetMode="External"/><Relationship Id="rId3" Type="http://schemas.openxmlformats.org/officeDocument/2006/relationships/hyperlink" Target="https://drive.google.com/file/d/1pHuWstxvaQhZWJXcDMswsmBI7i22vvBX/view?usp=drive_link" TargetMode="External"/><Relationship Id="rId4" Type="http://schemas.openxmlformats.org/officeDocument/2006/relationships/hyperlink" Target="https://drive.google.com/file/d/1lBLs8qRuMaoE-INb8NM8VPBGKPAbA0ep/view?usp=sharing" TargetMode="External"/><Relationship Id="rId9" Type="http://schemas.openxmlformats.org/officeDocument/2006/relationships/hyperlink" Target="https://drive.google.com/file/d/1ja5SGN8ll0mUUnM0yDRx9wY5DX08Jfrj/view?usp=sharing" TargetMode="External"/><Relationship Id="rId26" Type="http://schemas.openxmlformats.org/officeDocument/2006/relationships/hyperlink" Target="https://drive.google.com/file/d/1RUiPTX1pdpW-vpXNBZ_B-GC4dYbW-egN/view?usp=sharing" TargetMode="External"/><Relationship Id="rId25" Type="http://schemas.openxmlformats.org/officeDocument/2006/relationships/hyperlink" Target="https://drive.google.com/file/d/1bGztsCQkb78Qf53_pqJHDj9B9k70IOda/view?usp=drive_link" TargetMode="External"/><Relationship Id="rId28" Type="http://schemas.openxmlformats.org/officeDocument/2006/relationships/hyperlink" Target="https://drive.google.com/file/d/1ZWNmoZ6KhpF3zHGOH1CnbPNh4EqRXR1M/view?usp=drive_link" TargetMode="External"/><Relationship Id="rId27" Type="http://schemas.openxmlformats.org/officeDocument/2006/relationships/hyperlink" Target="https://drive.google.com/file/d/1IabfhfkYfbb4DbEIgZLLrH2BYlIHatP5/view?usp=drive_link" TargetMode="External"/><Relationship Id="rId5" Type="http://schemas.openxmlformats.org/officeDocument/2006/relationships/hyperlink" Target="https://drive.google.com/file/d/1uNBHhTif3cjwBhhMZxv33ixC0h7zb72n/view?usp=drive_link" TargetMode="External"/><Relationship Id="rId6" Type="http://schemas.openxmlformats.org/officeDocument/2006/relationships/hyperlink" Target="https://drive.google.com/file/d/1qG9KP4lzb5Rl_frJwcelISc1OZkBh8Db/view?usp=sharing" TargetMode="External"/><Relationship Id="rId29" Type="http://schemas.openxmlformats.org/officeDocument/2006/relationships/hyperlink" Target="https://drive.google.com/file/d/166TqCGDxHwmrNx5LfSiRZ-qZ_OtaS5Tu/view?usp=sharing" TargetMode="External"/><Relationship Id="rId7" Type="http://schemas.openxmlformats.org/officeDocument/2006/relationships/hyperlink" Target="https://drive.google.com/file/d/1Goml9QUhsFXTQ5AcT6hSynIPpxBW6hPi/view?usp=sharing" TargetMode="External"/><Relationship Id="rId8" Type="http://schemas.openxmlformats.org/officeDocument/2006/relationships/hyperlink" Target="https://drive.google.com/file/d/1pOvxV2aegwgOgLpPfFbis4qrBAyBzp3m/view?usp=sharing" TargetMode="External"/><Relationship Id="rId31" Type="http://schemas.openxmlformats.org/officeDocument/2006/relationships/hyperlink" Target="https://drive.google.com/file/d/1CmVfzx-U0irJrZij37K2AHDsPH0-auv-/view?usp=drive_link" TargetMode="External"/><Relationship Id="rId30" Type="http://schemas.openxmlformats.org/officeDocument/2006/relationships/hyperlink" Target="https://drive.google.com/file/d/1Lx1M-Q2509GChw_yTPF3oArQBzR-Ln7c/view?usp=drive_link" TargetMode="External"/><Relationship Id="rId11" Type="http://schemas.openxmlformats.org/officeDocument/2006/relationships/hyperlink" Target="https://drive.google.com/file/d/1mWNifFzRHI8jWCGiDcRpHSiwk9jjUMei/view?usp=sharing" TargetMode="External"/><Relationship Id="rId33" Type="http://schemas.openxmlformats.org/officeDocument/2006/relationships/hyperlink" Target="https://drive.google.com/file/d/1M6G8SkfRU06zyx32KFXNdvHONV_hzch7/view?usp=drive_link" TargetMode="External"/><Relationship Id="rId10" Type="http://schemas.openxmlformats.org/officeDocument/2006/relationships/hyperlink" Target="https://drive.google.com/file/d/1l_-GDvBV1WGB5LTO2WW81D6tLoVXo8nB/view?usp=drive_link" TargetMode="External"/><Relationship Id="rId32" Type="http://schemas.openxmlformats.org/officeDocument/2006/relationships/hyperlink" Target="https://drive.google.com/file/d/1HnXopkyS_p3o8YDxLAeOEQjFid8MZ_8k/view?usp=drive_link" TargetMode="External"/><Relationship Id="rId13" Type="http://schemas.openxmlformats.org/officeDocument/2006/relationships/hyperlink" Target="https://drive.google.com/file/d/1lLXJjOKdLky4hzUTR8F8eEdVZ36CcO6q/view?usp=sharing" TargetMode="External"/><Relationship Id="rId35" Type="http://schemas.openxmlformats.org/officeDocument/2006/relationships/hyperlink" Target="https://drive.google.com/file/d/1wZJsZQMT2I7_1HTawE7l6gwD_Rm_XwdF/view?usp=drive_link" TargetMode="External"/><Relationship Id="rId12" Type="http://schemas.openxmlformats.org/officeDocument/2006/relationships/hyperlink" Target="https://drive.google.com/file/d/1IcVAQrlcI4Xz-VzOAUFjUOEjgKtXSySb/view?usp=drive_link" TargetMode="External"/><Relationship Id="rId34" Type="http://schemas.openxmlformats.org/officeDocument/2006/relationships/hyperlink" Target="https://drive.google.com/file/d/1ADUvsDUv21gkxZfJXyxsUejAVAYV2lJ9/view?usp=drive_link" TargetMode="External"/><Relationship Id="rId15" Type="http://schemas.openxmlformats.org/officeDocument/2006/relationships/hyperlink" Target="https://drive.google.com/file/d/1TsUTNgwKfTIq9iufUUofEdLYDF8vhBiS/view?usp=drive_link" TargetMode="External"/><Relationship Id="rId37" Type="http://schemas.openxmlformats.org/officeDocument/2006/relationships/drawing" Target="../drawings/drawing2.xml"/><Relationship Id="rId14" Type="http://schemas.openxmlformats.org/officeDocument/2006/relationships/hyperlink" Target="https://drive.google.com/file/d/1Us5PoJspZtwb0SfRzVyPMvc3m4HGF7PQ/view?usp=drive_link" TargetMode="External"/><Relationship Id="rId36" Type="http://schemas.openxmlformats.org/officeDocument/2006/relationships/hyperlink" Target="https://drive.google.com/file/d/1g0TfXbQPk-lDnIeTq5oIfzwX3-FsuSoq/view?usp=drive_link" TargetMode="External"/><Relationship Id="rId17" Type="http://schemas.openxmlformats.org/officeDocument/2006/relationships/hyperlink" Target="https://drive.google.com/file/d/10kQCk_QQeoDzVKQBF6fxe8kGD2YMhq9i/view?usp=drive_link" TargetMode="External"/><Relationship Id="rId16" Type="http://schemas.openxmlformats.org/officeDocument/2006/relationships/hyperlink" Target="https://drive.google.com/file/d/1t564R1_-GEJOUr3oVJmhpthciCWAMX_3/view?usp=drive_link" TargetMode="External"/><Relationship Id="rId19" Type="http://schemas.openxmlformats.org/officeDocument/2006/relationships/hyperlink" Target="https://drive.google.com/file/d/1W9LqQi_mkYq4X2xXxQWmaZ0zPIlpkS7_/view?usp=sharing" TargetMode="External"/><Relationship Id="rId18" Type="http://schemas.openxmlformats.org/officeDocument/2006/relationships/hyperlink" Target="https://drive.google.com/file/d/1dBonHxNLxU1V8zIiUeHeiiSC0ghMHbm9/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ja5SGN8ll0mUUnM0yDRx9wY5DX08Jfrj/view?usp=sharing" TargetMode="External"/><Relationship Id="rId22" Type="http://schemas.openxmlformats.org/officeDocument/2006/relationships/hyperlink" Target="https://drive.google.com/file/d/1BhhNLNThogAZxFoWlWo8i6G0kaYNdX5D/view?usp=sharing" TargetMode="External"/><Relationship Id="rId21" Type="http://schemas.openxmlformats.org/officeDocument/2006/relationships/hyperlink" Target="https://drive.google.com/file/d/1wZJsZQMT2I7_1HTawE7l6gwD_Rm_XwdF/view?usp=drive_link" TargetMode="External"/><Relationship Id="rId24" Type="http://schemas.openxmlformats.org/officeDocument/2006/relationships/hyperlink" Target="https://drive.google.com/file/d/1ZWNmoZ6KhpF3zHGOH1CnbPNh4EqRXR1M/view?usp=drive_link" TargetMode="External"/><Relationship Id="rId23" Type="http://schemas.openxmlformats.org/officeDocument/2006/relationships/hyperlink" Target="https://drive.google.com/file/d/1pOvxV2aegwgOgLpPfFbis4qrBAyBzp3m/view?usp=sharing" TargetMode="External"/><Relationship Id="rId1" Type="http://schemas.openxmlformats.org/officeDocument/2006/relationships/hyperlink" Target="https://drive.google.com/file/d/1Goml9QUhsFXTQ5AcT6hSynIPpxBW6hPi/view?usp=sharing" TargetMode="External"/><Relationship Id="rId2" Type="http://schemas.openxmlformats.org/officeDocument/2006/relationships/hyperlink" Target="https://drive.google.com/file/d/1lLXJjOKdLky4hzUTR8F8eEdVZ36CcO6q/view?usp=sharing" TargetMode="External"/><Relationship Id="rId3" Type="http://schemas.openxmlformats.org/officeDocument/2006/relationships/hyperlink" Target="https://drive.google.com/file/d/1IcVAQrlcI4Xz-VzOAUFjUOEjgKtXSySb/view?usp=drive_link" TargetMode="External"/><Relationship Id="rId4" Type="http://schemas.openxmlformats.org/officeDocument/2006/relationships/hyperlink" Target="https://drive.google.com/file/d/1Us5PoJspZtwb0SfRzVyPMvc3m4HGF7PQ/view?usp=drive_link" TargetMode="External"/><Relationship Id="rId9" Type="http://schemas.openxmlformats.org/officeDocument/2006/relationships/hyperlink" Target="https://drive.google.com/file/d/1RUiPTX1pdpW-vpXNBZ_B-GC4dYbW-egN/view?usp=sharing" TargetMode="External"/><Relationship Id="rId26" Type="http://schemas.openxmlformats.org/officeDocument/2006/relationships/hyperlink" Target="https://drive.google.com/file/d/1HnXopkyS_p3o8YDxLAeOEQjFid8MZ_8k/view?usp=drive_link" TargetMode="External"/><Relationship Id="rId25" Type="http://schemas.openxmlformats.org/officeDocument/2006/relationships/hyperlink" Target="https://drive.google.com/file/d/1Lx1M-Q2509GChw_yTPF3oArQBzR-Ln7c/view?usp=drive_link" TargetMode="External"/><Relationship Id="rId28" Type="http://schemas.openxmlformats.org/officeDocument/2006/relationships/hyperlink" Target="https://drive.google.com/file/d/1pHuWstxvaQhZWJXcDMswsmBI7i22vvBX/view?usp=drive_link" TargetMode="External"/><Relationship Id="rId27" Type="http://schemas.openxmlformats.org/officeDocument/2006/relationships/hyperlink" Target="https://drive.google.com/file/d/12XaGh9dpUUBO_ULwDIl3dHbFdU2NkR1t/view?usp=drive_link" TargetMode="External"/><Relationship Id="rId5" Type="http://schemas.openxmlformats.org/officeDocument/2006/relationships/hyperlink" Target="https://drive.google.com/file/d/1TsUTNgwKfTIq9iufUUofEdLYDF8vhBiS/view?usp=drive_link" TargetMode="External"/><Relationship Id="rId6" Type="http://schemas.openxmlformats.org/officeDocument/2006/relationships/hyperlink" Target="https://drive.google.com/file/d/1dBonHxNLxU1V8zIiUeHeiiSC0ghMHbm9/view?usp=sharing" TargetMode="External"/><Relationship Id="rId29" Type="http://schemas.openxmlformats.org/officeDocument/2006/relationships/hyperlink" Target="https://drive.google.com/file/d/1lBLs8qRuMaoE-INb8NM8VPBGKPAbA0ep/view?usp=sharing" TargetMode="External"/><Relationship Id="rId7" Type="http://schemas.openxmlformats.org/officeDocument/2006/relationships/hyperlink" Target="https://drive.google.com/file/d/1SkZ5yyU5Pb0Td63PiUIEBprMoyA4939N/view?usp=sharing" TargetMode="External"/><Relationship Id="rId8" Type="http://schemas.openxmlformats.org/officeDocument/2006/relationships/hyperlink" Target="https://drive.google.com/file/d/1ah2lZvCfdb1aZexhVI34UMykzTPlDDo1/view?usp=sharing" TargetMode="External"/><Relationship Id="rId31" Type="http://schemas.openxmlformats.org/officeDocument/2006/relationships/hyperlink" Target="https://drive.google.com/file/d/1M6G8SkfRU06zyx32KFXNdvHONV_hzch7/view?usp=drive_link" TargetMode="External"/><Relationship Id="rId30" Type="http://schemas.openxmlformats.org/officeDocument/2006/relationships/hyperlink" Target="https://drive.google.com/file/d/1uNBHhTif3cjwBhhMZxv33ixC0h7zb72n/view?usp=drive_link" TargetMode="External"/><Relationship Id="rId11" Type="http://schemas.openxmlformats.org/officeDocument/2006/relationships/hyperlink" Target="https://drive.google.com/file/d/1N16Op8hZVy8sjEIJc13B1jy2GmRnaF4t/view?usp=drive_link" TargetMode="External"/><Relationship Id="rId33" Type="http://schemas.openxmlformats.org/officeDocument/2006/relationships/hyperlink" Target="https://drive.google.com/file/d/1l_-GDvBV1WGB5LTO2WW81D6tLoVXo8nB/view?usp=drive_link" TargetMode="External"/><Relationship Id="rId10" Type="http://schemas.openxmlformats.org/officeDocument/2006/relationships/hyperlink" Target="https://drive.google.com/file/d/1IabfhfkYfbb4DbEIgZLLrH2BYlIHatP5/view?usp=drive_link" TargetMode="External"/><Relationship Id="rId32" Type="http://schemas.openxmlformats.org/officeDocument/2006/relationships/hyperlink" Target="https://drive.google.com/file/d/1UgFeSNbYqg2suHk8Dcf5QTuKn6WU3rJ8/view?usp=sharing" TargetMode="External"/><Relationship Id="rId13" Type="http://schemas.openxmlformats.org/officeDocument/2006/relationships/hyperlink" Target="https://drive.google.com/file/d/1W9LqQi_mkYq4X2xXxQWmaZ0zPIlpkS7_/view?usp=sharing" TargetMode="External"/><Relationship Id="rId35" Type="http://schemas.openxmlformats.org/officeDocument/2006/relationships/hyperlink" Target="https://drive.google.com/file/d/1g0TfXbQPk-lDnIeTq5oIfzwX3-FsuSoq/view?usp=drive_link" TargetMode="External"/><Relationship Id="rId12" Type="http://schemas.openxmlformats.org/officeDocument/2006/relationships/hyperlink" Target="https://drive.google.com/file/d/1bGztsCQkb78Qf53_pqJHDj9B9k70IOda/view?usp=drive_link" TargetMode="External"/><Relationship Id="rId34" Type="http://schemas.openxmlformats.org/officeDocument/2006/relationships/hyperlink" Target="https://drive.google.com/file/d/166TqCGDxHwmrNx5LfSiRZ-qZ_OtaS5Tu/view?usp=sharing" TargetMode="External"/><Relationship Id="rId15" Type="http://schemas.openxmlformats.org/officeDocument/2006/relationships/hyperlink" Target="https://drive.google.com/file/d/1CmVfzx-U0irJrZij37K2AHDsPH0-auv-/view?usp=drive_link" TargetMode="External"/><Relationship Id="rId14" Type="http://schemas.openxmlformats.org/officeDocument/2006/relationships/hyperlink" Target="https://drive.google.com/file/d/10kQCk_QQeoDzVKQBF6fxe8kGD2YMhq9i/view?usp=drive_link" TargetMode="External"/><Relationship Id="rId36" Type="http://schemas.openxmlformats.org/officeDocument/2006/relationships/drawing" Target="../drawings/drawing4.xml"/><Relationship Id="rId17" Type="http://schemas.openxmlformats.org/officeDocument/2006/relationships/hyperlink" Target="https://drive.google.com/file/d/1mWNifFzRHI8jWCGiDcRpHSiwk9jjUMei/view?usp=sharing" TargetMode="External"/><Relationship Id="rId16" Type="http://schemas.openxmlformats.org/officeDocument/2006/relationships/hyperlink" Target="https://drive.google.com/file/d/1qG9KP4lzb5Rl_frJwcelISc1OZkBh8Db/view?usp=sharing" TargetMode="External"/><Relationship Id="rId19" Type="http://schemas.openxmlformats.org/officeDocument/2006/relationships/hyperlink" Target="https://drive.google.com/file/d/1t564R1_-GEJOUr3oVJmhpthciCWAMX_3/view?usp=drive_link" TargetMode="External"/><Relationship Id="rId18" Type="http://schemas.openxmlformats.org/officeDocument/2006/relationships/hyperlink" Target="https://drive.google.com/file/d/1ADUvsDUv21gkxZfJXyxsUejAVAYV2lJ9/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1"/>
      <c r="B1" s="1"/>
      <c r="C1" s="1"/>
      <c r="D1" s="1"/>
      <c r="E1" s="2"/>
      <c r="F1" s="2"/>
      <c r="G1" s="1"/>
      <c r="H1" s="1"/>
      <c r="I1" s="1"/>
      <c r="J1" s="1"/>
      <c r="K1" s="1"/>
      <c r="L1" s="1"/>
      <c r="M1" s="1"/>
      <c r="N1" s="1"/>
      <c r="O1" s="1"/>
      <c r="P1" s="1"/>
    </row>
    <row r="2">
      <c r="A2" s="3" t="s">
        <v>0</v>
      </c>
      <c r="B2" s="4"/>
      <c r="C2" s="1"/>
      <c r="D2" s="5" t="s">
        <v>1</v>
      </c>
      <c r="E2" s="5" t="s">
        <v>2</v>
      </c>
      <c r="F2" s="1"/>
      <c r="G2" s="1"/>
      <c r="H2" s="1"/>
      <c r="I2" s="1"/>
      <c r="J2" s="1"/>
      <c r="K2" s="1"/>
      <c r="L2" s="1"/>
      <c r="M2" s="1"/>
      <c r="N2" s="1"/>
      <c r="O2" s="1"/>
      <c r="P2" s="1"/>
    </row>
    <row r="3">
      <c r="A3" s="3" t="s">
        <v>3</v>
      </c>
      <c r="B3" s="6"/>
      <c r="C3" s="1"/>
      <c r="D3" s="7" t="s">
        <v>4</v>
      </c>
      <c r="E3" s="8">
        <f>COUNTIF(K14:K1005, "High")</f>
        <v>0</v>
      </c>
      <c r="F3" s="1"/>
      <c r="G3" s="1"/>
      <c r="H3" s="1"/>
      <c r="I3" s="1"/>
      <c r="J3" s="1"/>
      <c r="K3" s="1"/>
      <c r="L3" s="1"/>
      <c r="M3" s="1"/>
      <c r="N3" s="1"/>
      <c r="O3" s="1"/>
      <c r="P3" s="1"/>
    </row>
    <row r="4">
      <c r="A4" s="3" t="s">
        <v>5</v>
      </c>
      <c r="B4" s="9"/>
      <c r="C4" s="1"/>
      <c r="D4" s="7" t="s">
        <v>6</v>
      </c>
      <c r="E4" s="8">
        <f>COUNTIF(K14:K1006, "Medium")</f>
        <v>0</v>
      </c>
      <c r="F4" s="1"/>
      <c r="G4" s="1"/>
      <c r="H4" s="1"/>
      <c r="I4" s="1"/>
      <c r="J4" s="1"/>
      <c r="K4" s="1"/>
      <c r="L4" s="1"/>
      <c r="M4" s="1"/>
      <c r="N4" s="1"/>
      <c r="O4" s="1"/>
      <c r="P4" s="1"/>
    </row>
    <row r="5">
      <c r="A5" s="3" t="s">
        <v>7</v>
      </c>
      <c r="B5" s="10"/>
      <c r="C5" s="1"/>
      <c r="D5" s="7" t="s">
        <v>8</v>
      </c>
      <c r="E5" s="8">
        <f>COUNTIF(K14:K1007, "Low") </f>
        <v>0</v>
      </c>
      <c r="F5" s="1"/>
      <c r="G5" s="1"/>
      <c r="H5" s="1"/>
      <c r="I5" s="1"/>
      <c r="J5" s="1"/>
      <c r="K5" s="1"/>
      <c r="L5" s="1"/>
      <c r="M5" s="1"/>
      <c r="N5" s="1"/>
      <c r="O5" s="1"/>
      <c r="P5" s="1"/>
    </row>
    <row r="6">
      <c r="A6" s="3" t="s">
        <v>9</v>
      </c>
      <c r="B6" s="10"/>
      <c r="C6" s="1"/>
      <c r="D6" s="1"/>
      <c r="E6" s="1"/>
      <c r="F6" s="1"/>
      <c r="G6" s="1"/>
      <c r="H6" s="1"/>
      <c r="I6" s="1"/>
      <c r="J6" s="1"/>
      <c r="K6" s="1"/>
      <c r="L6" s="1"/>
      <c r="M6" s="1"/>
      <c r="N6" s="1"/>
      <c r="O6" s="1"/>
      <c r="P6" s="1"/>
    </row>
    <row r="7">
      <c r="A7" s="11" t="s">
        <v>10</v>
      </c>
      <c r="B7" s="10"/>
      <c r="C7" s="1"/>
      <c r="D7" s="12" t="s">
        <v>11</v>
      </c>
      <c r="E7" s="13">
        <f>SUM(E3:E5)</f>
        <v>0</v>
      </c>
      <c r="F7" s="1"/>
      <c r="G7" s="1"/>
      <c r="H7" s="1"/>
      <c r="I7" s="1"/>
      <c r="J7" s="1"/>
      <c r="K7" s="1"/>
      <c r="L7" s="1"/>
      <c r="M7" s="1"/>
      <c r="N7" s="1"/>
      <c r="O7" s="1"/>
      <c r="P7" s="1"/>
    </row>
    <row r="8">
      <c r="A8" s="1"/>
      <c r="B8" s="1"/>
      <c r="C8" s="1"/>
      <c r="D8" s="12" t="s">
        <v>12</v>
      </c>
      <c r="E8" s="10"/>
      <c r="F8" s="1"/>
      <c r="G8" s="1"/>
      <c r="H8" s="1"/>
      <c r="I8" s="1"/>
      <c r="J8" s="1"/>
      <c r="K8" s="1"/>
      <c r="L8" s="1"/>
      <c r="M8" s="1"/>
      <c r="N8" s="1"/>
      <c r="O8" s="1"/>
      <c r="P8" s="1"/>
    </row>
    <row r="9">
      <c r="A9" s="1"/>
      <c r="B9" s="1"/>
      <c r="C9" s="1"/>
      <c r="D9" s="1"/>
      <c r="E9" s="1"/>
      <c r="F9" s="1"/>
      <c r="G9" s="1"/>
      <c r="H9" s="1"/>
      <c r="I9" s="1"/>
      <c r="J9" s="1"/>
      <c r="K9" s="1"/>
      <c r="L9" s="1"/>
      <c r="M9" s="1"/>
      <c r="N9" s="1"/>
      <c r="O9" s="1"/>
      <c r="P9" s="1"/>
    </row>
    <row r="10">
      <c r="A10" s="1"/>
      <c r="B10" s="1"/>
      <c r="C10" s="1"/>
      <c r="D10" s="1"/>
      <c r="E10" s="1"/>
      <c r="F10" s="1"/>
      <c r="G10" s="1"/>
      <c r="H10" s="1"/>
      <c r="I10" s="1"/>
      <c r="J10" s="1"/>
      <c r="K10" s="1"/>
      <c r="L10" s="1"/>
      <c r="M10" s="1"/>
      <c r="N10" s="1"/>
      <c r="O10" s="1"/>
      <c r="P10" s="1"/>
    </row>
    <row r="11">
      <c r="A11" s="1"/>
      <c r="B11" s="1"/>
      <c r="C11" s="1"/>
      <c r="D11" s="1"/>
      <c r="E11" s="1"/>
      <c r="F11" s="1"/>
      <c r="G11" s="1"/>
      <c r="H11" s="1"/>
      <c r="I11" s="1"/>
      <c r="J11" s="1"/>
      <c r="K11" s="1"/>
      <c r="L11" s="1"/>
      <c r="M11" s="1"/>
      <c r="N11" s="1"/>
      <c r="O11" s="1"/>
      <c r="P11" s="1"/>
    </row>
    <row r="12">
      <c r="A12" s="1"/>
      <c r="B12" s="1"/>
      <c r="C12" s="1"/>
      <c r="D12" s="1"/>
      <c r="E12" s="1"/>
      <c r="F12" s="1"/>
      <c r="G12" s="1"/>
      <c r="H12" s="1"/>
      <c r="I12" s="1"/>
      <c r="J12" s="1"/>
      <c r="K12" s="1"/>
      <c r="L12" s="1"/>
      <c r="M12" s="1"/>
      <c r="N12" s="1"/>
      <c r="O12" s="1"/>
      <c r="P12" s="1"/>
    </row>
    <row r="13">
      <c r="A13" s="1"/>
      <c r="B13" s="1"/>
      <c r="C13" s="1"/>
      <c r="D13" s="1"/>
      <c r="E13" s="1"/>
      <c r="F13" s="1"/>
      <c r="G13" s="1"/>
      <c r="H13" s="1"/>
      <c r="I13" s="1"/>
      <c r="J13" s="1"/>
      <c r="K13" s="1"/>
      <c r="L13" s="1"/>
      <c r="M13" s="1"/>
      <c r="N13" s="1"/>
      <c r="O13" s="1"/>
      <c r="P13" s="1"/>
    </row>
    <row r="14">
      <c r="A14" s="14" t="s">
        <v>13</v>
      </c>
      <c r="B14" s="14" t="s">
        <v>14</v>
      </c>
      <c r="C14" s="14" t="s">
        <v>15</v>
      </c>
      <c r="D14" s="14" t="s">
        <v>16</v>
      </c>
      <c r="E14" s="14" t="s">
        <v>17</v>
      </c>
      <c r="F14" s="14" t="s">
        <v>18</v>
      </c>
      <c r="G14" s="14" t="s">
        <v>19</v>
      </c>
      <c r="H14" s="14" t="s">
        <v>20</v>
      </c>
      <c r="I14" s="14" t="s">
        <v>21</v>
      </c>
      <c r="J14" s="14" t="s">
        <v>22</v>
      </c>
      <c r="K14" s="14" t="s">
        <v>1</v>
      </c>
      <c r="L14" s="14" t="s">
        <v>23</v>
      </c>
      <c r="M14" s="14" t="s">
        <v>24</v>
      </c>
      <c r="N14" s="14" t="s">
        <v>25</v>
      </c>
      <c r="O14" s="1"/>
      <c r="P14" s="1"/>
    </row>
    <row r="15">
      <c r="A15" s="15"/>
      <c r="B15" s="15"/>
      <c r="C15" s="15"/>
      <c r="D15" s="15"/>
      <c r="E15" s="15"/>
      <c r="F15" s="15"/>
      <c r="G15" s="15"/>
      <c r="H15" s="15"/>
      <c r="I15" s="15"/>
      <c r="J15" s="15"/>
      <c r="K15" s="15"/>
      <c r="L15" s="16"/>
      <c r="M15" s="17"/>
      <c r="N15" s="17"/>
      <c r="O15" s="1"/>
      <c r="P15" s="1"/>
    </row>
    <row r="16">
      <c r="A16" s="15"/>
      <c r="B16" s="15"/>
      <c r="C16" s="15"/>
      <c r="D16" s="15"/>
      <c r="E16" s="15"/>
      <c r="F16" s="15"/>
      <c r="G16" s="15"/>
      <c r="H16" s="15"/>
      <c r="I16" s="15"/>
      <c r="J16" s="15"/>
      <c r="K16" s="15"/>
      <c r="L16" s="16"/>
      <c r="M16" s="17"/>
      <c r="N16" s="18"/>
      <c r="O16" s="1"/>
      <c r="P16" s="1"/>
    </row>
    <row r="17">
      <c r="A17" s="15"/>
      <c r="B17" s="15"/>
      <c r="C17" s="15"/>
      <c r="D17" s="15"/>
      <c r="E17" s="15"/>
      <c r="F17" s="15"/>
      <c r="G17" s="15"/>
      <c r="H17" s="15"/>
      <c r="I17" s="15"/>
      <c r="J17" s="15"/>
      <c r="K17" s="15"/>
      <c r="L17" s="16"/>
      <c r="M17" s="17"/>
      <c r="N17" s="17"/>
      <c r="O17" s="1"/>
      <c r="P17" s="1"/>
    </row>
    <row r="18">
      <c r="A18" s="15"/>
      <c r="B18" s="15"/>
      <c r="C18" s="15"/>
      <c r="D18" s="15"/>
      <c r="E18" s="15"/>
      <c r="F18" s="15"/>
      <c r="G18" s="19"/>
      <c r="H18" s="15"/>
      <c r="I18" s="15"/>
      <c r="J18" s="15"/>
      <c r="K18" s="15"/>
      <c r="L18" s="16"/>
      <c r="M18" s="17"/>
      <c r="N18" s="18"/>
      <c r="O18" s="1"/>
      <c r="P18" s="1"/>
    </row>
    <row r="19">
      <c r="A19" s="15"/>
      <c r="B19" s="15"/>
      <c r="C19" s="15"/>
      <c r="D19" s="15"/>
      <c r="E19" s="15"/>
      <c r="F19" s="15"/>
      <c r="G19" s="15"/>
      <c r="H19" s="15"/>
      <c r="I19" s="15"/>
      <c r="J19" s="15"/>
      <c r="K19" s="15"/>
      <c r="L19" s="16"/>
      <c r="M19" s="17"/>
      <c r="N19" s="17"/>
      <c r="O19" s="1"/>
      <c r="P19" s="1"/>
    </row>
    <row r="20">
      <c r="A20" s="15"/>
      <c r="B20" s="15"/>
      <c r="C20" s="15"/>
      <c r="D20" s="15"/>
      <c r="E20" s="15"/>
      <c r="F20" s="15"/>
      <c r="G20" s="15"/>
      <c r="H20" s="15"/>
      <c r="I20" s="15"/>
      <c r="J20" s="15"/>
      <c r="K20" s="15"/>
      <c r="L20" s="16"/>
      <c r="M20" s="17"/>
      <c r="N20" s="18"/>
      <c r="O20" s="1"/>
      <c r="P20" s="1"/>
    </row>
    <row r="21">
      <c r="A21" s="15"/>
      <c r="B21" s="15"/>
      <c r="C21" s="15"/>
      <c r="D21" s="15"/>
      <c r="E21" s="15"/>
      <c r="F21" s="15"/>
      <c r="G21" s="15"/>
      <c r="H21" s="15"/>
      <c r="I21" s="15"/>
      <c r="J21" s="15"/>
      <c r="K21" s="15"/>
      <c r="L21" s="16"/>
      <c r="M21" s="17"/>
      <c r="N21" s="17"/>
      <c r="O21" s="1"/>
      <c r="P21" s="1"/>
    </row>
    <row r="22">
      <c r="A22" s="15"/>
      <c r="B22" s="15"/>
      <c r="C22" s="15"/>
      <c r="D22" s="15"/>
      <c r="E22" s="15"/>
      <c r="F22" s="15"/>
      <c r="G22" s="15"/>
      <c r="H22" s="15"/>
      <c r="I22" s="15"/>
      <c r="J22" s="15"/>
      <c r="K22" s="15"/>
      <c r="L22" s="16"/>
      <c r="M22" s="17"/>
      <c r="N22" s="18"/>
      <c r="O22" s="1"/>
      <c r="P22" s="1"/>
    </row>
    <row r="23">
      <c r="A23" s="15"/>
      <c r="B23" s="15"/>
      <c r="C23" s="15"/>
      <c r="D23" s="15"/>
      <c r="E23" s="15"/>
      <c r="F23" s="15"/>
      <c r="G23" s="15"/>
      <c r="H23" s="15"/>
      <c r="I23" s="15"/>
      <c r="J23" s="15"/>
      <c r="K23" s="15"/>
      <c r="L23" s="15"/>
      <c r="M23" s="20"/>
      <c r="N23" s="17"/>
      <c r="O23" s="1"/>
      <c r="P23" s="1"/>
    </row>
    <row r="24">
      <c r="A24" s="15"/>
      <c r="B24" s="15"/>
      <c r="C24" s="15"/>
      <c r="D24" s="15"/>
      <c r="E24" s="15"/>
      <c r="F24" s="15"/>
      <c r="G24" s="15"/>
      <c r="H24" s="15"/>
      <c r="I24" s="15"/>
      <c r="J24" s="15"/>
      <c r="K24" s="15"/>
      <c r="L24" s="15"/>
      <c r="M24" s="20"/>
      <c r="N24" s="18"/>
      <c r="O24" s="1"/>
      <c r="P24" s="1"/>
    </row>
    <row r="25">
      <c r="A25" s="15"/>
      <c r="B25" s="15"/>
      <c r="C25" s="15"/>
      <c r="D25" s="15"/>
      <c r="E25" s="15"/>
      <c r="F25" s="15"/>
      <c r="G25" s="15"/>
      <c r="H25" s="15"/>
      <c r="I25" s="15"/>
      <c r="J25" s="15"/>
      <c r="K25" s="15"/>
      <c r="L25" s="15"/>
      <c r="M25" s="20"/>
      <c r="N25" s="17"/>
      <c r="O25" s="1"/>
      <c r="P25" s="1"/>
    </row>
    <row r="26">
      <c r="A26" s="15"/>
      <c r="B26" s="15"/>
      <c r="C26" s="15"/>
      <c r="D26" s="15"/>
      <c r="E26" s="15"/>
      <c r="F26" s="15"/>
      <c r="G26" s="15"/>
      <c r="H26" s="15"/>
      <c r="I26" s="15"/>
      <c r="J26" s="15"/>
      <c r="K26" s="15"/>
      <c r="L26" s="15"/>
      <c r="M26" s="20"/>
      <c r="N26" s="18"/>
      <c r="O26" s="1"/>
      <c r="P26" s="1"/>
    </row>
    <row r="27">
      <c r="A27" s="15"/>
      <c r="B27" s="15"/>
      <c r="C27" s="15"/>
      <c r="D27" s="15"/>
      <c r="E27" s="15"/>
      <c r="F27" s="15"/>
      <c r="G27" s="15"/>
      <c r="H27" s="15"/>
      <c r="I27" s="15"/>
      <c r="J27" s="15"/>
      <c r="K27" s="15"/>
      <c r="L27" s="15"/>
      <c r="M27" s="20"/>
      <c r="N27" s="17"/>
      <c r="O27" s="1"/>
      <c r="P27" s="1"/>
    </row>
    <row r="28">
      <c r="A28" s="15"/>
      <c r="B28" s="15"/>
      <c r="C28" s="15"/>
      <c r="D28" s="15"/>
      <c r="E28" s="15"/>
      <c r="F28" s="15"/>
      <c r="G28" s="15"/>
      <c r="H28" s="15"/>
      <c r="I28" s="15"/>
      <c r="J28" s="15"/>
      <c r="K28" s="15"/>
      <c r="L28" s="15"/>
      <c r="M28" s="20"/>
      <c r="N28" s="18"/>
      <c r="O28" s="1"/>
      <c r="P28" s="1"/>
    </row>
    <row r="29">
      <c r="A29" s="15"/>
      <c r="B29" s="15"/>
      <c r="C29" s="15"/>
      <c r="D29" s="15"/>
      <c r="E29" s="15"/>
      <c r="F29" s="15"/>
      <c r="G29" s="15"/>
      <c r="H29" s="15"/>
      <c r="I29" s="15"/>
      <c r="J29" s="15"/>
      <c r="K29" s="15"/>
      <c r="L29" s="15"/>
      <c r="M29" s="20"/>
      <c r="N29" s="17"/>
      <c r="O29" s="1"/>
      <c r="P29" s="1"/>
    </row>
    <row r="30">
      <c r="A30" s="15"/>
      <c r="B30" s="20"/>
      <c r="C30" s="20"/>
      <c r="D30" s="20"/>
      <c r="E30" s="20"/>
      <c r="F30" s="20"/>
      <c r="G30" s="20"/>
      <c r="H30" s="20"/>
      <c r="I30" s="20"/>
      <c r="J30" s="20"/>
      <c r="K30" s="20"/>
      <c r="L30" s="20"/>
      <c r="M30" s="20"/>
      <c r="N30" s="18"/>
      <c r="O30" s="1"/>
      <c r="P30" s="1"/>
    </row>
    <row r="31">
      <c r="A31" s="15"/>
      <c r="B31" s="20"/>
      <c r="C31" s="20"/>
      <c r="D31" s="20"/>
      <c r="E31" s="20"/>
      <c r="F31" s="20"/>
      <c r="G31" s="20"/>
      <c r="H31" s="20"/>
      <c r="I31" s="20"/>
      <c r="J31" s="20"/>
      <c r="K31" s="20"/>
      <c r="L31" s="20"/>
      <c r="M31" s="20"/>
      <c r="N31" s="17"/>
      <c r="O31" s="1"/>
      <c r="P31" s="1"/>
    </row>
    <row r="32">
      <c r="A32" s="15"/>
      <c r="B32" s="20"/>
      <c r="C32" s="20"/>
      <c r="D32" s="20"/>
      <c r="E32" s="20"/>
      <c r="F32" s="20"/>
      <c r="G32" s="20"/>
      <c r="H32" s="20"/>
      <c r="I32" s="20"/>
      <c r="J32" s="20"/>
      <c r="K32" s="20"/>
      <c r="L32" s="20"/>
      <c r="M32" s="20"/>
      <c r="N32" s="18"/>
      <c r="O32" s="1"/>
      <c r="P32" s="1"/>
    </row>
    <row r="33">
      <c r="A33" s="15"/>
      <c r="B33" s="20"/>
      <c r="C33" s="20"/>
      <c r="D33" s="20"/>
      <c r="E33" s="20"/>
      <c r="F33" s="20"/>
      <c r="G33" s="20"/>
      <c r="H33" s="20"/>
      <c r="I33" s="20"/>
      <c r="J33" s="20"/>
      <c r="K33" s="20"/>
      <c r="L33" s="20"/>
      <c r="M33" s="20"/>
      <c r="N33" s="17"/>
      <c r="O33" s="1"/>
      <c r="P33" s="1"/>
    </row>
    <row r="34">
      <c r="A34" s="15"/>
      <c r="B34" s="20"/>
      <c r="C34" s="20"/>
      <c r="D34" s="20"/>
      <c r="E34" s="20"/>
      <c r="F34" s="20"/>
      <c r="G34" s="20"/>
      <c r="H34" s="20"/>
      <c r="I34" s="20"/>
      <c r="J34" s="20"/>
      <c r="K34" s="20"/>
      <c r="L34" s="20"/>
      <c r="M34" s="20"/>
      <c r="N34" s="18"/>
      <c r="O34" s="1"/>
      <c r="P34" s="1"/>
    </row>
    <row r="35">
      <c r="A35" s="15"/>
      <c r="B35" s="20"/>
      <c r="C35" s="20"/>
      <c r="D35" s="20"/>
      <c r="E35" s="20"/>
      <c r="F35" s="20"/>
      <c r="G35" s="20"/>
      <c r="H35" s="20"/>
      <c r="I35" s="20"/>
      <c r="J35" s="20"/>
      <c r="K35" s="20"/>
      <c r="L35" s="20"/>
      <c r="M35" s="20"/>
      <c r="N35" s="17"/>
      <c r="O35" s="1"/>
      <c r="P35" s="1"/>
    </row>
    <row r="36">
      <c r="A36" s="15"/>
      <c r="B36" s="20"/>
      <c r="C36" s="20"/>
      <c r="D36" s="20"/>
      <c r="E36" s="20"/>
      <c r="F36" s="20"/>
      <c r="G36" s="20"/>
      <c r="H36" s="20"/>
      <c r="I36" s="20"/>
      <c r="J36" s="20"/>
      <c r="K36" s="20"/>
      <c r="L36" s="20"/>
      <c r="M36" s="20"/>
      <c r="N36" s="18"/>
      <c r="O36" s="1"/>
      <c r="P36" s="1"/>
    </row>
    <row r="37">
      <c r="A37" s="15"/>
      <c r="B37" s="20"/>
      <c r="C37" s="20"/>
      <c r="D37" s="20"/>
      <c r="E37" s="20"/>
      <c r="F37" s="20"/>
      <c r="G37" s="20"/>
      <c r="H37" s="20"/>
      <c r="I37" s="20"/>
      <c r="J37" s="20"/>
      <c r="K37" s="20"/>
      <c r="L37" s="20"/>
      <c r="M37" s="20"/>
      <c r="N37" s="17"/>
      <c r="O37" s="1"/>
      <c r="P37" s="1"/>
    </row>
    <row r="38">
      <c r="A38" s="15"/>
      <c r="B38" s="20"/>
      <c r="C38" s="20"/>
      <c r="D38" s="20"/>
      <c r="E38" s="20"/>
      <c r="F38" s="20"/>
      <c r="G38" s="20"/>
      <c r="H38" s="20"/>
      <c r="I38" s="20"/>
      <c r="J38" s="20"/>
      <c r="K38" s="20"/>
      <c r="L38" s="20"/>
      <c r="M38" s="20"/>
      <c r="N38" s="18"/>
      <c r="O38" s="1"/>
      <c r="P38" s="1"/>
    </row>
    <row r="39">
      <c r="A39" s="15"/>
      <c r="B39" s="20"/>
      <c r="C39" s="20"/>
      <c r="D39" s="20"/>
      <c r="E39" s="20"/>
      <c r="F39" s="20"/>
      <c r="G39" s="20"/>
      <c r="H39" s="20"/>
      <c r="I39" s="20"/>
      <c r="J39" s="20"/>
      <c r="K39" s="20"/>
      <c r="L39" s="20"/>
      <c r="M39" s="20"/>
      <c r="N39" s="17"/>
      <c r="O39" s="1"/>
      <c r="P39" s="1"/>
    </row>
    <row r="40">
      <c r="A40" s="15"/>
      <c r="B40" s="20"/>
      <c r="C40" s="20"/>
      <c r="D40" s="20"/>
      <c r="E40" s="20"/>
      <c r="F40" s="20"/>
      <c r="G40" s="20"/>
      <c r="H40" s="20"/>
      <c r="I40" s="20"/>
      <c r="J40" s="20"/>
      <c r="K40" s="20"/>
      <c r="L40" s="20"/>
      <c r="M40" s="20"/>
      <c r="N40" s="18"/>
      <c r="O40" s="1"/>
      <c r="P40" s="1"/>
    </row>
    <row r="41">
      <c r="A41" s="15"/>
      <c r="B41" s="20"/>
      <c r="C41" s="20"/>
      <c r="D41" s="20"/>
      <c r="E41" s="20"/>
      <c r="F41" s="20"/>
      <c r="G41" s="20"/>
      <c r="H41" s="20"/>
      <c r="I41" s="20"/>
      <c r="J41" s="20"/>
      <c r="K41" s="20"/>
      <c r="L41" s="20"/>
      <c r="M41" s="20"/>
      <c r="N41" s="17"/>
      <c r="O41" s="1"/>
      <c r="P41" s="1"/>
    </row>
    <row r="42">
      <c r="A42" s="15"/>
      <c r="B42" s="20"/>
      <c r="C42" s="20"/>
      <c r="D42" s="20"/>
      <c r="E42" s="20"/>
      <c r="F42" s="20"/>
      <c r="G42" s="20"/>
      <c r="H42" s="20"/>
      <c r="I42" s="20"/>
      <c r="J42" s="20"/>
      <c r="K42" s="20"/>
      <c r="L42" s="20"/>
      <c r="M42" s="20"/>
      <c r="N42" s="18"/>
      <c r="O42" s="1"/>
      <c r="P42" s="1"/>
    </row>
    <row r="43">
      <c r="A43" s="15"/>
      <c r="B43" s="20"/>
      <c r="C43" s="20"/>
      <c r="D43" s="20"/>
      <c r="E43" s="20"/>
      <c r="F43" s="20"/>
      <c r="G43" s="20"/>
      <c r="H43" s="20"/>
      <c r="I43" s="20"/>
      <c r="J43" s="20"/>
      <c r="K43" s="20"/>
      <c r="L43" s="20"/>
      <c r="M43" s="20"/>
      <c r="N43" s="17"/>
      <c r="O43" s="1"/>
      <c r="P43" s="1"/>
    </row>
    <row r="44">
      <c r="A44" s="15"/>
      <c r="B44" s="20"/>
      <c r="C44" s="20"/>
      <c r="D44" s="20"/>
      <c r="E44" s="20"/>
      <c r="F44" s="20"/>
      <c r="G44" s="20"/>
      <c r="H44" s="20"/>
      <c r="I44" s="20"/>
      <c r="J44" s="20"/>
      <c r="K44" s="20"/>
      <c r="L44" s="20"/>
      <c r="M44" s="20"/>
      <c r="N44" s="18"/>
      <c r="O44" s="1"/>
      <c r="P44" s="1"/>
    </row>
    <row r="45">
      <c r="A45" s="15"/>
      <c r="B45" s="20"/>
      <c r="C45" s="20"/>
      <c r="D45" s="20"/>
      <c r="E45" s="20"/>
      <c r="F45" s="20"/>
      <c r="G45" s="20"/>
      <c r="H45" s="20"/>
      <c r="I45" s="20"/>
      <c r="J45" s="20"/>
      <c r="K45" s="20"/>
      <c r="L45" s="20"/>
      <c r="M45" s="20"/>
      <c r="N45" s="17"/>
      <c r="O45" s="1"/>
      <c r="P45" s="1"/>
    </row>
    <row r="46">
      <c r="A46" s="15"/>
      <c r="B46" s="20"/>
      <c r="C46" s="20"/>
      <c r="D46" s="20"/>
      <c r="E46" s="20"/>
      <c r="F46" s="20"/>
      <c r="G46" s="20"/>
      <c r="H46" s="20"/>
      <c r="I46" s="20"/>
      <c r="J46" s="20"/>
      <c r="K46" s="20"/>
      <c r="L46" s="20"/>
      <c r="M46" s="20"/>
      <c r="N46" s="18"/>
      <c r="O46" s="1"/>
      <c r="P46" s="1"/>
    </row>
    <row r="47">
      <c r="A47" s="15"/>
      <c r="B47" s="20"/>
      <c r="C47" s="20"/>
      <c r="D47" s="20"/>
      <c r="E47" s="20"/>
      <c r="F47" s="20"/>
      <c r="G47" s="20"/>
      <c r="H47" s="20"/>
      <c r="I47" s="20"/>
      <c r="J47" s="20"/>
      <c r="K47" s="20"/>
      <c r="L47" s="20"/>
      <c r="M47" s="20"/>
      <c r="N47" s="17"/>
      <c r="O47" s="1"/>
      <c r="P47" s="1"/>
    </row>
    <row r="48">
      <c r="A48" s="15"/>
      <c r="B48" s="20"/>
      <c r="C48" s="20"/>
      <c r="D48" s="20"/>
      <c r="E48" s="20"/>
      <c r="F48" s="20"/>
      <c r="G48" s="20"/>
      <c r="H48" s="20"/>
      <c r="I48" s="20"/>
      <c r="J48" s="20"/>
      <c r="K48" s="20"/>
      <c r="L48" s="20"/>
      <c r="M48" s="20"/>
      <c r="N48" s="18"/>
      <c r="O48" s="1"/>
      <c r="P48" s="1"/>
    </row>
    <row r="49">
      <c r="A49" s="15"/>
      <c r="B49" s="20"/>
      <c r="C49" s="20"/>
      <c r="D49" s="20"/>
      <c r="E49" s="20"/>
      <c r="F49" s="20"/>
      <c r="G49" s="20"/>
      <c r="H49" s="20"/>
      <c r="I49" s="20"/>
      <c r="J49" s="20"/>
      <c r="K49" s="20"/>
      <c r="L49" s="20"/>
      <c r="M49" s="20"/>
      <c r="N49" s="17"/>
      <c r="O49" s="1"/>
      <c r="P49" s="1"/>
    </row>
    <row r="50">
      <c r="A50" s="15"/>
      <c r="B50" s="20"/>
      <c r="C50" s="20"/>
      <c r="D50" s="20"/>
      <c r="E50" s="20"/>
      <c r="F50" s="20"/>
      <c r="G50" s="20"/>
      <c r="H50" s="20"/>
      <c r="I50" s="20"/>
      <c r="J50" s="20"/>
      <c r="K50" s="20"/>
      <c r="L50" s="20"/>
      <c r="M50" s="20"/>
      <c r="N50" s="18"/>
      <c r="O50" s="1"/>
      <c r="P50" s="1"/>
    </row>
    <row r="51">
      <c r="A51" s="15"/>
      <c r="B51" s="20"/>
      <c r="C51" s="20"/>
      <c r="D51" s="20"/>
      <c r="E51" s="20"/>
      <c r="F51" s="20"/>
      <c r="G51" s="20"/>
      <c r="H51" s="20"/>
      <c r="I51" s="20"/>
      <c r="J51" s="20"/>
      <c r="K51" s="20"/>
      <c r="L51" s="20"/>
      <c r="M51" s="20"/>
      <c r="N51" s="17"/>
      <c r="O51" s="1"/>
      <c r="P51" s="1"/>
    </row>
    <row r="52">
      <c r="A52" s="15"/>
      <c r="B52" s="20"/>
      <c r="C52" s="20"/>
      <c r="D52" s="20"/>
      <c r="E52" s="20"/>
      <c r="F52" s="20"/>
      <c r="G52" s="20"/>
      <c r="H52" s="20"/>
      <c r="I52" s="20"/>
      <c r="J52" s="20"/>
      <c r="K52" s="20"/>
      <c r="L52" s="20"/>
      <c r="M52" s="20"/>
      <c r="N52" s="18"/>
      <c r="O52" s="1"/>
      <c r="P52" s="1"/>
    </row>
    <row r="53">
      <c r="A53" s="15"/>
      <c r="B53" s="20"/>
      <c r="C53" s="20"/>
      <c r="D53" s="20"/>
      <c r="E53" s="20"/>
      <c r="F53" s="20"/>
      <c r="G53" s="20"/>
      <c r="H53" s="20"/>
      <c r="I53" s="20"/>
      <c r="J53" s="20"/>
      <c r="K53" s="20"/>
      <c r="L53" s="20"/>
      <c r="M53" s="20"/>
      <c r="N53" s="17"/>
      <c r="O53" s="1"/>
      <c r="P53" s="1"/>
    </row>
    <row r="54">
      <c r="A54" s="15"/>
      <c r="B54" s="20"/>
      <c r="C54" s="20"/>
      <c r="D54" s="20"/>
      <c r="E54" s="20"/>
      <c r="F54" s="20"/>
      <c r="G54" s="20"/>
      <c r="H54" s="20"/>
      <c r="I54" s="20"/>
      <c r="J54" s="20"/>
      <c r="K54" s="20"/>
      <c r="L54" s="20"/>
      <c r="M54" s="20"/>
      <c r="N54" s="18"/>
      <c r="O54" s="1"/>
      <c r="P54" s="1"/>
    </row>
    <row r="55">
      <c r="A55" s="15"/>
      <c r="B55" s="20"/>
      <c r="C55" s="20"/>
      <c r="D55" s="20"/>
      <c r="E55" s="20"/>
      <c r="F55" s="20"/>
      <c r="G55" s="20"/>
      <c r="H55" s="20"/>
      <c r="I55" s="20"/>
      <c r="J55" s="20"/>
      <c r="K55" s="20"/>
      <c r="L55" s="20"/>
      <c r="M55" s="20"/>
      <c r="N55" s="17"/>
      <c r="O55" s="1"/>
      <c r="P55" s="1"/>
    </row>
    <row r="56">
      <c r="A56" s="15"/>
      <c r="B56" s="20"/>
      <c r="C56" s="20"/>
      <c r="D56" s="20"/>
      <c r="E56" s="20"/>
      <c r="F56" s="20"/>
      <c r="G56" s="20"/>
      <c r="H56" s="20"/>
      <c r="I56" s="20"/>
      <c r="J56" s="20"/>
      <c r="K56" s="20"/>
      <c r="L56" s="20"/>
      <c r="M56" s="20"/>
      <c r="N56" s="18"/>
      <c r="O56" s="1"/>
      <c r="P56" s="1"/>
    </row>
    <row r="57">
      <c r="A57" s="15"/>
      <c r="B57" s="20"/>
      <c r="C57" s="20"/>
      <c r="D57" s="20"/>
      <c r="E57" s="20"/>
      <c r="F57" s="20"/>
      <c r="G57" s="20"/>
      <c r="H57" s="20"/>
      <c r="I57" s="20"/>
      <c r="J57" s="20"/>
      <c r="K57" s="20"/>
      <c r="L57" s="20"/>
      <c r="M57" s="20"/>
      <c r="N57" s="17"/>
      <c r="O57" s="1"/>
      <c r="P57" s="1"/>
    </row>
    <row r="58">
      <c r="A58" s="15"/>
      <c r="B58" s="20"/>
      <c r="C58" s="20"/>
      <c r="D58" s="20"/>
      <c r="E58" s="20"/>
      <c r="F58" s="20"/>
      <c r="G58" s="20"/>
      <c r="H58" s="20"/>
      <c r="I58" s="20"/>
      <c r="J58" s="20"/>
      <c r="K58" s="20"/>
      <c r="L58" s="20"/>
      <c r="M58" s="20"/>
      <c r="N58" s="18"/>
      <c r="O58" s="1"/>
      <c r="P58" s="1"/>
    </row>
    <row r="59">
      <c r="A59" s="15"/>
      <c r="B59" s="20"/>
      <c r="C59" s="20"/>
      <c r="D59" s="20"/>
      <c r="E59" s="20"/>
      <c r="F59" s="20"/>
      <c r="G59" s="20"/>
      <c r="H59" s="20"/>
      <c r="I59" s="20"/>
      <c r="J59" s="20"/>
      <c r="K59" s="20"/>
      <c r="L59" s="20"/>
      <c r="M59" s="20"/>
      <c r="N59" s="17"/>
      <c r="O59" s="1"/>
      <c r="P59" s="1"/>
    </row>
    <row r="60">
      <c r="A60" s="15"/>
      <c r="B60" s="20"/>
      <c r="C60" s="20"/>
      <c r="D60" s="20"/>
      <c r="E60" s="20"/>
      <c r="F60" s="20"/>
      <c r="G60" s="20"/>
      <c r="H60" s="20"/>
      <c r="I60" s="20"/>
      <c r="J60" s="20"/>
      <c r="K60" s="20"/>
      <c r="L60" s="20"/>
      <c r="M60" s="20"/>
      <c r="N60" s="18"/>
      <c r="O60" s="1"/>
      <c r="P60" s="1"/>
    </row>
    <row r="61">
      <c r="A61" s="15"/>
      <c r="B61" s="20"/>
      <c r="C61" s="20"/>
      <c r="D61" s="20"/>
      <c r="E61" s="20"/>
      <c r="F61" s="20"/>
      <c r="G61" s="20"/>
      <c r="H61" s="20"/>
      <c r="I61" s="20"/>
      <c r="J61" s="20"/>
      <c r="K61" s="20"/>
      <c r="L61" s="20"/>
      <c r="M61" s="20"/>
      <c r="N61" s="17"/>
      <c r="O61" s="1"/>
      <c r="P61" s="1"/>
    </row>
    <row r="62">
      <c r="A62" s="15"/>
      <c r="B62" s="20"/>
      <c r="C62" s="20"/>
      <c r="D62" s="20"/>
      <c r="E62" s="20"/>
      <c r="F62" s="20"/>
      <c r="G62" s="20"/>
      <c r="H62" s="20"/>
      <c r="I62" s="20"/>
      <c r="J62" s="20"/>
      <c r="K62" s="20"/>
      <c r="L62" s="20"/>
      <c r="M62" s="20"/>
      <c r="N62" s="18"/>
      <c r="O62" s="1"/>
      <c r="P62" s="1"/>
    </row>
    <row r="63">
      <c r="A63" s="15"/>
      <c r="B63" s="20"/>
      <c r="C63" s="20"/>
      <c r="D63" s="20"/>
      <c r="E63" s="20"/>
      <c r="F63" s="20"/>
      <c r="G63" s="20"/>
      <c r="H63" s="20"/>
      <c r="I63" s="20"/>
      <c r="J63" s="20"/>
      <c r="K63" s="20"/>
      <c r="L63" s="20"/>
      <c r="M63" s="20"/>
      <c r="N63" s="17"/>
      <c r="O63" s="1"/>
      <c r="P63" s="1"/>
    </row>
    <row r="64">
      <c r="A64" s="15"/>
      <c r="B64" s="20"/>
      <c r="C64" s="20"/>
      <c r="D64" s="20"/>
      <c r="E64" s="20"/>
      <c r="F64" s="20"/>
      <c r="G64" s="20"/>
      <c r="H64" s="20"/>
      <c r="I64" s="20"/>
      <c r="J64" s="20"/>
      <c r="K64" s="20"/>
      <c r="L64" s="20"/>
      <c r="M64" s="20"/>
      <c r="N64" s="18"/>
      <c r="O64" s="1"/>
      <c r="P64" s="1"/>
    </row>
    <row r="65">
      <c r="A65" s="15"/>
      <c r="B65" s="17"/>
      <c r="C65" s="17"/>
      <c r="D65" s="17"/>
      <c r="E65" s="17"/>
      <c r="F65" s="17"/>
      <c r="G65" s="17"/>
      <c r="H65" s="17"/>
      <c r="I65" s="17"/>
      <c r="J65" s="17"/>
      <c r="K65" s="17"/>
      <c r="L65" s="17"/>
      <c r="M65" s="17"/>
      <c r="N65" s="17"/>
      <c r="O65" s="1"/>
      <c r="P65" s="1"/>
    </row>
    <row r="66">
      <c r="A66" s="15"/>
      <c r="B66" s="17"/>
      <c r="C66" s="17"/>
      <c r="D66" s="17"/>
      <c r="E66" s="17"/>
      <c r="F66" s="17"/>
      <c r="G66" s="17"/>
      <c r="H66" s="17"/>
      <c r="I66" s="17"/>
      <c r="J66" s="17"/>
      <c r="K66" s="17"/>
      <c r="L66" s="17"/>
      <c r="M66" s="17"/>
      <c r="N66" s="18"/>
      <c r="O66" s="1"/>
      <c r="P66" s="1"/>
    </row>
    <row r="67">
      <c r="A67" s="15"/>
      <c r="B67" s="17"/>
      <c r="C67" s="17"/>
      <c r="D67" s="17"/>
      <c r="E67" s="17"/>
      <c r="F67" s="17"/>
      <c r="G67" s="17"/>
      <c r="H67" s="17"/>
      <c r="I67" s="17"/>
      <c r="J67" s="17"/>
      <c r="K67" s="17"/>
      <c r="L67" s="17"/>
      <c r="M67" s="17"/>
      <c r="N67" s="17"/>
      <c r="O67" s="1"/>
      <c r="P67" s="1"/>
    </row>
    <row r="68">
      <c r="A68" s="15"/>
      <c r="B68" s="17"/>
      <c r="C68" s="17"/>
      <c r="D68" s="17"/>
      <c r="E68" s="17"/>
      <c r="F68" s="17"/>
      <c r="G68" s="17"/>
      <c r="H68" s="17"/>
      <c r="I68" s="17"/>
      <c r="J68" s="17"/>
      <c r="K68" s="17"/>
      <c r="L68" s="17"/>
      <c r="M68" s="17"/>
      <c r="N68" s="18"/>
      <c r="O68" s="1"/>
      <c r="P68" s="1"/>
    </row>
    <row r="69">
      <c r="A69" s="15"/>
      <c r="B69" s="17"/>
      <c r="C69" s="17"/>
      <c r="D69" s="17"/>
      <c r="E69" s="17"/>
      <c r="F69" s="17"/>
      <c r="G69" s="17"/>
      <c r="H69" s="17"/>
      <c r="I69" s="17"/>
      <c r="J69" s="17"/>
      <c r="K69" s="17"/>
      <c r="L69" s="17"/>
      <c r="M69" s="17"/>
      <c r="N69" s="17"/>
      <c r="O69" s="1"/>
      <c r="P69" s="1"/>
    </row>
    <row r="70">
      <c r="A70" s="15"/>
      <c r="B70" s="17"/>
      <c r="C70" s="17"/>
      <c r="D70" s="17"/>
      <c r="E70" s="17"/>
      <c r="F70" s="17"/>
      <c r="G70" s="17"/>
      <c r="H70" s="17"/>
      <c r="I70" s="17"/>
      <c r="J70" s="17"/>
      <c r="K70" s="17"/>
      <c r="L70" s="17"/>
      <c r="M70" s="17"/>
      <c r="N70" s="18"/>
      <c r="O70" s="1"/>
      <c r="P70" s="1"/>
    </row>
    <row r="71">
      <c r="A71" s="15"/>
      <c r="B71" s="17"/>
      <c r="C71" s="17"/>
      <c r="D71" s="17"/>
      <c r="E71" s="17"/>
      <c r="F71" s="17"/>
      <c r="G71" s="17"/>
      <c r="H71" s="17"/>
      <c r="I71" s="17"/>
      <c r="J71" s="17"/>
      <c r="K71" s="17"/>
      <c r="L71" s="17"/>
      <c r="M71" s="17"/>
      <c r="N71" s="17"/>
      <c r="O71" s="1"/>
      <c r="P71" s="1"/>
    </row>
    <row r="72">
      <c r="A72" s="15"/>
      <c r="B72" s="17"/>
      <c r="C72" s="17"/>
      <c r="D72" s="17"/>
      <c r="E72" s="17"/>
      <c r="F72" s="17"/>
      <c r="G72" s="17"/>
      <c r="H72" s="17"/>
      <c r="I72" s="17"/>
      <c r="J72" s="17"/>
      <c r="K72" s="17"/>
      <c r="L72" s="17"/>
      <c r="M72" s="17"/>
      <c r="N72" s="18"/>
      <c r="O72" s="1"/>
      <c r="P72" s="1"/>
    </row>
    <row r="73">
      <c r="A73" s="15"/>
      <c r="B73" s="17"/>
      <c r="C73" s="17"/>
      <c r="D73" s="17"/>
      <c r="E73" s="17"/>
      <c r="F73" s="17"/>
      <c r="G73" s="17"/>
      <c r="H73" s="17"/>
      <c r="I73" s="17"/>
      <c r="J73" s="17"/>
      <c r="K73" s="17"/>
      <c r="L73" s="17"/>
      <c r="M73" s="17"/>
      <c r="N73" s="17"/>
      <c r="O73" s="1"/>
      <c r="P73" s="1"/>
    </row>
    <row r="74">
      <c r="A74" s="15"/>
      <c r="B74" s="17"/>
      <c r="C74" s="17"/>
      <c r="D74" s="17"/>
      <c r="E74" s="17"/>
      <c r="F74" s="17"/>
      <c r="G74" s="17"/>
      <c r="H74" s="17"/>
      <c r="I74" s="17"/>
      <c r="J74" s="17"/>
      <c r="K74" s="17"/>
      <c r="L74" s="17"/>
      <c r="M74" s="17"/>
      <c r="N74" s="18"/>
      <c r="O74" s="1"/>
      <c r="P74" s="1"/>
    </row>
    <row r="75">
      <c r="A75" s="15"/>
      <c r="B75" s="17"/>
      <c r="C75" s="17"/>
      <c r="D75" s="17"/>
      <c r="E75" s="17"/>
      <c r="F75" s="17"/>
      <c r="G75" s="17"/>
      <c r="H75" s="17"/>
      <c r="I75" s="17"/>
      <c r="J75" s="17"/>
      <c r="K75" s="17"/>
      <c r="L75" s="17"/>
      <c r="M75" s="17"/>
      <c r="N75" s="17"/>
      <c r="O75" s="1"/>
      <c r="P75" s="1"/>
    </row>
    <row r="76">
      <c r="A76" s="15"/>
      <c r="B76" s="17"/>
      <c r="C76" s="17"/>
      <c r="D76" s="17"/>
      <c r="E76" s="17"/>
      <c r="F76" s="17"/>
      <c r="G76" s="17"/>
      <c r="H76" s="17"/>
      <c r="I76" s="17"/>
      <c r="J76" s="17"/>
      <c r="K76" s="17"/>
      <c r="L76" s="17"/>
      <c r="M76" s="17"/>
      <c r="N76" s="18"/>
      <c r="O76" s="1"/>
      <c r="P76" s="1"/>
    </row>
    <row r="77">
      <c r="A77" s="15"/>
      <c r="B77" s="17"/>
      <c r="C77" s="17"/>
      <c r="D77" s="17"/>
      <c r="E77" s="17"/>
      <c r="F77" s="17"/>
      <c r="G77" s="17"/>
      <c r="H77" s="17"/>
      <c r="I77" s="17"/>
      <c r="J77" s="17"/>
      <c r="K77" s="17"/>
      <c r="L77" s="17"/>
      <c r="M77" s="17"/>
      <c r="N77" s="17"/>
      <c r="O77" s="1"/>
      <c r="P77" s="1"/>
    </row>
    <row r="78">
      <c r="A78" s="15"/>
      <c r="B78" s="17"/>
      <c r="C78" s="17"/>
      <c r="D78" s="17"/>
      <c r="E78" s="17"/>
      <c r="F78" s="17"/>
      <c r="G78" s="17"/>
      <c r="H78" s="17"/>
      <c r="I78" s="17"/>
      <c r="J78" s="17"/>
      <c r="K78" s="17"/>
      <c r="L78" s="17"/>
      <c r="M78" s="17"/>
      <c r="N78" s="18"/>
      <c r="O78" s="1"/>
      <c r="P78" s="1"/>
    </row>
    <row r="79">
      <c r="A79" s="20"/>
      <c r="B79" s="17"/>
      <c r="C79" s="17"/>
      <c r="D79" s="17"/>
      <c r="E79" s="17"/>
      <c r="F79" s="17"/>
      <c r="G79" s="17"/>
      <c r="H79" s="17"/>
      <c r="I79" s="17"/>
      <c r="J79" s="17"/>
      <c r="K79" s="17"/>
      <c r="L79" s="17"/>
      <c r="M79" s="17"/>
      <c r="N79" s="17"/>
      <c r="O79" s="1"/>
      <c r="P79" s="1"/>
    </row>
    <row r="80">
      <c r="A80" s="17"/>
      <c r="B80" s="17"/>
      <c r="C80" s="17"/>
      <c r="D80" s="17"/>
      <c r="E80" s="17"/>
      <c r="F80" s="17"/>
      <c r="G80" s="17"/>
      <c r="H80" s="17"/>
      <c r="I80" s="17"/>
      <c r="J80" s="17"/>
      <c r="K80" s="17"/>
      <c r="L80" s="17"/>
      <c r="M80" s="17"/>
      <c r="N80" s="18"/>
      <c r="O80" s="1"/>
      <c r="P80" s="1"/>
    </row>
    <row r="81">
      <c r="A81" s="17"/>
      <c r="B81" s="17"/>
      <c r="C81" s="17"/>
      <c r="D81" s="17"/>
      <c r="E81" s="17"/>
      <c r="F81" s="17"/>
      <c r="G81" s="17"/>
      <c r="H81" s="17"/>
      <c r="I81" s="17"/>
      <c r="J81" s="17"/>
      <c r="K81" s="17"/>
      <c r="L81" s="17"/>
      <c r="M81" s="17"/>
      <c r="N81" s="17"/>
      <c r="O81" s="1"/>
      <c r="P81" s="1"/>
    </row>
    <row r="82">
      <c r="A82" s="17"/>
      <c r="B82" s="17"/>
      <c r="C82" s="17"/>
      <c r="D82" s="17"/>
      <c r="E82" s="17"/>
      <c r="F82" s="17"/>
      <c r="G82" s="17"/>
      <c r="H82" s="17"/>
      <c r="I82" s="17"/>
      <c r="J82" s="17"/>
      <c r="K82" s="17"/>
      <c r="L82" s="17"/>
      <c r="M82" s="17"/>
      <c r="N82" s="18"/>
      <c r="O82" s="1"/>
      <c r="P82" s="1"/>
    </row>
    <row r="83">
      <c r="A83" s="17"/>
      <c r="B83" s="17"/>
      <c r="C83" s="17"/>
      <c r="D83" s="17"/>
      <c r="E83" s="17"/>
      <c r="F83" s="17"/>
      <c r="G83" s="17"/>
      <c r="H83" s="17"/>
      <c r="I83" s="17"/>
      <c r="J83" s="17"/>
      <c r="K83" s="17"/>
      <c r="L83" s="17"/>
      <c r="M83" s="17"/>
      <c r="N83" s="17"/>
      <c r="O83" s="1"/>
      <c r="P83" s="1"/>
    </row>
    <row r="84">
      <c r="A84" s="17"/>
      <c r="B84" s="17"/>
      <c r="C84" s="17"/>
      <c r="D84" s="17"/>
      <c r="E84" s="17"/>
      <c r="F84" s="17"/>
      <c r="G84" s="17"/>
      <c r="H84" s="17"/>
      <c r="I84" s="17"/>
      <c r="J84" s="17"/>
      <c r="K84" s="17"/>
      <c r="L84" s="17"/>
      <c r="M84" s="17"/>
      <c r="N84" s="18"/>
      <c r="O84" s="1"/>
      <c r="P84" s="1"/>
    </row>
    <row r="85">
      <c r="A85" s="17"/>
      <c r="B85" s="17"/>
      <c r="C85" s="17"/>
      <c r="D85" s="17"/>
      <c r="E85" s="17"/>
      <c r="F85" s="17"/>
      <c r="G85" s="17"/>
      <c r="H85" s="17"/>
      <c r="I85" s="17"/>
      <c r="J85" s="17"/>
      <c r="K85" s="17"/>
      <c r="L85" s="17"/>
      <c r="M85" s="17"/>
      <c r="N85" s="17"/>
      <c r="O85" s="1"/>
      <c r="P85" s="1"/>
    </row>
    <row r="86">
      <c r="A86" s="17"/>
      <c r="B86" s="17"/>
      <c r="C86" s="17"/>
      <c r="D86" s="17"/>
      <c r="E86" s="17"/>
      <c r="F86" s="17"/>
      <c r="G86" s="17"/>
      <c r="H86" s="17"/>
      <c r="I86" s="17"/>
      <c r="J86" s="17"/>
      <c r="K86" s="17"/>
      <c r="L86" s="17"/>
      <c r="M86" s="17"/>
      <c r="N86" s="18"/>
      <c r="O86" s="1"/>
      <c r="P86" s="1"/>
    </row>
    <row r="87">
      <c r="A87" s="17"/>
      <c r="B87" s="17"/>
      <c r="C87" s="17"/>
      <c r="D87" s="17"/>
      <c r="E87" s="17"/>
      <c r="F87" s="17"/>
      <c r="G87" s="17"/>
      <c r="H87" s="17"/>
      <c r="I87" s="17"/>
      <c r="J87" s="17"/>
      <c r="K87" s="17"/>
      <c r="L87" s="17"/>
      <c r="M87" s="17"/>
      <c r="N87" s="17"/>
      <c r="O87" s="1"/>
      <c r="P87" s="1"/>
    </row>
    <row r="88">
      <c r="A88" s="17"/>
      <c r="B88" s="17"/>
      <c r="C88" s="17"/>
      <c r="D88" s="17"/>
      <c r="E88" s="17"/>
      <c r="F88" s="17"/>
      <c r="G88" s="17"/>
      <c r="H88" s="17"/>
      <c r="I88" s="17"/>
      <c r="J88" s="17"/>
      <c r="K88" s="17"/>
      <c r="L88" s="17"/>
      <c r="M88" s="17"/>
      <c r="N88" s="18"/>
      <c r="O88" s="1"/>
      <c r="P88" s="1"/>
    </row>
    <row r="89">
      <c r="A89" s="17"/>
      <c r="B89" s="17"/>
      <c r="C89" s="17"/>
      <c r="D89" s="17"/>
      <c r="E89" s="17"/>
      <c r="F89" s="17"/>
      <c r="G89" s="17"/>
      <c r="H89" s="17"/>
      <c r="I89" s="17"/>
      <c r="J89" s="17"/>
      <c r="K89" s="17"/>
      <c r="L89" s="17"/>
      <c r="M89" s="17"/>
      <c r="N89" s="17"/>
      <c r="O89" s="1"/>
      <c r="P89" s="1"/>
    </row>
    <row r="90">
      <c r="A90" s="17"/>
      <c r="B90" s="17"/>
      <c r="C90" s="17"/>
      <c r="D90" s="17"/>
      <c r="E90" s="17"/>
      <c r="F90" s="17"/>
      <c r="G90" s="17"/>
      <c r="H90" s="17"/>
      <c r="I90" s="17"/>
      <c r="J90" s="17"/>
      <c r="K90" s="17"/>
      <c r="L90" s="17"/>
      <c r="M90" s="17"/>
      <c r="N90" s="18"/>
      <c r="O90" s="1"/>
      <c r="P90" s="1"/>
    </row>
    <row r="91">
      <c r="A91" s="17"/>
      <c r="B91" s="17"/>
      <c r="C91" s="17"/>
      <c r="D91" s="17"/>
      <c r="E91" s="17"/>
      <c r="F91" s="17"/>
      <c r="G91" s="17"/>
      <c r="H91" s="17"/>
      <c r="I91" s="17"/>
      <c r="J91" s="17"/>
      <c r="K91" s="17"/>
      <c r="L91" s="17"/>
      <c r="M91" s="17"/>
      <c r="N91" s="17"/>
      <c r="O91" s="1"/>
      <c r="P91" s="1"/>
    </row>
    <row r="92">
      <c r="A92" s="17"/>
      <c r="B92" s="17"/>
      <c r="C92" s="17"/>
      <c r="D92" s="17"/>
      <c r="E92" s="17"/>
      <c r="F92" s="17"/>
      <c r="G92" s="17"/>
      <c r="H92" s="17"/>
      <c r="I92" s="17"/>
      <c r="J92" s="17"/>
      <c r="K92" s="17"/>
      <c r="L92" s="17"/>
      <c r="M92" s="17"/>
      <c r="N92" s="18"/>
      <c r="O92" s="1"/>
      <c r="P92" s="1"/>
    </row>
    <row r="93">
      <c r="A93" s="17"/>
      <c r="B93" s="17"/>
      <c r="C93" s="17"/>
      <c r="D93" s="17"/>
      <c r="E93" s="17"/>
      <c r="F93" s="17"/>
      <c r="G93" s="17"/>
      <c r="H93" s="17"/>
      <c r="I93" s="17"/>
      <c r="J93" s="17"/>
      <c r="K93" s="17"/>
      <c r="L93" s="17"/>
      <c r="M93" s="17"/>
      <c r="N93" s="17"/>
      <c r="O93" s="1"/>
      <c r="P93" s="1"/>
    </row>
    <row r="94">
      <c r="A94" s="17"/>
      <c r="B94" s="17"/>
      <c r="C94" s="17"/>
      <c r="D94" s="17"/>
      <c r="E94" s="17"/>
      <c r="F94" s="17"/>
      <c r="G94" s="17"/>
      <c r="H94" s="17"/>
      <c r="I94" s="17"/>
      <c r="J94" s="17"/>
      <c r="K94" s="17"/>
      <c r="L94" s="17"/>
      <c r="M94" s="17"/>
      <c r="N94" s="18"/>
      <c r="O94" s="1"/>
      <c r="P94" s="1"/>
    </row>
    <row r="95">
      <c r="A95" s="21"/>
      <c r="B95" s="15"/>
      <c r="C95" s="15"/>
      <c r="D95" s="15"/>
      <c r="E95" s="15"/>
      <c r="F95" s="15"/>
      <c r="G95" s="15"/>
      <c r="H95" s="15"/>
      <c r="I95" s="15"/>
      <c r="J95" s="15"/>
      <c r="K95" s="15"/>
      <c r="L95" s="22"/>
      <c r="M95" s="15"/>
      <c r="N95" s="15"/>
      <c r="O95" s="1"/>
      <c r="P95" s="1"/>
    </row>
    <row r="96">
      <c r="A96" s="15"/>
      <c r="B96" s="23"/>
      <c r="C96" s="23"/>
      <c r="D96" s="23"/>
      <c r="E96" s="23"/>
      <c r="F96" s="23"/>
      <c r="G96" s="23"/>
      <c r="H96" s="23"/>
      <c r="I96" s="23"/>
      <c r="J96" s="23"/>
      <c r="K96" s="23"/>
      <c r="L96" s="24"/>
      <c r="M96" s="23"/>
      <c r="N96" s="25"/>
      <c r="O96" s="1"/>
      <c r="P96" s="1"/>
    </row>
    <row r="97">
      <c r="A97" s="26"/>
      <c r="B97" s="27"/>
      <c r="C97" s="27"/>
      <c r="D97" s="27"/>
      <c r="E97" s="27"/>
      <c r="F97" s="27"/>
      <c r="G97" s="27"/>
      <c r="H97" s="27"/>
      <c r="I97" s="27"/>
      <c r="J97" s="27"/>
      <c r="K97" s="27"/>
      <c r="L97" s="28"/>
      <c r="M97" s="27"/>
      <c r="N97" s="27"/>
      <c r="O97" s="1"/>
      <c r="P97" s="1"/>
    </row>
    <row r="98">
      <c r="A98" s="29"/>
      <c r="B98" s="26"/>
      <c r="C98" s="26"/>
      <c r="D98" s="26"/>
      <c r="E98" s="26"/>
      <c r="F98" s="26"/>
      <c r="G98" s="26"/>
      <c r="H98" s="26"/>
      <c r="I98" s="26"/>
      <c r="J98" s="26"/>
      <c r="K98" s="26"/>
      <c r="L98" s="30"/>
      <c r="M98" s="26"/>
      <c r="N98" s="31"/>
      <c r="O98" s="1"/>
      <c r="P98" s="1"/>
    </row>
    <row r="99">
      <c r="A99" s="27"/>
      <c r="B99" s="27"/>
      <c r="C99" s="27"/>
      <c r="D99" s="27"/>
      <c r="E99" s="27"/>
      <c r="F99" s="27"/>
      <c r="G99" s="27"/>
      <c r="H99" s="27"/>
      <c r="I99" s="27"/>
      <c r="J99" s="27"/>
      <c r="K99" s="27"/>
      <c r="L99" s="28"/>
      <c r="M99" s="27"/>
      <c r="N99" s="27"/>
      <c r="O99" s="1"/>
      <c r="P99" s="1"/>
    </row>
    <row r="100">
      <c r="A100" s="1"/>
      <c r="B100" s="1"/>
      <c r="C100" s="1"/>
      <c r="D100" s="1"/>
      <c r="E100" s="1"/>
      <c r="F100" s="1"/>
      <c r="G100" s="1"/>
      <c r="H100" s="1"/>
      <c r="I100" s="1"/>
      <c r="J100" s="1"/>
      <c r="K100" s="1"/>
      <c r="L100" s="1"/>
      <c r="M100" s="1"/>
      <c r="N100" s="1"/>
      <c r="O100" s="1"/>
      <c r="P100" s="1"/>
    </row>
    <row r="101">
      <c r="A101" s="1"/>
      <c r="B101" s="1"/>
      <c r="C101" s="1"/>
      <c r="D101" s="1"/>
      <c r="E101" s="1"/>
      <c r="F101" s="1"/>
      <c r="G101" s="1"/>
      <c r="H101" s="1"/>
      <c r="I101" s="1"/>
      <c r="J101" s="1"/>
      <c r="K101" s="1"/>
      <c r="L101" s="1"/>
      <c r="M101" s="1"/>
      <c r="N101" s="1"/>
      <c r="O101" s="1"/>
      <c r="P101" s="1"/>
    </row>
    <row r="102">
      <c r="A102" s="1"/>
      <c r="B102" s="1"/>
      <c r="C102" s="1"/>
      <c r="D102" s="1"/>
      <c r="E102" s="1"/>
      <c r="F102" s="1"/>
      <c r="G102" s="1"/>
      <c r="H102" s="1"/>
      <c r="I102" s="1"/>
      <c r="J102" s="1"/>
      <c r="K102" s="1"/>
      <c r="L102" s="1"/>
      <c r="M102" s="1"/>
      <c r="N102" s="1"/>
      <c r="O102" s="1"/>
      <c r="P102" s="1"/>
    </row>
    <row r="103">
      <c r="A103" s="1"/>
      <c r="B103" s="1"/>
      <c r="C103" s="1"/>
      <c r="D103" s="1"/>
      <c r="E103" s="1"/>
      <c r="F103" s="1"/>
      <c r="G103" s="1"/>
      <c r="H103" s="1"/>
      <c r="I103" s="1"/>
      <c r="J103" s="1"/>
      <c r="K103" s="1"/>
      <c r="L103" s="1"/>
      <c r="M103" s="1"/>
      <c r="N103" s="1"/>
      <c r="O103" s="1"/>
      <c r="P103" s="1"/>
    </row>
    <row r="104">
      <c r="A104" s="1"/>
      <c r="B104" s="1"/>
      <c r="C104" s="1"/>
      <c r="D104" s="1"/>
      <c r="E104" s="1"/>
      <c r="F104" s="1"/>
      <c r="G104" s="1"/>
      <c r="H104" s="1"/>
      <c r="I104" s="1"/>
      <c r="J104" s="1"/>
      <c r="K104" s="1"/>
      <c r="L104" s="1"/>
      <c r="M104" s="1"/>
      <c r="N104" s="1"/>
      <c r="O104" s="1"/>
      <c r="P104" s="1"/>
    </row>
    <row r="105">
      <c r="A105" s="1"/>
      <c r="B105" s="1"/>
      <c r="C105" s="1"/>
      <c r="D105" s="1"/>
      <c r="E105" s="1"/>
      <c r="F105" s="1"/>
      <c r="G105" s="1"/>
      <c r="H105" s="1"/>
      <c r="I105" s="1"/>
      <c r="J105" s="1"/>
      <c r="K105" s="1"/>
      <c r="L105" s="1"/>
      <c r="M105" s="1"/>
      <c r="N105" s="1"/>
      <c r="O105" s="1"/>
      <c r="P105" s="1"/>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88"/>
    <col customWidth="1" min="3" max="3" width="12.5"/>
    <col customWidth="1" min="4" max="4" width="16.5"/>
    <col customWidth="1" min="5" max="5" width="15.38"/>
    <col customWidth="1" min="6" max="6" width="16.88"/>
    <col customWidth="1" min="7" max="7" width="18.63"/>
    <col customWidth="1" min="8" max="8" width="17.63"/>
    <col customWidth="1" min="9" max="9" width="16.5"/>
    <col customWidth="1" min="10" max="10" width="11.13"/>
    <col customWidth="1" min="11" max="11" width="13.25"/>
    <col customWidth="1" min="12" max="12" width="14.63"/>
    <col customWidth="1" min="13" max="13" width="12.25"/>
    <col customWidth="1" hidden="1" min="14" max="14" width="14.38"/>
    <col customWidth="1" min="15" max="15" width="13.88"/>
    <col customWidth="1" min="16" max="16" width="13.75"/>
    <col customWidth="1" min="17" max="17" width="14.63"/>
  </cols>
  <sheetData>
    <row r="1">
      <c r="A1" s="32" t="s">
        <v>0</v>
      </c>
      <c r="B1" s="33" t="s">
        <v>26</v>
      </c>
      <c r="C1" s="34"/>
      <c r="D1" s="5" t="s">
        <v>1</v>
      </c>
      <c r="E1" s="5" t="s">
        <v>2</v>
      </c>
      <c r="F1" s="34"/>
      <c r="G1" s="34"/>
      <c r="H1" s="34"/>
      <c r="I1" s="34"/>
      <c r="J1" s="34"/>
      <c r="K1" s="34"/>
      <c r="L1" s="34"/>
      <c r="M1" s="34"/>
      <c r="N1" s="34"/>
      <c r="O1" s="34"/>
      <c r="P1" s="34"/>
      <c r="Q1" s="34"/>
      <c r="R1" s="34"/>
      <c r="S1" s="34"/>
      <c r="T1" s="34"/>
      <c r="U1" s="34"/>
      <c r="V1" s="34"/>
      <c r="W1" s="34"/>
      <c r="X1" s="34"/>
      <c r="Y1" s="34"/>
      <c r="Z1" s="34"/>
    </row>
    <row r="2">
      <c r="A2" s="32" t="s">
        <v>3</v>
      </c>
      <c r="B2" s="35"/>
      <c r="C2" s="34"/>
      <c r="D2" s="36" t="s">
        <v>4</v>
      </c>
      <c r="E2" s="37">
        <f>COUNTIF(Fahad!K9:K1005, "High")</f>
        <v>22</v>
      </c>
      <c r="F2" s="34"/>
      <c r="G2" s="38" t="s">
        <v>27</v>
      </c>
      <c r="H2" s="34"/>
      <c r="I2" s="34"/>
      <c r="J2" s="34"/>
      <c r="K2" s="34"/>
      <c r="L2" s="34"/>
      <c r="M2" s="34"/>
      <c r="N2" s="34"/>
      <c r="O2" s="34"/>
      <c r="P2" s="34"/>
      <c r="Q2" s="34"/>
      <c r="R2" s="34"/>
      <c r="S2" s="34"/>
      <c r="T2" s="34"/>
      <c r="U2" s="34"/>
      <c r="V2" s="34"/>
      <c r="W2" s="34"/>
      <c r="X2" s="34"/>
      <c r="Y2" s="34"/>
      <c r="Z2" s="34"/>
    </row>
    <row r="3">
      <c r="A3" s="32" t="s">
        <v>7</v>
      </c>
      <c r="B3" s="39"/>
      <c r="C3" s="34"/>
      <c r="D3" s="40" t="s">
        <v>6</v>
      </c>
      <c r="E3" s="37">
        <f>COUNTIF(Fahad!K9:K1006, "Medium")</f>
        <v>11</v>
      </c>
      <c r="F3" s="34"/>
      <c r="G3" s="34"/>
      <c r="H3" s="34"/>
      <c r="I3" s="34"/>
      <c r="J3" s="34"/>
      <c r="K3" s="34"/>
      <c r="L3" s="34"/>
      <c r="M3" s="34"/>
      <c r="N3" s="34"/>
      <c r="O3" s="34"/>
      <c r="P3" s="34"/>
      <c r="Q3" s="34"/>
      <c r="R3" s="34"/>
      <c r="S3" s="34"/>
      <c r="T3" s="34"/>
      <c r="U3" s="34"/>
      <c r="V3" s="34"/>
      <c r="W3" s="34"/>
      <c r="X3" s="34"/>
      <c r="Y3" s="34"/>
      <c r="Z3" s="34"/>
    </row>
    <row r="4">
      <c r="A4" s="32" t="s">
        <v>9</v>
      </c>
      <c r="B4" s="41" t="s">
        <v>28</v>
      </c>
      <c r="C4" s="34"/>
      <c r="D4" s="42" t="s">
        <v>8</v>
      </c>
      <c r="E4" s="37">
        <f>COUNTIF(Fahad!K9:K1007, "Low")</f>
        <v>1</v>
      </c>
      <c r="F4" s="34"/>
      <c r="G4" s="34"/>
      <c r="H4" s="34"/>
      <c r="I4" s="34"/>
      <c r="J4" s="34"/>
      <c r="K4" s="34"/>
      <c r="L4" s="34"/>
      <c r="M4" s="34"/>
      <c r="N4" s="34"/>
      <c r="O4" s="43"/>
      <c r="P4" s="43"/>
      <c r="Q4" s="34"/>
      <c r="R4" s="34"/>
      <c r="S4" s="34"/>
      <c r="T4" s="34"/>
      <c r="U4" s="34"/>
      <c r="V4" s="34"/>
      <c r="W4" s="34"/>
      <c r="X4" s="34"/>
      <c r="Y4" s="34"/>
      <c r="Z4" s="34"/>
    </row>
    <row r="5" ht="41.25" customHeight="1">
      <c r="A5" s="44" t="s">
        <v>29</v>
      </c>
      <c r="B5" s="41" t="s">
        <v>30</v>
      </c>
      <c r="C5" s="34"/>
      <c r="D5" s="45"/>
      <c r="E5" s="45"/>
      <c r="F5" s="34"/>
      <c r="G5" s="34"/>
      <c r="H5" s="34"/>
      <c r="I5" s="34"/>
      <c r="J5" s="34"/>
      <c r="K5" s="34"/>
      <c r="L5" s="34"/>
      <c r="M5" s="34"/>
      <c r="N5" s="34"/>
      <c r="O5" s="46" t="s">
        <v>31</v>
      </c>
      <c r="P5" s="46" t="s">
        <v>32</v>
      </c>
      <c r="Q5" s="34"/>
      <c r="R5" s="34"/>
      <c r="S5" s="34"/>
      <c r="T5" s="34"/>
      <c r="U5" s="34"/>
      <c r="V5" s="34"/>
      <c r="W5" s="34"/>
      <c r="X5" s="34"/>
      <c r="Y5" s="34"/>
      <c r="Z5" s="34"/>
    </row>
    <row r="6">
      <c r="A6" s="34"/>
      <c r="B6" s="34"/>
      <c r="C6" s="34"/>
      <c r="D6" s="47" t="s">
        <v>11</v>
      </c>
      <c r="E6" s="48">
        <f>SUM(E2:E4)</f>
        <v>34</v>
      </c>
      <c r="F6" s="34"/>
      <c r="G6" s="34"/>
      <c r="H6" s="34"/>
      <c r="I6" s="34"/>
      <c r="J6" s="34"/>
      <c r="K6" s="34"/>
      <c r="L6" s="34"/>
      <c r="M6" s="34"/>
      <c r="N6" s="34"/>
      <c r="Q6" s="34"/>
      <c r="R6" s="34"/>
      <c r="S6" s="34"/>
      <c r="T6" s="34"/>
      <c r="U6" s="34"/>
      <c r="V6" s="34"/>
      <c r="W6" s="34"/>
      <c r="X6" s="34"/>
      <c r="Y6" s="34"/>
      <c r="Z6" s="34"/>
    </row>
    <row r="7">
      <c r="A7" s="34"/>
      <c r="B7" s="34"/>
      <c r="C7" s="34"/>
      <c r="D7" s="47" t="s">
        <v>12</v>
      </c>
      <c r="E7" s="48">
        <f>COUNTIF(O10:O1002, "Solved")</f>
        <v>14</v>
      </c>
      <c r="F7" s="34"/>
      <c r="G7" s="34"/>
      <c r="H7" s="34"/>
      <c r="I7" s="34"/>
      <c r="J7" s="34"/>
      <c r="K7" s="34"/>
      <c r="L7" s="34"/>
      <c r="M7" s="34"/>
      <c r="N7" s="34"/>
      <c r="O7" s="46"/>
      <c r="P7" s="46"/>
      <c r="Q7" s="34"/>
      <c r="R7" s="34"/>
      <c r="S7" s="34"/>
      <c r="T7" s="34"/>
      <c r="U7" s="34"/>
      <c r="V7" s="34"/>
      <c r="W7" s="34"/>
      <c r="X7" s="34"/>
      <c r="Y7" s="34"/>
      <c r="Z7" s="34"/>
    </row>
    <row r="8">
      <c r="A8" s="34"/>
      <c r="B8" s="34"/>
      <c r="C8" s="34"/>
      <c r="D8" s="34"/>
      <c r="E8" s="34"/>
      <c r="F8" s="34"/>
      <c r="G8" s="34"/>
      <c r="H8" s="34"/>
      <c r="I8" s="34"/>
      <c r="J8" s="34"/>
      <c r="K8" s="34"/>
      <c r="L8" s="34"/>
      <c r="M8" s="34"/>
      <c r="N8" s="34"/>
      <c r="O8" s="46"/>
      <c r="P8" s="46"/>
      <c r="Q8" s="34"/>
      <c r="R8" s="34"/>
      <c r="S8" s="34"/>
      <c r="T8" s="34"/>
      <c r="U8" s="34"/>
      <c r="V8" s="34"/>
      <c r="W8" s="34"/>
      <c r="X8" s="34"/>
      <c r="Y8" s="34"/>
      <c r="Z8" s="34"/>
    </row>
    <row r="9">
      <c r="A9" s="49" t="s">
        <v>33</v>
      </c>
      <c r="B9" s="49" t="s">
        <v>14</v>
      </c>
      <c r="C9" s="49" t="s">
        <v>15</v>
      </c>
      <c r="D9" s="49" t="s">
        <v>16</v>
      </c>
      <c r="E9" s="49" t="s">
        <v>17</v>
      </c>
      <c r="F9" s="49" t="s">
        <v>18</v>
      </c>
      <c r="G9" s="49" t="s">
        <v>19</v>
      </c>
      <c r="H9" s="49" t="s">
        <v>20</v>
      </c>
      <c r="I9" s="49" t="s">
        <v>21</v>
      </c>
      <c r="J9" s="49" t="s">
        <v>22</v>
      </c>
      <c r="K9" s="49" t="s">
        <v>1</v>
      </c>
      <c r="L9" s="49" t="s">
        <v>23</v>
      </c>
      <c r="M9" s="49" t="s">
        <v>24</v>
      </c>
      <c r="N9" s="49" t="s">
        <v>25</v>
      </c>
      <c r="O9" s="50" t="s">
        <v>25</v>
      </c>
      <c r="P9" s="50" t="s">
        <v>34</v>
      </c>
      <c r="Q9" s="51" t="s">
        <v>35</v>
      </c>
      <c r="R9" s="52"/>
      <c r="S9" s="52"/>
      <c r="T9" s="52"/>
      <c r="U9" s="53"/>
      <c r="V9" s="52"/>
      <c r="W9" s="52"/>
      <c r="X9" s="52"/>
      <c r="Y9" s="52"/>
      <c r="Z9" s="52"/>
    </row>
    <row r="10">
      <c r="A10" s="54" t="s">
        <v>36</v>
      </c>
      <c r="B10" s="54" t="s">
        <v>37</v>
      </c>
      <c r="C10" s="55" t="s">
        <v>37</v>
      </c>
      <c r="D10" s="55" t="s">
        <v>38</v>
      </c>
      <c r="E10" s="55" t="s">
        <v>39</v>
      </c>
      <c r="F10" s="56" t="s">
        <v>40</v>
      </c>
      <c r="G10" s="55" t="s">
        <v>41</v>
      </c>
      <c r="H10" s="55" t="s">
        <v>42</v>
      </c>
      <c r="I10" s="55" t="s">
        <v>43</v>
      </c>
      <c r="J10" s="55" t="s">
        <v>44</v>
      </c>
      <c r="K10" s="55" t="s">
        <v>6</v>
      </c>
      <c r="L10" s="57" t="s">
        <v>45</v>
      </c>
      <c r="M10" s="58" t="s">
        <v>46</v>
      </c>
      <c r="N10" s="59"/>
      <c r="O10" s="59" t="s">
        <v>47</v>
      </c>
      <c r="P10" s="59" t="s">
        <v>48</v>
      </c>
      <c r="Q10" s="60" t="s">
        <v>49</v>
      </c>
      <c r="R10" s="61"/>
      <c r="S10" s="61"/>
      <c r="T10" s="61"/>
      <c r="U10" s="61"/>
      <c r="V10" s="61"/>
      <c r="W10" s="61"/>
      <c r="X10" s="61"/>
      <c r="Y10" s="61"/>
      <c r="Z10" s="61"/>
    </row>
    <row r="11">
      <c r="A11" s="61"/>
      <c r="B11" s="61"/>
      <c r="C11" s="61"/>
      <c r="D11" s="61"/>
      <c r="E11" s="61"/>
      <c r="F11" s="62"/>
      <c r="G11" s="63"/>
      <c r="H11" s="61"/>
      <c r="I11" s="61"/>
      <c r="J11" s="61"/>
      <c r="K11" s="61"/>
      <c r="L11" s="61"/>
      <c r="M11" s="61"/>
      <c r="N11" s="61"/>
      <c r="O11" s="61"/>
      <c r="P11" s="61"/>
      <c r="Q11" s="61"/>
      <c r="R11" s="61"/>
      <c r="S11" s="61"/>
      <c r="T11" s="61"/>
      <c r="U11" s="61"/>
      <c r="V11" s="61"/>
      <c r="W11" s="61"/>
      <c r="X11" s="61"/>
      <c r="Y11" s="61"/>
      <c r="Z11" s="61"/>
    </row>
    <row r="12">
      <c r="A12" s="54" t="s">
        <v>50</v>
      </c>
      <c r="B12" s="54" t="s">
        <v>37</v>
      </c>
      <c r="C12" s="54" t="s">
        <v>37</v>
      </c>
      <c r="D12" s="54" t="s">
        <v>51</v>
      </c>
      <c r="E12" s="54" t="s">
        <v>39</v>
      </c>
      <c r="F12" s="64" t="s">
        <v>40</v>
      </c>
      <c r="G12" s="54" t="s">
        <v>41</v>
      </c>
      <c r="H12" s="54" t="s">
        <v>52</v>
      </c>
      <c r="I12" s="54" t="s">
        <v>53</v>
      </c>
      <c r="J12" s="54" t="s">
        <v>44</v>
      </c>
      <c r="K12" s="54" t="s">
        <v>6</v>
      </c>
      <c r="L12" s="65" t="s">
        <v>54</v>
      </c>
      <c r="M12" s="60"/>
      <c r="N12" s="60"/>
      <c r="O12" s="60" t="s">
        <v>55</v>
      </c>
      <c r="P12" s="60" t="s">
        <v>48</v>
      </c>
      <c r="Q12" s="60" t="s">
        <v>56</v>
      </c>
      <c r="R12" s="61"/>
      <c r="S12" s="61"/>
      <c r="T12" s="61"/>
      <c r="U12" s="61"/>
      <c r="V12" s="61"/>
      <c r="W12" s="61"/>
      <c r="X12" s="61"/>
      <c r="Y12" s="61"/>
      <c r="Z12" s="61"/>
    </row>
    <row r="13">
      <c r="A13" s="61"/>
      <c r="B13" s="61"/>
      <c r="C13" s="61"/>
      <c r="D13" s="61"/>
      <c r="E13" s="61"/>
      <c r="F13" s="62"/>
      <c r="G13" s="61"/>
      <c r="H13" s="61"/>
      <c r="I13" s="61"/>
      <c r="J13" s="61"/>
      <c r="K13" s="61"/>
      <c r="L13" s="61"/>
      <c r="M13" s="61"/>
      <c r="N13" s="61"/>
      <c r="O13" s="61"/>
      <c r="P13" s="61"/>
      <c r="Q13" s="61"/>
      <c r="R13" s="61"/>
      <c r="S13" s="61"/>
      <c r="T13" s="61"/>
      <c r="U13" s="61"/>
      <c r="V13" s="61"/>
      <c r="W13" s="61"/>
      <c r="X13" s="61"/>
      <c r="Y13" s="61"/>
      <c r="Z13" s="61"/>
    </row>
    <row r="14">
      <c r="A14" s="54" t="s">
        <v>57</v>
      </c>
      <c r="B14" s="54" t="s">
        <v>37</v>
      </c>
      <c r="C14" s="54" t="s">
        <v>37</v>
      </c>
      <c r="D14" s="54" t="s">
        <v>58</v>
      </c>
      <c r="E14" s="54" t="s">
        <v>39</v>
      </c>
      <c r="F14" s="64" t="s">
        <v>40</v>
      </c>
      <c r="G14" s="54" t="s">
        <v>41</v>
      </c>
      <c r="H14" s="54" t="s">
        <v>59</v>
      </c>
      <c r="I14" s="54" t="s">
        <v>60</v>
      </c>
      <c r="J14" s="54" t="s">
        <v>44</v>
      </c>
      <c r="K14" s="54" t="s">
        <v>6</v>
      </c>
      <c r="L14" s="66" t="s">
        <v>61</v>
      </c>
      <c r="M14" s="67"/>
      <c r="N14" s="60"/>
      <c r="O14" s="60" t="s">
        <v>47</v>
      </c>
      <c r="P14" s="60" t="s">
        <v>48</v>
      </c>
      <c r="Q14" s="60" t="s">
        <v>62</v>
      </c>
      <c r="R14" s="61"/>
      <c r="S14" s="61"/>
      <c r="T14" s="61"/>
      <c r="U14" s="61"/>
      <c r="V14" s="61"/>
      <c r="W14" s="61"/>
      <c r="X14" s="61"/>
      <c r="Y14" s="61"/>
      <c r="Z14" s="61"/>
    </row>
    <row r="15">
      <c r="A15" s="61"/>
      <c r="B15" s="61"/>
      <c r="C15" s="61"/>
      <c r="D15" s="61"/>
      <c r="E15" s="61"/>
      <c r="F15" s="62"/>
      <c r="G15" s="61"/>
      <c r="H15" s="61"/>
      <c r="I15" s="61"/>
      <c r="J15" s="61"/>
      <c r="K15" s="61"/>
      <c r="L15" s="61"/>
      <c r="M15" s="61"/>
      <c r="N15" s="61"/>
      <c r="O15" s="61"/>
      <c r="P15" s="61"/>
      <c r="Q15" s="61"/>
      <c r="R15" s="61"/>
      <c r="S15" s="61"/>
      <c r="T15" s="61"/>
      <c r="U15" s="61"/>
      <c r="V15" s="61"/>
      <c r="W15" s="61"/>
      <c r="X15" s="61"/>
      <c r="Y15" s="61"/>
      <c r="Z15" s="61"/>
    </row>
    <row r="16">
      <c r="A16" s="54" t="s">
        <v>63</v>
      </c>
      <c r="B16" s="54" t="s">
        <v>64</v>
      </c>
      <c r="C16" s="54" t="s">
        <v>64</v>
      </c>
      <c r="D16" s="54" t="s">
        <v>65</v>
      </c>
      <c r="E16" s="54" t="s">
        <v>39</v>
      </c>
      <c r="F16" s="64" t="s">
        <v>66</v>
      </c>
      <c r="G16" s="54" t="s">
        <v>41</v>
      </c>
      <c r="H16" s="54" t="s">
        <v>67</v>
      </c>
      <c r="I16" s="54" t="s">
        <v>68</v>
      </c>
      <c r="J16" s="54" t="s">
        <v>44</v>
      </c>
      <c r="K16" s="54" t="s">
        <v>4</v>
      </c>
      <c r="L16" s="65" t="s">
        <v>69</v>
      </c>
      <c r="M16" s="68"/>
      <c r="N16" s="60"/>
      <c r="O16" s="60" t="s">
        <v>47</v>
      </c>
      <c r="P16" s="60" t="s">
        <v>48</v>
      </c>
      <c r="Q16" s="60" t="s">
        <v>70</v>
      </c>
      <c r="R16" s="61"/>
      <c r="S16" s="61"/>
      <c r="T16" s="61"/>
      <c r="U16" s="61"/>
      <c r="V16" s="61"/>
      <c r="W16" s="61"/>
      <c r="X16" s="61"/>
      <c r="Y16" s="61"/>
      <c r="Z16" s="61"/>
    </row>
    <row r="17">
      <c r="A17" s="61"/>
      <c r="B17" s="61"/>
      <c r="C17" s="61"/>
      <c r="D17" s="61"/>
      <c r="E17" s="61"/>
      <c r="F17" s="62"/>
      <c r="G17" s="61"/>
      <c r="H17" s="61"/>
      <c r="I17" s="61"/>
      <c r="J17" s="61"/>
      <c r="K17" s="61"/>
      <c r="L17" s="61"/>
      <c r="M17" s="61"/>
      <c r="N17" s="61"/>
      <c r="O17" s="61"/>
      <c r="P17" s="61"/>
      <c r="Q17" s="61"/>
      <c r="R17" s="61"/>
      <c r="S17" s="61"/>
      <c r="T17" s="61"/>
      <c r="U17" s="61"/>
      <c r="V17" s="61"/>
      <c r="W17" s="61"/>
      <c r="X17" s="61"/>
      <c r="Y17" s="61"/>
      <c r="Z17" s="61"/>
    </row>
    <row r="18">
      <c r="A18" s="54" t="s">
        <v>71</v>
      </c>
      <c r="B18" s="54" t="s">
        <v>72</v>
      </c>
      <c r="C18" s="54" t="s">
        <v>72</v>
      </c>
      <c r="D18" s="54" t="s">
        <v>73</v>
      </c>
      <c r="E18" s="54" t="s">
        <v>39</v>
      </c>
      <c r="F18" s="64" t="s">
        <v>74</v>
      </c>
      <c r="G18" s="54" t="s">
        <v>41</v>
      </c>
      <c r="H18" s="54" t="s">
        <v>75</v>
      </c>
      <c r="I18" s="54" t="s">
        <v>76</v>
      </c>
      <c r="J18" s="54" t="s">
        <v>44</v>
      </c>
      <c r="K18" s="54" t="s">
        <v>6</v>
      </c>
      <c r="L18" s="65" t="s">
        <v>77</v>
      </c>
      <c r="M18" s="69"/>
      <c r="N18" s="54"/>
      <c r="O18" s="60" t="s">
        <v>55</v>
      </c>
      <c r="P18" s="60" t="s">
        <v>78</v>
      </c>
      <c r="Q18" s="60"/>
      <c r="R18" s="63"/>
      <c r="S18" s="63"/>
      <c r="T18" s="63"/>
      <c r="U18" s="63"/>
      <c r="V18" s="63"/>
      <c r="W18" s="63"/>
      <c r="X18" s="63"/>
      <c r="Y18" s="63"/>
      <c r="Z18" s="63"/>
    </row>
    <row r="19">
      <c r="A19" s="61"/>
      <c r="B19" s="61"/>
      <c r="C19" s="61"/>
      <c r="D19" s="61"/>
      <c r="E19" s="61"/>
      <c r="F19" s="62"/>
      <c r="G19" s="61"/>
      <c r="H19" s="61"/>
      <c r="I19" s="61"/>
      <c r="J19" s="61"/>
      <c r="K19" s="61"/>
      <c r="L19" s="61"/>
      <c r="M19" s="61"/>
      <c r="N19" s="61"/>
      <c r="O19" s="61"/>
      <c r="P19" s="61"/>
      <c r="Q19" s="61"/>
      <c r="R19" s="61"/>
      <c r="S19" s="61"/>
      <c r="T19" s="61"/>
      <c r="U19" s="61"/>
      <c r="V19" s="61"/>
      <c r="W19" s="61"/>
      <c r="X19" s="61"/>
      <c r="Y19" s="61"/>
      <c r="Z19" s="61"/>
    </row>
    <row r="20">
      <c r="A20" s="54" t="s">
        <v>79</v>
      </c>
      <c r="B20" s="54" t="s">
        <v>80</v>
      </c>
      <c r="C20" s="54" t="s">
        <v>80</v>
      </c>
      <c r="D20" s="54" t="s">
        <v>81</v>
      </c>
      <c r="E20" s="54" t="s">
        <v>39</v>
      </c>
      <c r="F20" s="64" t="s">
        <v>82</v>
      </c>
      <c r="G20" s="54" t="s">
        <v>41</v>
      </c>
      <c r="H20" s="54" t="s">
        <v>83</v>
      </c>
      <c r="I20" s="54" t="s">
        <v>84</v>
      </c>
      <c r="J20" s="54" t="s">
        <v>44</v>
      </c>
      <c r="K20" s="54" t="s">
        <v>4</v>
      </c>
      <c r="L20" s="65" t="s">
        <v>85</v>
      </c>
      <c r="M20" s="67"/>
      <c r="N20" s="60"/>
      <c r="O20" s="60" t="s">
        <v>47</v>
      </c>
      <c r="P20" s="60" t="s">
        <v>48</v>
      </c>
      <c r="Q20" s="60" t="s">
        <v>56</v>
      </c>
      <c r="R20" s="61"/>
      <c r="S20" s="61"/>
      <c r="T20" s="61"/>
      <c r="U20" s="61"/>
      <c r="V20" s="61"/>
      <c r="W20" s="61"/>
      <c r="X20" s="61"/>
      <c r="Y20" s="61"/>
      <c r="Z20" s="61"/>
    </row>
    <row r="21">
      <c r="A21" s="61"/>
      <c r="B21" s="61"/>
      <c r="C21" s="61"/>
      <c r="D21" s="61"/>
      <c r="E21" s="61"/>
      <c r="F21" s="62"/>
      <c r="G21" s="61"/>
      <c r="H21" s="61"/>
      <c r="I21" s="61"/>
      <c r="J21" s="61"/>
      <c r="K21" s="61"/>
      <c r="L21" s="61"/>
      <c r="M21" s="61"/>
      <c r="N21" s="61"/>
      <c r="O21" s="61"/>
      <c r="P21" s="61"/>
      <c r="Q21" s="61"/>
      <c r="R21" s="61"/>
      <c r="S21" s="61"/>
      <c r="T21" s="61"/>
      <c r="U21" s="61"/>
      <c r="V21" s="61"/>
      <c r="W21" s="61"/>
      <c r="X21" s="61"/>
      <c r="Y21" s="61"/>
      <c r="Z21" s="61"/>
    </row>
    <row r="22">
      <c r="A22" s="54" t="s">
        <v>86</v>
      </c>
      <c r="B22" s="54" t="s">
        <v>87</v>
      </c>
      <c r="C22" s="54" t="s">
        <v>87</v>
      </c>
      <c r="D22" s="54" t="s">
        <v>88</v>
      </c>
      <c r="E22" s="54" t="s">
        <v>39</v>
      </c>
      <c r="F22" s="64" t="s">
        <v>89</v>
      </c>
      <c r="G22" s="54" t="s">
        <v>41</v>
      </c>
      <c r="H22" s="54" t="s">
        <v>90</v>
      </c>
      <c r="I22" s="54" t="s">
        <v>91</v>
      </c>
      <c r="J22" s="54" t="s">
        <v>44</v>
      </c>
      <c r="K22" s="54" t="s">
        <v>8</v>
      </c>
      <c r="L22" s="65" t="s">
        <v>92</v>
      </c>
      <c r="M22" s="67"/>
      <c r="N22" s="60"/>
      <c r="O22" s="60" t="s">
        <v>47</v>
      </c>
      <c r="P22" s="60" t="s">
        <v>48</v>
      </c>
      <c r="Q22" s="60" t="s">
        <v>56</v>
      </c>
      <c r="R22" s="61"/>
      <c r="S22" s="61"/>
      <c r="T22" s="61"/>
      <c r="U22" s="61"/>
      <c r="V22" s="61"/>
      <c r="W22" s="61"/>
      <c r="X22" s="61"/>
      <c r="Y22" s="61"/>
      <c r="Z22" s="61"/>
    </row>
    <row r="23">
      <c r="A23" s="61"/>
      <c r="B23" s="61"/>
      <c r="C23" s="61"/>
      <c r="D23" s="61"/>
      <c r="E23" s="61"/>
      <c r="F23" s="62"/>
      <c r="G23" s="61"/>
      <c r="H23" s="61"/>
      <c r="I23" s="61"/>
      <c r="J23" s="61"/>
      <c r="K23" s="61"/>
      <c r="L23" s="61"/>
      <c r="M23" s="61"/>
      <c r="N23" s="61"/>
      <c r="O23" s="61"/>
      <c r="P23" s="61"/>
      <c r="Q23" s="61"/>
      <c r="R23" s="61"/>
      <c r="S23" s="61"/>
      <c r="T23" s="61"/>
      <c r="U23" s="61"/>
      <c r="V23" s="61"/>
      <c r="W23" s="61"/>
      <c r="X23" s="61"/>
      <c r="Y23" s="61"/>
      <c r="Z23" s="61"/>
    </row>
    <row r="24">
      <c r="A24" s="54" t="s">
        <v>93</v>
      </c>
      <c r="B24" s="54" t="s">
        <v>94</v>
      </c>
      <c r="C24" s="54" t="s">
        <v>95</v>
      </c>
      <c r="D24" s="54" t="s">
        <v>96</v>
      </c>
      <c r="E24" s="54" t="s">
        <v>39</v>
      </c>
      <c r="F24" s="64" t="s">
        <v>97</v>
      </c>
      <c r="G24" s="54" t="s">
        <v>41</v>
      </c>
      <c r="H24" s="54" t="s">
        <v>98</v>
      </c>
      <c r="I24" s="54" t="s">
        <v>99</v>
      </c>
      <c r="J24" s="54" t="s">
        <v>44</v>
      </c>
      <c r="K24" s="54" t="s">
        <v>4</v>
      </c>
      <c r="L24" s="65" t="s">
        <v>100</v>
      </c>
      <c r="M24" s="67"/>
      <c r="N24" s="60"/>
      <c r="O24" s="60" t="s">
        <v>55</v>
      </c>
      <c r="P24" s="60" t="s">
        <v>78</v>
      </c>
      <c r="Q24" s="60"/>
      <c r="R24" s="61"/>
      <c r="S24" s="61"/>
      <c r="T24" s="61"/>
      <c r="U24" s="61"/>
      <c r="V24" s="61"/>
      <c r="W24" s="61"/>
      <c r="X24" s="61"/>
      <c r="Y24" s="61"/>
      <c r="Z24" s="61"/>
    </row>
    <row r="25">
      <c r="A25" s="61"/>
      <c r="B25" s="61"/>
      <c r="C25" s="61"/>
      <c r="D25" s="61"/>
      <c r="E25" s="61"/>
      <c r="F25" s="62"/>
      <c r="G25" s="61"/>
      <c r="H25" s="61"/>
      <c r="I25" s="61"/>
      <c r="J25" s="61"/>
      <c r="K25" s="61"/>
      <c r="L25" s="61"/>
      <c r="M25" s="61"/>
      <c r="N25" s="61"/>
      <c r="O25" s="61"/>
      <c r="P25" s="61"/>
      <c r="Q25" s="61"/>
      <c r="R25" s="61"/>
      <c r="S25" s="61"/>
      <c r="T25" s="61"/>
      <c r="U25" s="61"/>
      <c r="V25" s="61"/>
      <c r="W25" s="61"/>
      <c r="X25" s="61"/>
      <c r="Y25" s="61"/>
      <c r="Z25" s="61"/>
    </row>
    <row r="26">
      <c r="A26" s="54" t="s">
        <v>101</v>
      </c>
      <c r="B26" s="54" t="s">
        <v>64</v>
      </c>
      <c r="C26" s="54" t="s">
        <v>64</v>
      </c>
      <c r="D26" s="54" t="s">
        <v>102</v>
      </c>
      <c r="E26" s="54" t="s">
        <v>39</v>
      </c>
      <c r="F26" s="64" t="s">
        <v>66</v>
      </c>
      <c r="G26" s="54" t="s">
        <v>41</v>
      </c>
      <c r="H26" s="54" t="s">
        <v>103</v>
      </c>
      <c r="I26" s="54" t="s">
        <v>104</v>
      </c>
      <c r="J26" s="54" t="s">
        <v>44</v>
      </c>
      <c r="K26" s="54" t="s">
        <v>4</v>
      </c>
      <c r="L26" s="65" t="s">
        <v>105</v>
      </c>
      <c r="M26" s="67"/>
      <c r="N26" s="67"/>
      <c r="O26" s="60" t="s">
        <v>55</v>
      </c>
      <c r="P26" s="60" t="s">
        <v>78</v>
      </c>
      <c r="Q26" s="60"/>
      <c r="R26" s="61"/>
      <c r="S26" s="61"/>
      <c r="T26" s="61"/>
      <c r="U26" s="61"/>
      <c r="V26" s="61"/>
      <c r="W26" s="61"/>
      <c r="X26" s="61"/>
      <c r="Y26" s="61"/>
      <c r="Z26" s="61"/>
    </row>
    <row r="27">
      <c r="A27" s="61"/>
      <c r="B27" s="61"/>
      <c r="C27" s="61"/>
      <c r="D27" s="61"/>
      <c r="E27" s="61"/>
      <c r="F27" s="62"/>
      <c r="G27" s="61"/>
      <c r="H27" s="61"/>
      <c r="I27" s="61"/>
      <c r="J27" s="61"/>
      <c r="K27" s="61"/>
      <c r="L27" s="61"/>
      <c r="M27" s="61"/>
      <c r="N27" s="61"/>
      <c r="O27" s="61"/>
      <c r="P27" s="61"/>
      <c r="Q27" s="61"/>
      <c r="R27" s="61"/>
      <c r="S27" s="61"/>
      <c r="T27" s="61"/>
      <c r="U27" s="61"/>
      <c r="V27" s="61"/>
      <c r="W27" s="61"/>
      <c r="X27" s="61"/>
      <c r="Y27" s="61"/>
      <c r="Z27" s="61"/>
    </row>
    <row r="28">
      <c r="A28" s="54" t="s">
        <v>106</v>
      </c>
      <c r="B28" s="54" t="s">
        <v>107</v>
      </c>
      <c r="C28" s="54" t="s">
        <v>107</v>
      </c>
      <c r="D28" s="54" t="s">
        <v>108</v>
      </c>
      <c r="E28" s="54" t="s">
        <v>39</v>
      </c>
      <c r="F28" s="64" t="s">
        <v>109</v>
      </c>
      <c r="G28" s="54" t="s">
        <v>41</v>
      </c>
      <c r="H28" s="54" t="s">
        <v>110</v>
      </c>
      <c r="I28" s="54" t="s">
        <v>111</v>
      </c>
      <c r="J28" s="54" t="s">
        <v>44</v>
      </c>
      <c r="K28" s="54" t="s">
        <v>4</v>
      </c>
      <c r="L28" s="66" t="s">
        <v>112</v>
      </c>
      <c r="M28" s="67"/>
      <c r="N28" s="67"/>
      <c r="O28" s="60" t="s">
        <v>47</v>
      </c>
      <c r="P28" s="60" t="s">
        <v>48</v>
      </c>
      <c r="Q28" s="60" t="s">
        <v>56</v>
      </c>
      <c r="R28" s="61"/>
      <c r="S28" s="61"/>
      <c r="T28" s="61"/>
      <c r="U28" s="61"/>
      <c r="V28" s="61"/>
      <c r="W28" s="61"/>
      <c r="X28" s="61"/>
      <c r="Y28" s="61"/>
      <c r="Z28" s="61"/>
    </row>
    <row r="29">
      <c r="A29" s="61"/>
      <c r="B29" s="61"/>
      <c r="C29" s="61"/>
      <c r="D29" s="61"/>
      <c r="E29" s="61"/>
      <c r="F29" s="62"/>
      <c r="G29" s="61"/>
      <c r="H29" s="61"/>
      <c r="I29" s="61"/>
      <c r="J29" s="61"/>
      <c r="K29" s="61"/>
      <c r="L29" s="61"/>
      <c r="M29" s="61"/>
      <c r="N29" s="61"/>
      <c r="O29" s="61"/>
      <c r="P29" s="61"/>
      <c r="Q29" s="61"/>
      <c r="R29" s="61"/>
      <c r="S29" s="61"/>
      <c r="T29" s="61"/>
      <c r="U29" s="61"/>
      <c r="V29" s="61"/>
      <c r="W29" s="61"/>
      <c r="X29" s="61"/>
      <c r="Y29" s="61"/>
      <c r="Z29" s="61"/>
    </row>
    <row r="30">
      <c r="A30" s="54" t="s">
        <v>113</v>
      </c>
      <c r="B30" s="54" t="s">
        <v>72</v>
      </c>
      <c r="C30" s="54" t="s">
        <v>72</v>
      </c>
      <c r="D30" s="54" t="s">
        <v>114</v>
      </c>
      <c r="E30" s="54" t="s">
        <v>39</v>
      </c>
      <c r="F30" s="64" t="s">
        <v>74</v>
      </c>
      <c r="G30" s="54" t="s">
        <v>41</v>
      </c>
      <c r="H30" s="54" t="s">
        <v>115</v>
      </c>
      <c r="I30" s="54" t="s">
        <v>116</v>
      </c>
      <c r="J30" s="54" t="s">
        <v>44</v>
      </c>
      <c r="K30" s="54" t="s">
        <v>4</v>
      </c>
      <c r="L30" s="65" t="s">
        <v>117</v>
      </c>
      <c r="M30" s="67"/>
      <c r="N30" s="67"/>
      <c r="O30" s="60" t="s">
        <v>55</v>
      </c>
      <c r="P30" s="60" t="s">
        <v>78</v>
      </c>
      <c r="Q30" s="60" t="s">
        <v>56</v>
      </c>
      <c r="R30" s="61"/>
      <c r="S30" s="61"/>
      <c r="T30" s="61"/>
      <c r="U30" s="61"/>
      <c r="V30" s="61"/>
      <c r="W30" s="61"/>
      <c r="X30" s="61"/>
      <c r="Y30" s="61"/>
      <c r="Z30" s="61"/>
    </row>
    <row r="31">
      <c r="A31" s="61"/>
      <c r="B31" s="61"/>
      <c r="C31" s="61"/>
      <c r="D31" s="61"/>
      <c r="E31" s="61"/>
      <c r="F31" s="62"/>
      <c r="G31" s="61"/>
      <c r="H31" s="61"/>
      <c r="I31" s="61"/>
      <c r="J31" s="61"/>
      <c r="K31" s="61"/>
      <c r="L31" s="61"/>
      <c r="M31" s="61"/>
      <c r="N31" s="61"/>
      <c r="O31" s="61"/>
      <c r="P31" s="61"/>
      <c r="Q31" s="61"/>
      <c r="R31" s="61"/>
      <c r="S31" s="61"/>
      <c r="T31" s="61"/>
      <c r="U31" s="61"/>
      <c r="V31" s="61"/>
      <c r="W31" s="61"/>
      <c r="X31" s="61"/>
      <c r="Y31" s="61"/>
      <c r="Z31" s="61"/>
    </row>
    <row r="32">
      <c r="A32" s="54" t="s">
        <v>118</v>
      </c>
      <c r="B32" s="54" t="s">
        <v>107</v>
      </c>
      <c r="C32" s="54" t="s">
        <v>107</v>
      </c>
      <c r="D32" s="54" t="s">
        <v>119</v>
      </c>
      <c r="E32" s="54" t="s">
        <v>39</v>
      </c>
      <c r="F32" s="64" t="s">
        <v>120</v>
      </c>
      <c r="G32" s="54" t="s">
        <v>41</v>
      </c>
      <c r="H32" s="54" t="s">
        <v>121</v>
      </c>
      <c r="I32" s="54" t="s">
        <v>122</v>
      </c>
      <c r="J32" s="54" t="s">
        <v>44</v>
      </c>
      <c r="K32" s="54" t="s">
        <v>4</v>
      </c>
      <c r="L32" s="65" t="s">
        <v>123</v>
      </c>
      <c r="M32" s="67"/>
      <c r="N32" s="67"/>
      <c r="O32" s="60" t="s">
        <v>55</v>
      </c>
      <c r="P32" s="60" t="s">
        <v>48</v>
      </c>
      <c r="Q32" s="60" t="s">
        <v>124</v>
      </c>
      <c r="R32" s="61"/>
      <c r="S32" s="61"/>
      <c r="T32" s="61"/>
      <c r="U32" s="61"/>
      <c r="V32" s="61"/>
      <c r="W32" s="61"/>
      <c r="X32" s="61"/>
      <c r="Y32" s="61"/>
      <c r="Z32" s="61"/>
    </row>
    <row r="33">
      <c r="A33" s="61"/>
      <c r="B33" s="61"/>
      <c r="C33" s="61"/>
      <c r="D33" s="61"/>
      <c r="E33" s="61"/>
      <c r="F33" s="62"/>
      <c r="G33" s="61"/>
      <c r="H33" s="61"/>
      <c r="I33" s="61"/>
      <c r="J33" s="61"/>
      <c r="K33" s="61"/>
      <c r="L33" s="61"/>
      <c r="M33" s="61"/>
      <c r="N33" s="61"/>
      <c r="O33" s="61"/>
      <c r="P33" s="61"/>
      <c r="Q33" s="61"/>
      <c r="R33" s="61"/>
      <c r="S33" s="61"/>
      <c r="T33" s="61"/>
      <c r="U33" s="61"/>
      <c r="V33" s="61"/>
      <c r="W33" s="61"/>
      <c r="X33" s="61"/>
      <c r="Y33" s="61"/>
      <c r="Z33" s="61"/>
    </row>
    <row r="34">
      <c r="A34" s="54" t="s">
        <v>125</v>
      </c>
      <c r="B34" s="54" t="s">
        <v>107</v>
      </c>
      <c r="C34" s="54" t="s">
        <v>107</v>
      </c>
      <c r="D34" s="54" t="s">
        <v>126</v>
      </c>
      <c r="E34" s="54" t="s">
        <v>39</v>
      </c>
      <c r="F34" s="64" t="s">
        <v>120</v>
      </c>
      <c r="G34" s="54" t="s">
        <v>41</v>
      </c>
      <c r="H34" s="54" t="s">
        <v>127</v>
      </c>
      <c r="I34" s="54" t="s">
        <v>128</v>
      </c>
      <c r="J34" s="54" t="s">
        <v>44</v>
      </c>
      <c r="K34" s="54" t="s">
        <v>4</v>
      </c>
      <c r="L34" s="65" t="s">
        <v>129</v>
      </c>
      <c r="M34" s="67"/>
      <c r="N34" s="67"/>
      <c r="O34" s="60" t="s">
        <v>55</v>
      </c>
      <c r="P34" s="60" t="s">
        <v>78</v>
      </c>
      <c r="Q34" s="60" t="s">
        <v>130</v>
      </c>
      <c r="R34" s="61"/>
      <c r="S34" s="61"/>
      <c r="T34" s="61"/>
      <c r="U34" s="61"/>
      <c r="V34" s="61"/>
      <c r="W34" s="61"/>
      <c r="X34" s="61"/>
      <c r="Y34" s="61"/>
      <c r="Z34" s="61"/>
    </row>
    <row r="35">
      <c r="A35" s="61"/>
      <c r="B35" s="61"/>
      <c r="C35" s="61"/>
      <c r="D35" s="61"/>
      <c r="E35" s="61"/>
      <c r="F35" s="62"/>
      <c r="G35" s="61"/>
      <c r="H35" s="61"/>
      <c r="I35" s="61"/>
      <c r="J35" s="61"/>
      <c r="K35" s="61"/>
      <c r="L35" s="61"/>
      <c r="M35" s="61"/>
      <c r="N35" s="61"/>
      <c r="O35" s="61"/>
      <c r="P35" s="61"/>
      <c r="Q35" s="61"/>
      <c r="R35" s="61"/>
      <c r="S35" s="61"/>
      <c r="T35" s="61"/>
      <c r="U35" s="61"/>
      <c r="V35" s="61"/>
      <c r="W35" s="61"/>
      <c r="X35" s="61"/>
      <c r="Y35" s="61"/>
      <c r="Z35" s="61"/>
    </row>
    <row r="36">
      <c r="A36" s="54" t="s">
        <v>131</v>
      </c>
      <c r="B36" s="54" t="s">
        <v>132</v>
      </c>
      <c r="C36" s="54" t="s">
        <v>132</v>
      </c>
      <c r="D36" s="54" t="s">
        <v>133</v>
      </c>
      <c r="E36" s="54" t="s">
        <v>39</v>
      </c>
      <c r="F36" s="64" t="s">
        <v>134</v>
      </c>
      <c r="G36" s="54" t="s">
        <v>41</v>
      </c>
      <c r="H36" s="54" t="s">
        <v>135</v>
      </c>
      <c r="I36" s="54" t="s">
        <v>136</v>
      </c>
      <c r="J36" s="54" t="s">
        <v>44</v>
      </c>
      <c r="K36" s="54" t="s">
        <v>6</v>
      </c>
      <c r="L36" s="65" t="s">
        <v>137</v>
      </c>
      <c r="M36" s="67"/>
      <c r="N36" s="67"/>
      <c r="O36" s="60" t="s">
        <v>47</v>
      </c>
      <c r="P36" s="60" t="s">
        <v>48</v>
      </c>
      <c r="Q36" s="60" t="s">
        <v>138</v>
      </c>
      <c r="R36" s="61"/>
      <c r="S36" s="61"/>
      <c r="T36" s="61"/>
      <c r="U36" s="61"/>
      <c r="V36" s="61"/>
      <c r="W36" s="61"/>
      <c r="X36" s="61"/>
      <c r="Y36" s="61"/>
      <c r="Z36" s="61"/>
    </row>
    <row r="37">
      <c r="A37" s="61"/>
      <c r="B37" s="61"/>
      <c r="C37" s="61"/>
      <c r="D37" s="61"/>
      <c r="E37" s="61"/>
      <c r="F37" s="62"/>
      <c r="G37" s="61"/>
      <c r="H37" s="61"/>
      <c r="I37" s="61"/>
      <c r="J37" s="61"/>
      <c r="K37" s="61"/>
      <c r="L37" s="61"/>
      <c r="M37" s="61"/>
      <c r="N37" s="61"/>
      <c r="O37" s="61"/>
      <c r="P37" s="61"/>
      <c r="Q37" s="61"/>
      <c r="R37" s="61"/>
      <c r="S37" s="61"/>
      <c r="T37" s="61"/>
      <c r="U37" s="61"/>
      <c r="V37" s="61"/>
      <c r="W37" s="61"/>
      <c r="X37" s="61"/>
      <c r="Y37" s="61"/>
      <c r="Z37" s="61"/>
    </row>
    <row r="38">
      <c r="A38" s="54" t="s">
        <v>139</v>
      </c>
      <c r="B38" s="54" t="s">
        <v>140</v>
      </c>
      <c r="C38" s="54" t="s">
        <v>140</v>
      </c>
      <c r="D38" s="54" t="s">
        <v>141</v>
      </c>
      <c r="E38" s="54" t="s">
        <v>39</v>
      </c>
      <c r="F38" s="64" t="s">
        <v>142</v>
      </c>
      <c r="G38" s="54" t="s">
        <v>41</v>
      </c>
      <c r="H38" s="54" t="s">
        <v>143</v>
      </c>
      <c r="I38" s="54" t="s">
        <v>144</v>
      </c>
      <c r="J38" s="54" t="s">
        <v>44</v>
      </c>
      <c r="K38" s="54" t="s">
        <v>4</v>
      </c>
      <c r="L38" s="65" t="s">
        <v>145</v>
      </c>
      <c r="M38" s="67"/>
      <c r="N38" s="67"/>
      <c r="O38" s="67"/>
      <c r="P38" s="67"/>
      <c r="Q38" s="60"/>
      <c r="R38" s="61"/>
      <c r="S38" s="61"/>
      <c r="T38" s="61"/>
      <c r="U38" s="61"/>
      <c r="V38" s="61"/>
      <c r="W38" s="61"/>
      <c r="X38" s="61"/>
      <c r="Y38" s="61"/>
      <c r="Z38" s="61"/>
    </row>
    <row r="39">
      <c r="A39" s="61"/>
      <c r="B39" s="61"/>
      <c r="C39" s="61"/>
      <c r="D39" s="61"/>
      <c r="E39" s="61"/>
      <c r="F39" s="62"/>
      <c r="G39" s="61"/>
      <c r="H39" s="61"/>
      <c r="I39" s="61"/>
      <c r="J39" s="61"/>
      <c r="K39" s="61"/>
      <c r="L39" s="61"/>
      <c r="M39" s="61"/>
      <c r="N39" s="61"/>
      <c r="O39" s="61"/>
      <c r="P39" s="61"/>
      <c r="Q39" s="61"/>
      <c r="R39" s="61"/>
      <c r="S39" s="61"/>
      <c r="T39" s="61"/>
      <c r="U39" s="61"/>
      <c r="V39" s="61"/>
      <c r="W39" s="61"/>
      <c r="X39" s="61"/>
      <c r="Y39" s="61"/>
      <c r="Z39" s="61"/>
    </row>
    <row r="40">
      <c r="A40" s="54" t="s">
        <v>146</v>
      </c>
      <c r="B40" s="54" t="s">
        <v>107</v>
      </c>
      <c r="C40" s="54" t="s">
        <v>107</v>
      </c>
      <c r="D40" s="54" t="s">
        <v>147</v>
      </c>
      <c r="E40" s="54" t="s">
        <v>39</v>
      </c>
      <c r="F40" s="64" t="s">
        <v>148</v>
      </c>
      <c r="G40" s="54" t="s">
        <v>41</v>
      </c>
      <c r="H40" s="54" t="s">
        <v>149</v>
      </c>
      <c r="I40" s="54" t="s">
        <v>150</v>
      </c>
      <c r="J40" s="54" t="s">
        <v>44</v>
      </c>
      <c r="K40" s="54" t="s">
        <v>4</v>
      </c>
      <c r="L40" s="65" t="s">
        <v>151</v>
      </c>
      <c r="M40" s="67"/>
      <c r="N40" s="67"/>
      <c r="O40" s="60" t="s">
        <v>55</v>
      </c>
      <c r="P40" s="60" t="s">
        <v>48</v>
      </c>
      <c r="Q40" s="60" t="s">
        <v>56</v>
      </c>
      <c r="R40" s="61"/>
      <c r="S40" s="61"/>
      <c r="T40" s="61"/>
      <c r="U40" s="61"/>
      <c r="V40" s="61"/>
      <c r="W40" s="61"/>
      <c r="X40" s="61"/>
      <c r="Y40" s="61"/>
      <c r="Z40" s="61"/>
    </row>
    <row r="41">
      <c r="A41" s="61"/>
      <c r="B41" s="61"/>
      <c r="C41" s="61"/>
      <c r="D41" s="61"/>
      <c r="E41" s="61"/>
      <c r="F41" s="62"/>
      <c r="G41" s="61"/>
      <c r="H41" s="61"/>
      <c r="I41" s="61"/>
      <c r="J41" s="61"/>
      <c r="K41" s="61"/>
      <c r="L41" s="61"/>
      <c r="M41" s="61"/>
      <c r="N41" s="61"/>
      <c r="O41" s="61"/>
      <c r="P41" s="61"/>
      <c r="Q41" s="61"/>
      <c r="R41" s="61"/>
      <c r="S41" s="61"/>
      <c r="T41" s="61"/>
      <c r="U41" s="61"/>
      <c r="V41" s="61"/>
      <c r="W41" s="61"/>
      <c r="X41" s="61"/>
      <c r="Y41" s="61"/>
      <c r="Z41" s="61"/>
    </row>
    <row r="42">
      <c r="A42" s="54" t="s">
        <v>152</v>
      </c>
      <c r="B42" s="54" t="s">
        <v>153</v>
      </c>
      <c r="C42" s="54" t="s">
        <v>154</v>
      </c>
      <c r="D42" s="54" t="s">
        <v>155</v>
      </c>
      <c r="E42" s="54" t="s">
        <v>39</v>
      </c>
      <c r="F42" s="64" t="s">
        <v>156</v>
      </c>
      <c r="G42" s="54" t="s">
        <v>41</v>
      </c>
      <c r="H42" s="54" t="s">
        <v>157</v>
      </c>
      <c r="I42" s="54" t="s">
        <v>158</v>
      </c>
      <c r="J42" s="54" t="s">
        <v>44</v>
      </c>
      <c r="K42" s="54" t="s">
        <v>6</v>
      </c>
      <c r="L42" s="65" t="s">
        <v>159</v>
      </c>
      <c r="M42" s="67"/>
      <c r="N42" s="67"/>
      <c r="O42" s="60"/>
      <c r="P42" s="60" t="s">
        <v>48</v>
      </c>
      <c r="Q42" s="60" t="s">
        <v>160</v>
      </c>
      <c r="R42" s="61"/>
      <c r="S42" s="61"/>
      <c r="T42" s="61"/>
      <c r="U42" s="61"/>
      <c r="V42" s="61"/>
      <c r="W42" s="61"/>
      <c r="X42" s="61"/>
      <c r="Y42" s="61"/>
      <c r="Z42" s="61"/>
    </row>
    <row r="43">
      <c r="A43" s="61"/>
      <c r="B43" s="61"/>
      <c r="C43" s="61"/>
      <c r="D43" s="61"/>
      <c r="E43" s="61"/>
      <c r="F43" s="62"/>
      <c r="G43" s="61"/>
      <c r="H43" s="61"/>
      <c r="I43" s="61"/>
      <c r="J43" s="61"/>
      <c r="K43" s="61"/>
      <c r="L43" s="61"/>
      <c r="M43" s="61"/>
      <c r="N43" s="61"/>
      <c r="O43" s="61"/>
      <c r="P43" s="61"/>
      <c r="Q43" s="61"/>
      <c r="R43" s="61"/>
      <c r="S43" s="61"/>
      <c r="T43" s="61"/>
      <c r="U43" s="61"/>
      <c r="V43" s="61"/>
      <c r="W43" s="61"/>
      <c r="X43" s="61"/>
      <c r="Y43" s="61"/>
      <c r="Z43" s="61"/>
    </row>
    <row r="44">
      <c r="A44" s="54" t="s">
        <v>161</v>
      </c>
      <c r="B44" s="54" t="s">
        <v>162</v>
      </c>
      <c r="C44" s="54" t="s">
        <v>162</v>
      </c>
      <c r="D44" s="54" t="s">
        <v>163</v>
      </c>
      <c r="E44" s="54" t="s">
        <v>39</v>
      </c>
      <c r="F44" s="64" t="s">
        <v>164</v>
      </c>
      <c r="G44" s="54" t="s">
        <v>41</v>
      </c>
      <c r="H44" s="54" t="s">
        <v>165</v>
      </c>
      <c r="I44" s="54" t="s">
        <v>166</v>
      </c>
      <c r="J44" s="54" t="s">
        <v>44</v>
      </c>
      <c r="K44" s="54" t="s">
        <v>6</v>
      </c>
      <c r="L44" s="65" t="s">
        <v>167</v>
      </c>
      <c r="M44" s="67"/>
      <c r="N44" s="67"/>
      <c r="O44" s="60" t="s">
        <v>47</v>
      </c>
      <c r="P44" s="60" t="s">
        <v>48</v>
      </c>
      <c r="Q44" s="60" t="s">
        <v>168</v>
      </c>
      <c r="R44" s="61"/>
      <c r="S44" s="61"/>
      <c r="T44" s="61"/>
      <c r="U44" s="61"/>
      <c r="V44" s="61"/>
      <c r="W44" s="61"/>
      <c r="X44" s="61"/>
      <c r="Y44" s="61"/>
      <c r="Z44" s="61"/>
    </row>
    <row r="45">
      <c r="A45" s="61"/>
      <c r="B45" s="61"/>
      <c r="C45" s="61"/>
      <c r="D45" s="61"/>
      <c r="E45" s="61"/>
      <c r="F45" s="62"/>
      <c r="G45" s="61"/>
      <c r="H45" s="61"/>
      <c r="I45" s="61"/>
      <c r="J45" s="61"/>
      <c r="K45" s="61"/>
      <c r="L45" s="61"/>
      <c r="M45" s="61"/>
      <c r="N45" s="61"/>
      <c r="O45" s="61"/>
      <c r="P45" s="61"/>
      <c r="Q45" s="61"/>
      <c r="R45" s="61"/>
      <c r="S45" s="61"/>
      <c r="T45" s="61"/>
      <c r="U45" s="61"/>
      <c r="V45" s="61"/>
      <c r="W45" s="61"/>
      <c r="X45" s="61"/>
      <c r="Y45" s="61"/>
      <c r="Z45" s="61"/>
    </row>
    <row r="46">
      <c r="A46" s="54" t="s">
        <v>169</v>
      </c>
      <c r="B46" s="54" t="s">
        <v>170</v>
      </c>
      <c r="C46" s="54" t="s">
        <v>170</v>
      </c>
      <c r="D46" s="54" t="s">
        <v>171</v>
      </c>
      <c r="E46" s="54" t="s">
        <v>39</v>
      </c>
      <c r="F46" s="64" t="s">
        <v>172</v>
      </c>
      <c r="G46" s="54" t="s">
        <v>41</v>
      </c>
      <c r="H46" s="54" t="s">
        <v>173</v>
      </c>
      <c r="I46" s="54" t="s">
        <v>174</v>
      </c>
      <c r="J46" s="54" t="s">
        <v>44</v>
      </c>
      <c r="K46" s="54" t="s">
        <v>6</v>
      </c>
      <c r="L46" s="65" t="s">
        <v>175</v>
      </c>
      <c r="M46" s="67"/>
      <c r="N46" s="67"/>
      <c r="O46" s="60" t="s">
        <v>55</v>
      </c>
      <c r="P46" s="60" t="s">
        <v>48</v>
      </c>
      <c r="Q46" s="60" t="s">
        <v>176</v>
      </c>
      <c r="R46" s="61"/>
      <c r="S46" s="61"/>
      <c r="T46" s="61"/>
      <c r="U46" s="61"/>
      <c r="V46" s="61"/>
      <c r="W46" s="61"/>
      <c r="X46" s="61"/>
      <c r="Y46" s="61"/>
      <c r="Z46" s="61"/>
    </row>
    <row r="47">
      <c r="A47" s="61"/>
      <c r="B47" s="61"/>
      <c r="C47" s="61"/>
      <c r="D47" s="61"/>
      <c r="E47" s="61"/>
      <c r="F47" s="62"/>
      <c r="G47" s="61"/>
      <c r="H47" s="61"/>
      <c r="I47" s="61"/>
      <c r="J47" s="61"/>
      <c r="K47" s="61"/>
      <c r="L47" s="61"/>
      <c r="M47" s="61"/>
      <c r="N47" s="61"/>
      <c r="O47" s="61"/>
      <c r="P47" s="61"/>
      <c r="Q47" s="61"/>
      <c r="R47" s="61"/>
      <c r="S47" s="61"/>
      <c r="T47" s="61"/>
      <c r="U47" s="61"/>
      <c r="V47" s="61"/>
      <c r="W47" s="61"/>
      <c r="X47" s="61"/>
      <c r="Y47" s="61"/>
      <c r="Z47" s="61"/>
    </row>
    <row r="48">
      <c r="A48" s="54" t="s">
        <v>177</v>
      </c>
      <c r="B48" s="54" t="s">
        <v>107</v>
      </c>
      <c r="C48" s="54" t="s">
        <v>107</v>
      </c>
      <c r="D48" s="54" t="s">
        <v>178</v>
      </c>
      <c r="E48" s="54" t="s">
        <v>39</v>
      </c>
      <c r="F48" s="64" t="s">
        <v>179</v>
      </c>
      <c r="G48" s="54" t="s">
        <v>41</v>
      </c>
      <c r="H48" s="54" t="s">
        <v>180</v>
      </c>
      <c r="I48" s="54" t="s">
        <v>181</v>
      </c>
      <c r="J48" s="54" t="s">
        <v>44</v>
      </c>
      <c r="K48" s="54" t="s">
        <v>4</v>
      </c>
      <c r="L48" s="65" t="s">
        <v>182</v>
      </c>
      <c r="M48" s="67"/>
      <c r="N48" s="67"/>
      <c r="O48" s="60" t="s">
        <v>55</v>
      </c>
      <c r="P48" s="60" t="s">
        <v>78</v>
      </c>
      <c r="Q48" s="60"/>
      <c r="R48" s="61"/>
      <c r="S48" s="61"/>
      <c r="T48" s="61"/>
      <c r="U48" s="61"/>
      <c r="V48" s="61"/>
      <c r="W48" s="61"/>
      <c r="X48" s="61"/>
      <c r="Y48" s="61"/>
      <c r="Z48" s="61"/>
    </row>
    <row r="49">
      <c r="A49" s="61"/>
      <c r="B49" s="61"/>
      <c r="C49" s="61"/>
      <c r="D49" s="61"/>
      <c r="E49" s="61"/>
      <c r="F49" s="62"/>
      <c r="G49" s="61"/>
      <c r="H49" s="61"/>
      <c r="I49" s="61"/>
      <c r="J49" s="61"/>
      <c r="K49" s="61"/>
      <c r="L49" s="61"/>
      <c r="M49" s="61"/>
      <c r="N49" s="61"/>
      <c r="O49" s="61"/>
      <c r="P49" s="61"/>
      <c r="Q49" s="61"/>
      <c r="R49" s="61"/>
      <c r="S49" s="61"/>
      <c r="T49" s="61"/>
      <c r="U49" s="61"/>
      <c r="V49" s="61"/>
      <c r="W49" s="61"/>
      <c r="X49" s="61"/>
      <c r="Y49" s="61"/>
      <c r="Z49" s="61"/>
    </row>
    <row r="50">
      <c r="A50" s="54" t="s">
        <v>183</v>
      </c>
      <c r="B50" s="54" t="s">
        <v>107</v>
      </c>
      <c r="C50" s="54" t="s">
        <v>107</v>
      </c>
      <c r="D50" s="54" t="s">
        <v>184</v>
      </c>
      <c r="E50" s="54" t="s">
        <v>39</v>
      </c>
      <c r="F50" s="64" t="s">
        <v>179</v>
      </c>
      <c r="G50" s="54" t="s">
        <v>41</v>
      </c>
      <c r="H50" s="54" t="s">
        <v>185</v>
      </c>
      <c r="I50" s="54" t="s">
        <v>186</v>
      </c>
      <c r="J50" s="54" t="s">
        <v>44</v>
      </c>
      <c r="K50" s="54" t="s">
        <v>4</v>
      </c>
      <c r="L50" s="65" t="s">
        <v>187</v>
      </c>
      <c r="M50" s="60"/>
      <c r="N50" s="67"/>
      <c r="O50" s="60" t="s">
        <v>55</v>
      </c>
      <c r="P50" s="60" t="s">
        <v>78</v>
      </c>
      <c r="Q50" s="60"/>
      <c r="R50" s="61"/>
      <c r="S50" s="61"/>
      <c r="T50" s="61"/>
      <c r="U50" s="61"/>
      <c r="V50" s="61"/>
      <c r="W50" s="61"/>
      <c r="X50" s="61"/>
      <c r="Y50" s="61"/>
      <c r="Z50" s="61"/>
    </row>
    <row r="51">
      <c r="A51" s="61"/>
      <c r="B51" s="61"/>
      <c r="C51" s="61"/>
      <c r="D51" s="61"/>
      <c r="E51" s="61"/>
      <c r="F51" s="62"/>
      <c r="G51" s="61"/>
      <c r="H51" s="61"/>
      <c r="I51" s="61"/>
      <c r="J51" s="61"/>
      <c r="K51" s="61"/>
      <c r="L51" s="61"/>
      <c r="M51" s="61"/>
      <c r="N51" s="61"/>
      <c r="O51" s="61"/>
      <c r="P51" s="61"/>
      <c r="Q51" s="61"/>
      <c r="R51" s="61"/>
      <c r="S51" s="61"/>
      <c r="T51" s="61"/>
      <c r="U51" s="61"/>
      <c r="V51" s="61"/>
      <c r="W51" s="61"/>
      <c r="X51" s="61"/>
      <c r="Y51" s="61"/>
      <c r="Z51" s="61"/>
    </row>
    <row r="52">
      <c r="A52" s="54" t="s">
        <v>188</v>
      </c>
      <c r="B52" s="54" t="s">
        <v>189</v>
      </c>
      <c r="C52" s="54" t="s">
        <v>189</v>
      </c>
      <c r="D52" s="54" t="s">
        <v>190</v>
      </c>
      <c r="E52" s="54" t="s">
        <v>39</v>
      </c>
      <c r="F52" s="64" t="s">
        <v>191</v>
      </c>
      <c r="G52" s="54" t="s">
        <v>41</v>
      </c>
      <c r="H52" s="54" t="s">
        <v>192</v>
      </c>
      <c r="I52" s="54" t="s">
        <v>193</v>
      </c>
      <c r="J52" s="54" t="s">
        <v>44</v>
      </c>
      <c r="K52" s="54" t="s">
        <v>4</v>
      </c>
      <c r="L52" s="65" t="s">
        <v>194</v>
      </c>
      <c r="M52" s="67"/>
      <c r="N52" s="67"/>
      <c r="O52" s="60" t="s">
        <v>55</v>
      </c>
      <c r="P52" s="60" t="s">
        <v>48</v>
      </c>
      <c r="Q52" s="60" t="s">
        <v>56</v>
      </c>
      <c r="R52" s="61"/>
      <c r="S52" s="61"/>
      <c r="T52" s="61"/>
      <c r="U52" s="61"/>
      <c r="V52" s="61"/>
      <c r="W52" s="61"/>
      <c r="X52" s="61"/>
      <c r="Y52" s="61"/>
      <c r="Z52" s="61"/>
    </row>
    <row r="53">
      <c r="A53" s="61"/>
      <c r="B53" s="61"/>
      <c r="C53" s="61"/>
      <c r="D53" s="61"/>
      <c r="E53" s="61"/>
      <c r="F53" s="62"/>
      <c r="G53" s="61"/>
      <c r="H53" s="61"/>
      <c r="I53" s="61"/>
      <c r="J53" s="61"/>
      <c r="K53" s="61"/>
      <c r="L53" s="61"/>
      <c r="M53" s="61"/>
      <c r="N53" s="61"/>
      <c r="O53" s="61"/>
      <c r="P53" s="61"/>
      <c r="Q53" s="61"/>
      <c r="R53" s="61"/>
      <c r="S53" s="61"/>
      <c r="T53" s="61"/>
      <c r="U53" s="61"/>
      <c r="V53" s="61"/>
      <c r="W53" s="61"/>
      <c r="X53" s="61"/>
      <c r="Y53" s="61"/>
      <c r="Z53" s="61"/>
    </row>
    <row r="54">
      <c r="A54" s="54" t="s">
        <v>195</v>
      </c>
      <c r="B54" s="54" t="s">
        <v>196</v>
      </c>
      <c r="C54" s="54" t="s">
        <v>196</v>
      </c>
      <c r="D54" s="54" t="s">
        <v>197</v>
      </c>
      <c r="E54" s="54" t="s">
        <v>39</v>
      </c>
      <c r="F54" s="64" t="s">
        <v>198</v>
      </c>
      <c r="G54" s="54" t="s">
        <v>41</v>
      </c>
      <c r="H54" s="54" t="s">
        <v>199</v>
      </c>
      <c r="I54" s="54" t="s">
        <v>200</v>
      </c>
      <c r="J54" s="54" t="s">
        <v>44</v>
      </c>
      <c r="K54" s="54" t="s">
        <v>4</v>
      </c>
      <c r="L54" s="70" t="s">
        <v>201</v>
      </c>
      <c r="M54" s="67"/>
      <c r="N54" s="67"/>
      <c r="O54" s="60" t="s">
        <v>55</v>
      </c>
      <c r="P54" s="60" t="s">
        <v>48</v>
      </c>
      <c r="Q54" s="60" t="s">
        <v>56</v>
      </c>
      <c r="R54" s="61"/>
      <c r="S54" s="61"/>
      <c r="T54" s="61"/>
      <c r="U54" s="61"/>
      <c r="V54" s="61"/>
      <c r="W54" s="61"/>
      <c r="X54" s="61"/>
      <c r="Y54" s="61"/>
      <c r="Z54" s="61"/>
    </row>
    <row r="55">
      <c r="A55" s="61"/>
      <c r="B55" s="61"/>
      <c r="C55" s="61"/>
      <c r="D55" s="61"/>
      <c r="E55" s="61"/>
      <c r="F55" s="62"/>
      <c r="G55" s="61"/>
      <c r="H55" s="61"/>
      <c r="I55" s="61"/>
      <c r="J55" s="61"/>
      <c r="K55" s="61"/>
      <c r="L55" s="61"/>
      <c r="M55" s="61"/>
      <c r="N55" s="61"/>
      <c r="O55" s="61"/>
      <c r="P55" s="61"/>
      <c r="Q55" s="61"/>
      <c r="R55" s="61"/>
      <c r="S55" s="61"/>
      <c r="T55" s="61"/>
      <c r="U55" s="61"/>
      <c r="V55" s="61"/>
      <c r="W55" s="61"/>
      <c r="X55" s="61"/>
      <c r="Y55" s="61"/>
      <c r="Z55" s="61"/>
    </row>
    <row r="56">
      <c r="A56" s="54" t="s">
        <v>202</v>
      </c>
      <c r="B56" s="54" t="s">
        <v>107</v>
      </c>
      <c r="C56" s="54" t="s">
        <v>107</v>
      </c>
      <c r="D56" s="54" t="s">
        <v>203</v>
      </c>
      <c r="E56" s="54" t="s">
        <v>39</v>
      </c>
      <c r="F56" s="64" t="s">
        <v>179</v>
      </c>
      <c r="G56" s="54" t="s">
        <v>41</v>
      </c>
      <c r="H56" s="54" t="s">
        <v>204</v>
      </c>
      <c r="I56" s="54" t="s">
        <v>205</v>
      </c>
      <c r="J56" s="54" t="s">
        <v>44</v>
      </c>
      <c r="K56" s="54" t="s">
        <v>6</v>
      </c>
      <c r="L56" s="65" t="s">
        <v>206</v>
      </c>
      <c r="M56" s="67"/>
      <c r="N56" s="67"/>
      <c r="O56" s="60" t="s">
        <v>55</v>
      </c>
      <c r="P56" s="60" t="s">
        <v>48</v>
      </c>
      <c r="Q56" s="60" t="s">
        <v>207</v>
      </c>
      <c r="R56" s="61"/>
      <c r="S56" s="61"/>
      <c r="T56" s="61"/>
      <c r="U56" s="61"/>
      <c r="V56" s="61"/>
      <c r="W56" s="61"/>
      <c r="X56" s="61"/>
      <c r="Y56" s="61"/>
      <c r="Z56" s="61"/>
    </row>
    <row r="57">
      <c r="A57" s="61"/>
      <c r="B57" s="61"/>
      <c r="C57" s="61"/>
      <c r="D57" s="61"/>
      <c r="E57" s="61"/>
      <c r="F57" s="62"/>
      <c r="G57" s="61"/>
      <c r="H57" s="61"/>
      <c r="I57" s="61"/>
      <c r="J57" s="61"/>
      <c r="K57" s="61"/>
      <c r="L57" s="61"/>
      <c r="M57" s="61"/>
      <c r="N57" s="61"/>
      <c r="O57" s="61"/>
      <c r="P57" s="61"/>
      <c r="Q57" s="61"/>
      <c r="R57" s="61"/>
      <c r="S57" s="61"/>
      <c r="T57" s="61"/>
      <c r="U57" s="61"/>
      <c r="V57" s="61"/>
      <c r="W57" s="61"/>
      <c r="X57" s="61"/>
      <c r="Y57" s="61"/>
      <c r="Z57" s="61"/>
    </row>
    <row r="58">
      <c r="A58" s="54" t="s">
        <v>208</v>
      </c>
      <c r="B58" s="54" t="s">
        <v>209</v>
      </c>
      <c r="C58" s="54" t="s">
        <v>209</v>
      </c>
      <c r="D58" s="54" t="s">
        <v>210</v>
      </c>
      <c r="E58" s="54" t="s">
        <v>39</v>
      </c>
      <c r="F58" s="64" t="s">
        <v>211</v>
      </c>
      <c r="G58" s="54" t="s">
        <v>41</v>
      </c>
      <c r="H58" s="54" t="s">
        <v>212</v>
      </c>
      <c r="I58" s="54" t="s">
        <v>213</v>
      </c>
      <c r="J58" s="54" t="s">
        <v>44</v>
      </c>
      <c r="K58" s="54" t="s">
        <v>6</v>
      </c>
      <c r="L58" s="65" t="s">
        <v>214</v>
      </c>
      <c r="M58" s="67"/>
      <c r="N58" s="67"/>
      <c r="O58" s="60" t="s">
        <v>47</v>
      </c>
      <c r="P58" s="60" t="s">
        <v>48</v>
      </c>
      <c r="Q58" s="60" t="s">
        <v>215</v>
      </c>
      <c r="R58" s="61"/>
      <c r="S58" s="61"/>
      <c r="T58" s="61"/>
      <c r="U58" s="61"/>
      <c r="V58" s="61"/>
      <c r="W58" s="61"/>
      <c r="X58" s="61"/>
      <c r="Y58" s="61"/>
      <c r="Z58" s="61"/>
    </row>
    <row r="59">
      <c r="A59" s="61"/>
      <c r="B59" s="61"/>
      <c r="C59" s="61"/>
      <c r="D59" s="61"/>
      <c r="E59" s="61"/>
      <c r="F59" s="62"/>
      <c r="G59" s="61"/>
      <c r="H59" s="61"/>
      <c r="I59" s="61"/>
      <c r="J59" s="61"/>
      <c r="K59" s="61"/>
      <c r="L59" s="61"/>
      <c r="M59" s="61"/>
      <c r="N59" s="61"/>
      <c r="O59" s="61"/>
      <c r="P59" s="61"/>
      <c r="Q59" s="61"/>
      <c r="R59" s="61"/>
      <c r="S59" s="61"/>
      <c r="T59" s="61"/>
      <c r="U59" s="61"/>
      <c r="V59" s="61"/>
      <c r="W59" s="61"/>
      <c r="X59" s="61"/>
      <c r="Y59" s="61"/>
      <c r="Z59" s="61"/>
    </row>
    <row r="60">
      <c r="A60" s="54" t="s">
        <v>216</v>
      </c>
      <c r="B60" s="54" t="s">
        <v>217</v>
      </c>
      <c r="C60" s="54" t="s">
        <v>217</v>
      </c>
      <c r="D60" s="54" t="s">
        <v>218</v>
      </c>
      <c r="E60" s="54" t="s">
        <v>39</v>
      </c>
      <c r="F60" s="64" t="s">
        <v>211</v>
      </c>
      <c r="G60" s="54" t="s">
        <v>41</v>
      </c>
      <c r="H60" s="54" t="s">
        <v>219</v>
      </c>
      <c r="I60" s="54" t="s">
        <v>220</v>
      </c>
      <c r="J60" s="54" t="s">
        <v>44</v>
      </c>
      <c r="K60" s="54" t="s">
        <v>4</v>
      </c>
      <c r="L60" s="65" t="s">
        <v>221</v>
      </c>
      <c r="M60" s="67"/>
      <c r="N60" s="67"/>
      <c r="O60" s="67"/>
      <c r="P60" s="67"/>
      <c r="Q60" s="60"/>
      <c r="R60" s="61"/>
      <c r="S60" s="61"/>
      <c r="T60" s="61"/>
      <c r="U60" s="61"/>
      <c r="V60" s="61"/>
      <c r="W60" s="61"/>
      <c r="X60" s="61"/>
      <c r="Y60" s="61"/>
      <c r="Z60" s="61"/>
    </row>
    <row r="61">
      <c r="A61" s="61"/>
      <c r="B61" s="61"/>
      <c r="C61" s="61"/>
      <c r="D61" s="61"/>
      <c r="E61" s="61"/>
      <c r="F61" s="62"/>
      <c r="G61" s="61"/>
      <c r="H61" s="61"/>
      <c r="I61" s="61"/>
      <c r="J61" s="61"/>
      <c r="K61" s="61"/>
      <c r="L61" s="61"/>
      <c r="M61" s="61"/>
      <c r="N61" s="61"/>
      <c r="O61" s="61"/>
      <c r="P61" s="61"/>
      <c r="Q61" s="61"/>
      <c r="R61" s="61"/>
      <c r="S61" s="61"/>
      <c r="T61" s="61"/>
      <c r="U61" s="61"/>
      <c r="V61" s="61"/>
      <c r="W61" s="61"/>
      <c r="X61" s="61"/>
      <c r="Y61" s="61"/>
      <c r="Z61" s="61"/>
    </row>
    <row r="62">
      <c r="A62" s="54" t="s">
        <v>222</v>
      </c>
      <c r="B62" s="54" t="s">
        <v>94</v>
      </c>
      <c r="C62" s="54" t="s">
        <v>95</v>
      </c>
      <c r="D62" s="54" t="s">
        <v>223</v>
      </c>
      <c r="E62" s="54" t="s">
        <v>39</v>
      </c>
      <c r="F62" s="64" t="s">
        <v>97</v>
      </c>
      <c r="G62" s="54" t="s">
        <v>41</v>
      </c>
      <c r="H62" s="54" t="s">
        <v>224</v>
      </c>
      <c r="I62" s="54" t="s">
        <v>225</v>
      </c>
      <c r="J62" s="54" t="s">
        <v>44</v>
      </c>
      <c r="K62" s="54" t="s">
        <v>4</v>
      </c>
      <c r="L62" s="65" t="s">
        <v>226</v>
      </c>
      <c r="M62" s="67"/>
      <c r="N62" s="67"/>
      <c r="O62" s="67"/>
      <c r="P62" s="67"/>
      <c r="Q62" s="60"/>
      <c r="R62" s="61"/>
      <c r="S62" s="61"/>
      <c r="T62" s="61"/>
      <c r="U62" s="61"/>
      <c r="V62" s="61"/>
      <c r="W62" s="61"/>
      <c r="X62" s="61"/>
      <c r="Y62" s="61"/>
      <c r="Z62" s="61"/>
    </row>
    <row r="63">
      <c r="A63" s="61"/>
      <c r="B63" s="61"/>
      <c r="C63" s="61"/>
      <c r="D63" s="61"/>
      <c r="E63" s="61"/>
      <c r="F63" s="62"/>
      <c r="G63" s="61"/>
      <c r="H63" s="61"/>
      <c r="I63" s="61"/>
      <c r="J63" s="61"/>
      <c r="K63" s="61"/>
      <c r="L63" s="61"/>
      <c r="M63" s="61"/>
      <c r="N63" s="61"/>
      <c r="O63" s="61"/>
      <c r="P63" s="61"/>
      <c r="Q63" s="61"/>
      <c r="R63" s="61"/>
      <c r="S63" s="61"/>
      <c r="T63" s="61"/>
      <c r="U63" s="61"/>
      <c r="V63" s="61"/>
      <c r="W63" s="61"/>
      <c r="X63" s="61"/>
      <c r="Y63" s="61"/>
      <c r="Z63" s="61"/>
    </row>
    <row r="64">
      <c r="A64" s="54" t="s">
        <v>227</v>
      </c>
      <c r="B64" s="54" t="s">
        <v>228</v>
      </c>
      <c r="C64" s="54" t="s">
        <v>228</v>
      </c>
      <c r="D64" s="54" t="s">
        <v>229</v>
      </c>
      <c r="E64" s="54" t="s">
        <v>39</v>
      </c>
      <c r="F64" s="64" t="s">
        <v>230</v>
      </c>
      <c r="G64" s="54" t="s">
        <v>41</v>
      </c>
      <c r="H64" s="54" t="s">
        <v>231</v>
      </c>
      <c r="I64" s="54" t="s">
        <v>232</v>
      </c>
      <c r="J64" s="54" t="s">
        <v>44</v>
      </c>
      <c r="K64" s="54" t="s">
        <v>4</v>
      </c>
      <c r="L64" s="65" t="s">
        <v>233</v>
      </c>
      <c r="M64" s="67"/>
      <c r="N64" s="67"/>
      <c r="O64" s="67"/>
      <c r="P64" s="67"/>
      <c r="Q64" s="60"/>
      <c r="R64" s="61"/>
      <c r="S64" s="61"/>
      <c r="T64" s="61"/>
      <c r="U64" s="61"/>
      <c r="V64" s="61"/>
      <c r="W64" s="61"/>
      <c r="X64" s="61"/>
      <c r="Y64" s="61"/>
      <c r="Z64" s="61"/>
    </row>
    <row r="65">
      <c r="A65" s="61"/>
      <c r="B65" s="61"/>
      <c r="C65" s="61"/>
      <c r="D65" s="61"/>
      <c r="E65" s="61"/>
      <c r="F65" s="62"/>
      <c r="G65" s="61"/>
      <c r="H65" s="61"/>
      <c r="I65" s="61"/>
      <c r="J65" s="61"/>
      <c r="K65" s="61"/>
      <c r="L65" s="61"/>
      <c r="M65" s="61"/>
      <c r="N65" s="61"/>
      <c r="O65" s="61"/>
      <c r="P65" s="61"/>
      <c r="Q65" s="61"/>
      <c r="R65" s="61"/>
      <c r="S65" s="61"/>
      <c r="T65" s="61"/>
      <c r="U65" s="61"/>
      <c r="V65" s="61"/>
      <c r="W65" s="61"/>
      <c r="X65" s="61"/>
      <c r="Y65" s="61"/>
      <c r="Z65" s="61"/>
    </row>
    <row r="66">
      <c r="A66" s="54" t="s">
        <v>234</v>
      </c>
      <c r="B66" s="54" t="s">
        <v>140</v>
      </c>
      <c r="C66" s="54" t="s">
        <v>140</v>
      </c>
      <c r="D66" s="54" t="s">
        <v>235</v>
      </c>
      <c r="E66" s="54" t="s">
        <v>39</v>
      </c>
      <c r="F66" s="64" t="s">
        <v>142</v>
      </c>
      <c r="G66" s="54" t="s">
        <v>41</v>
      </c>
      <c r="H66" s="54" t="s">
        <v>236</v>
      </c>
      <c r="I66" s="54" t="s">
        <v>237</v>
      </c>
      <c r="J66" s="54" t="s">
        <v>44</v>
      </c>
      <c r="K66" s="54" t="s">
        <v>4</v>
      </c>
      <c r="L66" s="65" t="s">
        <v>238</v>
      </c>
      <c r="M66" s="67"/>
      <c r="N66" s="67"/>
      <c r="O66" s="67"/>
      <c r="P66" s="67"/>
      <c r="Q66" s="60"/>
      <c r="R66" s="61"/>
      <c r="S66" s="61"/>
      <c r="T66" s="61"/>
      <c r="U66" s="61"/>
      <c r="V66" s="61"/>
      <c r="W66" s="61"/>
      <c r="X66" s="61"/>
      <c r="Y66" s="61"/>
      <c r="Z66" s="61"/>
    </row>
    <row r="67">
      <c r="A67" s="61"/>
      <c r="B67" s="61"/>
      <c r="C67" s="61"/>
      <c r="D67" s="61"/>
      <c r="E67" s="61"/>
      <c r="F67" s="62"/>
      <c r="G67" s="61"/>
      <c r="H67" s="61"/>
      <c r="I67" s="61"/>
      <c r="J67" s="61"/>
      <c r="K67" s="61"/>
      <c r="L67" s="61"/>
      <c r="M67" s="61"/>
      <c r="N67" s="61"/>
      <c r="O67" s="61"/>
      <c r="P67" s="61"/>
      <c r="Q67" s="61"/>
      <c r="R67" s="61"/>
      <c r="S67" s="61"/>
      <c r="T67" s="61"/>
      <c r="U67" s="61"/>
      <c r="V67" s="61"/>
      <c r="W67" s="61"/>
      <c r="X67" s="61"/>
      <c r="Y67" s="61"/>
      <c r="Z67" s="61"/>
    </row>
    <row r="68">
      <c r="A68" s="54" t="s">
        <v>239</v>
      </c>
      <c r="B68" s="54" t="s">
        <v>228</v>
      </c>
      <c r="C68" s="54" t="s">
        <v>228</v>
      </c>
      <c r="D68" s="54" t="s">
        <v>240</v>
      </c>
      <c r="E68" s="54" t="s">
        <v>39</v>
      </c>
      <c r="F68" s="64" t="s">
        <v>230</v>
      </c>
      <c r="G68" s="54" t="s">
        <v>41</v>
      </c>
      <c r="H68" s="54" t="s">
        <v>241</v>
      </c>
      <c r="I68" s="54" t="s">
        <v>242</v>
      </c>
      <c r="J68" s="54" t="s">
        <v>44</v>
      </c>
      <c r="K68" s="54" t="s">
        <v>4</v>
      </c>
      <c r="L68" s="65" t="s">
        <v>243</v>
      </c>
      <c r="M68" s="67"/>
      <c r="N68" s="67"/>
      <c r="O68" s="67"/>
      <c r="P68" s="67"/>
      <c r="Q68" s="60"/>
      <c r="R68" s="61"/>
      <c r="S68" s="61"/>
      <c r="T68" s="61"/>
      <c r="U68" s="61"/>
      <c r="V68" s="61"/>
      <c r="W68" s="61"/>
      <c r="X68" s="61"/>
      <c r="Y68" s="61"/>
      <c r="Z68" s="61"/>
    </row>
    <row r="69">
      <c r="A69" s="61"/>
      <c r="B69" s="61"/>
      <c r="C69" s="61"/>
      <c r="D69" s="61"/>
      <c r="E69" s="61"/>
      <c r="F69" s="62"/>
      <c r="G69" s="61"/>
      <c r="H69" s="61"/>
      <c r="I69" s="61"/>
      <c r="J69" s="61"/>
      <c r="K69" s="61"/>
      <c r="L69" s="61"/>
      <c r="M69" s="61"/>
      <c r="N69" s="61"/>
      <c r="O69" s="61"/>
      <c r="P69" s="61"/>
      <c r="Q69" s="61"/>
      <c r="R69" s="61"/>
      <c r="S69" s="61"/>
      <c r="T69" s="61"/>
      <c r="U69" s="61"/>
      <c r="V69" s="61"/>
      <c r="W69" s="61"/>
      <c r="X69" s="61"/>
      <c r="Y69" s="61"/>
      <c r="Z69" s="61"/>
    </row>
    <row r="70">
      <c r="A70" s="54" t="s">
        <v>244</v>
      </c>
      <c r="B70" s="54" t="s">
        <v>37</v>
      </c>
      <c r="C70" s="54" t="s">
        <v>37</v>
      </c>
      <c r="D70" s="54" t="s">
        <v>245</v>
      </c>
      <c r="E70" s="54" t="s">
        <v>39</v>
      </c>
      <c r="F70" s="64" t="s">
        <v>40</v>
      </c>
      <c r="G70" s="54" t="s">
        <v>41</v>
      </c>
      <c r="H70" s="54" t="s">
        <v>246</v>
      </c>
      <c r="I70" s="54" t="s">
        <v>247</v>
      </c>
      <c r="J70" s="54" t="s">
        <v>44</v>
      </c>
      <c r="K70" s="54" t="s">
        <v>4</v>
      </c>
      <c r="L70" s="65" t="s">
        <v>248</v>
      </c>
      <c r="M70" s="67"/>
      <c r="N70" s="67"/>
      <c r="O70" s="67"/>
      <c r="P70" s="67"/>
      <c r="Q70" s="60"/>
      <c r="R70" s="61"/>
      <c r="S70" s="61"/>
      <c r="T70" s="61"/>
      <c r="U70" s="61"/>
      <c r="V70" s="61"/>
      <c r="W70" s="61"/>
      <c r="X70" s="61"/>
      <c r="Y70" s="61"/>
      <c r="Z70" s="61"/>
    </row>
    <row r="71">
      <c r="A71" s="61"/>
      <c r="B71" s="61"/>
      <c r="C71" s="61"/>
      <c r="D71" s="61"/>
      <c r="E71" s="61"/>
      <c r="F71" s="62"/>
      <c r="G71" s="61"/>
      <c r="H71" s="61"/>
      <c r="I71" s="61"/>
      <c r="J71" s="61"/>
      <c r="K71" s="61"/>
      <c r="L71" s="61"/>
      <c r="M71" s="61"/>
      <c r="N71" s="61"/>
      <c r="O71" s="61"/>
      <c r="P71" s="61"/>
      <c r="Q71" s="61"/>
      <c r="R71" s="61"/>
      <c r="S71" s="61"/>
      <c r="T71" s="61"/>
      <c r="U71" s="61"/>
      <c r="V71" s="61"/>
      <c r="W71" s="61"/>
      <c r="X71" s="61"/>
      <c r="Y71" s="61"/>
      <c r="Z71" s="61"/>
    </row>
    <row r="72">
      <c r="A72" s="54" t="s">
        <v>249</v>
      </c>
      <c r="B72" s="54" t="s">
        <v>64</v>
      </c>
      <c r="C72" s="54" t="s">
        <v>64</v>
      </c>
      <c r="D72" s="54" t="s">
        <v>250</v>
      </c>
      <c r="E72" s="54" t="s">
        <v>39</v>
      </c>
      <c r="F72" s="64" t="s">
        <v>66</v>
      </c>
      <c r="G72" s="54" t="s">
        <v>41</v>
      </c>
      <c r="H72" s="54" t="s">
        <v>251</v>
      </c>
      <c r="I72" s="54" t="s">
        <v>252</v>
      </c>
      <c r="J72" s="54" t="s">
        <v>44</v>
      </c>
      <c r="K72" s="54" t="s">
        <v>4</v>
      </c>
      <c r="L72" s="65" t="s">
        <v>253</v>
      </c>
      <c r="M72" s="67"/>
      <c r="N72" s="67"/>
      <c r="O72" s="67"/>
      <c r="P72" s="67"/>
      <c r="Q72" s="60"/>
      <c r="R72" s="61"/>
      <c r="S72" s="61"/>
      <c r="T72" s="61"/>
      <c r="U72" s="61"/>
      <c r="V72" s="61"/>
      <c r="W72" s="61"/>
      <c r="X72" s="61"/>
      <c r="Y72" s="61"/>
      <c r="Z72" s="61"/>
    </row>
    <row r="73">
      <c r="A73" s="61"/>
      <c r="B73" s="61"/>
      <c r="C73" s="61"/>
      <c r="D73" s="61"/>
      <c r="E73" s="61"/>
      <c r="F73" s="62"/>
      <c r="G73" s="61"/>
      <c r="H73" s="61"/>
      <c r="I73" s="61"/>
      <c r="J73" s="61"/>
      <c r="K73" s="61"/>
      <c r="L73" s="61"/>
      <c r="M73" s="61"/>
      <c r="N73" s="61"/>
      <c r="O73" s="61"/>
      <c r="P73" s="61"/>
      <c r="Q73" s="61"/>
      <c r="R73" s="61"/>
      <c r="S73" s="61"/>
      <c r="T73" s="61"/>
      <c r="U73" s="61"/>
      <c r="V73" s="61"/>
      <c r="W73" s="61"/>
      <c r="X73" s="61"/>
      <c r="Y73" s="61"/>
      <c r="Z73" s="61"/>
    </row>
    <row r="74">
      <c r="A74" s="54" t="s">
        <v>254</v>
      </c>
      <c r="B74" s="54" t="s">
        <v>255</v>
      </c>
      <c r="C74" s="54" t="s">
        <v>255</v>
      </c>
      <c r="D74" s="54" t="s">
        <v>256</v>
      </c>
      <c r="E74" s="54" t="s">
        <v>39</v>
      </c>
      <c r="F74" s="64" t="s">
        <v>257</v>
      </c>
      <c r="G74" s="54" t="s">
        <v>41</v>
      </c>
      <c r="H74" s="54" t="s">
        <v>258</v>
      </c>
      <c r="I74" s="54" t="s">
        <v>259</v>
      </c>
      <c r="J74" s="54" t="s">
        <v>44</v>
      </c>
      <c r="K74" s="54" t="s">
        <v>4</v>
      </c>
      <c r="L74" s="65" t="s">
        <v>260</v>
      </c>
      <c r="M74" s="67"/>
      <c r="N74" s="67"/>
      <c r="O74" s="67"/>
      <c r="P74" s="67"/>
      <c r="Q74" s="60"/>
      <c r="R74" s="61"/>
      <c r="S74" s="61"/>
      <c r="T74" s="61"/>
      <c r="U74" s="61"/>
      <c r="V74" s="61"/>
      <c r="W74" s="61"/>
      <c r="X74" s="61"/>
      <c r="Y74" s="61"/>
      <c r="Z74" s="61"/>
    </row>
    <row r="75">
      <c r="A75" s="61"/>
      <c r="B75" s="61"/>
      <c r="C75" s="61"/>
      <c r="D75" s="61"/>
      <c r="E75" s="61"/>
      <c r="F75" s="62"/>
      <c r="G75" s="61"/>
      <c r="H75" s="61"/>
      <c r="I75" s="61"/>
      <c r="J75" s="61"/>
      <c r="K75" s="61"/>
      <c r="L75" s="61"/>
      <c r="M75" s="61"/>
      <c r="N75" s="61"/>
      <c r="O75" s="61"/>
      <c r="P75" s="61"/>
      <c r="Q75" s="61"/>
      <c r="R75" s="61"/>
      <c r="S75" s="61"/>
      <c r="T75" s="61"/>
      <c r="U75" s="61"/>
      <c r="V75" s="61"/>
      <c r="W75" s="61"/>
      <c r="X75" s="61"/>
      <c r="Y75" s="61"/>
      <c r="Z75" s="61"/>
    </row>
    <row r="76">
      <c r="A76" s="54" t="s">
        <v>261</v>
      </c>
      <c r="B76" s="54" t="s">
        <v>94</v>
      </c>
      <c r="C76" s="54" t="s">
        <v>95</v>
      </c>
      <c r="D76" s="54" t="s">
        <v>262</v>
      </c>
      <c r="E76" s="54" t="s">
        <v>39</v>
      </c>
      <c r="F76" s="64" t="s">
        <v>97</v>
      </c>
      <c r="G76" s="54" t="s">
        <v>41</v>
      </c>
      <c r="H76" s="54" t="s">
        <v>263</v>
      </c>
      <c r="I76" s="54" t="s">
        <v>264</v>
      </c>
      <c r="J76" s="54" t="s">
        <v>44</v>
      </c>
      <c r="K76" s="54" t="s">
        <v>6</v>
      </c>
      <c r="L76" s="65" t="s">
        <v>265</v>
      </c>
      <c r="M76" s="67"/>
      <c r="N76" s="67"/>
      <c r="O76" s="67"/>
      <c r="P76" s="67"/>
      <c r="Q76" s="60"/>
      <c r="R76" s="61"/>
      <c r="S76" s="61"/>
      <c r="T76" s="61"/>
      <c r="U76" s="61"/>
      <c r="V76" s="61"/>
      <c r="W76" s="61"/>
      <c r="X76" s="61"/>
      <c r="Y76" s="61"/>
      <c r="Z76" s="61"/>
    </row>
    <row r="77">
      <c r="A77" s="61"/>
      <c r="B77" s="61"/>
      <c r="C77" s="61"/>
      <c r="D77" s="61"/>
      <c r="E77" s="61"/>
      <c r="F77" s="62"/>
      <c r="G77" s="61"/>
      <c r="H77" s="61"/>
      <c r="I77" s="61"/>
      <c r="J77" s="61"/>
      <c r="K77" s="61"/>
      <c r="L77" s="61"/>
      <c r="M77" s="61"/>
      <c r="N77" s="61"/>
      <c r="O77" s="61"/>
      <c r="P77" s="61"/>
      <c r="Q77" s="61"/>
      <c r="R77" s="61"/>
      <c r="S77" s="61"/>
      <c r="T77" s="61"/>
      <c r="U77" s="61"/>
      <c r="V77" s="61"/>
      <c r="W77" s="61"/>
      <c r="X77" s="61"/>
      <c r="Y77" s="61"/>
      <c r="Z77" s="61"/>
    </row>
    <row r="78">
      <c r="A78" s="54"/>
      <c r="B78" s="69"/>
      <c r="C78" s="69"/>
      <c r="D78" s="69"/>
      <c r="E78" s="69"/>
      <c r="F78" s="71"/>
      <c r="G78" s="67"/>
      <c r="H78" s="69"/>
      <c r="I78" s="69"/>
      <c r="J78" s="69"/>
      <c r="K78" s="69"/>
      <c r="L78" s="72"/>
      <c r="M78" s="67"/>
      <c r="N78" s="67"/>
      <c r="O78" s="67"/>
      <c r="P78" s="67"/>
      <c r="Q78" s="60"/>
      <c r="R78" s="61"/>
      <c r="S78" s="61"/>
      <c r="T78" s="61"/>
      <c r="U78" s="61"/>
      <c r="V78" s="61"/>
      <c r="W78" s="61"/>
      <c r="X78" s="61"/>
      <c r="Y78" s="61"/>
      <c r="Z78" s="61"/>
    </row>
    <row r="79">
      <c r="A79" s="61"/>
      <c r="B79" s="61"/>
      <c r="C79" s="61"/>
      <c r="D79" s="61"/>
      <c r="E79" s="61"/>
      <c r="F79" s="62"/>
      <c r="G79" s="61"/>
      <c r="H79" s="61"/>
      <c r="I79" s="61"/>
      <c r="J79" s="61"/>
      <c r="K79" s="61"/>
      <c r="L79" s="61"/>
      <c r="M79" s="61"/>
      <c r="N79" s="61"/>
      <c r="O79" s="61"/>
      <c r="P79" s="61"/>
      <c r="Q79" s="61"/>
      <c r="R79" s="61"/>
      <c r="S79" s="61"/>
      <c r="T79" s="61"/>
      <c r="U79" s="61"/>
      <c r="V79" s="61"/>
      <c r="W79" s="61"/>
      <c r="X79" s="61"/>
      <c r="Y79" s="61"/>
      <c r="Z79" s="61"/>
    </row>
    <row r="80">
      <c r="A80" s="54"/>
      <c r="B80" s="69"/>
      <c r="C80" s="69"/>
      <c r="D80" s="69"/>
      <c r="E80" s="69"/>
      <c r="F80" s="71"/>
      <c r="G80" s="67"/>
      <c r="H80" s="69"/>
      <c r="I80" s="69"/>
      <c r="J80" s="69"/>
      <c r="K80" s="69"/>
      <c r="L80" s="72"/>
      <c r="M80" s="67"/>
      <c r="N80" s="67"/>
      <c r="O80" s="67"/>
      <c r="P80" s="67"/>
      <c r="Q80" s="60"/>
      <c r="R80" s="61"/>
      <c r="S80" s="61"/>
      <c r="T80" s="61"/>
      <c r="U80" s="61"/>
      <c r="V80" s="61"/>
      <c r="W80" s="61"/>
      <c r="X80" s="61"/>
      <c r="Y80" s="61"/>
      <c r="Z80" s="61"/>
    </row>
    <row r="81">
      <c r="A81" s="61"/>
      <c r="B81" s="61"/>
      <c r="C81" s="61"/>
      <c r="D81" s="61"/>
      <c r="E81" s="61"/>
      <c r="F81" s="62"/>
      <c r="G81" s="61"/>
      <c r="H81" s="61"/>
      <c r="I81" s="61"/>
      <c r="J81" s="61"/>
      <c r="K81" s="61"/>
      <c r="L81" s="61"/>
      <c r="M81" s="61"/>
      <c r="N81" s="61"/>
      <c r="O81" s="61"/>
      <c r="P81" s="61"/>
      <c r="Q81" s="61"/>
      <c r="R81" s="61"/>
      <c r="S81" s="61"/>
      <c r="T81" s="61"/>
      <c r="U81" s="61"/>
      <c r="V81" s="61"/>
      <c r="W81" s="61"/>
      <c r="X81" s="61"/>
      <c r="Y81" s="61"/>
      <c r="Z81" s="61"/>
    </row>
    <row r="82">
      <c r="A82" s="54"/>
      <c r="B82" s="69"/>
      <c r="C82" s="69"/>
      <c r="D82" s="69"/>
      <c r="E82" s="69"/>
      <c r="F82" s="71"/>
      <c r="G82" s="67"/>
      <c r="H82" s="69"/>
      <c r="I82" s="69"/>
      <c r="J82" s="69"/>
      <c r="K82" s="69"/>
      <c r="L82" s="72"/>
      <c r="M82" s="67"/>
      <c r="N82" s="67"/>
      <c r="O82" s="67"/>
      <c r="P82" s="67"/>
      <c r="Q82" s="60"/>
      <c r="R82" s="61"/>
      <c r="S82" s="61"/>
      <c r="T82" s="61"/>
      <c r="U82" s="61"/>
      <c r="V82" s="61"/>
      <c r="W82" s="61"/>
      <c r="X82" s="61"/>
      <c r="Y82" s="61"/>
      <c r="Z82" s="61"/>
    </row>
    <row r="83">
      <c r="A83" s="61"/>
      <c r="B83" s="61"/>
      <c r="C83" s="61"/>
      <c r="D83" s="61"/>
      <c r="E83" s="61"/>
      <c r="F83" s="62"/>
      <c r="G83" s="61"/>
      <c r="H83" s="61"/>
      <c r="I83" s="61"/>
      <c r="J83" s="61"/>
      <c r="K83" s="61"/>
      <c r="L83" s="61"/>
      <c r="M83" s="61"/>
      <c r="N83" s="61"/>
      <c r="O83" s="61"/>
      <c r="P83" s="61"/>
      <c r="Q83" s="61"/>
      <c r="R83" s="61"/>
      <c r="S83" s="61"/>
      <c r="T83" s="61"/>
      <c r="U83" s="61"/>
      <c r="V83" s="61"/>
      <c r="W83" s="61"/>
      <c r="X83" s="61"/>
      <c r="Y83" s="61"/>
      <c r="Z83" s="61"/>
    </row>
    <row r="84">
      <c r="A84" s="54"/>
      <c r="B84" s="69"/>
      <c r="C84" s="69"/>
      <c r="D84" s="69"/>
      <c r="E84" s="69"/>
      <c r="F84" s="69"/>
      <c r="G84" s="67"/>
      <c r="H84" s="69"/>
      <c r="I84" s="69"/>
      <c r="J84" s="69"/>
      <c r="K84" s="69"/>
      <c r="L84" s="72"/>
      <c r="M84" s="67"/>
      <c r="N84" s="67"/>
      <c r="O84" s="67"/>
      <c r="P84" s="67"/>
      <c r="Q84" s="60"/>
      <c r="R84" s="61"/>
      <c r="S84" s="61"/>
      <c r="T84" s="61"/>
      <c r="U84" s="61"/>
      <c r="V84" s="61"/>
      <c r="W84" s="61"/>
      <c r="X84" s="61"/>
      <c r="Y84" s="61"/>
      <c r="Z84" s="61"/>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row>
    <row r="10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row>
    <row r="1004">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row>
  </sheetData>
  <mergeCells count="2">
    <mergeCell ref="O5:O6"/>
    <mergeCell ref="P5:P6"/>
  </mergeCells>
  <dataValidations>
    <dataValidation type="list" allowBlank="1" showErrorMessage="1" sqref="P10 P12 P14 P16 P18 P20 P22 P24 P26 P28 P30 P32 P34 P36 P38 P40 P42 P44 P46 P48 P50 P52 P54 P56 P58 P60 P62 P64 P66 P68 P70 P72 P74 P76 P78 P80 P82 P84">
      <formula1>"Front-End,Back-End,AI,UI/UX,App"</formula1>
    </dataValidation>
    <dataValidation type="list" allowBlank="1" showErrorMessage="1" sqref="O10 O12 O14 O16 O18 O20 O22 O24 O26 O28 O30 O32 O34 O36 O38 O40 O42 O44 O46 O48 O50 O52 O54 O56 O58 O60 O62 O64 O66 O68 O70 O72 O74 O76 O78 O80 O82 O84">
      <formula1>"Solved,Unsolved"</formula1>
    </dataValidation>
    <dataValidation type="list" allowBlank="1" showErrorMessage="1" sqref="N10 N12 N14 N16 N18 N20 N22 N24 N26 N28 N30 N32 N34 N36 N38 N40 N42 N44 N46 N48 N50 N52 N54 N56 N58 N60 N62 N64 N66 N68 N70 N72 N74 N76 N78 N80 N82 N84">
      <formula1>"Solved,Unsolve"</formula1>
    </dataValidation>
    <dataValidation type="list" allowBlank="1" showErrorMessage="1" sqref="J10 J12 J14 J16 J18 J20 J22 J24 J26 J28 J30 J32 J34 J36 J38 J40 J42 J44 J46 J48 J50 J52 J54 J56 J58 J60 J62 J64 J66 J68 J70 J72 J74 J76 J78 J80 J82 J84">
      <formula1>"Pass,Fail"</formula1>
    </dataValidation>
    <dataValidation type="list" allowBlank="1" showErrorMessage="1" sqref="K10 K12 K14 K16 K18 K20 K22 K24 K26 K28 K30 K32 K34 K36 K38 K40 K42 K44 K46 K48 K50 K52 K54 K56 K58 K60 K62 K64 K66 K68 K70 K72 K74 K76 K78 K80 K82 K84">
      <formula1>"High,Medium,Low"</formula1>
    </dataValidation>
  </dataValidations>
  <hyperlinks>
    <hyperlink r:id="rId1" ref="G2"/>
    <hyperlink r:id="rId2" ref="L10"/>
    <hyperlink r:id="rId3" ref="M10"/>
    <hyperlink r:id="rId4" ref="L12"/>
    <hyperlink r:id="rId5" ref="L14"/>
    <hyperlink r:id="rId6" ref="L16"/>
    <hyperlink r:id="rId7" ref="L18"/>
    <hyperlink r:id="rId8" ref="L20"/>
    <hyperlink r:id="rId9" ref="L22"/>
    <hyperlink r:id="rId10" ref="L24"/>
    <hyperlink r:id="rId11" ref="L26"/>
    <hyperlink r:id="rId12" ref="L28"/>
    <hyperlink r:id="rId13" ref="L30"/>
    <hyperlink r:id="rId14" ref="L32"/>
    <hyperlink r:id="rId15" ref="L34"/>
    <hyperlink r:id="rId16" ref="L36"/>
    <hyperlink r:id="rId17" ref="L38"/>
    <hyperlink r:id="rId18" ref="L40"/>
    <hyperlink r:id="rId19" ref="L42"/>
    <hyperlink r:id="rId20" ref="L44"/>
    <hyperlink r:id="rId21" ref="L46"/>
    <hyperlink r:id="rId22" ref="L48"/>
    <hyperlink r:id="rId23" ref="L50"/>
    <hyperlink r:id="rId24" ref="L52"/>
    <hyperlink r:id="rId25" ref="L54"/>
    <hyperlink r:id="rId26" ref="L56"/>
    <hyperlink r:id="rId27" ref="L58"/>
    <hyperlink r:id="rId28" ref="L60"/>
    <hyperlink r:id="rId29" ref="L62"/>
    <hyperlink r:id="rId30" ref="L64"/>
    <hyperlink r:id="rId31" ref="L66"/>
    <hyperlink r:id="rId32" ref="L68"/>
    <hyperlink r:id="rId33" ref="L70"/>
    <hyperlink r:id="rId34" ref="L72"/>
    <hyperlink r:id="rId35" ref="L74"/>
    <hyperlink r:id="rId36" ref="L76"/>
  </hyperlinks>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2.5"/>
    <col customWidth="1" min="3" max="3" width="19.63"/>
    <col customWidth="1" min="4" max="4" width="11.25"/>
    <col customWidth="1" min="5" max="5" width="12.63"/>
    <col customWidth="1" min="6" max="6" width="16.38"/>
  </cols>
  <sheetData>
    <row r="1">
      <c r="A1" s="73" t="s">
        <v>14</v>
      </c>
      <c r="B1" s="73" t="s">
        <v>15</v>
      </c>
      <c r="C1" s="74" t="s">
        <v>13</v>
      </c>
      <c r="D1" s="73" t="s">
        <v>266</v>
      </c>
      <c r="E1" s="73" t="s">
        <v>267</v>
      </c>
      <c r="F1" s="75" t="s">
        <v>268</v>
      </c>
      <c r="G1" s="76"/>
      <c r="H1" s="76"/>
      <c r="I1" s="76"/>
      <c r="J1" s="76"/>
      <c r="K1" s="76"/>
      <c r="L1" s="76"/>
      <c r="M1" s="76"/>
      <c r="N1" s="76"/>
      <c r="O1" s="76"/>
      <c r="P1" s="76"/>
      <c r="Q1" s="76"/>
      <c r="R1" s="76"/>
      <c r="S1" s="76"/>
      <c r="T1" s="76"/>
      <c r="U1" s="76"/>
      <c r="V1" s="76"/>
      <c r="W1" s="76"/>
      <c r="X1" s="76"/>
      <c r="Y1" s="76"/>
      <c r="Z1" s="76"/>
      <c r="AA1" s="76"/>
    </row>
    <row r="2">
      <c r="A2" s="77" t="str">
        <f>IFERROR(__xludf.DUMMYFUNCTION("SORT(
  SPLIT(
    UNIQUE(
      FILTER('Main Report'!B11:B100 &amp; ""♦"" &amp; 'Main Report'!C11:C100, LEN('Main Report'!C11:C100))
    ),
    ""♦""
  ),
  1, TRUE, 2, TRUE
)
"),"Achievement")</f>
        <v>Achievement</v>
      </c>
      <c r="B2" s="77" t="str">
        <f>IFERROR(__xludf.DUMMYFUNCTION("""COMPUTED_VALUE"""),"Achievement")</f>
        <v>Achievement</v>
      </c>
      <c r="C2" s="77" t="str">
        <f>IFERROR(__xludf.DUMMYFUNCTION("TEXTJOIN("", "", TRUE, 
  FILTER('Main Report'!A11:A100, 
    ('Main Report'!B11:B100=A2) * ('Main Report'!C11:C100=B2)
  )
)
"),"BR-001, BR-002")</f>
        <v>BR-001, BR-002</v>
      </c>
      <c r="D2" s="77">
        <f>IFERROR(__xludf.DUMMYFUNCTION("COUNTA(UNIQUE(TRANSPOSE(SPLIT(C2, "", ""))))
"),2.0)</f>
        <v>2</v>
      </c>
      <c r="E2" s="77" t="str">
        <f>IF(D2="", "", TEXT((D2 / 'Main Report'!$E$7), "0.00%"))
</f>
        <v>5.88%</v>
      </c>
      <c r="F2" s="78" t="str">
        <f>IFERROR(__xludf.DUMMYFUNCTION("IF(C2="""", """", 
   TEXTJOIN("", "", TRUE, 
      ""High: "" &amp; COUNTIF(FILTER('Main Report'!K11:K100, ISNUMBER(MATCH('Main Report'!A11:A100, SPLIT(C2, "", ""), 0))), ""High"") &amp; CHAR(10) &amp;
      ""Medium: "" &amp; COUNTIF(FILTER('Main Report'!K11:K100, ISNU"&amp;"MBER(MATCH('Main Report'!A11:A100, SPLIT(C2, "", ""), 0))), ""Medium"") &amp; CHAR(10) &amp;
      ""Low: "" &amp; COUNTIF(FILTER('Main Report'!K11:K100, ISNUMBER(MATCH('Main Report'!A11:A100, SPLIT(C2, "", ""), 0))), ""Low"")
   )
)
"),"High: 1
Medium: 1
Low: 0")</f>
        <v>High: 1
Medium: 1
Low: 0</v>
      </c>
      <c r="G2" s="76"/>
      <c r="H2" s="76"/>
      <c r="I2" s="76"/>
      <c r="J2" s="76"/>
      <c r="K2" s="76"/>
      <c r="L2" s="76"/>
      <c r="M2" s="76"/>
      <c r="N2" s="76"/>
      <c r="O2" s="76"/>
      <c r="P2" s="76"/>
      <c r="Q2" s="76"/>
      <c r="R2" s="76"/>
      <c r="S2" s="76"/>
      <c r="T2" s="76"/>
      <c r="U2" s="76"/>
      <c r="V2" s="76"/>
      <c r="W2" s="76"/>
      <c r="X2" s="76"/>
      <c r="Y2" s="76"/>
      <c r="Z2" s="76"/>
      <c r="AA2" s="76"/>
    </row>
    <row r="3">
      <c r="A3" s="79" t="str">
        <f>IFERROR(__xludf.DUMMYFUNCTION("""COMPUTED_VALUE"""),"Challenge")</f>
        <v>Challenge</v>
      </c>
      <c r="B3" s="79" t="str">
        <f>IFERROR(__xludf.DUMMYFUNCTION("""COMPUTED_VALUE"""),"Challenge")</f>
        <v>Challenge</v>
      </c>
      <c r="C3" s="79" t="str">
        <f>IFERROR(__xludf.DUMMYFUNCTION("TEXTJOIN("", "", TRUE, 
  FILTER('Main Report'!A12:A101, 
    ('Main Report'!B12:B101=A3) * ('Main Report'!C12:C101=B3)
  )
)
"),"BR-003, BR-004, BR-005, BR-006, BR-007, BR-008, BR-009")</f>
        <v>BR-003, BR-004, BR-005, BR-006, BR-007, BR-008, BR-009</v>
      </c>
      <c r="D3" s="77">
        <f>IFERROR(__xludf.DUMMYFUNCTION("COUNTA(UNIQUE(TRANSPOSE(SPLIT(C3, "", ""))))
"),7.0)</f>
        <v>7</v>
      </c>
      <c r="E3" s="79" t="str">
        <f>IF(D3="", "", TEXT((D3 / 'Main Report'!$E$7), "0.00%"))
</f>
        <v>20.59%</v>
      </c>
      <c r="F3" s="80" t="str">
        <f>IFERROR(__xludf.DUMMYFUNCTION("IF(C3="""", """", 
   TEXTJOIN("", "", TRUE, 
      ""High: "" &amp; COUNTIF(FILTER('Main Report'!K12:K101, ISNUMBER(MATCH('Main Report'!A12:A101, SPLIT(C3, "", ""), 0))), ""High"") &amp; CHAR(10) &amp;
      ""Medium: "" &amp; COUNTIF(FILTER('Main Report'!K12:K101, ISNU"&amp;"MBER(MATCH('Main Report'!A12:A101, SPLIT(C3, "", ""), 0))), ""Medium"") &amp; CHAR(10) &amp;
      ""Low: "" &amp; COUNTIF(FILTER('Main Report'!K12:K101, ISNUMBER(MATCH('Main Report'!A12:A101, SPLIT(C3, "", ""), 0))), ""Low"")
   )
)
"),"High: 6
Medium: 1
Low: 0")</f>
        <v>High: 6
Medium: 1
Low: 0</v>
      </c>
      <c r="G3" s="76"/>
      <c r="H3" s="76"/>
      <c r="I3" s="76"/>
      <c r="J3" s="76"/>
      <c r="K3" s="76"/>
      <c r="L3" s="76"/>
      <c r="M3" s="76"/>
      <c r="N3" s="76"/>
      <c r="O3" s="76"/>
      <c r="P3" s="76"/>
      <c r="Q3" s="76"/>
      <c r="R3" s="76"/>
      <c r="S3" s="76"/>
      <c r="T3" s="76"/>
      <c r="U3" s="76"/>
      <c r="V3" s="76"/>
      <c r="W3" s="76"/>
      <c r="X3" s="76"/>
      <c r="Y3" s="76"/>
      <c r="Z3" s="76"/>
      <c r="AA3" s="76"/>
    </row>
    <row r="4">
      <c r="A4" s="79" t="str">
        <f>IFERROR(__xludf.DUMMYFUNCTION("""COMPUTED_VALUE"""),"Daily Task")</f>
        <v>Daily Task</v>
      </c>
      <c r="B4" s="79" t="str">
        <f>IFERROR(__xludf.DUMMYFUNCTION("""COMPUTED_VALUE"""),"Daily Task")</f>
        <v>Daily Task</v>
      </c>
      <c r="C4" s="79" t="str">
        <f>IFERROR(__xludf.DUMMYFUNCTION("TEXTJOIN("", "", TRUE, 
  FILTER('Main Report'!A13:A102, 
    ('Main Report'!B13:B102=A4) * ('Main Report'!C13:C102=B4)
  )
)
"),"BR-010")</f>
        <v>BR-010</v>
      </c>
      <c r="D4" s="77">
        <f>IFERROR(__xludf.DUMMYFUNCTION("COUNTA(UNIQUE(TRANSPOSE(SPLIT(C4, "", ""))))
"),1.0)</f>
        <v>1</v>
      </c>
      <c r="E4" s="79" t="str">
        <f>IF(D4="", "", TEXT((D4 / 'Main Report'!$E$7), "0.00%"))
</f>
        <v>2.94%</v>
      </c>
      <c r="F4" s="80" t="str">
        <f>IFERROR(__xludf.DUMMYFUNCTION("IF(C4="""", """", 
   TEXTJOIN("", "", TRUE, 
      ""High: "" &amp; COUNTIF(FILTER('Main Report'!K13:K102, ISNUMBER(MATCH('Main Report'!A13:A102, SPLIT(C4, "", ""), 0))), ""High"") &amp; CHAR(10) &amp;
      ""Medium: "" &amp; COUNTIF(FILTER('Main Report'!K13:K102, ISNU"&amp;"MBER(MATCH('Main Report'!A13:A102, SPLIT(C4, "", ""), 0))), ""Medium"") &amp; CHAR(10) &amp;
      ""Low: "" &amp; COUNTIF(FILTER('Main Report'!K13:K102, ISNUMBER(MATCH('Main Report'!A13:A102, SPLIT(C4, "", ""), 0))), ""Low"")
   )
)
"),"High: 0
Medium: 1
Low: 0")</f>
        <v>High: 0
Medium: 1
Low: 0</v>
      </c>
      <c r="G4" s="76"/>
      <c r="H4" s="76"/>
      <c r="I4" s="76"/>
      <c r="J4" s="76"/>
      <c r="K4" s="76"/>
      <c r="L4" s="76"/>
      <c r="M4" s="76"/>
      <c r="N4" s="76"/>
      <c r="O4" s="76"/>
      <c r="P4" s="76"/>
      <c r="Q4" s="76"/>
      <c r="R4" s="76"/>
      <c r="S4" s="76"/>
      <c r="T4" s="76"/>
      <c r="U4" s="76"/>
      <c r="V4" s="76"/>
      <c r="W4" s="76"/>
      <c r="X4" s="76"/>
      <c r="Y4" s="76"/>
      <c r="Z4" s="76"/>
      <c r="AA4" s="76"/>
    </row>
    <row r="5">
      <c r="A5" s="79" t="str">
        <f>IFERROR(__xludf.DUMMYFUNCTION("""COMPUTED_VALUE"""),"Delete Account")</f>
        <v>Delete Account</v>
      </c>
      <c r="B5" s="79" t="str">
        <f>IFERROR(__xludf.DUMMYFUNCTION("""COMPUTED_VALUE"""),"Delete Account")</f>
        <v>Delete Account</v>
      </c>
      <c r="C5" s="79" t="str">
        <f>IFERROR(__xludf.DUMMYFUNCTION("TEXTJOIN("", "", TRUE, 
  FILTER('Main Report'!A14:A103, 
    ('Main Report'!B14:B103=A5) * ('Main Report'!C14:C103=B5)
  )
)
"),"BR-011")</f>
        <v>BR-011</v>
      </c>
      <c r="D5" s="77">
        <f>IFERROR(__xludf.DUMMYFUNCTION("COUNTA(UNIQUE(TRANSPOSE(SPLIT(C5, "", ""))))
"),1.0)</f>
        <v>1</v>
      </c>
      <c r="E5" s="79" t="str">
        <f>IF(D5="", "", TEXT((D5 / 'Main Report'!$E$7), "0.00%"))
</f>
        <v>2.94%</v>
      </c>
      <c r="F5" s="80" t="str">
        <f>IFERROR(__xludf.DUMMYFUNCTION("IF(C5="""", """", 
   TEXTJOIN("", "", TRUE, 
      ""High: "" &amp; COUNTIF(FILTER('Main Report'!K14:K103, ISNUMBER(MATCH('Main Report'!A14:A103, SPLIT(C5, "", ""), 0))), ""High"") &amp; CHAR(10) &amp;
      ""Medium: "" &amp; COUNTIF(FILTER('Main Report'!K14:K103, ISNU"&amp;"MBER(MATCH('Main Report'!A14:A103, SPLIT(C5, "", ""), 0))), ""Medium"") &amp; CHAR(10) &amp;
      ""Low: "" &amp; COUNTIF(FILTER('Main Report'!K14:K103, ISNUMBER(MATCH('Main Report'!A14:A103, SPLIT(C5, "", ""), 0))), ""Low"")
   )
)
"),"High: 1
Medium: 0
Low: 0")</f>
        <v>High: 1
Medium: 0
Low: 0</v>
      </c>
      <c r="G5" s="76"/>
      <c r="H5" s="76"/>
      <c r="I5" s="76"/>
      <c r="J5" s="76"/>
      <c r="K5" s="76"/>
      <c r="L5" s="76"/>
      <c r="M5" s="76"/>
      <c r="N5" s="76"/>
      <c r="O5" s="76"/>
      <c r="P5" s="76"/>
      <c r="Q5" s="76"/>
      <c r="R5" s="76"/>
      <c r="S5" s="76"/>
      <c r="T5" s="76"/>
      <c r="U5" s="76"/>
      <c r="V5" s="76"/>
      <c r="W5" s="76"/>
      <c r="X5" s="76"/>
      <c r="Y5" s="76"/>
      <c r="Z5" s="76"/>
      <c r="AA5" s="76"/>
    </row>
    <row r="6">
      <c r="A6" s="79" t="str">
        <f>IFERROR(__xludf.DUMMYFUNCTION("""COMPUTED_VALUE"""),"Forget Password")</f>
        <v>Forget Password</v>
      </c>
      <c r="B6" s="79" t="str">
        <f>IFERROR(__xludf.DUMMYFUNCTION("""COMPUTED_VALUE"""),"Forget Password")</f>
        <v>Forget Password</v>
      </c>
      <c r="C6" s="79" t="str">
        <f>IFERROR(__xludf.DUMMYFUNCTION("TEXTJOIN("", "", TRUE, 
  FILTER('Main Report'!A15:A104, 
    ('Main Report'!B15:B104=A6) * ('Main Report'!C15:C104=B6)
  )
)
"),"BR-012")</f>
        <v>BR-012</v>
      </c>
      <c r="D6" s="77">
        <f>IFERROR(__xludf.DUMMYFUNCTION("COUNTA(UNIQUE(TRANSPOSE(SPLIT(C6, "", ""))))
"),1.0)</f>
        <v>1</v>
      </c>
      <c r="E6" s="79" t="str">
        <f>IF(D6="", "", TEXT((D6 / 'Main Report'!$E$7), "0.00%"))
</f>
        <v>2.94%</v>
      </c>
      <c r="F6" s="80"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1
Medium: 0
Low: 0")</f>
        <v>High: 1
Medium: 0
Low: 0</v>
      </c>
      <c r="G6" s="76"/>
      <c r="H6" s="76"/>
      <c r="I6" s="76"/>
      <c r="J6" s="76"/>
      <c r="K6" s="76"/>
      <c r="L6" s="76"/>
      <c r="M6" s="76"/>
      <c r="N6" s="76"/>
      <c r="O6" s="76"/>
      <c r="P6" s="76"/>
      <c r="Q6" s="76"/>
      <c r="R6" s="76"/>
      <c r="S6" s="76"/>
      <c r="T6" s="76"/>
      <c r="U6" s="76"/>
      <c r="V6" s="76"/>
      <c r="W6" s="76"/>
      <c r="X6" s="76"/>
      <c r="Y6" s="76"/>
      <c r="Z6" s="76"/>
      <c r="AA6" s="76"/>
    </row>
    <row r="7">
      <c r="A7" s="79" t="str">
        <f>IFERROR(__xludf.DUMMYFUNCTION("""COMPUTED_VALUE"""),"Help &amp; Support")</f>
        <v>Help &amp; Support</v>
      </c>
      <c r="B7" s="79" t="str">
        <f>IFERROR(__xludf.DUMMYFUNCTION("""COMPUTED_VALUE"""),"Contact Support")</f>
        <v>Contact Support</v>
      </c>
      <c r="C7" s="79" t="str">
        <f>IFERROR(__xludf.DUMMYFUNCTION("TEXTJOIN("", "", TRUE, 
  FILTER('Main Report'!A16:A105, 
    ('Main Report'!B16:B105=A7) * ('Main Report'!C16:C105=B7)
  )
)
"),"BR-013")</f>
        <v>BR-013</v>
      </c>
      <c r="D7" s="77">
        <f>IFERROR(__xludf.DUMMYFUNCTION("COUNTA(UNIQUE(TRANSPOSE(SPLIT(C7, "", ""))))
"),1.0)</f>
        <v>1</v>
      </c>
      <c r="E7" s="79" t="str">
        <f>IF(D7="", "", TEXT((D7 / 'Main Report'!$E$7), "0.00%"))
</f>
        <v>2.94%</v>
      </c>
      <c r="F7" s="80"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0
Medium: 1
Low: 0")</f>
        <v>High: 0
Medium: 1
Low: 0</v>
      </c>
      <c r="G7" s="76"/>
      <c r="H7" s="76"/>
      <c r="I7" s="76"/>
      <c r="J7" s="76"/>
      <c r="K7" s="76"/>
      <c r="L7" s="76"/>
      <c r="M7" s="76"/>
      <c r="N7" s="76"/>
      <c r="O7" s="76"/>
      <c r="P7" s="76"/>
      <c r="Q7" s="76"/>
      <c r="R7" s="76"/>
      <c r="S7" s="76"/>
      <c r="T7" s="76"/>
      <c r="U7" s="76"/>
      <c r="V7" s="76"/>
      <c r="W7" s="76"/>
      <c r="X7" s="76"/>
      <c r="Y7" s="76"/>
      <c r="Z7" s="76"/>
      <c r="AA7" s="76"/>
    </row>
    <row r="8">
      <c r="A8" s="79" t="str">
        <f>IFERROR(__xludf.DUMMYFUNCTION("""COMPUTED_VALUE"""),"Home")</f>
        <v>Home</v>
      </c>
      <c r="B8" s="79" t="str">
        <f>IFERROR(__xludf.DUMMYFUNCTION("""COMPUTED_VALUE"""),"Home")</f>
        <v>Home</v>
      </c>
      <c r="C8" s="79" t="str">
        <f>IFERROR(__xludf.DUMMYFUNCTION("TEXTJOIN("", "", TRUE, 
  FILTER('Main Report'!A17:A106, 
    ('Main Report'!B17:B106=A8) * ('Main Report'!C17:C106=B8)
  )
)
"),"BR-014, BR-015")</f>
        <v>BR-014, BR-015</v>
      </c>
      <c r="D8" s="77">
        <f>IFERROR(__xludf.DUMMYFUNCTION("COUNTA(UNIQUE(TRANSPOSE(SPLIT(C8, "", ""))))
"),2.0)</f>
        <v>2</v>
      </c>
      <c r="E8" s="79" t="str">
        <f>IF(D8="", "", TEXT((D8 / 'Main Report'!$E$7), "0.00%"))
</f>
        <v>5.88%</v>
      </c>
      <c r="F8" s="80"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0
Low: 0")</f>
        <v>High: 2
Medium: 0
Low: 0</v>
      </c>
      <c r="G8" s="76"/>
      <c r="H8" s="76"/>
      <c r="I8" s="76"/>
      <c r="J8" s="76"/>
      <c r="K8" s="76"/>
      <c r="L8" s="76"/>
      <c r="M8" s="76"/>
      <c r="N8" s="76"/>
      <c r="O8" s="76"/>
      <c r="P8" s="76"/>
      <c r="Q8" s="76"/>
      <c r="R8" s="76"/>
      <c r="S8" s="76"/>
      <c r="T8" s="76"/>
      <c r="U8" s="76"/>
      <c r="V8" s="76"/>
      <c r="W8" s="76"/>
      <c r="X8" s="76"/>
      <c r="Y8" s="76"/>
      <c r="Z8" s="76"/>
      <c r="AA8" s="76"/>
    </row>
    <row r="9">
      <c r="A9" s="79" t="str">
        <f>IFERROR(__xludf.DUMMYFUNCTION("""COMPUTED_VALUE"""),"Login")</f>
        <v>Login</v>
      </c>
      <c r="B9" s="79" t="str">
        <f>IFERROR(__xludf.DUMMYFUNCTION("""COMPUTED_VALUE"""),"Login")</f>
        <v>Login</v>
      </c>
      <c r="C9" s="79" t="str">
        <f>IFERROR(__xludf.DUMMYFUNCTION("TEXTJOIN("", "", TRUE, 
  FILTER('Main Report'!A18:A107, 
    ('Main Report'!B18:B107=A9) * ('Main Report'!C18:C107=B9)
  )
)
"),"BR-016, BR-017, BR-018")</f>
        <v>BR-016, BR-017, BR-018</v>
      </c>
      <c r="D9" s="77">
        <f>IFERROR(__xludf.DUMMYFUNCTION("COUNTA(UNIQUE(TRANSPOSE(SPLIT(C9, "", ""))))
"),3.0)</f>
        <v>3</v>
      </c>
      <c r="E9" s="79" t="str">
        <f>IF(D9="", "", TEXT((D9 / 'Main Report'!$E$7), "0.00%"))
</f>
        <v>8.82%</v>
      </c>
      <c r="F9" s="80"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3
Medium: 0
Low: 0")</f>
        <v>High: 3
Medium: 0
Low: 0</v>
      </c>
      <c r="G9" s="76"/>
      <c r="H9" s="76"/>
      <c r="I9" s="76"/>
      <c r="J9" s="76"/>
      <c r="K9" s="76"/>
      <c r="L9" s="76"/>
      <c r="M9" s="76"/>
      <c r="N9" s="76"/>
      <c r="O9" s="76"/>
      <c r="P9" s="76"/>
      <c r="Q9" s="76"/>
      <c r="R9" s="76"/>
      <c r="S9" s="76"/>
      <c r="T9" s="76"/>
      <c r="U9" s="76"/>
      <c r="V9" s="76"/>
      <c r="W9" s="76"/>
      <c r="X9" s="76"/>
      <c r="Y9" s="76"/>
      <c r="Z9" s="76"/>
      <c r="AA9" s="76"/>
    </row>
    <row r="10">
      <c r="A10" s="79" t="str">
        <f>IFERROR(__xludf.DUMMYFUNCTION("""COMPUTED_VALUE"""),"OTP")</f>
        <v>OTP</v>
      </c>
      <c r="B10" s="79" t="str">
        <f>IFERROR(__xludf.DUMMYFUNCTION("""COMPUTED_VALUE"""),"OTP")</f>
        <v>OTP</v>
      </c>
      <c r="C10" s="79" t="str">
        <f>IFERROR(__xludf.DUMMYFUNCTION("TEXTJOIN("", "", TRUE, 
  FILTER('Main Report'!A19:A108, 
    ('Main Report'!B19:B108=A10) * ('Main Report'!C19:C108=B10)
  )
)
"),"BR-019")</f>
        <v>BR-019</v>
      </c>
      <c r="D10" s="77">
        <f>IFERROR(__xludf.DUMMYFUNCTION("COUNTA(UNIQUE(TRANSPOSE(SPLIT(C10, "", ""))))
"),1.0)</f>
        <v>1</v>
      </c>
      <c r="E10" s="79" t="str">
        <f>IF(D10="", "", TEXT((D10 / 'Main Report'!$E$7), "0.00%"))
</f>
        <v>2.94%</v>
      </c>
      <c r="F10" s="80"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"),"High: 0
Medium: 1
Low: 0")</f>
        <v>High: 0
Medium: 1
Low: 0</v>
      </c>
      <c r="G10" s="76"/>
      <c r="H10" s="76"/>
      <c r="I10" s="76"/>
      <c r="J10" s="76"/>
      <c r="K10" s="76"/>
      <c r="L10" s="76"/>
      <c r="M10" s="76"/>
      <c r="N10" s="76"/>
      <c r="O10" s="76"/>
      <c r="P10" s="76"/>
      <c r="Q10" s="76"/>
      <c r="R10" s="76"/>
      <c r="S10" s="76"/>
      <c r="T10" s="76"/>
      <c r="U10" s="76"/>
      <c r="V10" s="76"/>
      <c r="W10" s="76"/>
      <c r="X10" s="76"/>
      <c r="Y10" s="76"/>
      <c r="Z10" s="76"/>
      <c r="AA10" s="76"/>
    </row>
    <row r="11">
      <c r="A11" s="79" t="str">
        <f>IFERROR(__xludf.DUMMYFUNCTION("""COMPUTED_VALUE"""),"Password")</f>
        <v>Password</v>
      </c>
      <c r="B11" s="79" t="str">
        <f>IFERROR(__xludf.DUMMYFUNCTION("""COMPUTED_VALUE"""),"Password")</f>
        <v>Password</v>
      </c>
      <c r="C11" s="79" t="str">
        <f>IFERROR(__xludf.DUMMYFUNCTION("TEXTJOIN("", "", TRUE, 
  FILTER('Main Report'!A20:A109, 
    ('Main Report'!B20:B109=A11) * ('Main Report'!C20:C109=B11)
  )
)
"),"BR-020")</f>
        <v>BR-020</v>
      </c>
      <c r="D11" s="77">
        <f>IFERROR(__xludf.DUMMYFUNCTION("COUNTA(UNIQUE(TRANSPOSE(SPLIT(C11, "", ""))))
"),1.0)</f>
        <v>1</v>
      </c>
      <c r="E11" s="79" t="str">
        <f>IF(D11="", "", TEXT((D11 / 'Main Report'!$E$7), "0.00%"))
</f>
        <v>2.94%</v>
      </c>
      <c r="F11" s="80"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"),"High: 0
Medium: 0
Low: 1")</f>
        <v>High: 0
Medium: 0
Low: 1</v>
      </c>
      <c r="G11" s="76"/>
      <c r="H11" s="76"/>
      <c r="I11" s="76"/>
      <c r="J11" s="76"/>
      <c r="K11" s="76"/>
      <c r="L11" s="76"/>
      <c r="M11" s="76"/>
      <c r="N11" s="76"/>
      <c r="O11" s="76"/>
      <c r="P11" s="76"/>
      <c r="Q11" s="76"/>
      <c r="R11" s="76"/>
      <c r="S11" s="76"/>
      <c r="T11" s="76"/>
      <c r="U11" s="76"/>
      <c r="V11" s="76"/>
      <c r="W11" s="76"/>
      <c r="X11" s="76"/>
      <c r="Y11" s="76"/>
      <c r="Z11" s="76"/>
      <c r="AA11" s="76"/>
    </row>
    <row r="12">
      <c r="A12" s="79" t="str">
        <f>IFERROR(__xludf.DUMMYFUNCTION("""COMPUTED_VALUE"""),"Preferences")</f>
        <v>Preferences</v>
      </c>
      <c r="B12" s="79" t="str">
        <f>IFERROR(__xludf.DUMMYFUNCTION("""COMPUTED_VALUE"""),"Preferences")</f>
        <v>Preferences</v>
      </c>
      <c r="C12" s="79" t="str">
        <f>IFERROR(__xludf.DUMMYFUNCTION("TEXTJOIN("", "", TRUE, 
  FILTER('Main Report'!A21:A110, 
    ('Main Report'!B21:B110=A12) * ('Main Report'!C21:C110=B12)
  )
)
"),"BR-021")</f>
        <v>BR-021</v>
      </c>
      <c r="D12" s="77">
        <f>IFERROR(__xludf.DUMMYFUNCTION("COUNTA(UNIQUE(TRANSPOSE(SPLIT(C12, "", ""))))
"),1.0)</f>
        <v>1</v>
      </c>
      <c r="E12" s="79" t="str">
        <f>IF(D12="", "", TEXT((D12 / 'Main Report'!$E$7), "0.00%"))
</f>
        <v>2.94%</v>
      </c>
      <c r="F12" s="80"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"),"High: 1
Medium: 0
Low: 0")</f>
        <v>High: 1
Medium: 0
Low: 0</v>
      </c>
      <c r="G12" s="76"/>
      <c r="H12" s="76"/>
      <c r="I12" s="76"/>
      <c r="J12" s="76"/>
      <c r="K12" s="76"/>
      <c r="L12" s="76"/>
      <c r="M12" s="76"/>
      <c r="N12" s="76"/>
      <c r="O12" s="76"/>
      <c r="P12" s="76"/>
      <c r="Q12" s="76"/>
      <c r="R12" s="76"/>
      <c r="S12" s="76"/>
      <c r="T12" s="76"/>
      <c r="U12" s="76"/>
      <c r="V12" s="76"/>
      <c r="W12" s="76"/>
      <c r="X12" s="76"/>
      <c r="Y12" s="76"/>
      <c r="Z12" s="76"/>
      <c r="AA12" s="76"/>
    </row>
    <row r="13">
      <c r="A13" s="79" t="str">
        <f>IFERROR(__xludf.DUMMYFUNCTION("""COMPUTED_VALUE"""),"Privacy Policy")</f>
        <v>Privacy Policy</v>
      </c>
      <c r="B13" s="79" t="str">
        <f>IFERROR(__xludf.DUMMYFUNCTION("""COMPUTED_VALUE"""),"Privacy Policy")</f>
        <v>Privacy Policy</v>
      </c>
      <c r="C13" s="79" t="str">
        <f>IFERROR(__xludf.DUMMYFUNCTION("TEXTJOIN("", "", TRUE, 
  FILTER('Main Report'!A22:A111, 
    ('Main Report'!B22:B111=A13) * ('Main Report'!C22:C111=B13)
  )
)
"),"BR-022")</f>
        <v>BR-022</v>
      </c>
      <c r="D13" s="77">
        <f>IFERROR(__xludf.DUMMYFUNCTION("COUNTA(UNIQUE(TRANSPOSE(SPLIT(C13, "", ""))))
"),1.0)</f>
        <v>1</v>
      </c>
      <c r="E13" s="79" t="str">
        <f>IF(D13="", "", TEXT((D13 / 'Main Report'!$E$7), "0.00%"))
</f>
        <v>2.94%</v>
      </c>
      <c r="F13" s="80"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"),"High: 0
Medium: 1
Low: 0")</f>
        <v>High: 0
Medium: 1
Low: 0</v>
      </c>
      <c r="G13" s="76"/>
      <c r="H13" s="76"/>
      <c r="I13" s="76"/>
      <c r="J13" s="76"/>
      <c r="K13" s="76"/>
      <c r="L13" s="76"/>
      <c r="M13" s="76"/>
      <c r="N13" s="76"/>
      <c r="O13" s="76"/>
      <c r="P13" s="76"/>
      <c r="Q13" s="76"/>
      <c r="R13" s="76"/>
      <c r="S13" s="76"/>
      <c r="T13" s="76"/>
      <c r="U13" s="76"/>
      <c r="V13" s="76"/>
      <c r="W13" s="76"/>
      <c r="X13" s="76"/>
      <c r="Y13" s="76"/>
      <c r="Z13" s="76"/>
      <c r="AA13" s="76"/>
    </row>
    <row r="14">
      <c r="A14" s="79" t="str">
        <f>IFERROR(__xludf.DUMMYFUNCTION("""COMPUTED_VALUE"""),"Profile")</f>
        <v>Profile</v>
      </c>
      <c r="B14" s="79" t="str">
        <f>IFERROR(__xludf.DUMMYFUNCTION("""COMPUTED_VALUE"""),"Profile")</f>
        <v>Profile</v>
      </c>
      <c r="C14" s="79" t="str">
        <f>IFERROR(__xludf.DUMMYFUNCTION("TEXTJOIN("", "", TRUE, 
  FILTER('Main Report'!A23:A112, 
    ('Main Report'!B23:B112=A14) * ('Main Report'!C23:C112=B14)
  )
)
"),"BR-023")</f>
        <v>BR-023</v>
      </c>
      <c r="D14" s="77">
        <f>IFERROR(__xludf.DUMMYFUNCTION("COUNTA(UNIQUE(TRANSPOSE(SPLIT(C14, "", ""))))
"),1.0)</f>
        <v>1</v>
      </c>
      <c r="E14" s="79" t="str">
        <f>IF(D14="", "", TEXT((D14 / 'Main Report'!$E$7), "0.00%"))
</f>
        <v>2.94%</v>
      </c>
      <c r="F14" s="80"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"),"High: 1
Medium: 0
Low: 0")</f>
        <v>High: 1
Medium: 0
Low: 0</v>
      </c>
      <c r="G14" s="76"/>
      <c r="H14" s="76"/>
      <c r="I14" s="76"/>
      <c r="J14" s="76"/>
      <c r="K14" s="76"/>
      <c r="L14" s="76"/>
      <c r="M14" s="76"/>
      <c r="N14" s="76"/>
      <c r="O14" s="76"/>
      <c r="P14" s="76"/>
      <c r="Q14" s="76"/>
      <c r="R14" s="76"/>
      <c r="S14" s="76"/>
      <c r="T14" s="76"/>
      <c r="U14" s="76"/>
      <c r="V14" s="76"/>
      <c r="W14" s="76"/>
      <c r="X14" s="76"/>
      <c r="Y14" s="76"/>
      <c r="Z14" s="76"/>
      <c r="AA14" s="76"/>
    </row>
    <row r="15">
      <c r="A15" s="79" t="str">
        <f>IFERROR(__xludf.DUMMYFUNCTION("""COMPUTED_VALUE"""),"Progress")</f>
        <v>Progress</v>
      </c>
      <c r="B15" s="79" t="str">
        <f>IFERROR(__xludf.DUMMYFUNCTION("""COMPUTED_VALUE"""),"Progress")</f>
        <v>Progress</v>
      </c>
      <c r="C15" s="79" t="str">
        <f>IFERROR(__xludf.DUMMYFUNCTION("TEXTJOIN("", "", TRUE, 
  FILTER('Main Report'!A24:A113, 
    ('Main Report'!B24:B113=A15) * ('Main Report'!C24:C113=B15)
  )
)
"),"BR-024")</f>
        <v>BR-024</v>
      </c>
      <c r="D15" s="77">
        <f>IFERROR(__xludf.DUMMYFUNCTION("COUNTA(UNIQUE(TRANSPOSE(SPLIT(C15, "", ""))))
"),1.0)</f>
        <v>1</v>
      </c>
      <c r="E15" s="79" t="str">
        <f>IF(D15="", "", TEXT((D15 / 'Main Report'!$E$7), "0.00%"))
</f>
        <v>2.94%</v>
      </c>
      <c r="F15" s="80"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"),"High: 1
Medium: 0
Low: 0")</f>
        <v>High: 1
Medium: 0
Low: 0</v>
      </c>
      <c r="G15" s="76"/>
      <c r="H15" s="76"/>
      <c r="I15" s="76"/>
      <c r="J15" s="76"/>
      <c r="K15" s="76"/>
      <c r="L15" s="76"/>
      <c r="M15" s="76"/>
      <c r="N15" s="76"/>
      <c r="O15" s="76"/>
      <c r="P15" s="76"/>
      <c r="Q15" s="76"/>
      <c r="R15" s="76"/>
      <c r="S15" s="76"/>
      <c r="T15" s="76"/>
      <c r="U15" s="76"/>
      <c r="V15" s="76"/>
      <c r="W15" s="76"/>
      <c r="X15" s="76"/>
      <c r="Y15" s="76"/>
      <c r="Z15" s="76"/>
      <c r="AA15" s="76"/>
    </row>
    <row r="16">
      <c r="A16" s="79" t="str">
        <f>IFERROR(__xludf.DUMMYFUNCTION("""COMPUTED_VALUE"""),"Report")</f>
        <v>Report</v>
      </c>
      <c r="B16" s="79" t="str">
        <f>IFERROR(__xludf.DUMMYFUNCTION("""COMPUTED_VALUE"""),"Report")</f>
        <v>Report</v>
      </c>
      <c r="C16" s="79" t="str">
        <f>IFERROR(__xludf.DUMMYFUNCTION("TEXTJOIN("", "", TRUE, 
  FILTER('Main Report'!A25:A114, 
    ('Main Report'!B25:B114=A16) * ('Main Report'!C25:C114=B16)
  )
)
"),"BR-025, BR-026")</f>
        <v>BR-025, BR-026</v>
      </c>
      <c r="D16" s="77">
        <f>IFERROR(__xludf.DUMMYFUNCTION("COUNTA(UNIQUE(TRANSPOSE(SPLIT(C16, "", ""))))
"),2.0)</f>
        <v>2</v>
      </c>
      <c r="E16" s="79" t="str">
        <f>IF(D16="", "", TEXT((D16 / 'Main Report'!$E$7), "0.00%"))
</f>
        <v>5.88%</v>
      </c>
      <c r="F16" s="80"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"),"High: 2
Medium: 0
Low: 0")</f>
        <v>High: 2
Medium: 0
Low: 0</v>
      </c>
      <c r="G16" s="76"/>
      <c r="H16" s="76"/>
      <c r="I16" s="76"/>
      <c r="J16" s="76"/>
      <c r="K16" s="76"/>
      <c r="L16" s="76"/>
      <c r="M16" s="76"/>
      <c r="N16" s="76"/>
      <c r="O16" s="76"/>
      <c r="P16" s="76"/>
      <c r="Q16" s="76"/>
      <c r="R16" s="76"/>
      <c r="S16" s="76"/>
      <c r="T16" s="76"/>
      <c r="U16" s="76"/>
      <c r="V16" s="76"/>
      <c r="W16" s="76"/>
      <c r="X16" s="76"/>
      <c r="Y16" s="76"/>
      <c r="Z16" s="76"/>
      <c r="AA16" s="76"/>
    </row>
    <row r="17">
      <c r="A17" s="79" t="str">
        <f>IFERROR(__xludf.DUMMYFUNCTION("""COMPUTED_VALUE"""),"Splash Screen")</f>
        <v>Splash Screen</v>
      </c>
      <c r="B17" s="79" t="str">
        <f>IFERROR(__xludf.DUMMYFUNCTION("""COMPUTED_VALUE"""),"Splash Screen")</f>
        <v>Splash Screen</v>
      </c>
      <c r="C17" s="79" t="str">
        <f>IFERROR(__xludf.DUMMYFUNCTION("TEXTJOIN("", "", TRUE, 
  FILTER('Main Report'!A26:A115, 
    ('Main Report'!B26:B115=A17) * ('Main Report'!C26:C115=B17)
  )
)
"),"BR-027, BR-028, BR-029, BR-030")</f>
        <v>BR-027, BR-028, BR-029, BR-030</v>
      </c>
      <c r="D17" s="77">
        <f>IFERROR(__xludf.DUMMYFUNCTION("COUNTA(UNIQUE(TRANSPOSE(SPLIT(C17, "", ""))))
"),4.0)</f>
        <v>4</v>
      </c>
      <c r="E17" s="79" t="str">
        <f>IF(D17="", "", TEXT((D17 / 'Main Report'!$E$7), "0.00%"))
</f>
        <v>11.76%</v>
      </c>
      <c r="F17" s="80"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"),"High: 1
Medium: 3
Low: 0")</f>
        <v>High: 1
Medium: 3
Low: 0</v>
      </c>
      <c r="G17" s="76"/>
      <c r="H17" s="76"/>
      <c r="I17" s="76"/>
      <c r="J17" s="76"/>
      <c r="K17" s="76"/>
      <c r="L17" s="76"/>
      <c r="M17" s="76"/>
      <c r="N17" s="76"/>
      <c r="O17" s="76"/>
      <c r="P17" s="76"/>
      <c r="Q17" s="76"/>
      <c r="R17" s="76"/>
      <c r="S17" s="76"/>
      <c r="T17" s="76"/>
      <c r="U17" s="76"/>
      <c r="V17" s="76"/>
      <c r="W17" s="76"/>
      <c r="X17" s="76"/>
      <c r="Y17" s="76"/>
      <c r="Z17" s="76"/>
      <c r="AA17" s="76"/>
    </row>
    <row r="18">
      <c r="A18" s="79" t="str">
        <f>IFERROR(__xludf.DUMMYFUNCTION("""COMPUTED_VALUE"""),"Terms of service")</f>
        <v>Terms of service</v>
      </c>
      <c r="B18" s="79" t="str">
        <f>IFERROR(__xludf.DUMMYFUNCTION("""COMPUTED_VALUE"""),"Terms of service")</f>
        <v>Terms of service</v>
      </c>
      <c r="C18" s="79" t="str">
        <f>IFERROR(__xludf.DUMMYFUNCTION("TEXTJOIN("", "", TRUE, 
  FILTER('Main Report'!A27:A116, 
    ('Main Report'!B27:B116=A18) * ('Main Report'!C27:C116=B18)
  )
)
"),"BR-031")</f>
        <v>BR-031</v>
      </c>
      <c r="D18" s="77">
        <f>IFERROR(__xludf.DUMMYFUNCTION("COUNTA(UNIQUE(TRANSPOSE(SPLIT(C18, "", ""))))
"),1.0)</f>
        <v>1</v>
      </c>
      <c r="E18" s="79" t="str">
        <f>IF(D18="", "", TEXT((D18 / 'Main Report'!$E$7), "0.00%"))
</f>
        <v>2.94%</v>
      </c>
      <c r="F18" s="80"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"),"High: 0
Medium: 1
Low: 0")</f>
        <v>High: 0
Medium: 1
Low: 0</v>
      </c>
      <c r="G18" s="76"/>
      <c r="H18" s="76"/>
      <c r="I18" s="76"/>
      <c r="J18" s="76"/>
      <c r="K18" s="76"/>
      <c r="L18" s="76"/>
      <c r="M18" s="76"/>
      <c r="N18" s="76"/>
      <c r="O18" s="76"/>
      <c r="P18" s="76"/>
      <c r="Q18" s="76"/>
      <c r="R18" s="76"/>
      <c r="S18" s="76"/>
      <c r="T18" s="76"/>
      <c r="U18" s="76"/>
      <c r="V18" s="76"/>
      <c r="W18" s="76"/>
      <c r="X18" s="76"/>
      <c r="Y18" s="76"/>
      <c r="Z18" s="76"/>
      <c r="AA18" s="76"/>
    </row>
    <row r="19">
      <c r="A19" s="79" t="str">
        <f>IFERROR(__xludf.DUMMYFUNCTION("""COMPUTED_VALUE"""),"Weight tracker")</f>
        <v>Weight tracker</v>
      </c>
      <c r="B19" s="79" t="str">
        <f>IFERROR(__xludf.DUMMYFUNCTION("""COMPUTED_VALUE"""),"BMI")</f>
        <v>BMI</v>
      </c>
      <c r="C19" s="79" t="str">
        <f>IFERROR(__xludf.DUMMYFUNCTION("TEXTJOIN("", "", TRUE, 
  FILTER('Main Report'!A28:A117, 
    ('Main Report'!B28:B117=A19) * ('Main Report'!C28:C117=B19)
  )
)
"),"BR-032, BR-033, BR-034")</f>
        <v>BR-032, BR-033, BR-034</v>
      </c>
      <c r="D19" s="77">
        <f>IFERROR(__xludf.DUMMYFUNCTION("COUNTA(UNIQUE(TRANSPOSE(SPLIT(C19, "", ""))))
"),3.0)</f>
        <v>3</v>
      </c>
      <c r="E19" s="79" t="str">
        <f>IF(D19="", "", TEXT((D19 / 'Main Report'!$E$7), "0.00%"))
</f>
        <v>8.82%</v>
      </c>
      <c r="F19" s="80"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"),"High: 2
Medium: 1
Low: 0")</f>
        <v>High: 2
Medium: 1
Low: 0</v>
      </c>
      <c r="G19" s="76"/>
      <c r="H19" s="76"/>
      <c r="I19" s="76"/>
      <c r="J19" s="76"/>
      <c r="K19" s="76"/>
      <c r="L19" s="76"/>
      <c r="M19" s="76"/>
      <c r="N19" s="76"/>
      <c r="O19" s="76"/>
      <c r="P19" s="76"/>
      <c r="Q19" s="76"/>
      <c r="R19" s="76"/>
      <c r="S19" s="76"/>
      <c r="T19" s="76"/>
      <c r="U19" s="76"/>
      <c r="V19" s="76"/>
      <c r="W19" s="76"/>
      <c r="X19" s="76"/>
      <c r="Y19" s="76"/>
      <c r="Z19" s="76"/>
      <c r="AA19" s="76"/>
    </row>
    <row r="20">
      <c r="A20" s="77"/>
      <c r="B20" s="77"/>
      <c r="C20" s="79" t="str">
        <f>IFERROR(__xludf.DUMMYFUNCTION("TEXTJOIN("", "", TRUE, 
  FILTER('Main Report'!A29:A118, 
    ('Main Report'!B29:B118=A20) * ('Main Report'!C29:C118=B20)
  )
)
"),"")</f>
        <v/>
      </c>
      <c r="D20" s="79"/>
      <c r="E20" s="79" t="str">
        <f>IF(D20="", "", TEXT((D20 / 'Main Report'!$E$7), "0.00%"))
</f>
        <v/>
      </c>
      <c r="F20" s="80"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76"/>
      <c r="H20" s="76"/>
      <c r="I20" s="76"/>
      <c r="J20" s="76"/>
      <c r="K20" s="76"/>
      <c r="L20" s="76"/>
      <c r="M20" s="76"/>
      <c r="N20" s="76"/>
      <c r="O20" s="76"/>
      <c r="P20" s="76"/>
      <c r="Q20" s="76"/>
      <c r="R20" s="76"/>
      <c r="S20" s="76"/>
      <c r="T20" s="76"/>
      <c r="U20" s="76"/>
      <c r="V20" s="76"/>
      <c r="W20" s="76"/>
      <c r="X20" s="76"/>
      <c r="Y20" s="76"/>
      <c r="Z20" s="76"/>
      <c r="AA20" s="76"/>
    </row>
    <row r="21">
      <c r="A21" s="79"/>
      <c r="B21" s="79"/>
      <c r="C21" s="79" t="str">
        <f>IFERROR(__xludf.DUMMYFUNCTION("TEXTJOIN("", "", TRUE, 
  FILTER('Main Report'!A30:A119, 
    ('Main Report'!B30:B119=A21) * ('Main Report'!C30:C119=B21)
  )
)
"),"")</f>
        <v/>
      </c>
      <c r="D21" s="79"/>
      <c r="E21" s="79" t="str">
        <f>IF(D21="", "", TEXT((D21 / 'Main Report'!$E$7), "0.00%"))
</f>
        <v/>
      </c>
      <c r="F21" s="80"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76"/>
      <c r="H21" s="76"/>
      <c r="I21" s="76"/>
      <c r="J21" s="76"/>
      <c r="K21" s="76"/>
      <c r="L21" s="76"/>
      <c r="M21" s="76"/>
      <c r="N21" s="76"/>
      <c r="O21" s="76"/>
      <c r="P21" s="76"/>
      <c r="Q21" s="76"/>
      <c r="R21" s="76"/>
      <c r="S21" s="76"/>
      <c r="T21" s="76"/>
      <c r="U21" s="76"/>
      <c r="V21" s="76"/>
      <c r="W21" s="76"/>
      <c r="X21" s="76"/>
      <c r="Y21" s="76"/>
      <c r="Z21" s="76"/>
      <c r="AA21" s="76"/>
    </row>
    <row r="22">
      <c r="A22" s="79"/>
      <c r="B22" s="79"/>
      <c r="C22" s="79"/>
      <c r="D22" s="79"/>
      <c r="E22" s="79"/>
      <c r="F22" s="79"/>
      <c r="G22" s="76"/>
      <c r="H22" s="76"/>
      <c r="I22" s="76"/>
      <c r="J22" s="76"/>
      <c r="K22" s="76"/>
      <c r="L22" s="76"/>
      <c r="M22" s="76"/>
      <c r="N22" s="76"/>
      <c r="O22" s="76"/>
      <c r="P22" s="76"/>
      <c r="Q22" s="76"/>
      <c r="R22" s="76"/>
      <c r="S22" s="76"/>
      <c r="T22" s="76"/>
      <c r="U22" s="76"/>
      <c r="V22" s="76"/>
      <c r="W22" s="76"/>
      <c r="X22" s="76"/>
      <c r="Y22" s="76"/>
      <c r="Z22" s="76"/>
      <c r="AA22" s="76"/>
    </row>
    <row r="23">
      <c r="A23" s="79"/>
      <c r="B23" s="79"/>
      <c r="C23" s="79"/>
      <c r="D23" s="79"/>
      <c r="E23" s="79"/>
      <c r="F23" s="79"/>
      <c r="G23" s="76"/>
      <c r="H23" s="76"/>
      <c r="I23" s="76"/>
      <c r="J23" s="76"/>
      <c r="K23" s="76"/>
      <c r="L23" s="76"/>
      <c r="M23" s="76"/>
      <c r="N23" s="76"/>
      <c r="O23" s="76"/>
      <c r="P23" s="76"/>
      <c r="Q23" s="76"/>
      <c r="R23" s="76"/>
      <c r="S23" s="76"/>
      <c r="T23" s="76"/>
      <c r="U23" s="76"/>
      <c r="V23" s="76"/>
      <c r="W23" s="76"/>
      <c r="X23" s="76"/>
      <c r="Y23" s="76"/>
      <c r="Z23" s="76"/>
      <c r="AA23" s="76"/>
    </row>
    <row r="24">
      <c r="A24" s="79"/>
      <c r="B24" s="79"/>
      <c r="C24" s="79"/>
      <c r="D24" s="79"/>
      <c r="E24" s="79"/>
      <c r="F24" s="79"/>
      <c r="G24" s="76"/>
      <c r="H24" s="76"/>
      <c r="I24" s="76"/>
      <c r="J24" s="76"/>
      <c r="K24" s="76"/>
      <c r="L24" s="76"/>
      <c r="M24" s="76"/>
      <c r="N24" s="76"/>
      <c r="O24" s="76"/>
      <c r="P24" s="76"/>
      <c r="Q24" s="76"/>
      <c r="R24" s="76"/>
      <c r="S24" s="76"/>
      <c r="T24" s="76"/>
      <c r="U24" s="76"/>
      <c r="V24" s="76"/>
      <c r="W24" s="76"/>
      <c r="X24" s="76"/>
      <c r="Y24" s="76"/>
      <c r="Z24" s="76"/>
      <c r="AA24" s="76"/>
    </row>
    <row r="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row>
    <row r="26">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row>
    <row r="27">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row>
    <row r="28">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row>
    <row r="29">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row>
    <row r="30">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row>
    <row r="3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row>
    <row r="32">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row>
    <row r="33">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row>
    <row r="34">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row>
    <row r="3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row>
    <row r="36">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row>
    <row r="37">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row>
    <row r="38">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row>
    <row r="39">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row>
    <row r="40">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row>
    <row r="4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row>
    <row r="42">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row>
    <row r="43">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row>
    <row r="44">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row>
    <row r="45">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row>
    <row r="46">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row>
    <row r="47">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row>
    <row r="48">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row>
    <row r="49">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row>
    <row r="50">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row>
    <row r="5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row>
    <row r="52">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row>
    <row r="53">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row>
    <row r="54">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row>
    <row r="5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row>
    <row r="56">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row>
    <row r="57">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row>
    <row r="58">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row>
    <row r="59">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row>
    <row r="60">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row>
    <row r="6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row>
    <row r="62">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row>
    <row r="63">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row>
    <row r="64">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row>
    <row r="6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row>
    <row r="66">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row>
    <row r="67">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row>
    <row r="68">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row>
    <row r="69">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row>
    <row r="70">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row>
    <row r="71">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row>
    <row r="72">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row>
    <row r="73">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row>
    <row r="74">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row>
    <row r="7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row>
    <row r="76">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row>
    <row r="77">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row>
    <row r="78">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row>
    <row r="79">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row>
    <row r="80">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row>
    <row r="81">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row>
    <row r="82">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row>
    <row r="83">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row>
    <row r="84">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row>
    <row r="8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row>
    <row r="86">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row>
    <row r="87">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row>
    <row r="88">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row>
    <row r="89">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row>
    <row r="90">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row>
    <row r="91">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row>
    <row r="92">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row>
    <row r="93">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row>
    <row r="94">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row>
    <row r="9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row>
    <row r="96">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row>
    <row r="97">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row>
    <row r="98">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row>
    <row r="99">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row>
    <row r="100">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row>
    <row r="10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row>
    <row r="102">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row>
    <row r="103">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row>
    <row r="104">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row>
    <row r="10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row>
    <row r="106">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row>
    <row r="107">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row>
    <row r="108">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row>
    <row r="109">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row>
    <row r="110">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row>
    <row r="11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row>
    <row r="112">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row>
    <row r="113">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row>
    <row r="114">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row>
    <row r="11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row>
    <row r="116">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row>
    <row r="117">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row>
    <row r="118">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row>
    <row r="119">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row>
    <row r="120">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row>
    <row r="12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row>
    <row r="122">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row>
    <row r="123">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row>
    <row r="124">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row>
    <row r="1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row>
    <row r="126">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row>
    <row r="127">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row>
    <row r="128">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row>
    <row r="129">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row>
    <row r="130">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row>
    <row r="13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row>
    <row r="132">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row>
    <row r="133">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row>
    <row r="134">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row>
    <row r="13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row>
    <row r="136">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row>
    <row r="137">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row>
    <row r="138">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row>
    <row r="139">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row>
    <row r="140">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row>
    <row r="14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row>
    <row r="142">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row>
    <row r="143">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row>
    <row r="144">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row>
    <row r="14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row>
    <row r="146">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row>
    <row r="147">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row>
    <row r="148">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row>
    <row r="149">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row>
    <row r="150">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row>
    <row r="15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row>
    <row r="152">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row>
    <row r="153">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row>
    <row r="154">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row>
    <row r="15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row>
    <row r="156">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row>
    <row r="157">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row>
    <row r="158">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row>
    <row r="159">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row>
    <row r="160">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row>
    <row r="16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row>
    <row r="162">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row>
    <row r="163">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row>
    <row r="164">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row>
    <row r="16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row>
    <row r="166">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row>
    <row r="167">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row>
    <row r="168">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row>
    <row r="169">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row>
    <row r="170">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row>
    <row r="17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row>
    <row r="172">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row>
    <row r="173">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row>
    <row r="174">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row>
    <row r="17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row>
    <row r="17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row>
    <row r="177">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row>
    <row r="178">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row>
    <row r="179">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row>
    <row r="180">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row>
    <row r="181">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row>
    <row r="182">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row>
    <row r="183">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row>
    <row r="184">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row>
    <row r="18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row>
    <row r="186">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row>
    <row r="187">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row>
    <row r="188">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row>
    <row r="189">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row>
    <row r="190">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row>
    <row r="191">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row>
    <row r="192">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row>
    <row r="193">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row>
    <row r="194">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row>
    <row r="19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row>
    <row r="196">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row>
    <row r="197">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row>
    <row r="198">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row>
    <row r="199">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row>
    <row r="200">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row>
    <row r="201">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row>
    <row r="202">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row>
    <row r="203">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row>
    <row r="204">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row>
    <row r="20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row>
    <row r="206">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row>
    <row r="207">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row>
    <row r="208">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row>
    <row r="209">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row>
    <row r="210">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row>
    <row r="211">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row>
    <row r="212">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row>
    <row r="213">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row>
    <row r="214">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row>
    <row r="21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row>
    <row r="216">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row>
    <row r="217">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row>
    <row r="218">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row>
    <row r="219">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row>
    <row r="220">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row>
    <row r="221">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row>
    <row r="222">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row>
    <row r="223">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row>
    <row r="224">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row>
    <row r="2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row>
    <row r="226">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row>
    <row r="227">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row>
    <row r="228">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row>
    <row r="229">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row>
    <row r="230">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row>
    <row r="231">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row>
    <row r="232">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row>
    <row r="233">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row>
    <row r="234">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row>
    <row r="23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row>
    <row r="236">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row>
    <row r="237">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row>
    <row r="238">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row>
    <row r="239">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row>
    <row r="240">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row>
    <row r="241">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row>
    <row r="242">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row>
    <row r="243">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row>
    <row r="244">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row>
    <row r="24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row>
    <row r="246">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row>
    <row r="247">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row>
    <row r="248">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row>
    <row r="249">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row>
    <row r="250">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row>
    <row r="251">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row>
    <row r="252">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row>
    <row r="253">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row>
    <row r="254">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row>
    <row r="25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row>
    <row r="256">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row>
    <row r="257">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row>
    <row r="258">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row>
    <row r="259">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row>
    <row r="260">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row>
    <row r="261">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row>
    <row r="262">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row>
    <row r="263">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row>
    <row r="264">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row>
    <row r="26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row>
    <row r="266">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row>
    <row r="267">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row>
    <row r="268">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row>
    <row r="269">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row>
    <row r="270">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row>
    <row r="271">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row>
    <row r="272">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row>
    <row r="273">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row>
    <row r="274">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row>
    <row r="27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row>
    <row r="276">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row>
    <row r="277">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row>
    <row r="278">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row>
    <row r="279">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row>
    <row r="280">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row>
    <row r="281">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row>
    <row r="282">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row>
    <row r="283">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row>
    <row r="284">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row>
    <row r="28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row>
    <row r="286">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row>
    <row r="287">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row>
    <row r="288">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row>
    <row r="289">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row>
    <row r="290">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row>
    <row r="291">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row>
    <row r="292">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row>
    <row r="293">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row>
    <row r="294">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row>
    <row r="29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row>
    <row r="296">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row>
    <row r="297">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row>
    <row r="298">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row>
    <row r="299">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row>
    <row r="300">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row>
    <row r="301">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row>
    <row r="302">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row>
    <row r="303">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row>
    <row r="304">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row>
    <row r="30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row>
    <row r="306">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row>
    <row r="307">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row>
    <row r="308">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row>
    <row r="309">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row>
    <row r="310">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row>
    <row r="311">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row>
    <row r="312">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row>
    <row r="313">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row>
    <row r="314">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row>
    <row r="31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row>
    <row r="316">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row>
    <row r="317">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row>
    <row r="318">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row>
    <row r="319">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row>
    <row r="320">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row>
    <row r="321">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row>
    <row r="322">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row>
    <row r="323">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row>
    <row r="324">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row>
    <row r="3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row>
    <row r="326">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row>
    <row r="327">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row>
    <row r="328">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row>
    <row r="329">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row>
    <row r="330">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row>
    <row r="331">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row>
    <row r="332">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row>
    <row r="333">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row>
    <row r="334">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row>
    <row r="33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row>
    <row r="336">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row>
    <row r="337">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row>
    <row r="338">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row>
    <row r="339">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row>
    <row r="340">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row>
    <row r="341">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row>
    <row r="342">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row>
    <row r="343">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row>
    <row r="344">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row>
    <row r="34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row>
    <row r="346">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row>
    <row r="347">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row>
    <row r="348">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row>
    <row r="349">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row>
    <row r="350">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row>
    <row r="351">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row>
    <row r="352">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row>
    <row r="353">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row>
    <row r="354">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row>
    <row r="35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row>
    <row r="356">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row>
    <row r="357">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row>
    <row r="358">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row>
    <row r="359">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row>
    <row r="360">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row>
    <row r="36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row>
    <row r="362">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row>
    <row r="363">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row>
    <row r="364">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row>
    <row r="36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row>
    <row r="366">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row>
    <row r="367">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row>
    <row r="368">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row>
    <row r="369">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row>
    <row r="370">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row>
    <row r="371">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row>
    <row r="372">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row>
    <row r="373">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row>
    <row r="374">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row>
    <row r="37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row>
    <row r="376">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row>
    <row r="377">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row>
    <row r="378">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row>
    <row r="379">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row>
    <row r="380">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row>
    <row r="381">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row>
    <row r="382">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row>
    <row r="383">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row>
    <row r="384">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row>
    <row r="38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row>
    <row r="386">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row>
    <row r="387">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row>
    <row r="388">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row>
    <row r="389">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row>
    <row r="390">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row>
    <row r="391">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row>
    <row r="392">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row>
    <row r="393">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row>
    <row r="394">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row>
    <row r="39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row>
    <row r="396">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row>
    <row r="397">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row>
    <row r="398">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row>
    <row r="399">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row>
    <row r="400">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row>
    <row r="401">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row>
    <row r="402">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row>
    <row r="403">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row>
    <row r="404">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row>
    <row r="40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row>
    <row r="406">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row>
    <row r="407">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row>
    <row r="408">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row>
    <row r="409">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row>
    <row r="410">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row>
    <row r="411">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row>
    <row r="412">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row>
    <row r="413">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row>
    <row r="414">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row>
    <row r="41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row>
    <row r="416">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row>
    <row r="417">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row>
    <row r="418">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row>
    <row r="419">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row>
    <row r="420">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row>
    <row r="421">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row>
    <row r="422">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row>
    <row r="423">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row>
    <row r="424">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row>
    <row r="4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row>
    <row r="426">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row>
    <row r="427">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row>
    <row r="428">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row>
    <row r="429">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row>
    <row r="430">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row>
    <row r="431">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row>
    <row r="432">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row>
    <row r="433">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row>
    <row r="434">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row>
    <row r="43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row>
    <row r="436">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row>
    <row r="437">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row>
    <row r="438">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row>
    <row r="439">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row>
    <row r="440">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row>
    <row r="44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row>
    <row r="442">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row>
    <row r="443">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row>
    <row r="444">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row>
    <row r="44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row>
    <row r="446">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row>
    <row r="447">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row>
    <row r="448">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row>
    <row r="449">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row>
    <row r="450">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row>
    <row r="451">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row>
    <row r="452">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row>
    <row r="453">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row>
    <row r="454">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row>
    <row r="45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row>
    <row r="456">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row>
    <row r="457">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row>
    <row r="458">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row>
    <row r="459">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row>
    <row r="460">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row>
    <row r="461">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row>
    <row r="462">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row>
    <row r="463">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row>
    <row r="464">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row>
    <row r="46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row>
    <row r="466">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row>
    <row r="467">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row>
    <row r="468">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row>
    <row r="469">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row>
    <row r="470">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row>
    <row r="471">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row>
    <row r="472">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row>
    <row r="473">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row>
    <row r="474">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row>
    <row r="47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row>
    <row r="476">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row>
    <row r="477">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row>
    <row r="478">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row>
    <row r="479">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row>
    <row r="480">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row>
    <row r="48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row>
    <row r="482">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row>
    <row r="483">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row>
    <row r="484">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row>
    <row r="48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row>
    <row r="486">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row>
    <row r="487">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row>
    <row r="488">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row>
    <row r="489">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row>
    <row r="490">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row>
    <row r="491">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row>
    <row r="492">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row>
    <row r="493">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row>
    <row r="494">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row>
    <row r="49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row>
    <row r="496">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row>
    <row r="497">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row>
    <row r="498">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row>
    <row r="499">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row>
    <row r="500">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row>
    <row r="501">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row>
    <row r="502">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row>
    <row r="503">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row>
    <row r="504">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row>
    <row r="50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row>
    <row r="506">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row>
    <row r="507">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row>
    <row r="508">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row>
    <row r="509">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row>
    <row r="510">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row>
    <row r="511">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row>
    <row r="512">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row>
    <row r="513">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row>
    <row r="514">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row>
    <row r="51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row>
    <row r="516">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row>
    <row r="517">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row>
    <row r="518">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row>
    <row r="519">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row>
    <row r="520">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row>
    <row r="521">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row>
    <row r="522">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row>
    <row r="523">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row>
    <row r="524">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row>
    <row r="5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row>
    <row r="526">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row>
    <row r="527">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row>
    <row r="528">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row>
    <row r="529">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row>
    <row r="530">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row>
    <row r="531">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row>
    <row r="532">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row>
    <row r="533">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row>
    <row r="534">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row>
    <row r="53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row>
    <row r="536">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row>
    <row r="537">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row>
    <row r="538">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row>
    <row r="539">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row>
    <row r="540">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row>
    <row r="541">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row>
    <row r="542">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row>
    <row r="543">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row>
    <row r="544">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row>
    <row r="54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row>
    <row r="546">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row>
    <row r="547">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row>
    <row r="548">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row>
    <row r="549">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row>
    <row r="550">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row>
    <row r="551">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row>
    <row r="552">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row>
    <row r="553">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row>
    <row r="554">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row>
    <row r="55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row>
    <row r="556">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row>
    <row r="557">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row>
    <row r="558">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row>
    <row r="559">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row>
    <row r="560">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row>
    <row r="561">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row>
    <row r="562">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row>
    <row r="563">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row>
    <row r="564">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row>
    <row r="56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row>
    <row r="566">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row>
    <row r="567">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row>
    <row r="568">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row>
    <row r="569">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row>
    <row r="570">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row>
    <row r="571">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row>
    <row r="572">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row>
    <row r="573">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row>
    <row r="574">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row>
    <row r="57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row>
    <row r="576">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row>
    <row r="577">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row>
    <row r="578">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row>
    <row r="579">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row>
    <row r="580">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row>
    <row r="581">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row>
    <row r="582">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row>
    <row r="583">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row>
    <row r="584">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row>
    <row r="58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row>
    <row r="586">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row>
    <row r="587">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row>
    <row r="588">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row>
    <row r="589">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row>
    <row r="590">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row>
    <row r="591">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row>
    <row r="592">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row>
    <row r="593">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row>
    <row r="594">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row>
    <row r="59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row>
    <row r="596">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row>
    <row r="597">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row>
    <row r="598">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row>
    <row r="599">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row>
    <row r="600">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row>
    <row r="601">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row>
    <row r="602">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row>
    <row r="603">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row>
    <row r="604">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row>
    <row r="60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row>
    <row r="606">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row>
    <row r="607">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row>
    <row r="608">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row>
    <row r="609">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row>
    <row r="610">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row>
    <row r="611">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row>
    <row r="612">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row>
    <row r="613">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row>
    <row r="614">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row>
    <row r="61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row>
    <row r="616">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row>
    <row r="617">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row>
    <row r="618">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row>
    <row r="619">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row>
    <row r="620">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row>
    <row r="621">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row>
    <row r="622">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row>
    <row r="623">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row>
    <row r="624">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row>
    <row r="6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row>
    <row r="626">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row>
    <row r="627">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row>
    <row r="628">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row>
    <row r="629">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row>
    <row r="630">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row>
    <row r="631">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row>
    <row r="632">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row>
    <row r="633">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row>
    <row r="634">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row>
    <row r="63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row>
    <row r="636">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row>
    <row r="637">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row>
    <row r="638">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row>
    <row r="639">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row>
    <row r="640">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row>
    <row r="641">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row>
    <row r="642">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row>
    <row r="643">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row>
    <row r="644">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row>
    <row r="64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row>
    <row r="646">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row>
    <row r="647">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row>
    <row r="648">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row>
    <row r="649">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row>
    <row r="650">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row>
    <row r="651">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row>
    <row r="652">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row>
    <row r="653">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row>
    <row r="654">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row>
    <row r="65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row>
    <row r="656">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row>
    <row r="657">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row>
    <row r="658">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row>
    <row r="659">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row>
    <row r="660">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row>
    <row r="661">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row>
    <row r="662">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row>
    <row r="663">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row>
    <row r="664">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row>
    <row r="66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row>
    <row r="666">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row>
    <row r="667">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row>
    <row r="668">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row>
    <row r="669">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row>
    <row r="670">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row>
    <row r="671">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row>
    <row r="672">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row>
    <row r="673">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row>
    <row r="674">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row>
    <row r="67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row>
    <row r="676">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row>
    <row r="677">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row>
    <row r="678">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row>
    <row r="679">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row>
    <row r="680">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row>
    <row r="68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row>
    <row r="682">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row>
    <row r="683">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row>
    <row r="684">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row>
    <row r="68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row>
    <row r="686">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row>
    <row r="687">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row>
    <row r="688">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row>
    <row r="689">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row>
    <row r="690">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row>
    <row r="69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row>
    <row r="692">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row>
    <row r="693">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row>
    <row r="694">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row>
    <row r="69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row>
    <row r="696">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row>
    <row r="697">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row>
    <row r="698">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row>
    <row r="699">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row>
    <row r="700">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row>
    <row r="70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row>
    <row r="702">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row>
    <row r="703">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row>
    <row r="704">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row>
    <row r="70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row>
    <row r="706">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row>
    <row r="707">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row>
    <row r="708">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row>
    <row r="709">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row>
    <row r="710">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row>
    <row r="71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row>
    <row r="712">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row>
    <row r="713">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row>
    <row r="714">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row>
    <row r="71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row>
    <row r="716">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row>
    <row r="717">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row>
    <row r="718">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row>
    <row r="719">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row>
    <row r="720">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row>
    <row r="72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row>
    <row r="722">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row>
    <row r="723">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row>
    <row r="724">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row>
    <row r="7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row>
    <row r="726">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row>
    <row r="727">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row>
    <row r="728">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row>
    <row r="729">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row>
    <row r="730">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row>
    <row r="73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row>
    <row r="732">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row>
    <row r="733">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row>
    <row r="734">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row>
    <row r="73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row>
    <row r="736">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row>
    <row r="737">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row>
    <row r="738">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row>
    <row r="739">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row>
    <row r="740">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row>
    <row r="74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row>
    <row r="742">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row>
    <row r="743">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row>
    <row r="744">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row>
    <row r="74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row>
    <row r="746">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row>
    <row r="747">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row>
    <row r="748">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row>
    <row r="749">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row>
    <row r="750">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row>
    <row r="75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row>
    <row r="752">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row>
    <row r="753">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row>
    <row r="754">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row>
    <row r="75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row>
    <row r="756">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row>
    <row r="757">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row>
    <row r="758">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row>
    <row r="759">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row>
    <row r="760">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row>
    <row r="76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row>
    <row r="762">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row>
    <row r="763">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row>
    <row r="764">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row>
    <row r="76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row>
    <row r="766">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row>
    <row r="767">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row>
    <row r="768">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row>
    <row r="769">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row>
    <row r="770">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row>
    <row r="77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row>
    <row r="772">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row>
    <row r="773">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row>
    <row r="774">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row>
    <row r="77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row>
    <row r="776">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row>
    <row r="777">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row>
    <row r="778">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row>
    <row r="779">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row>
    <row r="780">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row>
    <row r="781">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row>
    <row r="782">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row>
    <row r="783">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row>
    <row r="784">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row>
    <row r="78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row>
    <row r="786">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row>
    <row r="787">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row>
    <row r="788">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row>
    <row r="789">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row>
    <row r="790">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row>
    <row r="791">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row>
    <row r="792">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row>
    <row r="793">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row>
    <row r="794">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row>
    <row r="79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row>
    <row r="796">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row>
    <row r="797">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row>
    <row r="798">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row>
    <row r="799">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row>
    <row r="800">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row>
    <row r="801">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row>
    <row r="802">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row>
    <row r="803">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row>
    <row r="804">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row>
    <row r="80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row>
    <row r="806">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row>
    <row r="807">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row>
    <row r="808">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row>
    <row r="809">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row>
    <row r="810">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row>
    <row r="811">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row>
    <row r="812">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row>
    <row r="813">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row>
    <row r="814">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row>
    <row r="81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row>
    <row r="816">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row>
    <row r="817">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row>
    <row r="818">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row>
    <row r="819">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row>
    <row r="820">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row>
    <row r="821">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row>
    <row r="822">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row>
    <row r="823">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row>
    <row r="824">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row>
    <row r="8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row>
    <row r="826">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row>
    <row r="827">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row>
    <row r="828">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row>
    <row r="829">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row>
    <row r="830">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row>
    <row r="831">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row>
    <row r="832">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row>
    <row r="833">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row>
    <row r="834">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row>
    <row r="83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row>
    <row r="836">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row>
    <row r="837">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row>
    <row r="838">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row>
    <row r="839">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row>
    <row r="840">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row>
    <row r="841">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row>
    <row r="842">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row>
    <row r="843">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row>
    <row r="844">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row>
    <row r="84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row>
    <row r="846">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row>
    <row r="847">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row>
    <row r="848">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row>
    <row r="849">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row>
    <row r="850">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row>
    <row r="851">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row>
    <row r="852">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row>
    <row r="853">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row>
    <row r="854">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row>
    <row r="85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row>
    <row r="856">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row>
    <row r="857">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row>
    <row r="858">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row>
    <row r="859">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row>
    <row r="860">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row>
    <row r="861">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row>
    <row r="862">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row>
    <row r="863">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row>
    <row r="864">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row>
    <row r="86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row>
    <row r="866">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row>
    <row r="867">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row>
    <row r="868">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row>
    <row r="869">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row>
    <row r="870">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row>
    <row r="871">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row>
    <row r="872">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row>
    <row r="873">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row>
    <row r="874">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row>
    <row r="87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row>
    <row r="876">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row>
    <row r="877">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row>
    <row r="878">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row>
    <row r="879">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row>
    <row r="880">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row>
    <row r="881">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row>
    <row r="882">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row>
    <row r="883">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row>
    <row r="884">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row>
    <row r="88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row>
    <row r="886">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row>
    <row r="887">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row>
    <row r="888">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row>
    <row r="889">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row>
    <row r="890">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row>
    <row r="891">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row>
    <row r="892">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row>
    <row r="893">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row>
    <row r="894">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row>
    <row r="89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row>
    <row r="896">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row>
    <row r="897">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row>
    <row r="898">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row>
    <row r="899">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row>
    <row r="900">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row>
    <row r="901">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row>
    <row r="902">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row>
    <row r="903">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row>
    <row r="904">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row>
    <row r="90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row>
    <row r="906">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row>
    <row r="907">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row>
    <row r="908">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row>
    <row r="909">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row>
    <row r="910">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row>
    <row r="911">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row>
    <row r="912">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row>
    <row r="913">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row>
    <row r="914">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row>
    <row r="91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row>
    <row r="916">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row>
    <row r="917">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row>
    <row r="918">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row>
    <row r="919">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row>
    <row r="920">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row>
    <row r="921">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row>
    <row r="922">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row>
    <row r="923">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row>
    <row r="924">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row>
    <row r="9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row>
    <row r="926">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row>
    <row r="927">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row>
    <row r="928">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row>
    <row r="929">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row>
    <row r="930">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row>
    <row r="931">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row>
    <row r="932">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row>
    <row r="933">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row>
    <row r="934">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row>
    <row r="93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row>
    <row r="936">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row>
    <row r="937">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row>
    <row r="938">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row>
    <row r="939">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row>
    <row r="940">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row>
    <row r="941">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row>
    <row r="942">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row>
    <row r="943">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row>
    <row r="944">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row>
    <row r="94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row>
    <row r="946">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row>
    <row r="947">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row>
    <row r="948">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row>
    <row r="949">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row>
    <row r="950">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row>
    <row r="951">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row>
    <row r="952">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row>
    <row r="953">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row>
    <row r="954">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row>
    <row r="95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row>
    <row r="956">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row>
    <row r="957">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row>
    <row r="958">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row>
    <row r="959">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row>
    <row r="960">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row>
    <row r="961">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row>
    <row r="962">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row>
    <row r="963">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row>
    <row r="964">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row>
    <row r="96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row>
    <row r="966">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row>
    <row r="967">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row>
    <row r="968">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row>
    <row r="969">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row>
    <row r="970">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row>
    <row r="971">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row>
    <row r="972">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row>
    <row r="973">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row>
    <row r="974">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row>
    <row r="97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row>
    <row r="976">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row>
    <row r="977">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row>
    <row r="978">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row>
    <row r="979">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row>
    <row r="980">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row>
    <row r="981">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row>
    <row r="982">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row>
    <row r="983">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row>
    <row r="984">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row>
    <row r="98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row>
    <row r="986">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row>
    <row r="987">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row>
    <row r="988">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row>
    <row r="989">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row>
    <row r="990">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row>
    <row r="991">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row>
    <row r="992">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row>
    <row r="993">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row>
    <row r="994">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row>
    <row r="99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row>
    <row r="996">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row>
    <row r="997">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row>
    <row r="998">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row>
    <row r="999">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row>
    <row r="1000">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7" width="17.25"/>
  </cols>
  <sheetData>
    <row r="1">
      <c r="A1" s="2"/>
      <c r="B1" s="2"/>
      <c r="C1" s="2"/>
      <c r="D1" s="2"/>
      <c r="E1" s="2"/>
      <c r="F1" s="2"/>
      <c r="G1" s="2"/>
      <c r="H1" s="2"/>
      <c r="I1" s="2"/>
      <c r="J1" s="2"/>
      <c r="K1" s="2"/>
      <c r="L1" s="2"/>
      <c r="M1" s="2"/>
      <c r="N1" s="2"/>
      <c r="O1" s="2"/>
    </row>
    <row r="2">
      <c r="A2" s="81" t="s">
        <v>0</v>
      </c>
      <c r="B2" s="82" t="s">
        <v>26</v>
      </c>
      <c r="C2" s="2"/>
      <c r="D2" s="5" t="s">
        <v>1</v>
      </c>
      <c r="E2" s="5" t="s">
        <v>2</v>
      </c>
      <c r="F2" s="2"/>
      <c r="G2" s="2"/>
      <c r="H2" s="83"/>
      <c r="I2" s="83"/>
      <c r="J2" s="83"/>
      <c r="K2" s="83"/>
      <c r="L2" s="83"/>
      <c r="M2" s="83"/>
      <c r="N2" s="2"/>
      <c r="O2" s="2"/>
    </row>
    <row r="3">
      <c r="A3" s="81" t="s">
        <v>3</v>
      </c>
      <c r="B3" s="84"/>
      <c r="C3" s="2"/>
      <c r="D3" s="36" t="s">
        <v>4</v>
      </c>
      <c r="E3" s="37">
        <f>COUNTIF(Tahsin!K14:K1005, "High") + COUNTIF(Fahad!K10:K1006, "High")</f>
        <v>22</v>
      </c>
      <c r="F3" s="2"/>
      <c r="G3" s="2"/>
      <c r="H3" s="2"/>
      <c r="I3" s="2"/>
      <c r="J3" s="2"/>
      <c r="K3" s="2"/>
      <c r="L3" s="2"/>
      <c r="M3" s="2"/>
      <c r="N3" s="2"/>
      <c r="O3" s="2"/>
    </row>
    <row r="4">
      <c r="A4" s="81" t="s">
        <v>5</v>
      </c>
      <c r="B4" s="85"/>
      <c r="C4" s="2"/>
      <c r="D4" s="40" t="s">
        <v>6</v>
      </c>
      <c r="E4" s="37">
        <f>COUNTIF(Tahsin!K14:K1006, "Medium") + COUNTIF(Fahad!K10:K1007, "Medium")</f>
        <v>11</v>
      </c>
      <c r="F4" s="2"/>
      <c r="G4" s="2"/>
      <c r="H4" s="2"/>
      <c r="I4" s="2"/>
      <c r="J4" s="2"/>
      <c r="K4" s="2"/>
      <c r="L4" s="2"/>
      <c r="M4" s="2"/>
      <c r="N4" s="2"/>
      <c r="O4" s="2"/>
    </row>
    <row r="5">
      <c r="A5" s="81" t="s">
        <v>7</v>
      </c>
      <c r="B5" s="86"/>
      <c r="C5" s="2"/>
      <c r="D5" s="42" t="s">
        <v>8</v>
      </c>
      <c r="E5" s="37">
        <f>COUNTIF(Fahad!K10:K1008, "Low") + COUNTIF(Tahsin!K14:K1009, "Low")</f>
        <v>1</v>
      </c>
      <c r="F5" s="2"/>
      <c r="G5" s="2"/>
      <c r="H5" s="2"/>
      <c r="I5" s="2"/>
      <c r="J5" s="2"/>
      <c r="K5" s="2"/>
      <c r="L5" s="2"/>
      <c r="M5" s="2"/>
      <c r="N5" s="2"/>
      <c r="O5" s="2"/>
    </row>
    <row r="6">
      <c r="A6" s="81" t="s">
        <v>9</v>
      </c>
      <c r="B6" s="87"/>
      <c r="C6" s="2"/>
      <c r="D6" s="45"/>
      <c r="E6" s="45"/>
      <c r="F6" s="2"/>
      <c r="G6" s="2"/>
      <c r="H6" s="2"/>
      <c r="I6" s="2"/>
      <c r="J6" s="2"/>
      <c r="K6" s="2"/>
      <c r="L6" s="2"/>
      <c r="M6" s="2"/>
      <c r="N6" s="2"/>
      <c r="O6" s="2"/>
    </row>
    <row r="7">
      <c r="A7" s="81" t="s">
        <v>10</v>
      </c>
      <c r="B7" s="87"/>
      <c r="C7" s="2"/>
      <c r="D7" s="47" t="s">
        <v>11</v>
      </c>
      <c r="E7" s="48">
        <f>SUM(E3:E5)</f>
        <v>34</v>
      </c>
      <c r="F7" s="2"/>
      <c r="G7" s="2"/>
      <c r="H7" s="2"/>
      <c r="I7" s="2"/>
      <c r="J7" s="2"/>
      <c r="K7" s="2"/>
      <c r="L7" s="2"/>
      <c r="M7" s="2"/>
      <c r="N7" s="2"/>
      <c r="O7" s="88" t="s">
        <v>31</v>
      </c>
      <c r="P7" s="89" t="s">
        <v>32</v>
      </c>
    </row>
    <row r="8">
      <c r="A8" s="2"/>
      <c r="B8" s="2"/>
      <c r="C8" s="2"/>
      <c r="D8" s="47" t="s">
        <v>12</v>
      </c>
      <c r="E8" s="48">
        <f>COUNTIF(O11:O1003, "Solved")</f>
        <v>0</v>
      </c>
      <c r="F8" s="2"/>
      <c r="G8" s="2"/>
      <c r="H8" s="2"/>
      <c r="I8" s="2"/>
      <c r="J8" s="2"/>
      <c r="K8" s="2"/>
      <c r="L8" s="2"/>
      <c r="M8" s="2"/>
      <c r="N8" s="2"/>
    </row>
    <row r="9">
      <c r="A9" s="2"/>
      <c r="B9" s="2"/>
      <c r="C9" s="2"/>
      <c r="D9" s="2"/>
      <c r="E9" s="2"/>
      <c r="F9" s="2"/>
      <c r="G9" s="2"/>
      <c r="H9" s="2"/>
      <c r="I9" s="2"/>
      <c r="J9" s="2"/>
      <c r="K9" s="2"/>
      <c r="L9" s="2"/>
      <c r="M9" s="2"/>
      <c r="N9" s="2"/>
    </row>
    <row r="10">
      <c r="A10" s="90" t="s">
        <v>13</v>
      </c>
      <c r="B10" s="90" t="s">
        <v>14</v>
      </c>
      <c r="C10" s="90" t="s">
        <v>15</v>
      </c>
      <c r="D10" s="90" t="s">
        <v>16</v>
      </c>
      <c r="E10" s="90" t="s">
        <v>17</v>
      </c>
      <c r="F10" s="90" t="s">
        <v>18</v>
      </c>
      <c r="G10" s="90" t="s">
        <v>19</v>
      </c>
      <c r="H10" s="90" t="s">
        <v>20</v>
      </c>
      <c r="I10" s="90" t="s">
        <v>21</v>
      </c>
      <c r="J10" s="90" t="s">
        <v>22</v>
      </c>
      <c r="K10" s="90" t="s">
        <v>1</v>
      </c>
      <c r="L10" s="90" t="s">
        <v>23</v>
      </c>
      <c r="M10" s="90" t="s">
        <v>24</v>
      </c>
      <c r="N10" s="91" t="s">
        <v>269</v>
      </c>
      <c r="O10" s="91" t="s">
        <v>25</v>
      </c>
      <c r="P10" s="91" t="s">
        <v>34</v>
      </c>
      <c r="Q10" s="91" t="s">
        <v>35</v>
      </c>
      <c r="S10" s="92"/>
      <c r="T10" s="92"/>
      <c r="U10" s="92"/>
      <c r="V10" s="92"/>
      <c r="W10" s="92"/>
      <c r="X10" s="92"/>
      <c r="Y10" s="92"/>
      <c r="Z10" s="92"/>
      <c r="AA10" s="92"/>
      <c r="AB10" s="92"/>
    </row>
    <row r="11">
      <c r="A11" s="93" t="str">
        <f t="array" ref="A11:A100">IF((LEN(B11:B100)+LEN(C11:C100))&gt;0, "BR-" &amp; TEXT(ROW(B11:B100)-ROW(B11)+1,"000"), "")
</f>
        <v>BR-001</v>
      </c>
      <c r="B11" s="94" t="str">
        <f>IFERROR(__xludf.DUMMYFUNCTION("QUERY(
  {
    ARRAYFORMULA({TRIM(Fahad!B10:B999), Fahad!C10:M999, IF(LEN(Fahad!B10:B999), ""Fahad"", """")});
    ARRAYFORMULA({TRIM(Tahsin!B15:B999), Tahsin!C15:M999, IF(LEN(Tahsin!B15:B999), ""Tahsin"", """")})
  },
  ""SELECT * WHERE Col1 IS NOT NULL "&amp;"ORDER BY Col1 ASC, Col2 ASC"",
  0
)
"),"Achievement")</f>
        <v>Achievement</v>
      </c>
      <c r="C11" s="94" t="str">
        <f>IFERROR(__xludf.DUMMYFUNCTION("""COMPUTED_VALUE"""),"Achievement")</f>
        <v>Achievement</v>
      </c>
      <c r="D11" s="94" t="str">
        <f>IFERROR(__xludf.DUMMYFUNCTION("""COMPUTED_VALUE"""),"Beginner profile is set to level one, but it requires 200 steps to unlock that level.")</f>
        <v>Beginner profile is set to level one, but it requires 200 steps to unlock that level.</v>
      </c>
      <c r="E11" s="94" t="str">
        <f>IFERROR(__xludf.DUMMYFUNCTION("""COMPUTED_VALUE"""),"User need to download the app on their IOS device")</f>
        <v>User need to download the app on their IOS device</v>
      </c>
      <c r="F11" s="94" t="str">
        <f>IFERROR(__xludf.DUMMYFUNCTION("""COMPUTED_VALUE"""),"1. Open app
2. Signup using valid credentials
3. Click on settings ")</f>
        <v>1. Open app
2. Signup using valid credentials
3. Click on settings </v>
      </c>
      <c r="G11" s="94" t="str">
        <f>IFERROR(__xludf.DUMMYFUNCTION("""COMPUTED_VALUE"""),"User credentials")</f>
        <v>User credentials</v>
      </c>
      <c r="H11" s="94" t="str">
        <f>IFERROR(__xludf.DUMMYFUNCTION("""COMPUTED_VALUE"""),"The beginner profile level should start at zero, and after completing 200 steps, it will unlock level one.")</f>
        <v>The beginner profile level should start at zero, and after completing 200 steps, it will unlock level one.</v>
      </c>
      <c r="I11" s="94" t="str">
        <f>IFERROR(__xludf.DUMMYFUNCTION("""COMPUTED_VALUE"""),"The level starts at one, and the achievement also locks at level one.")</f>
        <v>The level starts at one, and the achievement also locks at level one.</v>
      </c>
      <c r="J11" s="94" t="str">
        <f>IFERROR(__xludf.DUMMYFUNCTION("""COMPUTED_VALUE"""),"Fail")</f>
        <v>Fail</v>
      </c>
      <c r="K11" s="94" t="str">
        <f>IFERROR(__xludf.DUMMYFUNCTION("""COMPUTED_VALUE"""),"Medium")</f>
        <v>Medium</v>
      </c>
      <c r="L11" s="95" t="str">
        <f>IFERROR(__xludf.DUMMYFUNCTION("""COMPUTED_VALUE"""),"005.png")</f>
        <v>005.png</v>
      </c>
      <c r="M11" s="94"/>
      <c r="N11" s="96" t="str">
        <f>IFERROR(__xludf.DUMMYFUNCTION("""COMPUTED_VALUE"""),"Fahad")</f>
        <v>Fahad</v>
      </c>
      <c r="O11" s="96"/>
      <c r="P11" s="96"/>
      <c r="Q11" s="96"/>
      <c r="S11" s="97"/>
      <c r="T11" s="97"/>
      <c r="U11" s="97"/>
      <c r="V11" s="97"/>
      <c r="W11" s="97"/>
      <c r="X11" s="97"/>
      <c r="Y11" s="97"/>
      <c r="Z11" s="97"/>
      <c r="AA11" s="97"/>
      <c r="AB11" s="97"/>
    </row>
    <row r="12">
      <c r="A12" s="98" t="s">
        <v>270</v>
      </c>
      <c r="B12" s="99" t="str">
        <f>IFERROR(__xludf.DUMMYFUNCTION("""COMPUTED_VALUE"""),"Achievement")</f>
        <v>Achievement</v>
      </c>
      <c r="C12" s="99" t="str">
        <f>IFERROR(__xludf.DUMMYFUNCTION("""COMPUTED_VALUE"""),"Achievement")</f>
        <v>Achievement</v>
      </c>
      <c r="D12" s="99" t="str">
        <f>IFERROR(__xludf.DUMMYFUNCTION("""COMPUTED_VALUE"""),"Unlocked the 7th achievement instead of the 6th one.")</f>
        <v>Unlocked the 7th achievement instead of the 6th one.</v>
      </c>
      <c r="E12" s="99" t="str">
        <f>IFERROR(__xludf.DUMMYFUNCTION("""COMPUTED_VALUE"""),"User need to download the app on their IOS device")</f>
        <v>User need to download the app on their IOS device</v>
      </c>
      <c r="F12" s="99" t="str">
        <f>IFERROR(__xludf.DUMMYFUNCTION("""COMPUTED_VALUE"""),"1. Open app
2. Signup using valid credentials
3. Click on settings ")</f>
        <v>1. Open app
2. Signup using valid credentials
3. Click on settings </v>
      </c>
      <c r="G12" s="99" t="str">
        <f>IFERROR(__xludf.DUMMYFUNCTION("""COMPUTED_VALUE"""),"User credentials")</f>
        <v>User credentials</v>
      </c>
      <c r="H12" s="99" t="str">
        <f>IFERROR(__xludf.DUMMYFUNCTION("""COMPUTED_VALUE"""),"Achievements should be unlocked in ascending order.")</f>
        <v>Achievements should be unlocked in ascending order.</v>
      </c>
      <c r="I12" s="99" t="str">
        <f>IFERROR(__xludf.DUMMYFUNCTION("""COMPUTED_VALUE"""),"7th achievement unlocked instead of the 6th")</f>
        <v>7th achievement unlocked instead of the 6th</v>
      </c>
      <c r="J12" s="99" t="str">
        <f>IFERROR(__xludf.DUMMYFUNCTION("""COMPUTED_VALUE"""),"Fail")</f>
        <v>Fail</v>
      </c>
      <c r="K12" s="99" t="str">
        <f>IFERROR(__xludf.DUMMYFUNCTION("""COMPUTED_VALUE"""),"High")</f>
        <v>High</v>
      </c>
      <c r="L12" s="100" t="str">
        <f>IFERROR(__xludf.DUMMYFUNCTION("""COMPUTED_VALUE"""),"011.png")</f>
        <v>011.png</v>
      </c>
      <c r="M12" s="99"/>
      <c r="N12" s="99" t="str">
        <f>IFERROR(__xludf.DUMMYFUNCTION("""COMPUTED_VALUE"""),"Fahad")</f>
        <v>Fahad</v>
      </c>
      <c r="O12" s="98"/>
      <c r="P12" s="99"/>
      <c r="Q12" s="99"/>
      <c r="S12" s="97"/>
      <c r="T12" s="97"/>
      <c r="U12" s="97"/>
      <c r="V12" s="97"/>
      <c r="W12" s="97"/>
      <c r="X12" s="97"/>
      <c r="Y12" s="97"/>
      <c r="Z12" s="97"/>
      <c r="AA12" s="97"/>
      <c r="AB12" s="97"/>
    </row>
    <row r="13">
      <c r="A13" s="98" t="s">
        <v>271</v>
      </c>
      <c r="B13" s="99" t="str">
        <f>IFERROR(__xludf.DUMMYFUNCTION("""COMPUTED_VALUE"""),"Challenge")</f>
        <v>Challenge</v>
      </c>
      <c r="C13" s="99" t="str">
        <f>IFERROR(__xludf.DUMMYFUNCTION("""COMPUTED_VALUE"""),"Challenge")</f>
        <v>Challenge</v>
      </c>
      <c r="D13" s="99" t="str">
        <f>IFERROR(__xludf.DUMMYFUNCTION("""COMPUTED_VALUE"""),"Progress count issue")</f>
        <v>Progress count issue</v>
      </c>
      <c r="E13" s="99" t="str">
        <f>IFERROR(__xludf.DUMMYFUNCTION("""COMPUTED_VALUE"""),"User need to download the app on their IOS device")</f>
        <v>User need to download the app on their IOS device</v>
      </c>
      <c r="F13" s="99" t="str">
        <f>IFERROR(__xludf.DUMMYFUNCTION("""COMPUTED_VALUE"""),"1. Open app
2. Login using valid credentials
3. Goto challenges
4. Click on current challenge")</f>
        <v>1. Open app
2. Login using valid credentials
3. Goto challenges
4. Click on current challenge</v>
      </c>
      <c r="G13" s="99" t="str">
        <f>IFERROR(__xludf.DUMMYFUNCTION("""COMPUTED_VALUE"""),"User credentials")</f>
        <v>User credentials</v>
      </c>
      <c r="H13" s="99" t="str">
        <f>IFERROR(__xludf.DUMMYFUNCTION("""COMPUTED_VALUE"""),"Progress calculations need to be precise.")</f>
        <v>Progress calculations need to be precise.</v>
      </c>
      <c r="I13" s="99" t="str">
        <f>IFERROR(__xludf.DUMMYFUNCTION("""COMPUTED_VALUE"""),"Mismatch in progress calculation")</f>
        <v>Mismatch in progress calculation</v>
      </c>
      <c r="J13" s="99" t="str">
        <f>IFERROR(__xludf.DUMMYFUNCTION("""COMPUTED_VALUE"""),"Fail")</f>
        <v>Fail</v>
      </c>
      <c r="K13" s="99" t="str">
        <f>IFERROR(__xludf.DUMMYFUNCTION("""COMPUTED_VALUE"""),"High")</f>
        <v>High</v>
      </c>
      <c r="L13" s="100" t="str">
        <f>IFERROR(__xludf.DUMMYFUNCTION("""COMPUTED_VALUE"""),"010.MP4")</f>
        <v>010.MP4</v>
      </c>
      <c r="M13" s="99"/>
      <c r="N13" s="99" t="str">
        <f>IFERROR(__xludf.DUMMYFUNCTION("""COMPUTED_VALUE"""),"Fahad")</f>
        <v>Fahad</v>
      </c>
      <c r="O13" s="99"/>
      <c r="P13" s="99"/>
      <c r="Q13" s="99"/>
      <c r="S13" s="97"/>
      <c r="T13" s="97"/>
      <c r="U13" s="97"/>
      <c r="V13" s="97"/>
      <c r="W13" s="97"/>
      <c r="X13" s="97"/>
      <c r="Y13" s="97"/>
      <c r="Z13" s="97"/>
      <c r="AA13" s="97"/>
      <c r="AB13" s="97"/>
    </row>
    <row r="14">
      <c r="A14" s="98" t="s">
        <v>272</v>
      </c>
      <c r="B14" s="99" t="str">
        <f>IFERROR(__xludf.DUMMYFUNCTION("""COMPUTED_VALUE"""),"Challenge")</f>
        <v>Challenge</v>
      </c>
      <c r="C14" s="99" t="str">
        <f>IFERROR(__xludf.DUMMYFUNCTION("""COMPUTED_VALUE"""),"Challenge")</f>
        <v>Challenge</v>
      </c>
      <c r="D14" s="99" t="str">
        <f>IFERROR(__xludf.DUMMYFUNCTION("""COMPUTED_VALUE"""),"The ""Continue Steps"" button isn’t working, making it nonfunctional.")</f>
        <v>The "Continue Steps" button isn’t working, making it nonfunctional.</v>
      </c>
      <c r="E14" s="99" t="str">
        <f>IFERROR(__xludf.DUMMYFUNCTION("""COMPUTED_VALUE"""),"User need to download the app on their IOS device")</f>
        <v>User need to download the app on their IOS device</v>
      </c>
      <c r="F14" s="99" t="str">
        <f>IFERROR(__xludf.DUMMYFUNCTION("""COMPUTED_VALUE"""),"1. Open app
2. Login using valid credentials
3. Goto challenges")</f>
        <v>1. Open app
2. Login using valid credentials
3. Goto challenges</v>
      </c>
      <c r="G14" s="99" t="str">
        <f>IFERROR(__xludf.DUMMYFUNCTION("""COMPUTED_VALUE"""),"User credentials")</f>
        <v>User credentials</v>
      </c>
      <c r="H14" s="99" t="str">
        <f>IFERROR(__xludf.DUMMYFUNCTION("""COMPUTED_VALUE"""),"All buttons should work accurately.")</f>
        <v>All buttons should work accurately.</v>
      </c>
      <c r="I14" s="99" t="str">
        <f>IFERROR(__xludf.DUMMYFUNCTION("""COMPUTED_VALUE"""),"button not working")</f>
        <v>button not working</v>
      </c>
      <c r="J14" s="99" t="str">
        <f>IFERROR(__xludf.DUMMYFUNCTION("""COMPUTED_VALUE"""),"Fail")</f>
        <v>Fail</v>
      </c>
      <c r="K14" s="99" t="str">
        <f>IFERROR(__xludf.DUMMYFUNCTION("""COMPUTED_VALUE"""),"High")</f>
        <v>High</v>
      </c>
      <c r="L14" s="100" t="str">
        <f>IFERROR(__xludf.DUMMYFUNCTION("""COMPUTED_VALUE"""),"012.mov")</f>
        <v>012.mov</v>
      </c>
      <c r="M14" s="99"/>
      <c r="N14" s="99" t="str">
        <f>IFERROR(__xludf.DUMMYFUNCTION("""COMPUTED_VALUE"""),"Fahad")</f>
        <v>Fahad</v>
      </c>
      <c r="O14" s="99"/>
      <c r="P14" s="99"/>
      <c r="Q14" s="99"/>
      <c r="S14" s="97"/>
      <c r="T14" s="97"/>
      <c r="U14" s="97"/>
      <c r="V14" s="97"/>
      <c r="W14" s="97"/>
      <c r="X14" s="97"/>
      <c r="Y14" s="97"/>
      <c r="Z14" s="97"/>
      <c r="AA14" s="97"/>
      <c r="AB14" s="97"/>
    </row>
    <row r="15">
      <c r="A15" s="98" t="s">
        <v>273</v>
      </c>
      <c r="B15" s="99" t="str">
        <f>IFERROR(__xludf.DUMMYFUNCTION("""COMPUTED_VALUE"""),"Challenge")</f>
        <v>Challenge</v>
      </c>
      <c r="C15" s="99" t="str">
        <f>IFERROR(__xludf.DUMMYFUNCTION("""COMPUTED_VALUE"""),"Challenge")</f>
        <v>Challenge</v>
      </c>
      <c r="D15" s="99" t="str">
        <f>IFERROR(__xludf.DUMMYFUNCTION("""COMPUTED_VALUE"""),"Miss calculations in challenges")</f>
        <v>Miss calculations in challenges</v>
      </c>
      <c r="E15" s="99" t="str">
        <f>IFERROR(__xludf.DUMMYFUNCTION("""COMPUTED_VALUE"""),"User need to download the app on their IOS device")</f>
        <v>User need to download the app on their IOS device</v>
      </c>
      <c r="F15" s="99" t="str">
        <f>IFERROR(__xludf.DUMMYFUNCTION("""COMPUTED_VALUE"""),"1. Open app
2. Login using valid credentials
3. Goto challenges")</f>
        <v>1. Open app
2. Login using valid credentials
3. Goto challenges</v>
      </c>
      <c r="G15" s="99" t="str">
        <f>IFERROR(__xludf.DUMMYFUNCTION("""COMPUTED_VALUE"""),"User credentials")</f>
        <v>User credentials</v>
      </c>
      <c r="H15" s="99" t="str">
        <f>IFERROR(__xludf.DUMMYFUNCTION("""COMPUTED_VALUE"""),"All challenge data should function smoothly.")</f>
        <v>All challenge data should function smoothly.</v>
      </c>
      <c r="I15" s="99" t="str">
        <f>IFERROR(__xludf.DUMMYFUNCTION("""COMPUTED_VALUE"""),"A data mismatch has been detected.")</f>
        <v>A data mismatch has been detected.</v>
      </c>
      <c r="J15" s="99" t="str">
        <f>IFERROR(__xludf.DUMMYFUNCTION("""COMPUTED_VALUE"""),"Fail")</f>
        <v>Fail</v>
      </c>
      <c r="K15" s="99" t="str">
        <f>IFERROR(__xludf.DUMMYFUNCTION("""COMPUTED_VALUE"""),"High")</f>
        <v>High</v>
      </c>
      <c r="L15" s="100" t="str">
        <f>IFERROR(__xludf.DUMMYFUNCTION("""COMPUTED_VALUE"""),"013.MP4")</f>
        <v>013.MP4</v>
      </c>
      <c r="M15" s="99"/>
      <c r="N15" s="99" t="str">
        <f>IFERROR(__xludf.DUMMYFUNCTION("""COMPUTED_VALUE"""),"Fahad")</f>
        <v>Fahad</v>
      </c>
      <c r="O15" s="99"/>
      <c r="P15" s="99"/>
      <c r="Q15" s="99"/>
      <c r="S15" s="97"/>
      <c r="T15" s="97"/>
      <c r="U15" s="97"/>
      <c r="V15" s="97"/>
      <c r="W15" s="97"/>
      <c r="X15" s="97"/>
      <c r="Y15" s="97"/>
      <c r="Z15" s="97"/>
      <c r="AA15" s="97"/>
      <c r="AB15" s="97"/>
    </row>
    <row r="16">
      <c r="A16" s="98" t="s">
        <v>274</v>
      </c>
      <c r="B16" s="99" t="str">
        <f>IFERROR(__xludf.DUMMYFUNCTION("""COMPUTED_VALUE"""),"Challenge")</f>
        <v>Challenge</v>
      </c>
      <c r="C16" s="99" t="str">
        <f>IFERROR(__xludf.DUMMYFUNCTION("""COMPUTED_VALUE"""),"Challenge")</f>
        <v>Challenge</v>
      </c>
      <c r="D16" s="99" t="str">
        <f>IFERROR(__xludf.DUMMYFUNCTION("""COMPUTED_VALUE"""),"Failed to join public challenges")</f>
        <v>Failed to join public challenges</v>
      </c>
      <c r="E16" s="99" t="str">
        <f>IFERROR(__xludf.DUMMYFUNCTION("""COMPUTED_VALUE"""),"User need to download the app on their IOS device")</f>
        <v>User need to download the app on their IOS device</v>
      </c>
      <c r="F16" s="99" t="str">
        <f>IFERROR(__xludf.DUMMYFUNCTION("""COMPUTED_VALUE"""),"1. Open app
2. Login using valid credentials
3. Goto Public challenges")</f>
        <v>1. Open app
2. Login using valid credentials
3. Goto Public challenges</v>
      </c>
      <c r="G16" s="99" t="str">
        <f>IFERROR(__xludf.DUMMYFUNCTION("""COMPUTED_VALUE"""),"User credentials")</f>
        <v>User credentials</v>
      </c>
      <c r="H16" s="99" t="str">
        <f>IFERROR(__xludf.DUMMYFUNCTION("""COMPUTED_VALUE"""),"Usere should be able to join public created challenges")</f>
        <v>Usere should be able to join public created challenges</v>
      </c>
      <c r="I16" s="99" t="str">
        <f>IFERROR(__xludf.DUMMYFUNCTION("""COMPUTED_VALUE"""),"Failed to join in public created challenges")</f>
        <v>Failed to join in public created challenges</v>
      </c>
      <c r="J16" s="99" t="str">
        <f>IFERROR(__xludf.DUMMYFUNCTION("""COMPUTED_VALUE"""),"Fail")</f>
        <v>Fail</v>
      </c>
      <c r="K16" s="99" t="str">
        <f>IFERROR(__xludf.DUMMYFUNCTION("""COMPUTED_VALUE"""),"High")</f>
        <v>High</v>
      </c>
      <c r="L16" s="100" t="str">
        <f>IFERROR(__xludf.DUMMYFUNCTION("""COMPUTED_VALUE"""),"016.png")</f>
        <v>016.png</v>
      </c>
      <c r="M16" s="99"/>
      <c r="N16" s="99" t="str">
        <f>IFERROR(__xludf.DUMMYFUNCTION("""COMPUTED_VALUE"""),"Fahad")</f>
        <v>Fahad</v>
      </c>
      <c r="O16" s="99"/>
      <c r="P16" s="99"/>
      <c r="Q16" s="99"/>
      <c r="S16" s="97"/>
      <c r="T16" s="97"/>
      <c r="U16" s="97"/>
      <c r="V16" s="97"/>
      <c r="W16" s="97"/>
      <c r="X16" s="97"/>
      <c r="Y16" s="97"/>
      <c r="Z16" s="97"/>
      <c r="AA16" s="97"/>
      <c r="AB16" s="97"/>
    </row>
    <row r="17">
      <c r="A17" s="98" t="s">
        <v>275</v>
      </c>
      <c r="B17" s="99" t="str">
        <f>IFERROR(__xludf.DUMMYFUNCTION("""COMPUTED_VALUE"""),"Challenge")</f>
        <v>Challenge</v>
      </c>
      <c r="C17" s="99" t="str">
        <f>IFERROR(__xludf.DUMMYFUNCTION("""COMPUTED_VALUE"""),"Challenge")</f>
        <v>Challenge</v>
      </c>
      <c r="D17" s="99" t="str">
        <f>IFERROR(__xludf.DUMMYFUNCTION("""COMPUTED_VALUE"""),"The step count for the public challenge isn’t working as it should.")</f>
        <v>The step count for the public challenge isn’t working as it should.</v>
      </c>
      <c r="E17" s="99" t="str">
        <f>IFERROR(__xludf.DUMMYFUNCTION("""COMPUTED_VALUE"""),"User need to download the app on their IOS device")</f>
        <v>User need to download the app on their IOS device</v>
      </c>
      <c r="F17" s="99" t="str">
        <f>IFERROR(__xludf.DUMMYFUNCTION("""COMPUTED_VALUE"""),"1. Open app
2. Login using valid credentials
3. Goto Public challenges
4. Join in public challenges")</f>
        <v>1. Open app
2. Login using valid credentials
3. Goto Public challenges
4. Join in public challenges</v>
      </c>
      <c r="G17" s="99" t="str">
        <f>IFERROR(__xludf.DUMMYFUNCTION("""COMPUTED_VALUE"""),"User credentials")</f>
        <v>User credentials</v>
      </c>
      <c r="H17" s="99" t="str">
        <f>IFERROR(__xludf.DUMMYFUNCTION("""COMPUTED_VALUE"""),"Steps should be counted accurately in public challenges.")</f>
        <v>Steps should be counted accurately in public challenges.</v>
      </c>
      <c r="I17" s="99" t="str">
        <f>IFERROR(__xludf.DUMMYFUNCTION("""COMPUTED_VALUE"""),"Facing calculation error and steps are not counting in public challenges")</f>
        <v>Facing calculation error and steps are not counting in public challenges</v>
      </c>
      <c r="J17" s="99" t="str">
        <f>IFERROR(__xludf.DUMMYFUNCTION("""COMPUTED_VALUE"""),"Fail")</f>
        <v>Fail</v>
      </c>
      <c r="K17" s="99" t="str">
        <f>IFERROR(__xludf.DUMMYFUNCTION("""COMPUTED_VALUE"""),"High")</f>
        <v>High</v>
      </c>
      <c r="L17" s="100" t="str">
        <f>IFERROR(__xludf.DUMMYFUNCTION("""COMPUTED_VALUE"""),"020.png")</f>
        <v>020.png</v>
      </c>
      <c r="M17" s="99"/>
      <c r="N17" s="99" t="str">
        <f>IFERROR(__xludf.DUMMYFUNCTION("""COMPUTED_VALUE"""),"Fahad")</f>
        <v>Fahad</v>
      </c>
      <c r="O17" s="99"/>
      <c r="P17" s="99"/>
      <c r="Q17" s="99"/>
      <c r="S17" s="97"/>
      <c r="T17" s="97"/>
      <c r="U17" s="97"/>
      <c r="V17" s="97"/>
      <c r="W17" s="97"/>
      <c r="X17" s="97"/>
      <c r="Y17" s="97"/>
      <c r="Z17" s="97"/>
      <c r="AA17" s="97"/>
      <c r="AB17" s="97"/>
    </row>
    <row r="18">
      <c r="A18" s="98" t="s">
        <v>276</v>
      </c>
      <c r="B18" s="99" t="str">
        <f>IFERROR(__xludf.DUMMYFUNCTION("""COMPUTED_VALUE"""),"Challenge")</f>
        <v>Challenge</v>
      </c>
      <c r="C18" s="99" t="str">
        <f>IFERROR(__xludf.DUMMYFUNCTION("""COMPUTED_VALUE"""),"Challenge")</f>
        <v>Challenge</v>
      </c>
      <c r="D18" s="99" t="str">
        <f>IFERROR(__xludf.DUMMYFUNCTION("""COMPUTED_VALUE"""),"Missmatch calculation in created challenges")</f>
        <v>Missmatch calculation in created challenges</v>
      </c>
      <c r="E18" s="99" t="str">
        <f>IFERROR(__xludf.DUMMYFUNCTION("""COMPUTED_VALUE"""),"User need to download the app on their IOS device")</f>
        <v>User need to download the app on their IOS device</v>
      </c>
      <c r="F18" s="99" t="str">
        <f>IFERROR(__xludf.DUMMYFUNCTION("""COMPUTED_VALUE"""),"1. Open app
2. Login using valid credentials
3. Goto Public challenges
4. Join in public challenges")</f>
        <v>1. Open app
2. Login using valid credentials
3. Goto Public challenges
4. Join in public challenges</v>
      </c>
      <c r="G18" s="99" t="str">
        <f>IFERROR(__xludf.DUMMYFUNCTION("""COMPUTED_VALUE"""),"User credentials")</f>
        <v>User credentials</v>
      </c>
      <c r="H18" s="99" t="str">
        <f>IFERROR(__xludf.DUMMYFUNCTION("""COMPUTED_VALUE"""),"Calclations should be accurate ")</f>
        <v>Calclations should be accurate </v>
      </c>
      <c r="I18" s="99" t="str">
        <f>IFERROR(__xludf.DUMMYFUNCTION("""COMPUTED_VALUE"""),"Miss calculation has been noticed")</f>
        <v>Miss calculation has been noticed</v>
      </c>
      <c r="J18" s="99" t="str">
        <f>IFERROR(__xludf.DUMMYFUNCTION("""COMPUTED_VALUE"""),"Fail")</f>
        <v>Fail</v>
      </c>
      <c r="K18" s="99" t="str">
        <f>IFERROR(__xludf.DUMMYFUNCTION("""COMPUTED_VALUE"""),"High")</f>
        <v>High</v>
      </c>
      <c r="L18" s="100" t="str">
        <f>IFERROR(__xludf.DUMMYFUNCTION("""COMPUTED_VALUE"""),"021.png")</f>
        <v>021.png</v>
      </c>
      <c r="M18" s="99"/>
      <c r="N18" s="99" t="str">
        <f>IFERROR(__xludf.DUMMYFUNCTION("""COMPUTED_VALUE"""),"Fahad")</f>
        <v>Fahad</v>
      </c>
      <c r="O18" s="99"/>
      <c r="P18" s="99"/>
      <c r="Q18" s="99"/>
      <c r="S18" s="97"/>
      <c r="T18" s="97"/>
      <c r="U18" s="97"/>
      <c r="V18" s="97"/>
      <c r="W18" s="97"/>
      <c r="X18" s="97"/>
      <c r="Y18" s="97"/>
      <c r="Z18" s="97"/>
      <c r="AA18" s="97"/>
      <c r="AB18" s="97"/>
    </row>
    <row r="19">
      <c r="A19" s="98" t="s">
        <v>277</v>
      </c>
      <c r="B19" s="99" t="str">
        <f>IFERROR(__xludf.DUMMYFUNCTION("""COMPUTED_VALUE"""),"Challenge")</f>
        <v>Challenge</v>
      </c>
      <c r="C19" s="99" t="str">
        <f>IFERROR(__xludf.DUMMYFUNCTION("""COMPUTED_VALUE"""),"Challenge")</f>
        <v>Challenge</v>
      </c>
      <c r="D19" s="99" t="str">
        <f>IFERROR(__xludf.DUMMYFUNCTION("""COMPUTED_VALUE"""),"The challenge lasts for two timelines, one measured in weeks and the other in days.")</f>
        <v>The challenge lasts for two timelines, one measured in weeks and the other in days.</v>
      </c>
      <c r="E19" s="99" t="str">
        <f>IFERROR(__xludf.DUMMYFUNCTION("""COMPUTED_VALUE"""),"User need to download the app on their IOS device")</f>
        <v>User need to download the app on their IOS device</v>
      </c>
      <c r="F19" s="99" t="str">
        <f>IFERROR(__xludf.DUMMYFUNCTION("""COMPUTED_VALUE"""),"1. Open app
2. Login using valid credentials
3. Goto Public challenges
4. Join in public challenges")</f>
        <v>1. Open app
2. Login using valid credentials
3. Goto Public challenges
4. Join in public challenges</v>
      </c>
      <c r="G19" s="99" t="str">
        <f>IFERROR(__xludf.DUMMYFUNCTION("""COMPUTED_VALUE"""),"User credentials")</f>
        <v>User credentials</v>
      </c>
      <c r="H19" s="99" t="str">
        <f>IFERROR(__xludf.DUMMYFUNCTION("""COMPUTED_VALUE"""),"It should only take one time")</f>
        <v>It should only take one time</v>
      </c>
      <c r="I19" s="99" t="str">
        <f>IFERROR(__xludf.DUMMYFUNCTION("""COMPUTED_VALUE"""),"It takes two time inputs, one in weeks and the other with a start and end date, which makes it a bit confusing.")</f>
        <v>It takes two time inputs, one in weeks and the other with a start and end date, which makes it a bit confusing.</v>
      </c>
      <c r="J19" s="99" t="str">
        <f>IFERROR(__xludf.DUMMYFUNCTION("""COMPUTED_VALUE"""),"Fail")</f>
        <v>Fail</v>
      </c>
      <c r="K19" s="99" t="str">
        <f>IFERROR(__xludf.DUMMYFUNCTION("""COMPUTED_VALUE"""),"Medium")</f>
        <v>Medium</v>
      </c>
      <c r="L19" s="100" t="str">
        <f>IFERROR(__xludf.DUMMYFUNCTION("""COMPUTED_VALUE"""),"024.png")</f>
        <v>024.png</v>
      </c>
      <c r="M19" s="99"/>
      <c r="N19" s="99" t="str">
        <f>IFERROR(__xludf.DUMMYFUNCTION("""COMPUTED_VALUE"""),"Fahad")</f>
        <v>Fahad</v>
      </c>
      <c r="O19" s="99"/>
      <c r="P19" s="99"/>
      <c r="Q19" s="99"/>
      <c r="S19" s="97"/>
      <c r="T19" s="97"/>
      <c r="U19" s="97"/>
      <c r="V19" s="97"/>
      <c r="W19" s="97"/>
      <c r="X19" s="97"/>
      <c r="Y19" s="97"/>
      <c r="Z19" s="97"/>
      <c r="AA19" s="97"/>
      <c r="AB19" s="97"/>
    </row>
    <row r="20">
      <c r="A20" s="98" t="s">
        <v>278</v>
      </c>
      <c r="B20" s="99" t="str">
        <f>IFERROR(__xludf.DUMMYFUNCTION("""COMPUTED_VALUE"""),"Daily Task")</f>
        <v>Daily Task</v>
      </c>
      <c r="C20" s="99" t="str">
        <f>IFERROR(__xludf.DUMMYFUNCTION("""COMPUTED_VALUE"""),"Daily Task")</f>
        <v>Daily Task</v>
      </c>
      <c r="D20" s="99" t="str">
        <f>IFERROR(__xludf.DUMMYFUNCTION("""COMPUTED_VALUE"""),"Multiple task completion screen appeared after the user finished their daily task.")</f>
        <v>Multiple task completion screen appeared after the user finished their daily task.</v>
      </c>
      <c r="E20" s="99" t="str">
        <f>IFERROR(__xludf.DUMMYFUNCTION("""COMPUTED_VALUE"""),"User need to download the app on their IOS device")</f>
        <v>User need to download the app on their IOS device</v>
      </c>
      <c r="F20" s="99" t="str">
        <f>IFERROR(__xludf.DUMMYFUNCTION("""COMPUTED_VALUE"""),"1. Open app
2. Signup using valid credentials
3. Complete daily task")</f>
        <v>1. Open app
2. Signup using valid credentials
3. Complete daily task</v>
      </c>
      <c r="G20" s="99" t="str">
        <f>IFERROR(__xludf.DUMMYFUNCTION("""COMPUTED_VALUE"""),"User credentials")</f>
        <v>User credentials</v>
      </c>
      <c r="H20" s="99" t="str">
        <f>IFERROR(__xludf.DUMMYFUNCTION("""COMPUTED_VALUE"""),"After completing daily task, completion screen should appear only one time ")</f>
        <v>After completing daily task, completion screen should appear only one time </v>
      </c>
      <c r="I20" s="99" t="str">
        <f>IFERROR(__xludf.DUMMYFUNCTION("""COMPUTED_VALUE"""),"Multiple completion screen has been seen in app")</f>
        <v>Multiple completion screen has been seen in app</v>
      </c>
      <c r="J20" s="99" t="str">
        <f>IFERROR(__xludf.DUMMYFUNCTION("""COMPUTED_VALUE"""),"Fail")</f>
        <v>Fail</v>
      </c>
      <c r="K20" s="99" t="str">
        <f>IFERROR(__xludf.DUMMYFUNCTION("""COMPUTED_VALUE"""),"Medium")</f>
        <v>Medium</v>
      </c>
      <c r="L20" s="100" t="str">
        <f>IFERROR(__xludf.DUMMYFUNCTION("""COMPUTED_VALUE"""),"025.MP4")</f>
        <v>025.MP4</v>
      </c>
      <c r="M20" s="99"/>
      <c r="N20" s="99" t="str">
        <f>IFERROR(__xludf.DUMMYFUNCTION("""COMPUTED_VALUE"""),"Fahad")</f>
        <v>Fahad</v>
      </c>
      <c r="O20" s="99"/>
      <c r="P20" s="99"/>
      <c r="Q20" s="99"/>
      <c r="S20" s="97"/>
      <c r="T20" s="97"/>
      <c r="U20" s="97"/>
      <c r="V20" s="97"/>
      <c r="W20" s="97"/>
      <c r="X20" s="97"/>
      <c r="Y20" s="97"/>
      <c r="Z20" s="97"/>
      <c r="AA20" s="97"/>
      <c r="AB20" s="97"/>
    </row>
    <row r="21">
      <c r="A21" s="98" t="s">
        <v>279</v>
      </c>
      <c r="B21" s="99" t="str">
        <f>IFERROR(__xludf.DUMMYFUNCTION("""COMPUTED_VALUE"""),"Delete Account")</f>
        <v>Delete Account</v>
      </c>
      <c r="C21" s="99" t="str">
        <f>IFERROR(__xludf.DUMMYFUNCTION("""COMPUTED_VALUE"""),"Delete Account")</f>
        <v>Delete Account</v>
      </c>
      <c r="D21" s="99" t="str">
        <f>IFERROR(__xludf.DUMMYFUNCTION("""COMPUTED_VALUE"""),"Failed to redirect to the signup page after deleting the account.")</f>
        <v>Failed to redirect to the signup page after deleting the account.</v>
      </c>
      <c r="E21" s="99" t="str">
        <f>IFERROR(__xludf.DUMMYFUNCTION("""COMPUTED_VALUE"""),"User need to download the app on their IOS device")</f>
        <v>User need to download the app on their IOS device</v>
      </c>
      <c r="F21" s="99" t="str">
        <f>IFERROR(__xludf.DUMMYFUNCTION("""COMPUTED_VALUE"""),"1. Open app
2. Login using valid credentials
3. Goto Settings
4. Click on delete account")</f>
        <v>1. Open app
2. Login using valid credentials
3. Goto Settings
4. Click on delete account</v>
      </c>
      <c r="G21" s="99" t="str">
        <f>IFERROR(__xludf.DUMMYFUNCTION("""COMPUTED_VALUE"""),"User credentials")</f>
        <v>User credentials</v>
      </c>
      <c r="H21" s="99" t="str">
        <f>IFERROR(__xludf.DUMMYFUNCTION("""COMPUTED_VALUE"""),"After deleting an account, the user should be redirected to the signup page.")</f>
        <v>After deleting an account, the user should be redirected to the signup page.</v>
      </c>
      <c r="I21" s="99" t="str">
        <f>IFERROR(__xludf.DUMMYFUNCTION("""COMPUTED_VALUE"""),"Unable to redirect the user to the signup page.")</f>
        <v>Unable to redirect the user to the signup page.</v>
      </c>
      <c r="J21" s="99" t="str">
        <f>IFERROR(__xludf.DUMMYFUNCTION("""COMPUTED_VALUE"""),"Fail")</f>
        <v>Fail</v>
      </c>
      <c r="K21" s="99" t="str">
        <f>IFERROR(__xludf.DUMMYFUNCTION("""COMPUTED_VALUE"""),"High")</f>
        <v>High</v>
      </c>
      <c r="L21" s="100" t="str">
        <f>IFERROR(__xludf.DUMMYFUNCTION("""COMPUTED_VALUE"""),"022.MP4")</f>
        <v>022.MP4</v>
      </c>
      <c r="M21" s="99"/>
      <c r="N21" s="99" t="str">
        <f>IFERROR(__xludf.DUMMYFUNCTION("""COMPUTED_VALUE"""),"Fahad")</f>
        <v>Fahad</v>
      </c>
      <c r="O21" s="99"/>
      <c r="P21" s="99"/>
      <c r="Q21" s="99"/>
      <c r="S21" s="97"/>
      <c r="T21" s="97"/>
      <c r="U21" s="97"/>
      <c r="V21" s="97"/>
      <c r="W21" s="97"/>
      <c r="X21" s="97"/>
      <c r="Y21" s="97"/>
      <c r="Z21" s="97"/>
      <c r="AA21" s="97"/>
      <c r="AB21" s="97"/>
    </row>
    <row r="22">
      <c r="A22" s="98" t="s">
        <v>280</v>
      </c>
      <c r="B22" s="99" t="str">
        <f>IFERROR(__xludf.DUMMYFUNCTION("""COMPUTED_VALUE"""),"Forget Password")</f>
        <v>Forget Password</v>
      </c>
      <c r="C22" s="99" t="str">
        <f>IFERROR(__xludf.DUMMYFUNCTION("""COMPUTED_VALUE"""),"Forget Password")</f>
        <v>Forget Password</v>
      </c>
      <c r="D22" s="99" t="str">
        <f>IFERROR(__xludf.DUMMYFUNCTION("""COMPUTED_VALUE"""),"User is able to reset password for deleted account")</f>
        <v>User is able to reset password for deleted account</v>
      </c>
      <c r="E22" s="99" t="str">
        <f>IFERROR(__xludf.DUMMYFUNCTION("""COMPUTED_VALUE"""),"User need to download the app on their IOS device")</f>
        <v>User need to download the app on their IOS device</v>
      </c>
      <c r="F22" s="99" t="str">
        <f>IFERROR(__xludf.DUMMYFUNCTION("""COMPUTED_VALUE"""),"1. Open app
2. Goto login page
3. Click on forget password")</f>
        <v>1. Open app
2. Goto login page
3. Click on forget password</v>
      </c>
      <c r="G22" s="99" t="str">
        <f>IFERROR(__xludf.DUMMYFUNCTION("""COMPUTED_VALUE"""),"User credentials")</f>
        <v>User credentials</v>
      </c>
      <c r="H22" s="99" t="str">
        <f>IFERROR(__xludf.DUMMYFUNCTION("""COMPUTED_VALUE"""),"Only registered email should receive OTP ")</f>
        <v>Only registered email should receive OTP </v>
      </c>
      <c r="I22" s="99" t="str">
        <f>IFERROR(__xludf.DUMMYFUNCTION("""COMPUTED_VALUE"""),"Normal mail also can receive OTP")</f>
        <v>Normal mail also can receive OTP</v>
      </c>
      <c r="J22" s="99" t="str">
        <f>IFERROR(__xludf.DUMMYFUNCTION("""COMPUTED_VALUE"""),"Fail")</f>
        <v>Fail</v>
      </c>
      <c r="K22" s="99" t="str">
        <f>IFERROR(__xludf.DUMMYFUNCTION("""COMPUTED_VALUE"""),"High")</f>
        <v>High</v>
      </c>
      <c r="L22" s="100" t="str">
        <f>IFERROR(__xludf.DUMMYFUNCTION("""COMPUTED_VALUE"""),"023.mov")</f>
        <v>023.mov</v>
      </c>
      <c r="M22" s="99"/>
      <c r="N22" s="99" t="str">
        <f>IFERROR(__xludf.DUMMYFUNCTION("""COMPUTED_VALUE"""),"Fahad")</f>
        <v>Fahad</v>
      </c>
      <c r="O22" s="99"/>
      <c r="P22" s="99"/>
      <c r="Q22" s="99"/>
      <c r="S22" s="97"/>
      <c r="T22" s="97"/>
      <c r="U22" s="97"/>
      <c r="V22" s="97"/>
      <c r="W22" s="97"/>
      <c r="X22" s="97"/>
      <c r="Y22" s="97"/>
      <c r="Z22" s="97"/>
      <c r="AA22" s="97"/>
      <c r="AB22" s="97"/>
    </row>
    <row r="23">
      <c r="A23" s="98" t="s">
        <v>281</v>
      </c>
      <c r="B23" s="99" t="str">
        <f>IFERROR(__xludf.DUMMYFUNCTION("""COMPUTED_VALUE"""),"Help &amp; Support")</f>
        <v>Help &amp; Support</v>
      </c>
      <c r="C23" s="99" t="str">
        <f>IFERROR(__xludf.DUMMYFUNCTION("""COMPUTED_VALUE"""),"Contact Support")</f>
        <v>Contact Support</v>
      </c>
      <c r="D23" s="99" t="str">
        <f>IFERROR(__xludf.DUMMYFUNCTION("""COMPUTED_VALUE"""),"The social media and website links aren’t integrated.")</f>
        <v>The social media and website links aren’t integrated.</v>
      </c>
      <c r="E23" s="99" t="str">
        <f>IFERROR(__xludf.DUMMYFUNCTION("""COMPUTED_VALUE"""),"User need to download the app on their IOS device")</f>
        <v>User need to download the app on their IOS device</v>
      </c>
      <c r="F23" s="99" t="str">
        <f>IFERROR(__xludf.DUMMYFUNCTION("""COMPUTED_VALUE"""),"1. Open app
2. Login using valid credentials
3. Goto Help &amp; Support
4. Click on contact support")</f>
        <v>1. Open app
2. Login using valid credentials
3. Goto Help &amp; Support
4. Click on contact support</v>
      </c>
      <c r="G23" s="99" t="str">
        <f>IFERROR(__xludf.DUMMYFUNCTION("""COMPUTED_VALUE"""),"User credentials")</f>
        <v>User credentials</v>
      </c>
      <c r="H23" s="99" t="str">
        <f>IFERROR(__xludf.DUMMYFUNCTION("""COMPUTED_VALUE"""),"Social media accounts and the website should be properly connected to ensure authenticity.")</f>
        <v>Social media accounts and the website should be properly connected to ensure authenticity.</v>
      </c>
      <c r="I23" s="99" t="str">
        <f>IFERROR(__xludf.DUMMYFUNCTION("""COMPUTED_VALUE"""),"Missing social media and website links")</f>
        <v>Missing social media and website links</v>
      </c>
      <c r="J23" s="99" t="str">
        <f>IFERROR(__xludf.DUMMYFUNCTION("""COMPUTED_VALUE"""),"Fail")</f>
        <v>Fail</v>
      </c>
      <c r="K23" s="99" t="str">
        <f>IFERROR(__xludf.DUMMYFUNCTION("""COMPUTED_VALUE"""),"Medium")</f>
        <v>Medium</v>
      </c>
      <c r="L23" s="100" t="str">
        <f>IFERROR(__xludf.DUMMYFUNCTION("""COMPUTED_VALUE"""),"017.png")</f>
        <v>017.png</v>
      </c>
      <c r="M23" s="99"/>
      <c r="N23" s="99" t="str">
        <f>IFERROR(__xludf.DUMMYFUNCTION("""COMPUTED_VALUE"""),"Fahad")</f>
        <v>Fahad</v>
      </c>
      <c r="O23" s="99"/>
      <c r="P23" s="99"/>
      <c r="Q23" s="99"/>
      <c r="S23" s="97"/>
      <c r="T23" s="97"/>
      <c r="U23" s="97"/>
      <c r="V23" s="97"/>
      <c r="W23" s="97"/>
      <c r="X23" s="97"/>
      <c r="Y23" s="97"/>
      <c r="Z23" s="97"/>
      <c r="AA23" s="97"/>
      <c r="AB23" s="97"/>
    </row>
    <row r="24">
      <c r="A24" s="98" t="s">
        <v>282</v>
      </c>
      <c r="B24" s="99" t="str">
        <f>IFERROR(__xludf.DUMMYFUNCTION("""COMPUTED_VALUE"""),"Home")</f>
        <v>Home</v>
      </c>
      <c r="C24" s="99" t="str">
        <f>IFERROR(__xludf.DUMMYFUNCTION("""COMPUTED_VALUE"""),"Home")</f>
        <v>Home</v>
      </c>
      <c r="D24" s="99" t="str">
        <f>IFERROR(__xludf.DUMMYFUNCTION("""COMPUTED_VALUE"""),"Save the data from the previous account and show it in the new account.")</f>
        <v>Save the data from the previous account and show it in the new account.</v>
      </c>
      <c r="E24" s="99" t="str">
        <f>IFERROR(__xludf.DUMMYFUNCTION("""COMPUTED_VALUE"""),"User need to download the app on their IOS device")</f>
        <v>User need to download the app on their IOS device</v>
      </c>
      <c r="F24" s="99" t="str">
        <f>IFERROR(__xludf.DUMMYFUNCTION("""COMPUTED_VALUE"""),"1. Open app
2. Login using valid credentials
3. Goto Home")</f>
        <v>1. Open app
2. Login using valid credentials
3. Goto Home</v>
      </c>
      <c r="G24" s="99" t="str">
        <f>IFERROR(__xludf.DUMMYFUNCTION("""COMPUTED_VALUE"""),"User credentials")</f>
        <v>User credentials</v>
      </c>
      <c r="H24" s="99" t="str">
        <f>IFERROR(__xludf.DUMMYFUNCTION("""COMPUTED_VALUE"""),"Data from a deleted account should not be stored.")</f>
        <v>Data from a deleted account should not be stored.</v>
      </c>
      <c r="I24" s="99" t="str">
        <f>IFERROR(__xludf.DUMMYFUNCTION("""COMPUTED_VALUE"""),"Showed deleted account data on the new account")</f>
        <v>Showed deleted account data on the new account</v>
      </c>
      <c r="J24" s="99" t="str">
        <f>IFERROR(__xludf.DUMMYFUNCTION("""COMPUTED_VALUE"""),"Fail")</f>
        <v>Fail</v>
      </c>
      <c r="K24" s="99" t="str">
        <f>IFERROR(__xludf.DUMMYFUNCTION("""COMPUTED_VALUE"""),"High")</f>
        <v>High</v>
      </c>
      <c r="L24" s="100" t="str">
        <f>IFERROR(__xludf.DUMMYFUNCTION("""COMPUTED_VALUE"""),"015.PNG")</f>
        <v>015.PNG</v>
      </c>
      <c r="M24" s="99"/>
      <c r="N24" s="99" t="str">
        <f>IFERROR(__xludf.DUMMYFUNCTION("""COMPUTED_VALUE"""),"Fahad")</f>
        <v>Fahad</v>
      </c>
      <c r="O24" s="99"/>
      <c r="P24" s="99"/>
      <c r="Q24" s="99"/>
      <c r="S24" s="97"/>
      <c r="T24" s="97"/>
      <c r="U24" s="97"/>
      <c r="V24" s="97"/>
      <c r="W24" s="97"/>
      <c r="X24" s="97"/>
      <c r="Y24" s="97"/>
      <c r="Z24" s="97"/>
      <c r="AA24" s="97"/>
      <c r="AB24" s="97"/>
    </row>
    <row r="25">
      <c r="A25" s="98" t="s">
        <v>283</v>
      </c>
      <c r="B25" s="99" t="str">
        <f>IFERROR(__xludf.DUMMYFUNCTION("""COMPUTED_VALUE"""),"Home")</f>
        <v>Home</v>
      </c>
      <c r="C25" s="99" t="str">
        <f>IFERROR(__xludf.DUMMYFUNCTION("""COMPUTED_VALUE"""),"Home")</f>
        <v>Home</v>
      </c>
      <c r="D25" s="99" t="str">
        <f>IFERROR(__xludf.DUMMYFUNCTION("""COMPUTED_VALUE"""),"Failed to display progress in proper week")</f>
        <v>Failed to display progress in proper week</v>
      </c>
      <c r="E25" s="99" t="str">
        <f>IFERROR(__xludf.DUMMYFUNCTION("""COMPUTED_VALUE"""),"User need to download the app on their IOS device")</f>
        <v>User need to download the app on their IOS device</v>
      </c>
      <c r="F25" s="99" t="str">
        <f>IFERROR(__xludf.DUMMYFUNCTION("""COMPUTED_VALUE"""),"1. Open app
2. Login using valid credentials
3. Goto Home")</f>
        <v>1. Open app
2. Login using valid credentials
3. Goto Home</v>
      </c>
      <c r="G25" s="99" t="str">
        <f>IFERROR(__xludf.DUMMYFUNCTION("""COMPUTED_VALUE"""),"User credentials")</f>
        <v>User credentials</v>
      </c>
      <c r="H25" s="99" t="str">
        <f>IFERROR(__xludf.DUMMYFUNCTION("""COMPUTED_VALUE"""),"The filter on the calendar should display correctly in either week or month view.")</f>
        <v>The filter on the calendar should display correctly in either week or month view.</v>
      </c>
      <c r="I25" s="99" t="str">
        <f>IFERROR(__xludf.DUMMYFUNCTION("""COMPUTED_VALUE"""),"Unable to display the progress for the day in the week.")</f>
        <v>Unable to display the progress for the day in the week.</v>
      </c>
      <c r="J25" s="99" t="str">
        <f>IFERROR(__xludf.DUMMYFUNCTION("""COMPUTED_VALUE"""),"Fail")</f>
        <v>Fail</v>
      </c>
      <c r="K25" s="99" t="str">
        <f>IFERROR(__xludf.DUMMYFUNCTION("""COMPUTED_VALUE"""),"High")</f>
        <v>High</v>
      </c>
      <c r="L25" s="100" t="str">
        <f>IFERROR(__xludf.DUMMYFUNCTION("""COMPUTED_VALUE"""),"029.png")</f>
        <v>029.png</v>
      </c>
      <c r="M25" s="99"/>
      <c r="N25" s="99" t="str">
        <f>IFERROR(__xludf.DUMMYFUNCTION("""COMPUTED_VALUE"""),"Fahad")</f>
        <v>Fahad</v>
      </c>
      <c r="O25" s="99"/>
      <c r="P25" s="99"/>
      <c r="Q25" s="99"/>
      <c r="S25" s="97"/>
      <c r="T25" s="97"/>
      <c r="U25" s="97"/>
      <c r="V25" s="97"/>
      <c r="W25" s="97"/>
      <c r="X25" s="97"/>
      <c r="Y25" s="97"/>
      <c r="Z25" s="97"/>
      <c r="AA25" s="97"/>
      <c r="AB25" s="97"/>
    </row>
    <row r="26">
      <c r="A26" s="98" t="s">
        <v>284</v>
      </c>
      <c r="B26" s="99" t="str">
        <f>IFERROR(__xludf.DUMMYFUNCTION("""COMPUTED_VALUE"""),"Login")</f>
        <v>Login</v>
      </c>
      <c r="C26" s="99" t="str">
        <f>IFERROR(__xludf.DUMMYFUNCTION("""COMPUTED_VALUE"""),"Login")</f>
        <v>Login</v>
      </c>
      <c r="D26" s="99" t="str">
        <f>IFERROR(__xludf.DUMMYFUNCTION("""COMPUTED_VALUE"""),"The login page doesn’t include links to the terms of service or privacy policy.")</f>
        <v>The login page doesn’t include links to the terms of service or privacy policy.</v>
      </c>
      <c r="E26" s="99" t="str">
        <f>IFERROR(__xludf.DUMMYFUNCTION("""COMPUTED_VALUE"""),"User need to download the app on their IOS device")</f>
        <v>User need to download the app on their IOS device</v>
      </c>
      <c r="F26" s="99" t="str">
        <f>IFERROR(__xludf.DUMMYFUNCTION("""COMPUTED_VALUE"""),"1. Open app
2. Goto login page")</f>
        <v>1. Open app
2. Goto login page</v>
      </c>
      <c r="G26" s="99" t="str">
        <f>IFERROR(__xludf.DUMMYFUNCTION("""COMPUTED_VALUE"""),"User credentials")</f>
        <v>User credentials</v>
      </c>
      <c r="H26" s="99" t="str">
        <f>IFERROR(__xludf.DUMMYFUNCTION("""COMPUTED_VALUE"""),"Privacy policies should be properly linked on the screen.")</f>
        <v>Privacy policies should be properly linked on the screen.</v>
      </c>
      <c r="I26" s="99" t="str">
        <f>IFERROR(__xludf.DUMMYFUNCTION("""COMPUTED_VALUE"""),"The Privacy policy aren’t connected.")</f>
        <v>The Privacy policy aren’t connected.</v>
      </c>
      <c r="J26" s="99" t="str">
        <f>IFERROR(__xludf.DUMMYFUNCTION("""COMPUTED_VALUE"""),"Fail")</f>
        <v>Fail</v>
      </c>
      <c r="K26" s="99" t="str">
        <f>IFERROR(__xludf.DUMMYFUNCTION("""COMPUTED_VALUE"""),"High")</f>
        <v>High</v>
      </c>
      <c r="L26" s="100" t="str">
        <f>IFERROR(__xludf.DUMMYFUNCTION("""COMPUTED_VALUE"""),"004.png")</f>
        <v>004.png</v>
      </c>
      <c r="M26" s="99"/>
      <c r="N26" s="99" t="str">
        <f>IFERROR(__xludf.DUMMYFUNCTION("""COMPUTED_VALUE"""),"Fahad")</f>
        <v>Fahad</v>
      </c>
      <c r="O26" s="99"/>
      <c r="P26" s="99"/>
      <c r="Q26" s="99"/>
      <c r="S26" s="97"/>
      <c r="T26" s="97"/>
      <c r="U26" s="97"/>
      <c r="V26" s="97"/>
      <c r="W26" s="97"/>
      <c r="X26" s="97"/>
      <c r="Y26" s="97"/>
      <c r="Z26" s="97"/>
      <c r="AA26" s="97"/>
      <c r="AB26" s="97"/>
    </row>
    <row r="27">
      <c r="A27" s="98" t="s">
        <v>285</v>
      </c>
      <c r="B27" s="99" t="str">
        <f>IFERROR(__xludf.DUMMYFUNCTION("""COMPUTED_VALUE"""),"Login")</f>
        <v>Login</v>
      </c>
      <c r="C27" s="99" t="str">
        <f>IFERROR(__xludf.DUMMYFUNCTION("""COMPUTED_VALUE"""),"Login")</f>
        <v>Login</v>
      </c>
      <c r="D27" s="99" t="str">
        <f>IFERROR(__xludf.DUMMYFUNCTION("""COMPUTED_VALUE"""),"Faced error in login")</f>
        <v>Faced error in login</v>
      </c>
      <c r="E27" s="99" t="str">
        <f>IFERROR(__xludf.DUMMYFUNCTION("""COMPUTED_VALUE"""),"User need to download the app on their IOS device")</f>
        <v>User need to download the app on their IOS device</v>
      </c>
      <c r="F27" s="99" t="str">
        <f>IFERROR(__xludf.DUMMYFUNCTION("""COMPUTED_VALUE"""),"1. Open app
2. Goto login page")</f>
        <v>1. Open app
2. Goto login page</v>
      </c>
      <c r="G27" s="99" t="str">
        <f>IFERROR(__xludf.DUMMYFUNCTION("""COMPUTED_VALUE"""),"User credentials")</f>
        <v>User credentials</v>
      </c>
      <c r="H27" s="99" t="str">
        <f>IFERROR(__xludf.DUMMYFUNCTION("""COMPUTED_VALUE"""),"User should not face any issue in login")</f>
        <v>User should not face any issue in login</v>
      </c>
      <c r="I27" s="99" t="str">
        <f>IFERROR(__xludf.DUMMYFUNCTION("""COMPUTED_VALUE"""),"Faced bad request on login time")</f>
        <v>Faced bad request on login time</v>
      </c>
      <c r="J27" s="99" t="str">
        <f>IFERROR(__xludf.DUMMYFUNCTION("""COMPUTED_VALUE"""),"Fail")</f>
        <v>Fail</v>
      </c>
      <c r="K27" s="99" t="str">
        <f>IFERROR(__xludf.DUMMYFUNCTION("""COMPUTED_VALUE"""),"High")</f>
        <v>High</v>
      </c>
      <c r="L27" s="100" t="str">
        <f>IFERROR(__xludf.DUMMYFUNCTION("""COMPUTED_VALUE"""),"009.png")</f>
        <v>009.png</v>
      </c>
      <c r="M27" s="99"/>
      <c r="N27" s="99" t="str">
        <f>IFERROR(__xludf.DUMMYFUNCTION("""COMPUTED_VALUE"""),"Fahad")</f>
        <v>Fahad</v>
      </c>
      <c r="O27" s="99"/>
      <c r="P27" s="99"/>
      <c r="Q27" s="99"/>
      <c r="S27" s="97"/>
      <c r="T27" s="97"/>
      <c r="U27" s="97"/>
      <c r="V27" s="97"/>
      <c r="W27" s="97"/>
      <c r="X27" s="97"/>
      <c r="Y27" s="97"/>
      <c r="Z27" s="97"/>
      <c r="AA27" s="97"/>
      <c r="AB27" s="97"/>
    </row>
    <row r="28">
      <c r="A28" s="98" t="s">
        <v>286</v>
      </c>
      <c r="B28" s="99" t="str">
        <f>IFERROR(__xludf.DUMMYFUNCTION("""COMPUTED_VALUE"""),"Login")</f>
        <v>Login</v>
      </c>
      <c r="C28" s="99" t="str">
        <f>IFERROR(__xludf.DUMMYFUNCTION("""COMPUTED_VALUE"""),"Login")</f>
        <v>Login</v>
      </c>
      <c r="D28" s="99" t="str">
        <f>IFERROR(__xludf.DUMMYFUNCTION("""COMPUTED_VALUE"""),"Failed to sigin")</f>
        <v>Failed to sigin</v>
      </c>
      <c r="E28" s="99" t="str">
        <f>IFERROR(__xludf.DUMMYFUNCTION("""COMPUTED_VALUE"""),"User need to download the app on their IOS device")</f>
        <v>User need to download the app on their IOS device</v>
      </c>
      <c r="F28" s="99" t="str">
        <f>IFERROR(__xludf.DUMMYFUNCTION("""COMPUTED_VALUE"""),"1. Open app
2. Goto login page")</f>
        <v>1. Open app
2. Goto login page</v>
      </c>
      <c r="G28" s="99" t="str">
        <f>IFERROR(__xludf.DUMMYFUNCTION("""COMPUTED_VALUE"""),"User credentials")</f>
        <v>User credentials</v>
      </c>
      <c r="H28" s="99" t="str">
        <f>IFERROR(__xludf.DUMMYFUNCTION("""COMPUTED_VALUE"""),"User should be able to signin without facing any issue")</f>
        <v>User should be able to signin without facing any issue</v>
      </c>
      <c r="I28" s="99" t="str">
        <f>IFERROR(__xludf.DUMMYFUNCTION("""COMPUTED_VALUE"""),"Failed to signin properly")</f>
        <v>Failed to signin properly</v>
      </c>
      <c r="J28" s="99" t="str">
        <f>IFERROR(__xludf.DUMMYFUNCTION("""COMPUTED_VALUE"""),"Fail")</f>
        <v>Fail</v>
      </c>
      <c r="K28" s="99" t="str">
        <f>IFERROR(__xludf.DUMMYFUNCTION("""COMPUTED_VALUE"""),"High")</f>
        <v>High</v>
      </c>
      <c r="L28" s="100" t="str">
        <f>IFERROR(__xludf.DUMMYFUNCTION("""COMPUTED_VALUE"""),"032.png")</f>
        <v>032.png</v>
      </c>
      <c r="M28" s="99"/>
      <c r="N28" s="99" t="str">
        <f>IFERROR(__xludf.DUMMYFUNCTION("""COMPUTED_VALUE"""),"Fahad")</f>
        <v>Fahad</v>
      </c>
      <c r="O28" s="99"/>
      <c r="P28" s="99"/>
      <c r="Q28" s="99"/>
      <c r="S28" s="97"/>
      <c r="T28" s="97"/>
      <c r="U28" s="97"/>
      <c r="V28" s="97"/>
      <c r="W28" s="97"/>
      <c r="X28" s="97"/>
      <c r="Y28" s="97"/>
      <c r="Z28" s="97"/>
      <c r="AA28" s="97"/>
      <c r="AB28" s="97"/>
    </row>
    <row r="29">
      <c r="A29" s="98" t="s">
        <v>287</v>
      </c>
      <c r="B29" s="99" t="str">
        <f>IFERROR(__xludf.DUMMYFUNCTION("""COMPUTED_VALUE"""),"OTP")</f>
        <v>OTP</v>
      </c>
      <c r="C29" s="99" t="str">
        <f>IFERROR(__xludf.DUMMYFUNCTION("""COMPUTED_VALUE"""),"OTP")</f>
        <v>OTP</v>
      </c>
      <c r="D29" s="99" t="str">
        <f>IFERROR(__xludf.DUMMYFUNCTION("""COMPUTED_VALUE"""),"Double OTP page is displayed")</f>
        <v>Double OTP page is displayed</v>
      </c>
      <c r="E29" s="99" t="str">
        <f>IFERROR(__xludf.DUMMYFUNCTION("""COMPUTED_VALUE"""),"User need to download the app on their IOS device")</f>
        <v>User need to download the app on their IOS device</v>
      </c>
      <c r="F29" s="99" t="str">
        <f>IFERROR(__xludf.DUMMYFUNCTION("""COMPUTED_VALUE"""),"1. Open app
2. goto Login page
3. Click on forget password
4. Enter mail and goto OTP page")</f>
        <v>1. Open app
2. goto Login page
3. Click on forget password
4. Enter mail and goto OTP page</v>
      </c>
      <c r="G29" s="99" t="str">
        <f>IFERROR(__xludf.DUMMYFUNCTION("""COMPUTED_VALUE"""),"User credentials")</f>
        <v>User credentials</v>
      </c>
      <c r="H29" s="99" t="str">
        <f>IFERROR(__xludf.DUMMYFUNCTION("""COMPUTED_VALUE"""),"OTP page should displayed single time")</f>
        <v>OTP page should displayed single time</v>
      </c>
      <c r="I29" s="99" t="str">
        <f>IFERROR(__xludf.DUMMYFUNCTION("""COMPUTED_VALUE"""),"OTP page shows twice ")</f>
        <v>OTP page shows twice </v>
      </c>
      <c r="J29" s="99" t="str">
        <f>IFERROR(__xludf.DUMMYFUNCTION("""COMPUTED_VALUE"""),"Fail")</f>
        <v>Fail</v>
      </c>
      <c r="K29" s="99" t="str">
        <f>IFERROR(__xludf.DUMMYFUNCTION("""COMPUTED_VALUE"""),"Medium")</f>
        <v>Medium</v>
      </c>
      <c r="L29" s="100" t="str">
        <f>IFERROR(__xludf.DUMMYFUNCTION("""COMPUTED_VALUE"""),"014.PNG")</f>
        <v>014.PNG</v>
      </c>
      <c r="M29" s="99"/>
      <c r="N29" s="99" t="str">
        <f>IFERROR(__xludf.DUMMYFUNCTION("""COMPUTED_VALUE"""),"Fahad")</f>
        <v>Fahad</v>
      </c>
      <c r="O29" s="99"/>
      <c r="P29" s="99"/>
      <c r="Q29" s="99"/>
      <c r="S29" s="97"/>
      <c r="T29" s="97"/>
      <c r="U29" s="97"/>
      <c r="V29" s="97"/>
      <c r="W29" s="97"/>
      <c r="X29" s="97"/>
      <c r="Y29" s="97"/>
      <c r="Z29" s="97"/>
      <c r="AA29" s="97"/>
      <c r="AB29" s="97"/>
    </row>
    <row r="30">
      <c r="A30" s="98" t="s">
        <v>288</v>
      </c>
      <c r="B30" s="99" t="str">
        <f>IFERROR(__xludf.DUMMYFUNCTION("""COMPUTED_VALUE"""),"Password")</f>
        <v>Password</v>
      </c>
      <c r="C30" s="99" t="str">
        <f>IFERROR(__xludf.DUMMYFUNCTION("""COMPUTED_VALUE"""),"Password")</f>
        <v>Password</v>
      </c>
      <c r="D30" s="99" t="str">
        <f>IFERROR(__xludf.DUMMYFUNCTION("""COMPUTED_VALUE"""),"The password update error toast message is showing with the success toast message color.")</f>
        <v>The password update error toast message is showing with the success toast message color.</v>
      </c>
      <c r="E30" s="99" t="str">
        <f>IFERROR(__xludf.DUMMYFUNCTION("""COMPUTED_VALUE"""),"User need to download the app on their IOS device")</f>
        <v>User need to download the app on their IOS device</v>
      </c>
      <c r="F30" s="99" t="str">
        <f>IFERROR(__xludf.DUMMYFUNCTION("""COMPUTED_VALUE"""),"1. Open app
2. Signup using valid credentials
3. Click on settings 
4. Select Update password")</f>
        <v>1. Open app
2. Signup using valid credentials
3. Click on settings 
4. Select Update password</v>
      </c>
      <c r="G30" s="99" t="str">
        <f>IFERROR(__xludf.DUMMYFUNCTION("""COMPUTED_VALUE"""),"User credentials")</f>
        <v>User credentials</v>
      </c>
      <c r="H30" s="99" t="str">
        <f>IFERROR(__xludf.DUMMYFUNCTION("""COMPUTED_VALUE"""),"Error toast message should be displayed properly")</f>
        <v>Error toast message should be displayed properly</v>
      </c>
      <c r="I30" s="99" t="str">
        <f>IFERROR(__xludf.DUMMYFUNCTION("""COMPUTED_VALUE"""),"The error toast message color is set to the same as the success toast message.")</f>
        <v>The error toast message color is set to the same as the success toast message.</v>
      </c>
      <c r="J30" s="99" t="str">
        <f>IFERROR(__xludf.DUMMYFUNCTION("""COMPUTED_VALUE"""),"Fail")</f>
        <v>Fail</v>
      </c>
      <c r="K30" s="99" t="str">
        <f>IFERROR(__xludf.DUMMYFUNCTION("""COMPUTED_VALUE"""),"Low")</f>
        <v>Low</v>
      </c>
      <c r="L30" s="100" t="str">
        <f>IFERROR(__xludf.DUMMYFUNCTION("""COMPUTED_VALUE"""),"007.png")</f>
        <v>007.png</v>
      </c>
      <c r="M30" s="99"/>
      <c r="N30" s="99" t="str">
        <f>IFERROR(__xludf.DUMMYFUNCTION("""COMPUTED_VALUE"""),"Fahad")</f>
        <v>Fahad</v>
      </c>
      <c r="O30" s="99"/>
      <c r="P30" s="99"/>
      <c r="Q30" s="99"/>
      <c r="S30" s="97"/>
      <c r="T30" s="97"/>
      <c r="U30" s="97"/>
      <c r="V30" s="97"/>
      <c r="W30" s="97"/>
      <c r="X30" s="97"/>
      <c r="Y30" s="97"/>
      <c r="Z30" s="97"/>
      <c r="AA30" s="97"/>
      <c r="AB30" s="97"/>
    </row>
    <row r="31">
      <c r="A31" s="98" t="s">
        <v>289</v>
      </c>
      <c r="B31" s="99" t="str">
        <f>IFERROR(__xludf.DUMMYFUNCTION("""COMPUTED_VALUE"""),"Preferences")</f>
        <v>Preferences</v>
      </c>
      <c r="C31" s="99" t="str">
        <f>IFERROR(__xludf.DUMMYFUNCTION("""COMPUTED_VALUE"""),"Preferences")</f>
        <v>Preferences</v>
      </c>
      <c r="D31" s="99" t="str">
        <f>IFERROR(__xludf.DUMMYFUNCTION("""COMPUTED_VALUE"""),"The frontend is missing the daily reminder feature.")</f>
        <v>The frontend is missing the daily reminder feature.</v>
      </c>
      <c r="E31" s="99" t="str">
        <f>IFERROR(__xludf.DUMMYFUNCTION("""COMPUTED_VALUE"""),"User need to download the app on their IOS device")</f>
        <v>User need to download the app on their IOS device</v>
      </c>
      <c r="F31" s="99" t="str">
        <f>IFERROR(__xludf.DUMMYFUNCTION("""COMPUTED_VALUE"""),"1. Open app
2. Login using valid credentials
3. Goto settings
4. Click on Preferences")</f>
        <v>1. Open app
2. Login using valid credentials
3. Goto settings
4. Click on Preferences</v>
      </c>
      <c r="G31" s="99" t="str">
        <f>IFERROR(__xludf.DUMMYFUNCTION("""COMPUTED_VALUE"""),"User credentials")</f>
        <v>User credentials</v>
      </c>
      <c r="H31" s="99" t="str">
        <f>IFERROR(__xludf.DUMMYFUNCTION("""COMPUTED_VALUE"""),"Design and functions should be same as figma")</f>
        <v>Design and functions should be same as figma</v>
      </c>
      <c r="I31" s="99" t="str">
        <f>IFERROR(__xludf.DUMMYFUNCTION("""COMPUTED_VALUE"""),"Missing daily remainder in frontend")</f>
        <v>Missing daily remainder in frontend</v>
      </c>
      <c r="J31" s="99" t="str">
        <f>IFERROR(__xludf.DUMMYFUNCTION("""COMPUTED_VALUE"""),"Fail")</f>
        <v>Fail</v>
      </c>
      <c r="K31" s="99" t="str">
        <f>IFERROR(__xludf.DUMMYFUNCTION("""COMPUTED_VALUE"""),"High")</f>
        <v>High</v>
      </c>
      <c r="L31" s="100" t="str">
        <f>IFERROR(__xludf.DUMMYFUNCTION("""COMPUTED_VALUE"""),"033.png")</f>
        <v>033.png</v>
      </c>
      <c r="M31" s="99"/>
      <c r="N31" s="99" t="str">
        <f>IFERROR(__xludf.DUMMYFUNCTION("""COMPUTED_VALUE"""),"Fahad")</f>
        <v>Fahad</v>
      </c>
      <c r="O31" s="99"/>
      <c r="P31" s="99"/>
      <c r="Q31" s="99"/>
      <c r="S31" s="97"/>
      <c r="T31" s="97"/>
      <c r="U31" s="97"/>
      <c r="V31" s="97"/>
      <c r="W31" s="97"/>
      <c r="X31" s="97"/>
      <c r="Y31" s="97"/>
      <c r="Z31" s="97"/>
      <c r="AA31" s="97"/>
      <c r="AB31" s="97"/>
    </row>
    <row r="32">
      <c r="A32" s="98" t="s">
        <v>290</v>
      </c>
      <c r="B32" s="99" t="str">
        <f>IFERROR(__xludf.DUMMYFUNCTION("""COMPUTED_VALUE"""),"Privacy Policy")</f>
        <v>Privacy Policy</v>
      </c>
      <c r="C32" s="99" t="str">
        <f>IFERROR(__xludf.DUMMYFUNCTION("""COMPUTED_VALUE"""),"Privacy Policy")</f>
        <v>Privacy Policy</v>
      </c>
      <c r="D32" s="99" t="str">
        <f>IFERROR(__xludf.DUMMYFUNCTION("""COMPUTED_VALUE"""),"Missing privacy policy content in app")</f>
        <v>Missing privacy policy content in app</v>
      </c>
      <c r="E32" s="99" t="str">
        <f>IFERROR(__xludf.DUMMYFUNCTION("""COMPUTED_VALUE"""),"User need to download the app on their IOS device")</f>
        <v>User need to download the app on their IOS device</v>
      </c>
      <c r="F32" s="99" t="str">
        <f>IFERROR(__xludf.DUMMYFUNCTION("""COMPUTED_VALUE"""),"1. Open app
2. Login using valid credentials
3. Goto Privacy Policy")</f>
        <v>1. Open app
2. Login using valid credentials
3. Goto Privacy Policy</v>
      </c>
      <c r="G32" s="99" t="str">
        <f>IFERROR(__xludf.DUMMYFUNCTION("""COMPUTED_VALUE"""),"User credentials")</f>
        <v>User credentials</v>
      </c>
      <c r="H32" s="99" t="str">
        <f>IFERROR(__xludf.DUMMYFUNCTION("""COMPUTED_VALUE"""),"The privacy policy should be clearly displayed in the app to ensure authenticity.")</f>
        <v>The privacy policy should be clearly displayed in the app to ensure authenticity.</v>
      </c>
      <c r="I32" s="99" t="str">
        <f>IFERROR(__xludf.DUMMYFUNCTION("""COMPUTED_VALUE"""),"Privacy policy content is missing.")</f>
        <v>Privacy policy content is missing.</v>
      </c>
      <c r="J32" s="99" t="str">
        <f>IFERROR(__xludf.DUMMYFUNCTION("""COMPUTED_VALUE"""),"Fail")</f>
        <v>Fail</v>
      </c>
      <c r="K32" s="99" t="str">
        <f>IFERROR(__xludf.DUMMYFUNCTION("""COMPUTED_VALUE"""),"Medium")</f>
        <v>Medium</v>
      </c>
      <c r="L32" s="100" t="str">
        <f>IFERROR(__xludf.DUMMYFUNCTION("""COMPUTED_VALUE"""),"018.png")</f>
        <v>018.png</v>
      </c>
      <c r="M32" s="99"/>
      <c r="N32" s="99" t="str">
        <f>IFERROR(__xludf.DUMMYFUNCTION("""COMPUTED_VALUE"""),"Fahad")</f>
        <v>Fahad</v>
      </c>
      <c r="O32" s="99"/>
      <c r="P32" s="99"/>
      <c r="Q32" s="99"/>
      <c r="S32" s="97"/>
      <c r="T32" s="97"/>
      <c r="U32" s="97"/>
      <c r="V32" s="97"/>
      <c r="W32" s="97"/>
      <c r="X32" s="97"/>
      <c r="Y32" s="97"/>
      <c r="Z32" s="97"/>
      <c r="AA32" s="97"/>
      <c r="AB32" s="97"/>
    </row>
    <row r="33">
      <c r="A33" s="98" t="s">
        <v>291</v>
      </c>
      <c r="B33" s="99" t="str">
        <f>IFERROR(__xludf.DUMMYFUNCTION("""COMPUTED_VALUE"""),"Profile")</f>
        <v>Profile</v>
      </c>
      <c r="C33" s="99" t="str">
        <f>IFERROR(__xludf.DUMMYFUNCTION("""COMPUTED_VALUE"""),"Profile")</f>
        <v>Profile</v>
      </c>
      <c r="D33" s="99" t="str">
        <f>IFERROR(__xludf.DUMMYFUNCTION("""COMPUTED_VALUE"""),"A profile input validation issue has been detected.")</f>
        <v>A profile input validation issue has been detected.</v>
      </c>
      <c r="E33" s="99" t="str">
        <f>IFERROR(__xludf.DUMMYFUNCTION("""COMPUTED_VALUE"""),"User need to download the app on their IOS device")</f>
        <v>User need to download the app on their IOS device</v>
      </c>
      <c r="F33" s="99" t="str">
        <f>IFERROR(__xludf.DUMMYFUNCTION("""COMPUTED_VALUE"""),"1. Open app
2. Signup using valid credentials
3. Click on settings 
4. Select Profile")</f>
        <v>1. Open app
2. Signup using valid credentials
3. Click on settings 
4. Select Profile</v>
      </c>
      <c r="G33" s="99" t="str">
        <f>IFERROR(__xludf.DUMMYFUNCTION("""COMPUTED_VALUE"""),"User credentials")</f>
        <v>User credentials</v>
      </c>
      <c r="H33" s="99" t="str">
        <f>IFERROR(__xludf.DUMMYFUNCTION("""COMPUTED_VALUE"""),"Proper maintenance of input field validation is essential.")</f>
        <v>Proper maintenance of input field validation is essential.</v>
      </c>
      <c r="I33" s="99" t="str">
        <f>IFERROR(__xludf.DUMMYFUNCTION("""COMPUTED_VALUE"""),"Input validation missing in app")</f>
        <v>Input validation missing in app</v>
      </c>
      <c r="J33" s="99" t="str">
        <f>IFERROR(__xludf.DUMMYFUNCTION("""COMPUTED_VALUE"""),"Fail")</f>
        <v>Fail</v>
      </c>
      <c r="K33" s="99" t="str">
        <f>IFERROR(__xludf.DUMMYFUNCTION("""COMPUTED_VALUE"""),"High")</f>
        <v>High</v>
      </c>
      <c r="L33" s="100" t="str">
        <f>IFERROR(__xludf.DUMMYFUNCTION("""COMPUTED_VALUE"""),"006.png")</f>
        <v>006.png</v>
      </c>
      <c r="M33" s="99"/>
      <c r="N33" s="99" t="str">
        <f>IFERROR(__xludf.DUMMYFUNCTION("""COMPUTED_VALUE"""),"Fahad")</f>
        <v>Fahad</v>
      </c>
      <c r="O33" s="99"/>
      <c r="P33" s="99"/>
      <c r="Q33" s="99"/>
      <c r="S33" s="97"/>
      <c r="T33" s="97"/>
      <c r="U33" s="97"/>
      <c r="V33" s="97"/>
      <c r="W33" s="97"/>
      <c r="X33" s="97"/>
      <c r="Y33" s="97"/>
      <c r="Z33" s="97"/>
      <c r="AA33" s="97"/>
      <c r="AB33" s="97"/>
    </row>
    <row r="34">
      <c r="A34" s="98" t="s">
        <v>292</v>
      </c>
      <c r="B34" s="99" t="str">
        <f>IFERROR(__xludf.DUMMYFUNCTION("""COMPUTED_VALUE"""),"Progress")</f>
        <v>Progress</v>
      </c>
      <c r="C34" s="99" t="str">
        <f>IFERROR(__xludf.DUMMYFUNCTION("""COMPUTED_VALUE"""),"Progress")</f>
        <v>Progress</v>
      </c>
      <c r="D34" s="99" t="str">
        <f>IFERROR(__xludf.DUMMYFUNCTION("""COMPUTED_VALUE"""),"Work progress calculation and daily target calculation are different.")</f>
        <v>Work progress calculation and daily target calculation are different.</v>
      </c>
      <c r="E34" s="99" t="str">
        <f>IFERROR(__xludf.DUMMYFUNCTION("""COMPUTED_VALUE"""),"User need to download the app on their IOS device")</f>
        <v>User need to download the app on their IOS device</v>
      </c>
      <c r="F34" s="99" t="str">
        <f>IFERROR(__xludf.DUMMYFUNCTION("""COMPUTED_VALUE"""),"1. Open app
2. Signup using valid credentials
3. Complete daily task")</f>
        <v>1. Open app
2. Signup using valid credentials
3. Complete daily task</v>
      </c>
      <c r="G34" s="99" t="str">
        <f>IFERROR(__xludf.DUMMYFUNCTION("""COMPUTED_VALUE"""),"User credentials")</f>
        <v>User credentials</v>
      </c>
      <c r="H34" s="99" t="str">
        <f>IFERROR(__xludf.DUMMYFUNCTION("""COMPUTED_VALUE"""),"The daily target goal calculation needs to be accurate and clearly displayed.")</f>
        <v>The daily target goal calculation needs to be accurate and clearly displayed.</v>
      </c>
      <c r="I34" s="99" t="str">
        <f>IFERROR(__xludf.DUMMYFUNCTION("""COMPUTED_VALUE"""),"Progress calculation error")</f>
        <v>Progress calculation error</v>
      </c>
      <c r="J34" s="99" t="str">
        <f>IFERROR(__xludf.DUMMYFUNCTION("""COMPUTED_VALUE"""),"Fail")</f>
        <v>Fail</v>
      </c>
      <c r="K34" s="99" t="str">
        <f>IFERROR(__xludf.DUMMYFUNCTION("""COMPUTED_VALUE"""),"High")</f>
        <v>High</v>
      </c>
      <c r="L34" s="100" t="str">
        <f>IFERROR(__xludf.DUMMYFUNCTION("""COMPUTED_VALUE"""),"026.png")</f>
        <v>026.png</v>
      </c>
      <c r="M34" s="99"/>
      <c r="N34" s="99" t="str">
        <f>IFERROR(__xludf.DUMMYFUNCTION("""COMPUTED_VALUE"""),"Fahad")</f>
        <v>Fahad</v>
      </c>
      <c r="O34" s="99"/>
      <c r="P34" s="99"/>
      <c r="Q34" s="99"/>
      <c r="S34" s="97"/>
      <c r="T34" s="97"/>
      <c r="U34" s="97"/>
      <c r="V34" s="97"/>
      <c r="W34" s="97"/>
      <c r="X34" s="97"/>
      <c r="Y34" s="97"/>
      <c r="Z34" s="97"/>
      <c r="AA34" s="97"/>
      <c r="AB34" s="97"/>
    </row>
    <row r="35">
      <c r="A35" s="98" t="s">
        <v>293</v>
      </c>
      <c r="B35" s="99" t="str">
        <f>IFERROR(__xludf.DUMMYFUNCTION("""COMPUTED_VALUE"""),"Report")</f>
        <v>Report</v>
      </c>
      <c r="C35" s="99" t="str">
        <f>IFERROR(__xludf.DUMMYFUNCTION("""COMPUTED_VALUE"""),"Report")</f>
        <v>Report</v>
      </c>
      <c r="D35" s="99" t="str">
        <f>IFERROR(__xludf.DUMMYFUNCTION("""COMPUTED_VALUE"""),"Missing Statistic on report page")</f>
        <v>Missing Statistic on report page</v>
      </c>
      <c r="E35" s="99" t="str">
        <f>IFERROR(__xludf.DUMMYFUNCTION("""COMPUTED_VALUE"""),"User need to download the app on their IOS device")</f>
        <v>User need to download the app on their IOS device</v>
      </c>
      <c r="F35" s="99" t="str">
        <f>IFERROR(__xludf.DUMMYFUNCTION("""COMPUTED_VALUE"""),"1. Open app
2. Signup using valid credentials
3. Click report")</f>
        <v>1. Open app
2. Signup using valid credentials
3. Click report</v>
      </c>
      <c r="G35" s="99" t="str">
        <f>IFERROR(__xludf.DUMMYFUNCTION("""COMPUTED_VALUE"""),"User credentials")</f>
        <v>User credentials</v>
      </c>
      <c r="H35" s="99" t="str">
        <f>IFERROR(__xludf.DUMMYFUNCTION("""COMPUTED_VALUE"""),"The design and alignment should be as perfect as in Figma.")</f>
        <v>The design and alignment should be as perfect as in Figma.</v>
      </c>
      <c r="I35" s="99" t="str">
        <f>IFERROR(__xludf.DUMMYFUNCTION("""COMPUTED_VALUE"""),"Statistic missing in the frontend")</f>
        <v>Statistic missing in the frontend</v>
      </c>
      <c r="J35" s="99" t="str">
        <f>IFERROR(__xludf.DUMMYFUNCTION("""COMPUTED_VALUE"""),"Fail")</f>
        <v>Fail</v>
      </c>
      <c r="K35" s="99" t="str">
        <f>IFERROR(__xludf.DUMMYFUNCTION("""COMPUTED_VALUE"""),"High")</f>
        <v>High</v>
      </c>
      <c r="L35" s="100" t="str">
        <f>IFERROR(__xludf.DUMMYFUNCTION("""COMPUTED_VALUE"""),"028.png")</f>
        <v>028.png</v>
      </c>
      <c r="M35" s="99"/>
      <c r="N35" s="99" t="str">
        <f>IFERROR(__xludf.DUMMYFUNCTION("""COMPUTED_VALUE"""),"Fahad")</f>
        <v>Fahad</v>
      </c>
      <c r="O35" s="99"/>
      <c r="P35" s="99"/>
      <c r="Q35" s="99"/>
      <c r="S35" s="97"/>
      <c r="T35" s="97"/>
      <c r="U35" s="97"/>
      <c r="V35" s="97"/>
      <c r="W35" s="97"/>
      <c r="X35" s="97"/>
      <c r="Y35" s="97"/>
      <c r="Z35" s="97"/>
      <c r="AA35" s="97"/>
      <c r="AB35" s="97"/>
    </row>
    <row r="36">
      <c r="A36" s="98" t="s">
        <v>294</v>
      </c>
      <c r="B36" s="99" t="str">
        <f>IFERROR(__xludf.DUMMYFUNCTION("""COMPUTED_VALUE"""),"Report")</f>
        <v>Report</v>
      </c>
      <c r="C36" s="99" t="str">
        <f>IFERROR(__xludf.DUMMYFUNCTION("""COMPUTED_VALUE"""),"Report")</f>
        <v>Report</v>
      </c>
      <c r="D36" s="99" t="str">
        <f>IFERROR(__xludf.DUMMYFUNCTION("""COMPUTED_VALUE"""),"Failed to display accurate calender in report page")</f>
        <v>Failed to display accurate calender in report page</v>
      </c>
      <c r="E36" s="99" t="str">
        <f>IFERROR(__xludf.DUMMYFUNCTION("""COMPUTED_VALUE"""),"User need to download the app on their IOS device")</f>
        <v>User need to download the app on their IOS device</v>
      </c>
      <c r="F36" s="99" t="str">
        <f>IFERROR(__xludf.DUMMYFUNCTION("""COMPUTED_VALUE"""),"1. Open app
2. Signup using valid credentials
3. Click report")</f>
        <v>1. Open app
2. Signup using valid credentials
3. Click report</v>
      </c>
      <c r="G36" s="99" t="str">
        <f>IFERROR(__xludf.DUMMYFUNCTION("""COMPUTED_VALUE"""),"User credentials")</f>
        <v>User credentials</v>
      </c>
      <c r="H36" s="99" t="str">
        <f>IFERROR(__xludf.DUMMYFUNCTION("""COMPUTED_VALUE"""),"The calendar should be displayed accurately in the app.")</f>
        <v>The calendar should be displayed accurately in the app.</v>
      </c>
      <c r="I36" s="99" t="str">
        <f>IFERROR(__xludf.DUMMYFUNCTION("""COMPUTED_VALUE"""),"Unable to display the correct calendar in the app.")</f>
        <v>Unable to display the correct calendar in the app.</v>
      </c>
      <c r="J36" s="99" t="str">
        <f>IFERROR(__xludf.DUMMYFUNCTION("""COMPUTED_VALUE"""),"Fail")</f>
        <v>Fail</v>
      </c>
      <c r="K36" s="99" t="str">
        <f>IFERROR(__xludf.DUMMYFUNCTION("""COMPUTED_VALUE"""),"High")</f>
        <v>High</v>
      </c>
      <c r="L36" s="100" t="str">
        <f>IFERROR(__xludf.DUMMYFUNCTION("""COMPUTED_VALUE"""),"030.png")</f>
        <v>030.png</v>
      </c>
      <c r="M36" s="99"/>
      <c r="N36" s="99" t="str">
        <f>IFERROR(__xludf.DUMMYFUNCTION("""COMPUTED_VALUE"""),"Fahad")</f>
        <v>Fahad</v>
      </c>
      <c r="O36" s="99"/>
      <c r="P36" s="99"/>
      <c r="Q36" s="99"/>
      <c r="S36" s="97"/>
      <c r="T36" s="97"/>
      <c r="U36" s="97"/>
      <c r="V36" s="97"/>
      <c r="W36" s="97"/>
      <c r="X36" s="97"/>
      <c r="Y36" s="97"/>
      <c r="Z36" s="97"/>
      <c r="AA36" s="97"/>
      <c r="AB36" s="97"/>
    </row>
    <row r="37">
      <c r="A37" s="98" t="s">
        <v>295</v>
      </c>
      <c r="B37" s="99" t="str">
        <f>IFERROR(__xludf.DUMMYFUNCTION("""COMPUTED_VALUE"""),"Splash Screen")</f>
        <v>Splash Screen</v>
      </c>
      <c r="C37" s="99" t="str">
        <f>IFERROR(__xludf.DUMMYFUNCTION("""COMPUTED_VALUE"""),"Splash Screen")</f>
        <v>Splash Screen</v>
      </c>
      <c r="D37" s="99" t="str">
        <f>IFERROR(__xludf.DUMMYFUNCTION("""COMPUTED_VALUE"""),"Splash flow missing ")</f>
        <v>Splash flow missing </v>
      </c>
      <c r="E37" s="99" t="str">
        <f>IFERROR(__xludf.DUMMYFUNCTION("""COMPUTED_VALUE"""),"User need to download the app on their IOS device")</f>
        <v>User need to download the app on their IOS device</v>
      </c>
      <c r="F37" s="99" t="str">
        <f>IFERROR(__xludf.DUMMYFUNCTION("""COMPUTED_VALUE"""),"1. Open app
2. Signup using valid credentials")</f>
        <v>1. Open app
2. Signup using valid credentials</v>
      </c>
      <c r="G37" s="99" t="str">
        <f>IFERROR(__xludf.DUMMYFUNCTION("""COMPUTED_VALUE"""),"User credentials")</f>
        <v>User credentials</v>
      </c>
      <c r="H37" s="99" t="str">
        <f>IFERROR(__xludf.DUMMYFUNCTION("""COMPUTED_VALUE"""),"All flash screens should be positioned accurately according to the Figma design.")</f>
        <v>All flash screens should be positioned accurately according to the Figma design.</v>
      </c>
      <c r="I37" s="99" t="str">
        <f>IFERROR(__xludf.DUMMYFUNCTION("""COMPUTED_VALUE"""),"Missing flash screen on selecting gender ")</f>
        <v>Missing flash screen on selecting gender </v>
      </c>
      <c r="J37" s="99" t="str">
        <f>IFERROR(__xludf.DUMMYFUNCTION("""COMPUTED_VALUE"""),"Fail")</f>
        <v>Fail</v>
      </c>
      <c r="K37" s="99" t="str">
        <f>IFERROR(__xludf.DUMMYFUNCTION("""COMPUTED_VALUE"""),"Medium")</f>
        <v>Medium</v>
      </c>
      <c r="L37" s="100" t="str">
        <f>IFERROR(__xludf.DUMMYFUNCTION("""COMPUTED_VALUE"""),"001.MP4")</f>
        <v>001.MP4</v>
      </c>
      <c r="M37" s="100" t="str">
        <f>IFERROR(__xludf.DUMMYFUNCTION("""COMPUTED_VALUE"""),"001.1.png")</f>
        <v>001.1.png</v>
      </c>
      <c r="N37" s="99" t="str">
        <f>IFERROR(__xludf.DUMMYFUNCTION("""COMPUTED_VALUE"""),"Fahad")</f>
        <v>Fahad</v>
      </c>
      <c r="O37" s="99"/>
      <c r="P37" s="99"/>
      <c r="Q37" s="99"/>
      <c r="S37" s="97"/>
      <c r="T37" s="97"/>
      <c r="U37" s="97"/>
      <c r="V37" s="97"/>
      <c r="W37" s="97"/>
      <c r="X37" s="97"/>
      <c r="Y37" s="97"/>
      <c r="Z37" s="97"/>
      <c r="AA37" s="97"/>
      <c r="AB37" s="97"/>
    </row>
    <row r="38">
      <c r="A38" s="98" t="s">
        <v>296</v>
      </c>
      <c r="B38" s="99" t="str">
        <f>IFERROR(__xludf.DUMMYFUNCTION("""COMPUTED_VALUE"""),"Splash Screen")</f>
        <v>Splash Screen</v>
      </c>
      <c r="C38" s="99" t="str">
        <f>IFERROR(__xludf.DUMMYFUNCTION("""COMPUTED_VALUE"""),"Splash Screen")</f>
        <v>Splash Screen</v>
      </c>
      <c r="D38" s="99" t="str">
        <f>IFERROR(__xludf.DUMMYFUNCTION("""COMPUTED_VALUE"""),"Splash image missing ")</f>
        <v>Splash image missing </v>
      </c>
      <c r="E38" s="99" t="str">
        <f>IFERROR(__xludf.DUMMYFUNCTION("""COMPUTED_VALUE"""),"User need to download the app on their IOS device")</f>
        <v>User need to download the app on their IOS device</v>
      </c>
      <c r="F38" s="99" t="str">
        <f>IFERROR(__xludf.DUMMYFUNCTION("""COMPUTED_VALUE"""),"1. Open app
2. Signup using valid credentials")</f>
        <v>1. Open app
2. Signup using valid credentials</v>
      </c>
      <c r="G38" s="99" t="str">
        <f>IFERROR(__xludf.DUMMYFUNCTION("""COMPUTED_VALUE"""),"User credentials")</f>
        <v>User credentials</v>
      </c>
      <c r="H38" s="99" t="str">
        <f>IFERROR(__xludf.DUMMYFUNCTION("""COMPUTED_VALUE"""),"The image on the splash screen should be positioned precisely.")</f>
        <v>The image on the splash screen should be positioned precisely.</v>
      </c>
      <c r="I38" s="99" t="str">
        <f>IFERROR(__xludf.DUMMYFUNCTION("""COMPUTED_VALUE"""),"Image missing in splash screen")</f>
        <v>Image missing in splash screen</v>
      </c>
      <c r="J38" s="99" t="str">
        <f>IFERROR(__xludf.DUMMYFUNCTION("""COMPUTED_VALUE"""),"Fail")</f>
        <v>Fail</v>
      </c>
      <c r="K38" s="99" t="str">
        <f>IFERROR(__xludf.DUMMYFUNCTION("""COMPUTED_VALUE"""),"Medium")</f>
        <v>Medium</v>
      </c>
      <c r="L38" s="100" t="str">
        <f>IFERROR(__xludf.DUMMYFUNCTION("""COMPUTED_VALUE"""),"002.png")</f>
        <v>002.png</v>
      </c>
      <c r="M38" s="99"/>
      <c r="N38" s="99" t="str">
        <f>IFERROR(__xludf.DUMMYFUNCTION("""COMPUTED_VALUE"""),"Fahad")</f>
        <v>Fahad</v>
      </c>
      <c r="O38" s="99"/>
      <c r="P38" s="99"/>
      <c r="Q38" s="99"/>
      <c r="S38" s="97"/>
      <c r="T38" s="97"/>
      <c r="U38" s="97"/>
      <c r="V38" s="97"/>
      <c r="W38" s="97"/>
      <c r="X38" s="97"/>
      <c r="Y38" s="97"/>
      <c r="Z38" s="97"/>
      <c r="AA38" s="97"/>
      <c r="AB38" s="97"/>
    </row>
    <row r="39">
      <c r="A39" s="98" t="s">
        <v>297</v>
      </c>
      <c r="B39" s="99" t="str">
        <f>IFERROR(__xludf.DUMMYFUNCTION("""COMPUTED_VALUE"""),"Splash Screen")</f>
        <v>Splash Screen</v>
      </c>
      <c r="C39" s="99" t="str">
        <f>IFERROR(__xludf.DUMMYFUNCTION("""COMPUTED_VALUE"""),"Splash Screen")</f>
        <v>Splash Screen</v>
      </c>
      <c r="D39" s="99" t="str">
        <f>IFERROR(__xludf.DUMMYFUNCTION("""COMPUTED_VALUE"""),"The buttons are shifting along with the splash screen.")</f>
        <v>The buttons are shifting along with the splash screen.</v>
      </c>
      <c r="E39" s="99" t="str">
        <f>IFERROR(__xludf.DUMMYFUNCTION("""COMPUTED_VALUE"""),"User need to download the app on their IOS device")</f>
        <v>User need to download the app on their IOS device</v>
      </c>
      <c r="F39" s="99" t="str">
        <f>IFERROR(__xludf.DUMMYFUNCTION("""COMPUTED_VALUE"""),"1. Open app
2. Signup using valid credentials")</f>
        <v>1. Open app
2. Signup using valid credentials</v>
      </c>
      <c r="G39" s="99" t="str">
        <f>IFERROR(__xludf.DUMMYFUNCTION("""COMPUTED_VALUE"""),"User credentials")</f>
        <v>User credentials</v>
      </c>
      <c r="H39" s="99" t="str">
        <f>IFERROR(__xludf.DUMMYFUNCTION("""COMPUTED_VALUE"""),"Only the image should be scrollable, not the options.")</f>
        <v>Only the image should be scrollable, not the options.</v>
      </c>
      <c r="I39" s="99" t="str">
        <f>IFERROR(__xludf.DUMMYFUNCTION("""COMPUTED_VALUE"""),"Buttons are also moving with the picture.")</f>
        <v>Buttons are also moving with the picture.</v>
      </c>
      <c r="J39" s="99" t="str">
        <f>IFERROR(__xludf.DUMMYFUNCTION("""COMPUTED_VALUE"""),"Fail")</f>
        <v>Fail</v>
      </c>
      <c r="K39" s="99" t="str">
        <f>IFERROR(__xludf.DUMMYFUNCTION("""COMPUTED_VALUE"""),"Medium")</f>
        <v>Medium</v>
      </c>
      <c r="L39" s="100" t="str">
        <f>IFERROR(__xludf.DUMMYFUNCTION("""COMPUTED_VALUE"""),"003.MP4")</f>
        <v>003.MP4</v>
      </c>
      <c r="M39" s="99"/>
      <c r="N39" s="99" t="str">
        <f>IFERROR(__xludf.DUMMYFUNCTION("""COMPUTED_VALUE"""),"Fahad")</f>
        <v>Fahad</v>
      </c>
      <c r="O39" s="99"/>
      <c r="P39" s="99"/>
      <c r="Q39" s="99"/>
      <c r="S39" s="97"/>
      <c r="T39" s="97"/>
      <c r="U39" s="97"/>
      <c r="V39" s="97"/>
      <c r="W39" s="97"/>
      <c r="X39" s="97"/>
      <c r="Y39" s="97"/>
      <c r="Z39" s="97"/>
      <c r="AA39" s="97"/>
      <c r="AB39" s="97"/>
    </row>
    <row r="40">
      <c r="A40" s="98" t="s">
        <v>298</v>
      </c>
      <c r="B40" s="99" t="str">
        <f>IFERROR(__xludf.DUMMYFUNCTION("""COMPUTED_VALUE"""),"Splash Screen")</f>
        <v>Splash Screen</v>
      </c>
      <c r="C40" s="99" t="str">
        <f>IFERROR(__xludf.DUMMYFUNCTION("""COMPUTED_VALUE"""),"Splash Screen")</f>
        <v>Splash Screen</v>
      </c>
      <c r="D40" s="99" t="str">
        <f>IFERROR(__xludf.DUMMYFUNCTION("""COMPUTED_VALUE"""),"Failed to proceed with default steps")</f>
        <v>Failed to proceed with default steps</v>
      </c>
      <c r="E40" s="99" t="str">
        <f>IFERROR(__xludf.DUMMYFUNCTION("""COMPUTED_VALUE"""),"User need to download the app on their IOS device")</f>
        <v>User need to download the app on their IOS device</v>
      </c>
      <c r="F40" s="99" t="str">
        <f>IFERROR(__xludf.DUMMYFUNCTION("""COMPUTED_VALUE"""),"1. Open app
2. Signup using valid credentials")</f>
        <v>1. Open app
2. Signup using valid credentials</v>
      </c>
      <c r="G40" s="99" t="str">
        <f>IFERROR(__xludf.DUMMYFUNCTION("""COMPUTED_VALUE"""),"User credentials")</f>
        <v>User credentials</v>
      </c>
      <c r="H40" s="99" t="str">
        <f>IFERROR(__xludf.DUMMYFUNCTION("""COMPUTED_VALUE"""),"If steps is not manually selected by user, then the default steps (1000 steps) should be used to procced")</f>
        <v>If steps is not manually selected by user, then the default steps (1000 steps) should be used to procced</v>
      </c>
      <c r="I40" s="99" t="str">
        <f>IFERROR(__xludf.DUMMYFUNCTION("""COMPUTED_VALUE"""),"The user cannot proceed to the next page without manually selecting the steps.")</f>
        <v>The user cannot proceed to the next page without manually selecting the steps.</v>
      </c>
      <c r="J40" s="99" t="str">
        <f>IFERROR(__xludf.DUMMYFUNCTION("""COMPUTED_VALUE"""),"Fail")</f>
        <v>Fail</v>
      </c>
      <c r="K40" s="99" t="str">
        <f>IFERROR(__xludf.DUMMYFUNCTION("""COMPUTED_VALUE"""),"High")</f>
        <v>High</v>
      </c>
      <c r="L40" s="100" t="str">
        <f>IFERROR(__xludf.DUMMYFUNCTION("""COMPUTED_VALUE"""),"031.png")</f>
        <v>031.png</v>
      </c>
      <c r="M40" s="99"/>
      <c r="N40" s="99" t="str">
        <f>IFERROR(__xludf.DUMMYFUNCTION("""COMPUTED_VALUE"""),"Fahad")</f>
        <v>Fahad</v>
      </c>
      <c r="O40" s="99"/>
      <c r="P40" s="99"/>
      <c r="Q40" s="99"/>
      <c r="S40" s="97"/>
      <c r="T40" s="97"/>
      <c r="U40" s="97"/>
      <c r="V40" s="97"/>
      <c r="W40" s="97"/>
      <c r="X40" s="97"/>
      <c r="Y40" s="97"/>
      <c r="Z40" s="97"/>
      <c r="AA40" s="97"/>
      <c r="AB40" s="97"/>
    </row>
    <row r="41">
      <c r="A41" s="98" t="s">
        <v>299</v>
      </c>
      <c r="B41" s="99" t="str">
        <f>IFERROR(__xludf.DUMMYFUNCTION("""COMPUTED_VALUE"""),"Terms of service")</f>
        <v>Terms of service</v>
      </c>
      <c r="C41" s="99" t="str">
        <f>IFERROR(__xludf.DUMMYFUNCTION("""COMPUTED_VALUE"""),"Terms of service")</f>
        <v>Terms of service</v>
      </c>
      <c r="D41" s="99" t="str">
        <f>IFERROR(__xludf.DUMMYFUNCTION("""COMPUTED_VALUE"""),"Missing terms of service content in app")</f>
        <v>Missing terms of service content in app</v>
      </c>
      <c r="E41" s="99" t="str">
        <f>IFERROR(__xludf.DUMMYFUNCTION("""COMPUTED_VALUE"""),"User need to download the app on their IOS device")</f>
        <v>User need to download the app on their IOS device</v>
      </c>
      <c r="F41" s="99" t="str">
        <f>IFERROR(__xludf.DUMMYFUNCTION("""COMPUTED_VALUE"""),"1. Open app
2. Login using valid credentials
3. Goto Terms of service")</f>
        <v>1. Open app
2. Login using valid credentials
3. Goto Terms of service</v>
      </c>
      <c r="G41" s="99" t="str">
        <f>IFERROR(__xludf.DUMMYFUNCTION("""COMPUTED_VALUE"""),"User credentials")</f>
        <v>User credentials</v>
      </c>
      <c r="H41" s="99" t="str">
        <f>IFERROR(__xludf.DUMMYFUNCTION("""COMPUTED_VALUE"""),"The terms of service should be clearly displayed in the app to ensure authenticity.")</f>
        <v>The terms of service should be clearly displayed in the app to ensure authenticity.</v>
      </c>
      <c r="I41" s="99" t="str">
        <f>IFERROR(__xludf.DUMMYFUNCTION("""COMPUTED_VALUE"""),"Terms of service content is missing.")</f>
        <v>Terms of service content is missing.</v>
      </c>
      <c r="J41" s="99" t="str">
        <f>IFERROR(__xludf.DUMMYFUNCTION("""COMPUTED_VALUE"""),"Fail")</f>
        <v>Fail</v>
      </c>
      <c r="K41" s="99" t="str">
        <f>IFERROR(__xludf.DUMMYFUNCTION("""COMPUTED_VALUE"""),"Medium")</f>
        <v>Medium</v>
      </c>
      <c r="L41" s="100" t="str">
        <f>IFERROR(__xludf.DUMMYFUNCTION("""COMPUTED_VALUE"""),"019.png")</f>
        <v>019.png</v>
      </c>
      <c r="M41" s="99"/>
      <c r="N41" s="99" t="str">
        <f>IFERROR(__xludf.DUMMYFUNCTION("""COMPUTED_VALUE"""),"Fahad")</f>
        <v>Fahad</v>
      </c>
      <c r="O41" s="99"/>
      <c r="P41" s="99"/>
      <c r="Q41" s="99"/>
      <c r="S41" s="97"/>
      <c r="T41" s="97"/>
      <c r="U41" s="97"/>
      <c r="V41" s="97"/>
      <c r="W41" s="97"/>
      <c r="X41" s="97"/>
      <c r="Y41" s="97"/>
      <c r="Z41" s="97"/>
      <c r="AA41" s="97"/>
      <c r="AB41" s="97"/>
    </row>
    <row r="42">
      <c r="A42" s="98" t="s">
        <v>300</v>
      </c>
      <c r="B42" s="99" t="str">
        <f>IFERROR(__xludf.DUMMYFUNCTION("""COMPUTED_VALUE"""),"Weight tracker")</f>
        <v>Weight tracker</v>
      </c>
      <c r="C42" s="99" t="str">
        <f>IFERROR(__xludf.DUMMYFUNCTION("""COMPUTED_VALUE"""),"BMI")</f>
        <v>BMI</v>
      </c>
      <c r="D42" s="99" t="str">
        <f>IFERROR(__xludf.DUMMYFUNCTION("""COMPUTED_VALUE"""),"BMI calculation error ")</f>
        <v>BMI calculation error </v>
      </c>
      <c r="E42" s="99" t="str">
        <f>IFERROR(__xludf.DUMMYFUNCTION("""COMPUTED_VALUE"""),"User need to download the app on their IOS device")</f>
        <v>User need to download the app on their IOS device</v>
      </c>
      <c r="F42" s="99" t="str">
        <f>IFERROR(__xludf.DUMMYFUNCTION("""COMPUTED_VALUE"""),"1. Open app
2. Signup using valid credentials
3. Click on settings 
4. Select weight tracker")</f>
        <v>1. Open app
2. Signup using valid credentials
3. Click on settings 
4. Select weight tracker</v>
      </c>
      <c r="G42" s="99" t="str">
        <f>IFERROR(__xludf.DUMMYFUNCTION("""COMPUTED_VALUE"""),"User credentials")</f>
        <v>User credentials</v>
      </c>
      <c r="H42" s="99" t="str">
        <f>IFERROR(__xludf.DUMMYFUNCTION("""COMPUTED_VALUE"""),"BMI calculation in app should be accurate")</f>
        <v>BMI calculation in app should be accurate</v>
      </c>
      <c r="I42" s="99" t="str">
        <f>IFERROR(__xludf.DUMMYFUNCTION("""COMPUTED_VALUE"""),"Error in BMI calculation")</f>
        <v>Error in BMI calculation</v>
      </c>
      <c r="J42" s="99" t="str">
        <f>IFERROR(__xludf.DUMMYFUNCTION("""COMPUTED_VALUE"""),"Fail")</f>
        <v>Fail</v>
      </c>
      <c r="K42" s="99" t="str">
        <f>IFERROR(__xludf.DUMMYFUNCTION("""COMPUTED_VALUE"""),"High")</f>
        <v>High</v>
      </c>
      <c r="L42" s="100" t="str">
        <f>IFERROR(__xludf.DUMMYFUNCTION("""COMPUTED_VALUE"""),"008.png")</f>
        <v>008.png</v>
      </c>
      <c r="M42" s="99"/>
      <c r="N42" s="99" t="str">
        <f>IFERROR(__xludf.DUMMYFUNCTION("""COMPUTED_VALUE"""),"Fahad")</f>
        <v>Fahad</v>
      </c>
      <c r="O42" s="99"/>
      <c r="P42" s="99"/>
      <c r="Q42" s="99"/>
      <c r="S42" s="97"/>
      <c r="T42" s="97"/>
      <c r="U42" s="97"/>
      <c r="V42" s="97"/>
      <c r="W42" s="97"/>
      <c r="X42" s="97"/>
      <c r="Y42" s="97"/>
      <c r="Z42" s="97"/>
      <c r="AA42" s="97"/>
      <c r="AB42" s="97"/>
    </row>
    <row r="43">
      <c r="A43" s="98" t="s">
        <v>301</v>
      </c>
      <c r="B43" s="99" t="str">
        <f>IFERROR(__xludf.DUMMYFUNCTION("""COMPUTED_VALUE"""),"Weight tracker")</f>
        <v>Weight tracker</v>
      </c>
      <c r="C43" s="99" t="str">
        <f>IFERROR(__xludf.DUMMYFUNCTION("""COMPUTED_VALUE"""),"BMI")</f>
        <v>BMI</v>
      </c>
      <c r="D43" s="99" t="str">
        <f>IFERROR(__xludf.DUMMYFUNCTION("""COMPUTED_VALUE"""),"The weight can be changed, but you need to close and relaunch the app.")</f>
        <v>The weight can be changed, but you need to close and relaunch the app.</v>
      </c>
      <c r="E43" s="99" t="str">
        <f>IFERROR(__xludf.DUMMYFUNCTION("""COMPUTED_VALUE"""),"User need to download the app on their IOS device")</f>
        <v>User need to download the app on their IOS device</v>
      </c>
      <c r="F43" s="99" t="str">
        <f>IFERROR(__xludf.DUMMYFUNCTION("""COMPUTED_VALUE"""),"1. Open app
2. Signup using valid credentials
3. Click on settings 
4. Select weight tracker")</f>
        <v>1. Open app
2. Signup using valid credentials
3. Click on settings 
4. Select weight tracker</v>
      </c>
      <c r="G43" s="99" t="str">
        <f>IFERROR(__xludf.DUMMYFUNCTION("""COMPUTED_VALUE"""),"User credentials")</f>
        <v>User credentials</v>
      </c>
      <c r="H43" s="99" t="str">
        <f>IFERROR(__xludf.DUMMYFUNCTION("""COMPUTED_VALUE"""),"The weight should update dynamically without needing to close or relaunch the app.")</f>
        <v>The weight should update dynamically without needing to close or relaunch the app.</v>
      </c>
      <c r="I43" s="99" t="str">
        <f>IFERROR(__xludf.DUMMYFUNCTION("""COMPUTED_VALUE"""),"Unable to update weight in real time")</f>
        <v>Unable to update weight in real time</v>
      </c>
      <c r="J43" s="99" t="str">
        <f>IFERROR(__xludf.DUMMYFUNCTION("""COMPUTED_VALUE"""),"Fail")</f>
        <v>Fail</v>
      </c>
      <c r="K43" s="99" t="str">
        <f>IFERROR(__xludf.DUMMYFUNCTION("""COMPUTED_VALUE"""),"High")</f>
        <v>High</v>
      </c>
      <c r="L43" s="100" t="str">
        <f>IFERROR(__xludf.DUMMYFUNCTION("""COMPUTED_VALUE"""),"027.mov")</f>
        <v>027.mov</v>
      </c>
      <c r="M43" s="99"/>
      <c r="N43" s="99" t="str">
        <f>IFERROR(__xludf.DUMMYFUNCTION("""COMPUTED_VALUE"""),"Fahad")</f>
        <v>Fahad</v>
      </c>
      <c r="O43" s="99"/>
      <c r="P43" s="99"/>
      <c r="Q43" s="99"/>
      <c r="S43" s="97"/>
      <c r="T43" s="97"/>
      <c r="U43" s="97"/>
      <c r="V43" s="97"/>
      <c r="W43" s="97"/>
      <c r="X43" s="97"/>
      <c r="Y43" s="97"/>
      <c r="Z43" s="97"/>
      <c r="AA43" s="97"/>
      <c r="AB43" s="97"/>
    </row>
    <row r="44">
      <c r="A44" s="98" t="s">
        <v>302</v>
      </c>
      <c r="B44" s="99" t="str">
        <f>IFERROR(__xludf.DUMMYFUNCTION("""COMPUTED_VALUE"""),"Weight tracker")</f>
        <v>Weight tracker</v>
      </c>
      <c r="C44" s="99" t="str">
        <f>IFERROR(__xludf.DUMMYFUNCTION("""COMPUTED_VALUE"""),"BMI")</f>
        <v>BMI</v>
      </c>
      <c r="D44" s="99" t="str">
        <f>IFERROR(__xludf.DUMMYFUNCTION("""COMPUTED_VALUE"""),"Alignment issue in weight graph")</f>
        <v>Alignment issue in weight graph</v>
      </c>
      <c r="E44" s="99" t="str">
        <f>IFERROR(__xludf.DUMMYFUNCTION("""COMPUTED_VALUE"""),"User need to download the app on their IOS device")</f>
        <v>User need to download the app on their IOS device</v>
      </c>
      <c r="F44" s="99" t="str">
        <f>IFERROR(__xludf.DUMMYFUNCTION("""COMPUTED_VALUE"""),"1. Open app
2. Signup using valid credentials
3. Click on settings 
4. Select weight tracker")</f>
        <v>1. Open app
2. Signup using valid credentials
3. Click on settings 
4. Select weight tracker</v>
      </c>
      <c r="G44" s="99" t="str">
        <f>IFERROR(__xludf.DUMMYFUNCTION("""COMPUTED_VALUE"""),"User credentials")</f>
        <v>User credentials</v>
      </c>
      <c r="H44" s="99" t="str">
        <f>IFERROR(__xludf.DUMMYFUNCTION("""COMPUTED_VALUE"""),"Alignment and design should be accurate as figma")</f>
        <v>Alignment and design should be accurate as figma</v>
      </c>
      <c r="I44" s="99" t="str">
        <f>IFERROR(__xludf.DUMMYFUNCTION("""COMPUTED_VALUE"""),"Alignment issue has been noticed")</f>
        <v>Alignment issue has been noticed</v>
      </c>
      <c r="J44" s="99" t="str">
        <f>IFERROR(__xludf.DUMMYFUNCTION("""COMPUTED_VALUE"""),"Fail")</f>
        <v>Fail</v>
      </c>
      <c r="K44" s="99" t="str">
        <f>IFERROR(__xludf.DUMMYFUNCTION("""COMPUTED_VALUE"""),"Medium")</f>
        <v>Medium</v>
      </c>
      <c r="L44" s="100" t="str">
        <f>IFERROR(__xludf.DUMMYFUNCTION("""COMPUTED_VALUE"""),"034.png")</f>
        <v>034.png</v>
      </c>
      <c r="M44" s="99"/>
      <c r="N44" s="99" t="str">
        <f>IFERROR(__xludf.DUMMYFUNCTION("""COMPUTED_VALUE"""),"Fahad")</f>
        <v>Fahad</v>
      </c>
      <c r="O44" s="99"/>
      <c r="P44" s="99"/>
      <c r="Q44" s="99"/>
      <c r="S44" s="97"/>
      <c r="T44" s="97"/>
      <c r="U44" s="97"/>
      <c r="V44" s="97"/>
      <c r="W44" s="97"/>
      <c r="X44" s="97"/>
      <c r="Y44" s="97"/>
      <c r="Z44" s="97"/>
      <c r="AA44" s="97"/>
      <c r="AB44" s="97"/>
    </row>
    <row r="45">
      <c r="A45" s="98" t="s">
        <v>303</v>
      </c>
      <c r="B45" s="99"/>
      <c r="C45" s="99"/>
      <c r="D45" s="99"/>
      <c r="E45" s="99"/>
      <c r="F45" s="99"/>
      <c r="G45" s="99"/>
      <c r="H45" s="99"/>
      <c r="I45" s="99"/>
      <c r="J45" s="99"/>
      <c r="K45" s="99"/>
      <c r="L45" s="99"/>
      <c r="M45" s="99"/>
      <c r="N45" s="99"/>
      <c r="O45" s="99"/>
      <c r="P45" s="99"/>
      <c r="Q45" s="99"/>
      <c r="S45" s="97"/>
      <c r="T45" s="97"/>
      <c r="U45" s="97"/>
      <c r="V45" s="97"/>
      <c r="W45" s="97"/>
      <c r="X45" s="97"/>
      <c r="Y45" s="97"/>
      <c r="Z45" s="97"/>
      <c r="AA45" s="97"/>
      <c r="AB45" s="97"/>
    </row>
    <row r="46">
      <c r="A46" s="98" t="s">
        <v>303</v>
      </c>
      <c r="B46" s="99"/>
      <c r="C46" s="99"/>
      <c r="D46" s="99"/>
      <c r="E46" s="99"/>
      <c r="F46" s="99"/>
      <c r="G46" s="99"/>
      <c r="H46" s="99"/>
      <c r="I46" s="99"/>
      <c r="J46" s="99"/>
      <c r="K46" s="99"/>
      <c r="L46" s="99"/>
      <c r="M46" s="99"/>
      <c r="N46" s="99"/>
      <c r="O46" s="99"/>
      <c r="P46" s="99"/>
      <c r="Q46" s="99"/>
      <c r="S46" s="97"/>
      <c r="T46" s="97"/>
      <c r="U46" s="97"/>
      <c r="V46" s="97"/>
      <c r="W46" s="97"/>
      <c r="X46" s="97"/>
      <c r="Y46" s="97"/>
      <c r="Z46" s="97"/>
      <c r="AA46" s="97"/>
      <c r="AB46" s="97"/>
    </row>
    <row r="47">
      <c r="A47" s="98" t="s">
        <v>303</v>
      </c>
      <c r="B47" s="99"/>
      <c r="C47" s="99"/>
      <c r="D47" s="99"/>
      <c r="E47" s="99"/>
      <c r="F47" s="99"/>
      <c r="G47" s="99"/>
      <c r="H47" s="99"/>
      <c r="I47" s="99"/>
      <c r="J47" s="99"/>
      <c r="K47" s="99"/>
      <c r="L47" s="99"/>
      <c r="M47" s="99"/>
      <c r="N47" s="99"/>
      <c r="O47" s="99"/>
      <c r="P47" s="99"/>
      <c r="Q47" s="99"/>
      <c r="S47" s="97"/>
      <c r="T47" s="97"/>
      <c r="U47" s="97"/>
      <c r="V47" s="97"/>
      <c r="W47" s="97"/>
      <c r="X47" s="97"/>
      <c r="Y47" s="97"/>
      <c r="Z47" s="97"/>
      <c r="AA47" s="97"/>
      <c r="AB47" s="97"/>
    </row>
    <row r="48">
      <c r="A48" s="98" t="s">
        <v>303</v>
      </c>
      <c r="B48" s="99"/>
      <c r="C48" s="99"/>
      <c r="D48" s="99"/>
      <c r="E48" s="99"/>
      <c r="F48" s="99"/>
      <c r="G48" s="99"/>
      <c r="H48" s="99"/>
      <c r="I48" s="99"/>
      <c r="J48" s="99"/>
      <c r="K48" s="99"/>
      <c r="L48" s="99"/>
      <c r="M48" s="99"/>
      <c r="N48" s="99"/>
      <c r="O48" s="99"/>
      <c r="P48" s="99"/>
      <c r="Q48" s="99"/>
      <c r="S48" s="97"/>
      <c r="T48" s="97"/>
      <c r="U48" s="97"/>
      <c r="V48" s="97"/>
      <c r="W48" s="97"/>
      <c r="X48" s="97"/>
      <c r="Y48" s="97"/>
      <c r="Z48" s="97"/>
      <c r="AA48" s="97"/>
      <c r="AB48" s="97"/>
    </row>
    <row r="49">
      <c r="A49" s="98" t="s">
        <v>303</v>
      </c>
      <c r="B49" s="99"/>
      <c r="C49" s="99"/>
      <c r="D49" s="99"/>
      <c r="E49" s="99"/>
      <c r="F49" s="99"/>
      <c r="G49" s="99"/>
      <c r="H49" s="99"/>
      <c r="I49" s="99"/>
      <c r="J49" s="99"/>
      <c r="K49" s="99"/>
      <c r="L49" s="99"/>
      <c r="M49" s="99"/>
      <c r="N49" s="99"/>
      <c r="O49" s="99"/>
      <c r="P49" s="99"/>
      <c r="Q49" s="99"/>
      <c r="S49" s="97"/>
      <c r="T49" s="97"/>
      <c r="U49" s="97"/>
      <c r="V49" s="97"/>
      <c r="W49" s="97"/>
      <c r="X49" s="97"/>
      <c r="Y49" s="97"/>
      <c r="Z49" s="97"/>
      <c r="AA49" s="97"/>
      <c r="AB49" s="97"/>
    </row>
    <row r="50">
      <c r="A50" s="98" t="s">
        <v>303</v>
      </c>
      <c r="B50" s="99"/>
      <c r="C50" s="99"/>
      <c r="D50" s="99"/>
      <c r="E50" s="99"/>
      <c r="F50" s="99"/>
      <c r="G50" s="99"/>
      <c r="H50" s="99"/>
      <c r="I50" s="99"/>
      <c r="J50" s="99"/>
      <c r="K50" s="99"/>
      <c r="L50" s="99"/>
      <c r="M50" s="99"/>
      <c r="N50" s="99"/>
      <c r="O50" s="99"/>
      <c r="P50" s="99"/>
      <c r="Q50" s="99"/>
      <c r="S50" s="97"/>
      <c r="T50" s="97"/>
      <c r="U50" s="97"/>
      <c r="V50" s="97"/>
      <c r="W50" s="97"/>
      <c r="X50" s="97"/>
      <c r="Y50" s="97"/>
      <c r="Z50" s="97"/>
      <c r="AA50" s="97"/>
      <c r="AB50" s="97"/>
    </row>
    <row r="51">
      <c r="A51" s="98" t="s">
        <v>303</v>
      </c>
      <c r="B51" s="99"/>
      <c r="C51" s="99"/>
      <c r="D51" s="99"/>
      <c r="E51" s="99"/>
      <c r="F51" s="99"/>
      <c r="G51" s="99"/>
      <c r="H51" s="99"/>
      <c r="I51" s="99"/>
      <c r="J51" s="99"/>
      <c r="K51" s="99"/>
      <c r="L51" s="99"/>
      <c r="M51" s="99"/>
      <c r="N51" s="99"/>
      <c r="O51" s="99"/>
      <c r="P51" s="99"/>
      <c r="Q51" s="99"/>
      <c r="S51" s="97"/>
      <c r="T51" s="97"/>
      <c r="U51" s="97"/>
      <c r="V51" s="97"/>
      <c r="W51" s="97"/>
      <c r="X51" s="97"/>
      <c r="Y51" s="97"/>
      <c r="Z51" s="97"/>
      <c r="AA51" s="97"/>
      <c r="AB51" s="97"/>
    </row>
    <row r="52">
      <c r="A52" s="98" t="s">
        <v>303</v>
      </c>
      <c r="B52" s="99"/>
      <c r="C52" s="99"/>
      <c r="D52" s="99"/>
      <c r="E52" s="99"/>
      <c r="F52" s="99"/>
      <c r="G52" s="99"/>
      <c r="H52" s="99"/>
      <c r="I52" s="99"/>
      <c r="J52" s="99"/>
      <c r="K52" s="99"/>
      <c r="L52" s="99"/>
      <c r="M52" s="99"/>
      <c r="N52" s="99"/>
      <c r="O52" s="99"/>
      <c r="P52" s="99"/>
      <c r="Q52" s="99"/>
      <c r="S52" s="97"/>
      <c r="T52" s="97"/>
      <c r="U52" s="97"/>
      <c r="V52" s="97"/>
      <c r="W52" s="97"/>
      <c r="X52" s="97"/>
      <c r="Y52" s="97"/>
      <c r="Z52" s="97"/>
      <c r="AA52" s="97"/>
      <c r="AB52" s="97"/>
    </row>
    <row r="53">
      <c r="A53" s="98" t="s">
        <v>303</v>
      </c>
      <c r="B53" s="99"/>
      <c r="C53" s="99"/>
      <c r="D53" s="99"/>
      <c r="E53" s="99"/>
      <c r="F53" s="99"/>
      <c r="G53" s="99"/>
      <c r="H53" s="99"/>
      <c r="I53" s="99"/>
      <c r="J53" s="99"/>
      <c r="K53" s="99"/>
      <c r="L53" s="99"/>
      <c r="M53" s="99"/>
      <c r="N53" s="99"/>
      <c r="O53" s="99"/>
      <c r="P53" s="99"/>
      <c r="Q53" s="99"/>
      <c r="S53" s="97"/>
      <c r="T53" s="97"/>
      <c r="U53" s="97"/>
      <c r="V53" s="97"/>
      <c r="W53" s="97"/>
      <c r="X53" s="97"/>
      <c r="Y53" s="97"/>
      <c r="Z53" s="97"/>
      <c r="AA53" s="97"/>
      <c r="AB53" s="97"/>
    </row>
    <row r="54">
      <c r="A54" s="98" t="s">
        <v>303</v>
      </c>
      <c r="B54" s="99"/>
      <c r="C54" s="99"/>
      <c r="D54" s="99"/>
      <c r="E54" s="99"/>
      <c r="F54" s="99"/>
      <c r="G54" s="99"/>
      <c r="H54" s="99"/>
      <c r="I54" s="99"/>
      <c r="J54" s="99"/>
      <c r="K54" s="99"/>
      <c r="L54" s="99"/>
      <c r="M54" s="99"/>
      <c r="N54" s="99"/>
      <c r="O54" s="99"/>
      <c r="P54" s="99"/>
      <c r="Q54" s="99"/>
      <c r="S54" s="97"/>
      <c r="T54" s="97"/>
      <c r="U54" s="97"/>
      <c r="V54" s="97"/>
      <c r="W54" s="97"/>
      <c r="X54" s="97"/>
      <c r="Y54" s="97"/>
      <c r="Z54" s="97"/>
      <c r="AA54" s="97"/>
      <c r="AB54" s="97"/>
    </row>
    <row r="55">
      <c r="A55" s="98" t="s">
        <v>303</v>
      </c>
      <c r="B55" s="99"/>
      <c r="C55" s="99"/>
      <c r="D55" s="99"/>
      <c r="E55" s="99"/>
      <c r="F55" s="99"/>
      <c r="G55" s="99"/>
      <c r="H55" s="99"/>
      <c r="I55" s="99"/>
      <c r="J55" s="99"/>
      <c r="K55" s="99"/>
      <c r="L55" s="99"/>
      <c r="M55" s="99"/>
      <c r="N55" s="99"/>
      <c r="O55" s="99"/>
      <c r="P55" s="99"/>
      <c r="Q55" s="99"/>
      <c r="S55" s="97"/>
      <c r="T55" s="97"/>
      <c r="U55" s="97"/>
      <c r="V55" s="97"/>
      <c r="W55" s="97"/>
      <c r="X55" s="97"/>
      <c r="Y55" s="97"/>
      <c r="Z55" s="97"/>
      <c r="AA55" s="97"/>
      <c r="AB55" s="97"/>
    </row>
    <row r="56">
      <c r="A56" s="98" t="s">
        <v>303</v>
      </c>
      <c r="B56" s="99"/>
      <c r="C56" s="99"/>
      <c r="D56" s="99"/>
      <c r="E56" s="99"/>
      <c r="F56" s="99"/>
      <c r="G56" s="99"/>
      <c r="H56" s="99"/>
      <c r="I56" s="99"/>
      <c r="J56" s="99"/>
      <c r="K56" s="99"/>
      <c r="L56" s="99"/>
      <c r="M56" s="99"/>
      <c r="N56" s="99"/>
      <c r="O56" s="99"/>
      <c r="P56" s="99"/>
      <c r="Q56" s="99"/>
      <c r="S56" s="97"/>
      <c r="T56" s="97"/>
      <c r="U56" s="97"/>
      <c r="V56" s="97"/>
      <c r="W56" s="97"/>
      <c r="X56" s="97"/>
      <c r="Y56" s="97"/>
      <c r="Z56" s="97"/>
      <c r="AA56" s="97"/>
      <c r="AB56" s="97"/>
    </row>
    <row r="57">
      <c r="A57" s="98" t="s">
        <v>303</v>
      </c>
      <c r="B57" s="99"/>
      <c r="C57" s="99"/>
      <c r="D57" s="99"/>
      <c r="E57" s="99"/>
      <c r="F57" s="99"/>
      <c r="G57" s="99"/>
      <c r="H57" s="99"/>
      <c r="I57" s="99"/>
      <c r="J57" s="99"/>
      <c r="K57" s="99"/>
      <c r="L57" s="99"/>
      <c r="M57" s="99"/>
      <c r="N57" s="99"/>
      <c r="O57" s="99"/>
      <c r="P57" s="99"/>
      <c r="Q57" s="99"/>
      <c r="S57" s="97"/>
      <c r="T57" s="97"/>
      <c r="U57" s="97"/>
      <c r="V57" s="97"/>
      <c r="W57" s="97"/>
      <c r="X57" s="97"/>
      <c r="Y57" s="97"/>
      <c r="Z57" s="97"/>
      <c r="AA57" s="97"/>
      <c r="AB57" s="97"/>
    </row>
    <row r="58">
      <c r="A58" s="98" t="s">
        <v>303</v>
      </c>
      <c r="B58" s="99"/>
      <c r="C58" s="99"/>
      <c r="D58" s="99"/>
      <c r="E58" s="99"/>
      <c r="F58" s="99"/>
      <c r="G58" s="99"/>
      <c r="H58" s="99"/>
      <c r="I58" s="99"/>
      <c r="J58" s="99"/>
      <c r="K58" s="99"/>
      <c r="L58" s="99"/>
      <c r="M58" s="99"/>
      <c r="N58" s="99"/>
      <c r="O58" s="99"/>
      <c r="P58" s="99"/>
      <c r="Q58" s="99"/>
      <c r="S58" s="97"/>
      <c r="T58" s="97"/>
      <c r="U58" s="97"/>
      <c r="V58" s="97"/>
      <c r="W58" s="97"/>
      <c r="X58" s="97"/>
      <c r="Y58" s="97"/>
      <c r="Z58" s="97"/>
      <c r="AA58" s="97"/>
      <c r="AB58" s="97"/>
    </row>
    <row r="59">
      <c r="A59" s="98" t="s">
        <v>303</v>
      </c>
      <c r="B59" s="99"/>
      <c r="C59" s="99"/>
      <c r="D59" s="99"/>
      <c r="E59" s="99"/>
      <c r="F59" s="99"/>
      <c r="G59" s="99"/>
      <c r="H59" s="99"/>
      <c r="I59" s="99"/>
      <c r="J59" s="99"/>
      <c r="K59" s="99"/>
      <c r="L59" s="99"/>
      <c r="M59" s="99"/>
      <c r="N59" s="99"/>
      <c r="O59" s="99"/>
      <c r="P59" s="99"/>
      <c r="Q59" s="99"/>
      <c r="S59" s="97"/>
      <c r="T59" s="97"/>
      <c r="U59" s="97"/>
      <c r="V59" s="97"/>
      <c r="W59" s="97"/>
      <c r="X59" s="97"/>
      <c r="Y59" s="97"/>
      <c r="Z59" s="97"/>
      <c r="AA59" s="97"/>
      <c r="AB59" s="97"/>
    </row>
    <row r="60">
      <c r="A60" s="98" t="s">
        <v>303</v>
      </c>
      <c r="B60" s="99"/>
      <c r="C60" s="99"/>
      <c r="D60" s="99"/>
      <c r="E60" s="99"/>
      <c r="F60" s="99"/>
      <c r="G60" s="99"/>
      <c r="H60" s="99"/>
      <c r="I60" s="99"/>
      <c r="J60" s="99"/>
      <c r="K60" s="99"/>
      <c r="L60" s="99"/>
      <c r="M60" s="99"/>
      <c r="N60" s="99"/>
      <c r="O60" s="99"/>
      <c r="P60" s="99"/>
      <c r="Q60" s="99"/>
      <c r="S60" s="97"/>
      <c r="T60" s="97"/>
      <c r="U60" s="97"/>
      <c r="V60" s="97"/>
      <c r="W60" s="97"/>
      <c r="X60" s="97"/>
      <c r="Y60" s="97"/>
      <c r="Z60" s="97"/>
      <c r="AA60" s="97"/>
      <c r="AB60" s="97"/>
    </row>
    <row r="61">
      <c r="A61" s="98" t="s">
        <v>303</v>
      </c>
      <c r="B61" s="99"/>
      <c r="C61" s="99"/>
      <c r="D61" s="99"/>
      <c r="E61" s="99"/>
      <c r="F61" s="99"/>
      <c r="G61" s="99"/>
      <c r="H61" s="99"/>
      <c r="I61" s="99"/>
      <c r="J61" s="99"/>
      <c r="K61" s="99"/>
      <c r="L61" s="99"/>
      <c r="M61" s="99"/>
      <c r="N61" s="99"/>
      <c r="O61" s="99"/>
      <c r="P61" s="99"/>
      <c r="Q61" s="99"/>
      <c r="S61" s="97"/>
      <c r="T61" s="97"/>
      <c r="U61" s="97"/>
      <c r="V61" s="97"/>
      <c r="W61" s="97"/>
      <c r="X61" s="97"/>
      <c r="Y61" s="97"/>
      <c r="Z61" s="97"/>
      <c r="AA61" s="97"/>
      <c r="AB61" s="97"/>
    </row>
    <row r="62">
      <c r="A62" s="98" t="s">
        <v>303</v>
      </c>
      <c r="B62" s="99"/>
      <c r="C62" s="99"/>
      <c r="D62" s="99"/>
      <c r="E62" s="99"/>
      <c r="F62" s="99"/>
      <c r="G62" s="99"/>
      <c r="H62" s="99"/>
      <c r="I62" s="99"/>
      <c r="J62" s="99"/>
      <c r="K62" s="99"/>
      <c r="L62" s="99"/>
      <c r="M62" s="99"/>
      <c r="N62" s="99"/>
      <c r="O62" s="99"/>
      <c r="P62" s="99"/>
      <c r="Q62" s="99"/>
      <c r="S62" s="97"/>
      <c r="T62" s="97"/>
      <c r="U62" s="97"/>
      <c r="V62" s="97"/>
      <c r="W62" s="97"/>
      <c r="X62" s="97"/>
      <c r="Y62" s="97"/>
      <c r="Z62" s="97"/>
      <c r="AA62" s="97"/>
      <c r="AB62" s="97"/>
    </row>
    <row r="63">
      <c r="A63" s="98" t="s">
        <v>303</v>
      </c>
      <c r="B63" s="99"/>
      <c r="C63" s="99"/>
      <c r="D63" s="99"/>
      <c r="E63" s="99"/>
      <c r="F63" s="99"/>
      <c r="G63" s="99"/>
      <c r="H63" s="99"/>
      <c r="I63" s="99"/>
      <c r="J63" s="99"/>
      <c r="K63" s="99"/>
      <c r="L63" s="99"/>
      <c r="M63" s="99"/>
      <c r="N63" s="99"/>
      <c r="O63" s="99"/>
      <c r="P63" s="99"/>
      <c r="Q63" s="99"/>
      <c r="S63" s="97"/>
      <c r="T63" s="97"/>
      <c r="U63" s="97"/>
      <c r="V63" s="97"/>
      <c r="W63" s="97"/>
      <c r="X63" s="97"/>
      <c r="Y63" s="97"/>
      <c r="Z63" s="97"/>
      <c r="AA63" s="97"/>
      <c r="AB63" s="97"/>
    </row>
    <row r="64">
      <c r="A64" s="98" t="s">
        <v>303</v>
      </c>
      <c r="B64" s="99"/>
      <c r="C64" s="99"/>
      <c r="D64" s="99"/>
      <c r="E64" s="99"/>
      <c r="F64" s="99"/>
      <c r="G64" s="99"/>
      <c r="H64" s="99"/>
      <c r="I64" s="99"/>
      <c r="J64" s="99"/>
      <c r="K64" s="99"/>
      <c r="L64" s="99"/>
      <c r="M64" s="99"/>
      <c r="N64" s="99"/>
      <c r="O64" s="99"/>
      <c r="P64" s="99"/>
      <c r="Q64" s="99"/>
      <c r="S64" s="97"/>
      <c r="T64" s="97"/>
      <c r="U64" s="97"/>
      <c r="V64" s="97"/>
      <c r="W64" s="97"/>
      <c r="X64" s="97"/>
      <c r="Y64" s="97"/>
      <c r="Z64" s="97"/>
      <c r="AA64" s="97"/>
      <c r="AB64" s="97"/>
    </row>
    <row r="65">
      <c r="A65" s="101" t="s">
        <v>303</v>
      </c>
      <c r="B65" s="97"/>
      <c r="C65" s="97"/>
      <c r="D65" s="97"/>
      <c r="E65" s="97"/>
      <c r="F65" s="97"/>
      <c r="G65" s="97"/>
      <c r="H65" s="97"/>
      <c r="I65" s="97"/>
      <c r="J65" s="97"/>
      <c r="K65" s="97"/>
      <c r="L65" s="97"/>
      <c r="M65" s="97"/>
      <c r="N65" s="97"/>
      <c r="O65" s="97"/>
      <c r="P65" s="97"/>
      <c r="Q65" s="97"/>
      <c r="S65" s="97"/>
      <c r="T65" s="97"/>
      <c r="U65" s="97"/>
      <c r="V65" s="97"/>
      <c r="W65" s="97"/>
      <c r="X65" s="97"/>
      <c r="Y65" s="97"/>
      <c r="Z65" s="97"/>
      <c r="AA65" s="97"/>
      <c r="AB65" s="97"/>
    </row>
    <row r="66">
      <c r="A66" s="101" t="s">
        <v>303</v>
      </c>
      <c r="B66" s="97"/>
      <c r="C66" s="97"/>
      <c r="D66" s="97"/>
      <c r="E66" s="97"/>
      <c r="F66" s="97"/>
      <c r="G66" s="97"/>
      <c r="H66" s="97"/>
      <c r="I66" s="97"/>
      <c r="J66" s="97"/>
      <c r="K66" s="97"/>
      <c r="L66" s="97"/>
      <c r="M66" s="97"/>
      <c r="N66" s="97"/>
      <c r="O66" s="97"/>
      <c r="P66" s="97"/>
      <c r="Q66" s="97"/>
      <c r="S66" s="97"/>
      <c r="T66" s="97"/>
      <c r="U66" s="97"/>
      <c r="V66" s="97"/>
      <c r="W66" s="97"/>
      <c r="X66" s="97"/>
      <c r="Y66" s="97"/>
      <c r="Z66" s="97"/>
      <c r="AA66" s="97"/>
      <c r="AB66" s="97"/>
    </row>
    <row r="67">
      <c r="A67" s="101" t="s">
        <v>303</v>
      </c>
      <c r="B67" s="97"/>
      <c r="C67" s="97"/>
      <c r="D67" s="97"/>
      <c r="E67" s="97"/>
      <c r="F67" s="97"/>
      <c r="G67" s="97"/>
      <c r="H67" s="97"/>
      <c r="I67" s="97"/>
      <c r="J67" s="97"/>
      <c r="K67" s="97"/>
      <c r="L67" s="97"/>
      <c r="M67" s="97"/>
      <c r="N67" s="97"/>
      <c r="O67" s="97"/>
      <c r="P67" s="97"/>
      <c r="Q67" s="97"/>
      <c r="S67" s="97"/>
      <c r="T67" s="97"/>
      <c r="U67" s="97"/>
      <c r="V67" s="97"/>
      <c r="W67" s="97"/>
      <c r="X67" s="97"/>
      <c r="Y67" s="97"/>
      <c r="Z67" s="97"/>
      <c r="AA67" s="97"/>
      <c r="AB67" s="97"/>
    </row>
    <row r="68">
      <c r="A68" s="101" t="s">
        <v>303</v>
      </c>
      <c r="B68" s="97"/>
      <c r="C68" s="97"/>
      <c r="D68" s="97"/>
      <c r="E68" s="97"/>
      <c r="F68" s="97"/>
      <c r="G68" s="97"/>
      <c r="H68" s="97"/>
      <c r="I68" s="97"/>
      <c r="J68" s="97"/>
      <c r="K68" s="97"/>
      <c r="L68" s="97"/>
      <c r="M68" s="97"/>
      <c r="N68" s="97"/>
      <c r="O68" s="97"/>
      <c r="P68" s="97"/>
      <c r="Q68" s="97"/>
      <c r="S68" s="97"/>
      <c r="T68" s="97"/>
      <c r="U68" s="97"/>
      <c r="V68" s="97"/>
      <c r="W68" s="97"/>
      <c r="X68" s="97"/>
      <c r="Y68" s="97"/>
      <c r="Z68" s="97"/>
      <c r="AA68" s="97"/>
      <c r="AB68" s="97"/>
    </row>
    <row r="69">
      <c r="A69" s="101" t="s">
        <v>303</v>
      </c>
      <c r="B69" s="97"/>
      <c r="C69" s="97"/>
      <c r="D69" s="97"/>
      <c r="E69" s="97"/>
      <c r="F69" s="97"/>
      <c r="G69" s="97"/>
      <c r="H69" s="97"/>
      <c r="I69" s="97"/>
      <c r="J69" s="97"/>
      <c r="K69" s="97"/>
      <c r="L69" s="97"/>
      <c r="M69" s="97"/>
      <c r="N69" s="97"/>
      <c r="O69" s="97"/>
      <c r="P69" s="97"/>
      <c r="Q69" s="97"/>
      <c r="S69" s="97"/>
      <c r="T69" s="97"/>
      <c r="U69" s="97"/>
      <c r="V69" s="97"/>
      <c r="W69" s="97"/>
      <c r="X69" s="97"/>
      <c r="Y69" s="97"/>
      <c r="Z69" s="97"/>
      <c r="AA69" s="97"/>
      <c r="AB69" s="97"/>
    </row>
    <row r="70">
      <c r="A70" s="101" t="s">
        <v>303</v>
      </c>
      <c r="B70" s="97"/>
      <c r="C70" s="97"/>
      <c r="D70" s="97"/>
      <c r="E70" s="97"/>
      <c r="F70" s="97"/>
      <c r="G70" s="97"/>
      <c r="H70" s="97"/>
      <c r="I70" s="97"/>
      <c r="J70" s="97"/>
      <c r="K70" s="97"/>
      <c r="L70" s="97"/>
      <c r="M70" s="97"/>
      <c r="N70" s="97"/>
      <c r="O70" s="97"/>
      <c r="P70" s="97"/>
      <c r="Q70" s="97"/>
      <c r="S70" s="97"/>
      <c r="T70" s="97"/>
      <c r="U70" s="97"/>
      <c r="V70" s="97"/>
      <c r="W70" s="97"/>
      <c r="X70" s="97"/>
      <c r="Y70" s="97"/>
      <c r="Z70" s="97"/>
      <c r="AA70" s="97"/>
      <c r="AB70" s="97"/>
    </row>
    <row r="71">
      <c r="A71" s="101" t="s">
        <v>303</v>
      </c>
      <c r="B71" s="97"/>
      <c r="C71" s="97"/>
      <c r="D71" s="97"/>
      <c r="E71" s="97"/>
      <c r="F71" s="97"/>
      <c r="G71" s="97"/>
      <c r="H71" s="97"/>
      <c r="I71" s="97"/>
      <c r="J71" s="97"/>
      <c r="K71" s="97"/>
      <c r="L71" s="97"/>
      <c r="M71" s="97"/>
      <c r="N71" s="97"/>
      <c r="O71" s="97"/>
      <c r="P71" s="97"/>
      <c r="Q71" s="97"/>
      <c r="S71" s="97"/>
      <c r="T71" s="97"/>
      <c r="U71" s="97"/>
      <c r="V71" s="97"/>
      <c r="W71" s="97"/>
      <c r="X71" s="97"/>
      <c r="Y71" s="97"/>
      <c r="Z71" s="97"/>
      <c r="AA71" s="97"/>
      <c r="AB71" s="97"/>
    </row>
    <row r="72">
      <c r="A72" s="101" t="s">
        <v>303</v>
      </c>
      <c r="B72" s="97"/>
      <c r="C72" s="97"/>
      <c r="D72" s="97"/>
      <c r="E72" s="97"/>
      <c r="F72" s="97"/>
      <c r="G72" s="97"/>
      <c r="H72" s="97"/>
      <c r="I72" s="97"/>
      <c r="J72" s="97"/>
      <c r="K72" s="97"/>
      <c r="L72" s="97"/>
      <c r="M72" s="97"/>
      <c r="N72" s="97"/>
      <c r="O72" s="97"/>
      <c r="P72" s="97"/>
      <c r="Q72" s="97"/>
      <c r="S72" s="97"/>
      <c r="T72" s="97"/>
      <c r="U72" s="97"/>
      <c r="V72" s="97"/>
      <c r="W72" s="97"/>
      <c r="X72" s="97"/>
      <c r="Y72" s="97"/>
      <c r="Z72" s="97"/>
      <c r="AA72" s="97"/>
      <c r="AB72" s="97"/>
    </row>
    <row r="73">
      <c r="A73" s="101" t="s">
        <v>303</v>
      </c>
      <c r="B73" s="97"/>
      <c r="C73" s="97"/>
      <c r="D73" s="97"/>
      <c r="E73" s="97"/>
      <c r="F73" s="97"/>
      <c r="G73" s="97"/>
      <c r="H73" s="97"/>
      <c r="I73" s="97"/>
      <c r="J73" s="97"/>
      <c r="K73" s="97"/>
      <c r="L73" s="97"/>
      <c r="M73" s="97"/>
      <c r="N73" s="97"/>
      <c r="O73" s="97"/>
      <c r="P73" s="97"/>
      <c r="Q73" s="97"/>
      <c r="S73" s="97"/>
      <c r="T73" s="97"/>
      <c r="U73" s="97"/>
      <c r="V73" s="97"/>
      <c r="W73" s="97"/>
      <c r="X73" s="97"/>
      <c r="Y73" s="97"/>
      <c r="Z73" s="97"/>
      <c r="AA73" s="97"/>
      <c r="AB73" s="97"/>
    </row>
    <row r="74">
      <c r="A74" s="101" t="s">
        <v>303</v>
      </c>
      <c r="B74" s="97"/>
      <c r="C74" s="97"/>
      <c r="D74" s="97"/>
      <c r="E74" s="97"/>
      <c r="F74" s="97"/>
      <c r="G74" s="97"/>
      <c r="H74" s="97"/>
      <c r="I74" s="97"/>
      <c r="J74" s="97"/>
      <c r="K74" s="97"/>
      <c r="L74" s="97"/>
      <c r="M74" s="97"/>
      <c r="N74" s="97"/>
      <c r="O74" s="97"/>
      <c r="P74" s="97"/>
      <c r="Q74" s="97"/>
      <c r="S74" s="97"/>
      <c r="T74" s="97"/>
      <c r="U74" s="97"/>
      <c r="V74" s="97"/>
      <c r="W74" s="97"/>
      <c r="X74" s="97"/>
      <c r="Y74" s="97"/>
      <c r="Z74" s="97"/>
      <c r="AA74" s="97"/>
      <c r="AB74" s="97"/>
    </row>
    <row r="75">
      <c r="A75" s="101" t="s">
        <v>303</v>
      </c>
      <c r="B75" s="97"/>
      <c r="C75" s="97"/>
      <c r="D75" s="97"/>
      <c r="E75" s="97"/>
      <c r="F75" s="97"/>
      <c r="G75" s="97"/>
      <c r="H75" s="97"/>
      <c r="I75" s="97"/>
      <c r="J75" s="97"/>
      <c r="K75" s="97"/>
      <c r="L75" s="97"/>
      <c r="M75" s="97"/>
      <c r="N75" s="97"/>
      <c r="O75" s="97"/>
      <c r="P75" s="97"/>
      <c r="Q75" s="97"/>
      <c r="S75" s="97"/>
      <c r="T75" s="97"/>
      <c r="U75" s="97"/>
      <c r="V75" s="97"/>
      <c r="W75" s="97"/>
      <c r="X75" s="97"/>
      <c r="Y75" s="97"/>
      <c r="Z75" s="97"/>
      <c r="AA75" s="97"/>
      <c r="AB75" s="97"/>
    </row>
    <row r="76">
      <c r="A76" s="101" t="s">
        <v>303</v>
      </c>
      <c r="B76" s="97"/>
      <c r="C76" s="97"/>
      <c r="D76" s="97"/>
      <c r="E76" s="97"/>
      <c r="F76" s="97"/>
      <c r="G76" s="97"/>
      <c r="H76" s="97"/>
      <c r="I76" s="97"/>
      <c r="J76" s="97"/>
      <c r="K76" s="97"/>
      <c r="L76" s="97"/>
      <c r="M76" s="97"/>
      <c r="N76" s="97"/>
      <c r="O76" s="97"/>
      <c r="P76" s="97"/>
      <c r="Q76" s="97"/>
      <c r="S76" s="97"/>
      <c r="T76" s="97"/>
      <c r="U76" s="97"/>
      <c r="V76" s="97"/>
      <c r="W76" s="97"/>
      <c r="X76" s="97"/>
      <c r="Y76" s="97"/>
      <c r="Z76" s="97"/>
      <c r="AA76" s="97"/>
      <c r="AB76" s="97"/>
    </row>
    <row r="77">
      <c r="A77" s="101" t="s">
        <v>303</v>
      </c>
      <c r="B77" s="97"/>
      <c r="C77" s="97"/>
      <c r="D77" s="97"/>
      <c r="E77" s="97"/>
      <c r="F77" s="97"/>
      <c r="G77" s="97"/>
      <c r="H77" s="97"/>
      <c r="I77" s="97"/>
      <c r="J77" s="97"/>
      <c r="K77" s="97"/>
      <c r="L77" s="97"/>
      <c r="M77" s="97"/>
      <c r="N77" s="97"/>
      <c r="O77" s="97"/>
      <c r="P77" s="97"/>
      <c r="Q77" s="97"/>
      <c r="S77" s="97"/>
      <c r="T77" s="97"/>
      <c r="U77" s="97"/>
      <c r="V77" s="97"/>
      <c r="W77" s="97"/>
      <c r="X77" s="97"/>
      <c r="Y77" s="97"/>
      <c r="Z77" s="97"/>
      <c r="AA77" s="97"/>
      <c r="AB77" s="97"/>
    </row>
    <row r="78">
      <c r="A78" s="101" t="s">
        <v>303</v>
      </c>
      <c r="B78" s="97"/>
      <c r="C78" s="97"/>
      <c r="D78" s="97"/>
      <c r="E78" s="97"/>
      <c r="F78" s="97"/>
      <c r="G78" s="97"/>
      <c r="H78" s="97"/>
      <c r="I78" s="97"/>
      <c r="J78" s="97"/>
      <c r="K78" s="97"/>
      <c r="L78" s="97"/>
      <c r="M78" s="97"/>
      <c r="N78" s="97"/>
      <c r="O78" s="97"/>
      <c r="P78" s="97"/>
      <c r="Q78" s="97"/>
      <c r="S78" s="97"/>
      <c r="T78" s="97"/>
      <c r="U78" s="97"/>
      <c r="V78" s="97"/>
      <c r="W78" s="97"/>
      <c r="X78" s="97"/>
      <c r="Y78" s="97"/>
      <c r="Z78" s="97"/>
      <c r="AA78" s="97"/>
      <c r="AB78" s="97"/>
    </row>
    <row r="79">
      <c r="A79" s="101" t="s">
        <v>303</v>
      </c>
      <c r="B79" s="97"/>
      <c r="C79" s="97"/>
      <c r="D79" s="97"/>
      <c r="E79" s="97"/>
      <c r="F79" s="97"/>
      <c r="G79" s="97"/>
      <c r="H79" s="97"/>
      <c r="I79" s="97"/>
      <c r="J79" s="97"/>
      <c r="K79" s="97"/>
      <c r="L79" s="97"/>
      <c r="M79" s="97"/>
      <c r="N79" s="97"/>
      <c r="O79" s="97"/>
      <c r="P79" s="97"/>
      <c r="Q79" s="97"/>
      <c r="S79" s="97"/>
      <c r="T79" s="97"/>
      <c r="U79" s="97"/>
      <c r="V79" s="97"/>
      <c r="W79" s="97"/>
      <c r="X79" s="97"/>
      <c r="Y79" s="97"/>
      <c r="Z79" s="97"/>
      <c r="AA79" s="97"/>
      <c r="AB79" s="97"/>
    </row>
    <row r="80">
      <c r="A80" s="101" t="s">
        <v>303</v>
      </c>
      <c r="B80" s="97"/>
      <c r="C80" s="97"/>
      <c r="D80" s="97"/>
      <c r="E80" s="97"/>
      <c r="F80" s="97"/>
      <c r="G80" s="97"/>
      <c r="H80" s="97"/>
      <c r="I80" s="97"/>
      <c r="J80" s="97"/>
      <c r="K80" s="97"/>
      <c r="L80" s="97"/>
      <c r="M80" s="97"/>
      <c r="N80" s="97"/>
      <c r="O80" s="97"/>
      <c r="P80" s="97"/>
      <c r="Q80" s="97"/>
      <c r="S80" s="97"/>
      <c r="T80" s="97"/>
      <c r="U80" s="97"/>
      <c r="V80" s="97"/>
      <c r="W80" s="97"/>
      <c r="X80" s="97"/>
      <c r="Y80" s="97"/>
      <c r="Z80" s="97"/>
      <c r="AA80" s="97"/>
      <c r="AB80" s="97"/>
    </row>
    <row r="81">
      <c r="A81" s="101" t="s">
        <v>303</v>
      </c>
      <c r="B81" s="97"/>
      <c r="C81" s="97"/>
      <c r="D81" s="97"/>
      <c r="E81" s="97"/>
      <c r="F81" s="97"/>
      <c r="G81" s="97"/>
      <c r="H81" s="97"/>
      <c r="I81" s="97"/>
      <c r="J81" s="97"/>
      <c r="K81" s="97"/>
      <c r="L81" s="97"/>
      <c r="M81" s="97"/>
      <c r="N81" s="97"/>
      <c r="O81" s="97"/>
      <c r="P81" s="97"/>
      <c r="Q81" s="97"/>
      <c r="S81" s="97"/>
      <c r="T81" s="97"/>
      <c r="U81" s="97"/>
      <c r="V81" s="97"/>
      <c r="W81" s="97"/>
      <c r="X81" s="97"/>
      <c r="Y81" s="97"/>
      <c r="Z81" s="97"/>
      <c r="AA81" s="97"/>
      <c r="AB81" s="97"/>
    </row>
    <row r="82">
      <c r="A82" s="101" t="s">
        <v>303</v>
      </c>
      <c r="B82" s="97"/>
      <c r="C82" s="97"/>
      <c r="D82" s="97"/>
      <c r="E82" s="97"/>
      <c r="F82" s="97"/>
      <c r="G82" s="97"/>
      <c r="H82" s="97"/>
      <c r="I82" s="97"/>
      <c r="J82" s="97"/>
      <c r="K82" s="97"/>
      <c r="L82" s="97"/>
      <c r="M82" s="97"/>
      <c r="N82" s="97"/>
      <c r="O82" s="97"/>
      <c r="P82" s="97"/>
      <c r="Q82" s="97"/>
      <c r="S82" s="97"/>
      <c r="T82" s="97"/>
      <c r="U82" s="97"/>
      <c r="V82" s="97"/>
      <c r="W82" s="97"/>
      <c r="X82" s="97"/>
      <c r="Y82" s="97"/>
      <c r="Z82" s="97"/>
      <c r="AA82" s="97"/>
      <c r="AB82" s="97"/>
    </row>
    <row r="83">
      <c r="A83" s="101" t="s">
        <v>303</v>
      </c>
      <c r="B83" s="97"/>
      <c r="C83" s="97"/>
      <c r="D83" s="97"/>
      <c r="E83" s="97"/>
      <c r="F83" s="97"/>
      <c r="G83" s="97"/>
      <c r="H83" s="97"/>
      <c r="I83" s="97"/>
      <c r="J83" s="97"/>
      <c r="K83" s="97"/>
      <c r="L83" s="97"/>
      <c r="M83" s="97"/>
      <c r="N83" s="97"/>
      <c r="O83" s="97"/>
      <c r="P83" s="97"/>
      <c r="Q83" s="97"/>
      <c r="S83" s="97"/>
      <c r="T83" s="97"/>
      <c r="U83" s="97"/>
      <c r="V83" s="97"/>
      <c r="W83" s="97"/>
      <c r="X83" s="97"/>
      <c r="Y83" s="97"/>
      <c r="Z83" s="97"/>
      <c r="AA83" s="97"/>
      <c r="AB83" s="97"/>
    </row>
    <row r="84">
      <c r="A84" s="101" t="s">
        <v>303</v>
      </c>
      <c r="B84" s="97"/>
      <c r="C84" s="97"/>
      <c r="D84" s="97"/>
      <c r="E84" s="97"/>
      <c r="F84" s="97"/>
      <c r="G84" s="97"/>
      <c r="H84" s="97"/>
      <c r="I84" s="97"/>
      <c r="J84" s="97"/>
      <c r="K84" s="97"/>
      <c r="L84" s="97"/>
      <c r="M84" s="97"/>
      <c r="N84" s="97"/>
      <c r="O84" s="97"/>
      <c r="P84" s="97"/>
      <c r="Q84" s="97"/>
      <c r="S84" s="97"/>
      <c r="T84" s="97"/>
      <c r="U84" s="97"/>
      <c r="V84" s="97"/>
      <c r="W84" s="97"/>
      <c r="X84" s="97"/>
      <c r="Y84" s="97"/>
      <c r="Z84" s="97"/>
      <c r="AA84" s="97"/>
      <c r="AB84" s="97"/>
    </row>
    <row r="85">
      <c r="A85" s="101" t="s">
        <v>303</v>
      </c>
      <c r="B85" s="97"/>
      <c r="C85" s="97"/>
      <c r="D85" s="97"/>
      <c r="E85" s="97"/>
      <c r="F85" s="97"/>
      <c r="G85" s="97"/>
      <c r="H85" s="97"/>
      <c r="I85" s="97"/>
      <c r="J85" s="97"/>
      <c r="K85" s="97"/>
      <c r="L85" s="97"/>
      <c r="M85" s="97"/>
      <c r="N85" s="97"/>
      <c r="O85" s="97"/>
      <c r="P85" s="97"/>
      <c r="Q85" s="97"/>
      <c r="S85" s="97"/>
      <c r="T85" s="97"/>
      <c r="U85" s="97"/>
      <c r="V85" s="97"/>
      <c r="W85" s="97"/>
      <c r="X85" s="97"/>
      <c r="Y85" s="97"/>
      <c r="Z85" s="97"/>
      <c r="AA85" s="97"/>
      <c r="AB85" s="97"/>
    </row>
    <row r="86">
      <c r="A86" s="101" t="s">
        <v>303</v>
      </c>
      <c r="B86" s="97"/>
      <c r="C86" s="97"/>
      <c r="D86" s="97"/>
      <c r="E86" s="97"/>
      <c r="F86" s="97"/>
      <c r="G86" s="97"/>
      <c r="H86" s="97"/>
      <c r="I86" s="97"/>
      <c r="J86" s="97"/>
      <c r="K86" s="97"/>
      <c r="L86" s="97"/>
      <c r="M86" s="97"/>
      <c r="N86" s="97"/>
      <c r="O86" s="97"/>
      <c r="P86" s="97"/>
      <c r="Q86" s="97"/>
      <c r="S86" s="97"/>
      <c r="T86" s="97"/>
      <c r="U86" s="97"/>
      <c r="V86" s="97"/>
      <c r="W86" s="97"/>
      <c r="X86" s="97"/>
      <c r="Y86" s="97"/>
      <c r="Z86" s="97"/>
      <c r="AA86" s="97"/>
      <c r="AB86" s="97"/>
    </row>
    <row r="87">
      <c r="A87" s="101" t="s">
        <v>303</v>
      </c>
      <c r="B87" s="97"/>
      <c r="C87" s="97"/>
      <c r="D87" s="97"/>
      <c r="E87" s="97"/>
      <c r="F87" s="97"/>
      <c r="G87" s="97"/>
      <c r="H87" s="97"/>
      <c r="I87" s="97"/>
      <c r="J87" s="97"/>
      <c r="K87" s="97"/>
      <c r="L87" s="97"/>
      <c r="M87" s="97"/>
      <c r="N87" s="97"/>
      <c r="O87" s="97"/>
      <c r="P87" s="97"/>
      <c r="Q87" s="97"/>
      <c r="S87" s="97"/>
      <c r="T87" s="97"/>
      <c r="U87" s="97"/>
      <c r="V87" s="97"/>
      <c r="W87" s="97"/>
      <c r="X87" s="97"/>
      <c r="Y87" s="97"/>
      <c r="Z87" s="97"/>
      <c r="AA87" s="97"/>
      <c r="AB87" s="97"/>
    </row>
    <row r="88">
      <c r="A88" s="101" t="s">
        <v>303</v>
      </c>
      <c r="B88" s="97"/>
      <c r="C88" s="97"/>
      <c r="D88" s="97"/>
      <c r="E88" s="97"/>
      <c r="F88" s="97"/>
      <c r="G88" s="97"/>
      <c r="H88" s="97"/>
      <c r="I88" s="97"/>
      <c r="J88" s="97"/>
      <c r="K88" s="97"/>
      <c r="L88" s="97"/>
      <c r="M88" s="97"/>
      <c r="N88" s="97"/>
      <c r="O88" s="97"/>
      <c r="P88" s="97"/>
      <c r="Q88" s="97"/>
      <c r="S88" s="97"/>
      <c r="T88" s="97"/>
      <c r="U88" s="97"/>
      <c r="V88" s="97"/>
      <c r="W88" s="97"/>
      <c r="X88" s="97"/>
      <c r="Y88" s="97"/>
      <c r="Z88" s="97"/>
      <c r="AA88" s="97"/>
      <c r="AB88" s="97"/>
    </row>
    <row r="89">
      <c r="A89" s="101" t="s">
        <v>303</v>
      </c>
      <c r="B89" s="97"/>
      <c r="C89" s="97"/>
      <c r="D89" s="97"/>
      <c r="E89" s="97"/>
      <c r="F89" s="97"/>
      <c r="G89" s="97"/>
      <c r="H89" s="97"/>
      <c r="I89" s="97"/>
      <c r="J89" s="97"/>
      <c r="K89" s="97"/>
      <c r="L89" s="97"/>
      <c r="M89" s="97"/>
      <c r="N89" s="97"/>
      <c r="O89" s="97"/>
      <c r="P89" s="97"/>
      <c r="Q89" s="97"/>
      <c r="S89" s="97"/>
      <c r="T89" s="97"/>
      <c r="U89" s="97"/>
      <c r="V89" s="97"/>
      <c r="W89" s="97"/>
      <c r="X89" s="97"/>
      <c r="Y89" s="97"/>
      <c r="Z89" s="97"/>
      <c r="AA89" s="97"/>
      <c r="AB89" s="97"/>
    </row>
    <row r="90">
      <c r="A90" s="101" t="s">
        <v>303</v>
      </c>
    </row>
    <row r="91">
      <c r="A91" s="101" t="s">
        <v>303</v>
      </c>
    </row>
    <row r="92">
      <c r="A92" s="101" t="s">
        <v>303</v>
      </c>
    </row>
    <row r="93">
      <c r="A93" s="101" t="s">
        <v>303</v>
      </c>
    </row>
    <row r="94">
      <c r="A94" s="101" t="s">
        <v>303</v>
      </c>
    </row>
    <row r="95">
      <c r="A95" s="101" t="s">
        <v>303</v>
      </c>
    </row>
    <row r="96">
      <c r="A96" s="101" t="s">
        <v>303</v>
      </c>
    </row>
    <row r="97">
      <c r="A97" s="101" t="s">
        <v>303</v>
      </c>
    </row>
    <row r="98">
      <c r="A98" s="101" t="s">
        <v>303</v>
      </c>
    </row>
    <row r="99">
      <c r="A99" s="101" t="s">
        <v>303</v>
      </c>
    </row>
    <row r="100">
      <c r="A100" s="102" t="s">
        <v>303</v>
      </c>
    </row>
  </sheetData>
  <mergeCells count="2">
    <mergeCell ref="O7:O9"/>
    <mergeCell ref="P7:P9"/>
  </mergeCells>
  <dataValidations>
    <dataValidation type="list" allowBlank="1" showErrorMessage="1" sqref="K11:K64">
      <formula1>"Low,Medium,High"</formula1>
    </dataValidation>
    <dataValidation type="list" allowBlank="1" showErrorMessage="1" sqref="J11:J64">
      <formula1>"Fail,Pass"</formula1>
    </dataValidation>
    <dataValidation type="list" allowBlank="1" showErrorMessage="1" sqref="O11:O64">
      <formula1>"Solved,Unsolved"</formula1>
    </dataValidation>
    <dataValidation type="list" allowBlank="1" showErrorMessage="1" sqref="P11:P64">
      <formula1>"Front-End,Back-End,AI,UI/UX"</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M37"/>
    <hyperlink r:id="rId29" ref="L38"/>
    <hyperlink r:id="rId30" ref="L39"/>
    <hyperlink r:id="rId31" ref="L40"/>
    <hyperlink r:id="rId32" ref="L41"/>
    <hyperlink r:id="rId33" ref="L42"/>
    <hyperlink r:id="rId34" ref="L43"/>
    <hyperlink r:id="rId35" ref="L44"/>
  </hyperlinks>
  <drawing r:id="rId36"/>
</worksheet>
</file>